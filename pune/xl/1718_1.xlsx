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mcadmin\Desktop\"/>
    </mc:Choice>
  </mc:AlternateContent>
  <bookViews>
    <workbookView xWindow="0" yWindow="0" windowWidth="20490" windowHeight="8340" tabRatio="738"/>
  </bookViews>
  <sheets>
    <sheet name="A_Revenue_Income" sheetId="8" r:id="rId1"/>
    <sheet name="A_Revenue_Expenditure" sheetId="10" r:id="rId2"/>
    <sheet name="A_Revenue_List" sheetId="127" r:id="rId3"/>
    <sheet name="A_Capital_Expenditure" sheetId="25" r:id="rId4"/>
    <sheet name="A_Land_Acquisition" sheetId="27" r:id="rId5"/>
    <sheet name="A_Special_Fund" sheetId="28" r:id="rId6"/>
    <sheet name="A_DPDC_Machinery_Tree" sheetId="29" r:id="rId7"/>
    <sheet name="A_Capital_List" sheetId="138" r:id="rId8"/>
    <sheet name="C_Revenue_Income" sheetId="14" r:id="rId9"/>
    <sheet name="C_Revenue_Expenditure" sheetId="16" r:id="rId10"/>
    <sheet name="C_Revenue_List" sheetId="139" r:id="rId11"/>
    <sheet name="C_Capital_Expenditure" sheetId="20" r:id="rId12"/>
    <sheet name="C_Capital_List" sheetId="140" r:id="rId13"/>
    <sheet name="JNNURM" sheetId="49" r:id="rId14"/>
    <sheet name="SPV" sheetId="53" r:id="rId15"/>
    <sheet name="SMRY1718" sheetId="128" r:id="rId16"/>
    <sheet name="WardOfficeNonPlan1718" sheetId="129" r:id="rId17"/>
    <sheet name="WardOfficePlan1718" sheetId="130" r:id="rId18"/>
    <sheet name="CitizensNonPlan1718" sheetId="131" r:id="rId19"/>
    <sheet name="CitizensPlan1718" sheetId="132" r:id="rId20"/>
  </sheets>
  <externalReferences>
    <externalReference r:id="rId21"/>
  </externalReferences>
  <definedNames>
    <definedName name="_xlnm._FilterDatabase" localSheetId="3" hidden="1">A_Capital_Expenditure!#REF!</definedName>
    <definedName name="_xlnm._FilterDatabase" localSheetId="7" hidden="1">A_Capital_List!$G$1:$H$697</definedName>
    <definedName name="_xlnm._FilterDatabase" localSheetId="6" hidden="1">A_DPDC_Machinery_Tree!#REF!</definedName>
    <definedName name="_xlnm._FilterDatabase" localSheetId="4" hidden="1">A_Land_Acquisition!$A$1:$F$383</definedName>
    <definedName name="_xlnm._FilterDatabase" localSheetId="1" hidden="1">A_Revenue_Expenditure!#REF!</definedName>
    <definedName name="_xlnm._FilterDatabase" localSheetId="0" hidden="1">A_Revenue_Income!#REF!</definedName>
    <definedName name="_xlnm._FilterDatabase" localSheetId="2" hidden="1">A_Revenue_List!$G$1:$H$371</definedName>
    <definedName name="_xlnm._FilterDatabase" localSheetId="5" hidden="1">A_Special_Fund!#REF!</definedName>
    <definedName name="_xlnm._FilterDatabase" localSheetId="11" hidden="1">C_Capital_Expenditure!#REF!</definedName>
    <definedName name="_xlnm._FilterDatabase" localSheetId="12" hidden="1">C_Capital_List!$G$1:$H$322</definedName>
    <definedName name="_xlnm._FilterDatabase" localSheetId="9" hidden="1">C_Revenue_Expenditure!#REF!</definedName>
    <definedName name="_xlnm._FilterDatabase" localSheetId="8" hidden="1">C_Revenue_Income!$A$1:$O$66</definedName>
    <definedName name="_xlnm._FilterDatabase" localSheetId="10" hidden="1">C_Revenue_List!$G$1:$H$51</definedName>
    <definedName name="_xlnm._FilterDatabase" localSheetId="18" hidden="1">CitizensNonPlan1718!$D$1:$D$1014</definedName>
    <definedName name="_xlnm._FilterDatabase" localSheetId="19" hidden="1">CitizensPlan1718!$D$1:$D$326</definedName>
    <definedName name="_xlnm._FilterDatabase" localSheetId="13" hidden="1">JNNURM!$D$1:$D$23</definedName>
    <definedName name="_xlnm._FilterDatabase" localSheetId="15" hidden="1">SMRY1718!$C$1:$C$25</definedName>
    <definedName name="_xlnm._FilterDatabase" localSheetId="14" hidden="1">SPV!#REF!</definedName>
    <definedName name="_xlnm._FilterDatabase" localSheetId="16" hidden="1">WardOfficeNonPlan1718!$D$1:$D$1337</definedName>
    <definedName name="_xlnm._FilterDatabase" localSheetId="17" hidden="1">WardOfficePlan1718!$D$1:$D$433</definedName>
    <definedName name="BdgtNo">#REF!</definedName>
    <definedName name="BdgtYear">#REF!</definedName>
    <definedName name="BdgtYrFrom">#REF!</definedName>
    <definedName name="BdgtYrTo">#REF!</definedName>
    <definedName name="CrntYr">[1]FnlRec13!$B$2</definedName>
    <definedName name="Description">"P_A_C_Ex"</definedName>
    <definedName name="EdDt">[1]FnlRec13!$B$4</definedName>
    <definedName name="FinYrFrom">#REF!</definedName>
    <definedName name="FinYrTo">#REF!</definedName>
    <definedName name="Head">#REF!</definedName>
    <definedName name="Last2Yr">#REF!</definedName>
    <definedName name="Last3Yr">#REF!</definedName>
    <definedName name="Last4Yr">#REF!</definedName>
    <definedName name="Last5Yr">#REF!</definedName>
    <definedName name="LastYr">[1]FnlRec13!$B$1</definedName>
    <definedName name="List_Smry_0" localSheetId="7">A_Capital_List!#REF!</definedName>
    <definedName name="List_Smry_0" localSheetId="2">A_Revenue_List!#REF!</definedName>
    <definedName name="List_Smry_0" localSheetId="12">C_Capital_List!#REF!</definedName>
    <definedName name="List_Smry_0" localSheetId="10">C_Revenue_List!#REF!</definedName>
    <definedName name="List_Smry_1" localSheetId="7">A_Capital_List!#REF!</definedName>
    <definedName name="List_Smry_1" localSheetId="2">A_Revenue_List!#REF!</definedName>
    <definedName name="List_Smry_1" localSheetId="12">C_Capital_List!#REF!</definedName>
    <definedName name="List_Smry_1" localSheetId="10">C_Revenue_List!#REF!</definedName>
    <definedName name="List_Smry_2" localSheetId="7">A_Capital_List!#REF!</definedName>
    <definedName name="List_Smry_2" localSheetId="2">A_Revenue_List!#REF!</definedName>
    <definedName name="List_Smry_2" localSheetId="12">C_Capital_List!#REF!</definedName>
    <definedName name="List_Smry_2" localSheetId="10">C_Revenue_List!#REF!</definedName>
    <definedName name="P_A_A_Ex">#REF!</definedName>
    <definedName name="P_A_A01">#REF!</definedName>
    <definedName name="P_A_A02">#REF!</definedName>
    <definedName name="P_A_A03">A_Revenue_Income!$A$7:$O$489</definedName>
    <definedName name="P_A_A04">#REF!</definedName>
    <definedName name="P_A_A05">A_Revenue_Expenditure!$A$4:$I$1569</definedName>
    <definedName name="P_A_A08">#REF!</definedName>
    <definedName name="P_A_A09">#REF!</definedName>
    <definedName name="P_A_A10">#REF!,#REF!</definedName>
    <definedName name="P_A_A11">#REF!</definedName>
    <definedName name="P_A_A12">A_Capital_Expenditure!$A$7:$P$391</definedName>
    <definedName name="P_A_A13">#REF!</definedName>
    <definedName name="P_A_A14">A_Land_Acquisition!$A$5:$F$384</definedName>
    <definedName name="P_A_A15">A_Special_Fund!$A$8:$P$115</definedName>
    <definedName name="P_A_A16">A_DPDC_Machinery_Tree!$A$7:$I$161</definedName>
    <definedName name="P_A_AC_In1">#REF!</definedName>
    <definedName name="P_A_AC_In2">#REF!</definedName>
    <definedName name="P_A_APP">#REF!</definedName>
    <definedName name="P_A_Bdgt" localSheetId="6">A_DPDC_Machinery_Tree!$A$7:$I$161</definedName>
    <definedName name="P_A_Bdgt" localSheetId="4">A_Land_Acquisition!$A$5:$F$384</definedName>
    <definedName name="P_A_Bdgt" localSheetId="0">A_Revenue_Income!$A$7:$O$489</definedName>
    <definedName name="P_A_Bdgt" localSheetId="5">A_Special_Fund!$A$8:$P$115</definedName>
    <definedName name="P_A_Bdgt" localSheetId="11">C_Capital_Expenditure!$A$8:$P$72</definedName>
    <definedName name="P_A_Bdgt" localSheetId="9">C_Revenue_Expenditure!$A$4:$I$341</definedName>
    <definedName name="P_A_C_Ex">#REF!</definedName>
    <definedName name="P_A_C01">#REF!</definedName>
    <definedName name="P_A_C02">C_Revenue_Income!$A$7:$O$62</definedName>
    <definedName name="P_A_C02A">#REF!</definedName>
    <definedName name="P_A_C03">C_Revenue_Expenditure!$A$4:$I$341</definedName>
    <definedName name="P_A_C05">#REF!</definedName>
    <definedName name="P_A_C07">C_Capital_Expenditure!$A$8:$P$72</definedName>
    <definedName name="P_A_dvdr">#REF!</definedName>
    <definedName name="P_A_Fnl_Rec">#REF!</definedName>
    <definedName name="P_A_Info">#REF!</definedName>
    <definedName name="P_A_Info1">#REF!</definedName>
    <definedName name="P_A_Info2">#REF!</definedName>
    <definedName name="P_A_jnnurm">JNNURM!$A$1:$H$30</definedName>
    <definedName name="P_A_ListA" localSheetId="7">A_Capital_List!$A$1:$G$697</definedName>
    <definedName name="P_A_ListA" localSheetId="2">A_Revenue_List!$A$1:$G$371</definedName>
    <definedName name="P_A_ListA" localSheetId="12">C_Capital_List!#REF!</definedName>
    <definedName name="P_A_ListA" localSheetId="10">C_Revenue_List!#REF!</definedName>
    <definedName name="P_A_ListC" localSheetId="7">A_Capital_List!#REF!</definedName>
    <definedName name="P_A_ListC" localSheetId="2">A_Revenue_List!#REF!</definedName>
    <definedName name="P_A_ListC" localSheetId="12">C_Capital_List!$A$1:$G$322</definedName>
    <definedName name="P_A_ListC" localSheetId="10">C_Revenue_List!$A$1:$G$51</definedName>
    <definedName name="P_A_MC_Mar">#REF!,#REF!,#REF!</definedName>
    <definedName name="P_A_Octroi">#REF!</definedName>
    <definedName name="P_A_S_Wtr">#REF!</definedName>
    <definedName name="P_A_SC_Mar">#REF!,#REF!,#REF!</definedName>
    <definedName name="P_A_SMRY" localSheetId="7">#REF!</definedName>
    <definedName name="P_A_SMRY" localSheetId="2">#REF!</definedName>
    <definedName name="P_A_Smry" localSheetId="5">A_Special_Fund!$A$106:$P$115</definedName>
    <definedName name="P_A_SMRY" localSheetId="12">#REF!</definedName>
    <definedName name="P_A_SMRY" localSheetId="10">#REF!</definedName>
    <definedName name="P_A_SMRY">#REF!</definedName>
    <definedName name="P_A_SPV">SPV!$A$1:$G$37</definedName>
    <definedName name="P_A_W_RE">#REF!</definedName>
    <definedName name="_xlnm.Print_Area" localSheetId="3">A_Capital_Expenditure!$A$7:$P$391</definedName>
    <definedName name="_xlnm.Print_Area" localSheetId="7">A_Capital_List!$A$1:$G$697</definedName>
    <definedName name="_xlnm.Print_Area" localSheetId="6">A_DPDC_Machinery_Tree!$A$7:$I$161</definedName>
    <definedName name="_xlnm.Print_Area" localSheetId="4">A_Land_Acquisition!$A$5:$F$384</definedName>
    <definedName name="_xlnm.Print_Area" localSheetId="1">A_Revenue_Expenditure!$A$4:$I$1569</definedName>
    <definedName name="_xlnm.Print_Area" localSheetId="0">A_Revenue_Income!$A$7:$O$489</definedName>
    <definedName name="_xlnm.Print_Area" localSheetId="2">A_Revenue_List!$A$1:$G$371</definedName>
    <definedName name="_xlnm.Print_Area" localSheetId="5">A_Special_Fund!$A$8:$P$115</definedName>
    <definedName name="_xlnm.Print_Area" localSheetId="11">C_Capital_Expenditure!$A$8:$P$72</definedName>
    <definedName name="_xlnm.Print_Area" localSheetId="12">C_Capital_List!#REF!</definedName>
    <definedName name="_xlnm.Print_Area" localSheetId="9">C_Revenue_Expenditure!$A$4:$I$341</definedName>
    <definedName name="_xlnm.Print_Area" localSheetId="8">C_Revenue_Income!$A$7:$O$62</definedName>
    <definedName name="_xlnm.Print_Area" localSheetId="10">C_Revenue_List!#REF!</definedName>
    <definedName name="_xlnm.Print_Area" localSheetId="18">CitizensNonPlan1718!$A$3:$K$1014</definedName>
    <definedName name="_xlnm.Print_Area" localSheetId="19">CitizensPlan1718!$A$3:$K$326</definedName>
    <definedName name="_xlnm.Print_Area" localSheetId="13">JNNURM!$A$1:$H$30</definedName>
    <definedName name="_xlnm.Print_Area" localSheetId="15">SMRY1718!$A$1:$K$25</definedName>
    <definedName name="_xlnm.Print_Area" localSheetId="14">SPV!$A$1:$G$37</definedName>
    <definedName name="_xlnm.Print_Area" localSheetId="16">WardOfficeNonPlan1718!$A$3:$K$1337</definedName>
    <definedName name="_xlnm.Print_Area" localSheetId="17">WardOfficePlan1718!$A$3:$K$433</definedName>
    <definedName name="Print_Area_Bdgt">#REF!,#REF!</definedName>
    <definedName name="_xlnm.Print_Titles" localSheetId="3">A_Capital_Expenditure!$1:$5</definedName>
    <definedName name="_xlnm.Print_Titles" localSheetId="6">A_DPDC_Machinery_Tree!$1:$5</definedName>
    <definedName name="_xlnm.Print_Titles" localSheetId="4">A_Land_Acquisition!$1:$4</definedName>
    <definedName name="_xlnm.Print_Titles" localSheetId="1">A_Revenue_Expenditure!$1:$3</definedName>
    <definedName name="_xlnm.Print_Titles" localSheetId="0">A_Revenue_Income!$1:$5</definedName>
    <definedName name="_xlnm.Print_Titles" localSheetId="5">A_Special_Fund!$1:$5</definedName>
    <definedName name="_xlnm.Print_Titles" localSheetId="11">C_Capital_Expenditure!$1:$5</definedName>
    <definedName name="_xlnm.Print_Titles" localSheetId="9">C_Revenue_Expenditure!$1:$3</definedName>
    <definedName name="_xlnm.Print_Titles" localSheetId="8">C_Revenue_Income!$1:$6</definedName>
    <definedName name="_xlnm.Print_Titles" localSheetId="18">CitizensNonPlan1718!$1:$1</definedName>
    <definedName name="_xlnm.Print_Titles" localSheetId="19">CitizensPlan1718!$1:$1</definedName>
    <definedName name="_xlnm.Print_Titles" localSheetId="13">JNNURM!$1:$2</definedName>
    <definedName name="_xlnm.Print_Titles" localSheetId="15">SMRY1718!$1:$1</definedName>
    <definedName name="_xlnm.Print_Titles" localSheetId="16">WardOfficeNonPlan1718!$1:$1</definedName>
    <definedName name="_xlnm.Print_Titles" localSheetId="17">WardOfficePlan1718!$1:$1</definedName>
    <definedName name="Prnt_Area">#REF!</definedName>
    <definedName name="ShowMC.Eng" localSheetId="7">#REF!</definedName>
    <definedName name="ShowMC.Eng" localSheetId="2">#REF!</definedName>
    <definedName name="ShowMC.Eng" localSheetId="12">#REF!</definedName>
    <definedName name="ShowMC.Eng" localSheetId="10">#REF!</definedName>
    <definedName name="ShowMC.Eng">#REF!</definedName>
    <definedName name="ShowMC.Mar" localSheetId="7">#REF!</definedName>
    <definedName name="ShowMC.Mar" localSheetId="2">#REF!</definedName>
    <definedName name="ShowMC.Mar" localSheetId="12">#REF!</definedName>
    <definedName name="ShowMC.Mar" localSheetId="10">#REF!</definedName>
    <definedName name="ShowMC.Mar">#REF!</definedName>
    <definedName name="ShowSC.Eng" localSheetId="7">#REF!</definedName>
    <definedName name="ShowSC.Eng" localSheetId="2">#REF!</definedName>
    <definedName name="ShowSC.Eng" localSheetId="12">#REF!</definedName>
    <definedName name="ShowSC.Eng" localSheetId="10">#REF!</definedName>
    <definedName name="ShowSC.Eng">#REF!</definedName>
    <definedName name="ShowSC.Mar" localSheetId="7">#REF!</definedName>
    <definedName name="ShowSC.Mar" localSheetId="2">#REF!</definedName>
    <definedName name="ShowSC.Mar" localSheetId="12">#REF!</definedName>
    <definedName name="ShowSC.Mar" localSheetId="10">#REF!</definedName>
    <definedName name="ShowSC.Mar">#REF!</definedName>
    <definedName name="StDt">[1]FnlRec13!$B$3</definedName>
    <definedName name="txt_cd_1">A_DPDC_Machinery_Tree!$G:$G</definedName>
    <definedName name="Yantra_Series">A_DPDC_Machinery_Tree!$A$29:$A$110</definedName>
    <definedName name="Year">[1]doller!$B$1</definedName>
  </definedNames>
  <calcPr calcId="152511"/>
</workbook>
</file>

<file path=xl/calcChain.xml><?xml version="1.0" encoding="utf-8"?>
<calcChain xmlns="http://schemas.openxmlformats.org/spreadsheetml/2006/main">
  <c r="G321" i="140" l="1"/>
  <c r="F321" i="140"/>
  <c r="E321" i="140"/>
  <c r="G291" i="140"/>
  <c r="F291" i="140"/>
  <c r="E291" i="140"/>
  <c r="G277" i="140"/>
  <c r="F277" i="140"/>
  <c r="E277" i="140"/>
  <c r="G263" i="140"/>
  <c r="F263" i="140"/>
  <c r="E263" i="140"/>
  <c r="G218" i="140"/>
  <c r="F218" i="140"/>
  <c r="E218" i="140"/>
  <c r="G203" i="140"/>
  <c r="F203" i="140"/>
  <c r="E203" i="140"/>
  <c r="G193" i="140"/>
  <c r="F193" i="140"/>
  <c r="E193" i="140"/>
  <c r="G176" i="140"/>
  <c r="F176" i="140"/>
  <c r="E176" i="140"/>
  <c r="G106" i="140"/>
  <c r="F106" i="140"/>
  <c r="E106" i="140"/>
  <c r="G74" i="140"/>
  <c r="F74" i="140"/>
  <c r="E74" i="140"/>
  <c r="G50" i="139"/>
  <c r="F50" i="139"/>
  <c r="E50" i="139"/>
  <c r="G14" i="139"/>
  <c r="F14" i="139"/>
  <c r="E14" i="139"/>
  <c r="G696" i="138"/>
  <c r="F696" i="138"/>
  <c r="E696" i="138"/>
  <c r="G682" i="138"/>
  <c r="F682" i="138"/>
  <c r="E682" i="138"/>
  <c r="G666" i="138"/>
  <c r="F666" i="138"/>
  <c r="E666" i="138"/>
  <c r="G649" i="138"/>
  <c r="G604" i="138"/>
  <c r="F604" i="138"/>
  <c r="E604" i="138"/>
  <c r="G590" i="138"/>
  <c r="F590" i="138"/>
  <c r="E590" i="138"/>
  <c r="G578" i="138"/>
  <c r="F578" i="138"/>
  <c r="E578" i="138"/>
  <c r="G563" i="138"/>
  <c r="F563" i="138"/>
  <c r="E563" i="138"/>
  <c r="G552" i="138"/>
  <c r="F552" i="138"/>
  <c r="E552" i="138"/>
  <c r="G540" i="138"/>
  <c r="F540" i="138"/>
  <c r="E540" i="138"/>
  <c r="G525" i="138"/>
  <c r="F525" i="138"/>
  <c r="E525" i="138"/>
  <c r="G513" i="138"/>
  <c r="F513" i="138"/>
  <c r="E513" i="138"/>
  <c r="G491" i="138"/>
  <c r="F491" i="138"/>
  <c r="E491" i="138"/>
  <c r="G475" i="138"/>
  <c r="F475" i="138"/>
  <c r="E475" i="138"/>
  <c r="G458" i="138"/>
  <c r="F458" i="138"/>
  <c r="E458" i="138"/>
  <c r="G440" i="138"/>
  <c r="F440" i="138"/>
  <c r="E440" i="138"/>
  <c r="G428" i="138"/>
  <c r="F428" i="138"/>
  <c r="E428" i="138"/>
  <c r="G416" i="138"/>
  <c r="F416" i="138"/>
  <c r="E416" i="138"/>
  <c r="G392" i="138"/>
  <c r="F392" i="138"/>
  <c r="E392" i="138"/>
  <c r="G378" i="138"/>
  <c r="F378" i="138"/>
  <c r="E378" i="138"/>
  <c r="G367" i="138"/>
  <c r="F367" i="138"/>
  <c r="E367" i="138"/>
  <c r="G351" i="138"/>
  <c r="F351" i="138"/>
  <c r="E351" i="138"/>
  <c r="G338" i="138"/>
  <c r="F338" i="138"/>
  <c r="E338" i="138"/>
  <c r="G327" i="138"/>
  <c r="F327" i="138"/>
  <c r="E327" i="138"/>
  <c r="G316" i="138"/>
  <c r="F316" i="138"/>
  <c r="E316" i="138"/>
  <c r="F294" i="138"/>
  <c r="E294" i="138"/>
  <c r="G292" i="138"/>
  <c r="G294" i="138" s="1"/>
  <c r="G268" i="138"/>
  <c r="F268" i="138"/>
  <c r="E268" i="138"/>
  <c r="G227" i="138"/>
  <c r="F227" i="138"/>
  <c r="E227" i="138"/>
  <c r="G212" i="138"/>
  <c r="F212" i="138"/>
  <c r="E212" i="138"/>
  <c r="G194" i="138"/>
  <c r="F194" i="138"/>
  <c r="E194" i="138"/>
  <c r="G176" i="138"/>
  <c r="F176" i="138"/>
  <c r="E176" i="138"/>
  <c r="G161" i="138"/>
  <c r="F161" i="138"/>
  <c r="E161" i="138"/>
  <c r="G147" i="138"/>
  <c r="F147" i="138"/>
  <c r="E147" i="138"/>
  <c r="G133" i="138"/>
  <c r="F133" i="138"/>
  <c r="E133" i="138"/>
  <c r="G118" i="138"/>
  <c r="F118" i="138"/>
  <c r="E118" i="138"/>
  <c r="G104" i="138"/>
  <c r="F104" i="138"/>
  <c r="E104" i="138"/>
  <c r="G85" i="138"/>
  <c r="F85" i="138"/>
  <c r="E85" i="138"/>
  <c r="G67" i="138"/>
  <c r="F67" i="138"/>
  <c r="E67" i="138"/>
  <c r="G56" i="138"/>
  <c r="F56" i="138"/>
  <c r="E56" i="138"/>
  <c r="G24" i="138"/>
  <c r="F24" i="138"/>
  <c r="E24" i="138"/>
  <c r="G370" i="127" l="1"/>
  <c r="F370" i="127"/>
  <c r="E370" i="127"/>
  <c r="G359" i="127" l="1"/>
  <c r="G340" i="127"/>
  <c r="G318" i="127"/>
  <c r="G139" i="127"/>
  <c r="G119" i="127"/>
  <c r="G88" i="127"/>
  <c r="G72" i="127"/>
  <c r="G37" i="127"/>
  <c r="G20" i="127"/>
  <c r="F359" i="127"/>
  <c r="E359" i="127"/>
  <c r="F340" i="127"/>
  <c r="E340" i="127"/>
  <c r="F318" i="127"/>
  <c r="E318" i="127"/>
  <c r="F139" i="127"/>
  <c r="E139" i="127"/>
  <c r="F119" i="127"/>
  <c r="E119" i="127"/>
  <c r="F88" i="127"/>
  <c r="E88" i="127"/>
  <c r="F72" i="127"/>
  <c r="E72" i="127"/>
  <c r="F37" i="127"/>
  <c r="E37" i="127"/>
  <c r="F20" i="127"/>
  <c r="E20" i="127"/>
</calcChain>
</file>

<file path=xl/sharedStrings.xml><?xml version="1.0" encoding="utf-8"?>
<sst xmlns="http://schemas.openxmlformats.org/spreadsheetml/2006/main" count="15497" uniqueCount="13097">
  <si>
    <t>RE23A116</t>
  </si>
  <si>
    <t>RE23A117</t>
  </si>
  <si>
    <t>CE20A102/A2-618+</t>
  </si>
  <si>
    <t>RI15P101</t>
  </si>
  <si>
    <t>RI23A115</t>
  </si>
  <si>
    <t>RI24B101A</t>
  </si>
  <si>
    <t>RI24F101</t>
  </si>
  <si>
    <t>RI24E101</t>
  </si>
  <si>
    <t>RI24G101</t>
  </si>
  <si>
    <t>RI24H101</t>
  </si>
  <si>
    <t>RE11C134</t>
  </si>
  <si>
    <t>RE11H109</t>
  </si>
  <si>
    <t>RE19A118</t>
  </si>
  <si>
    <t>RE19A119</t>
  </si>
  <si>
    <t>RE19A120</t>
  </si>
  <si>
    <t>RE19A122</t>
  </si>
  <si>
    <t>RE21A107</t>
  </si>
  <si>
    <t>RE21B112</t>
  </si>
  <si>
    <t>RE21C117</t>
  </si>
  <si>
    <t>RE21C118</t>
  </si>
  <si>
    <t>RE21C119</t>
  </si>
  <si>
    <t>RE21C120</t>
  </si>
  <si>
    <t>RE21C121</t>
  </si>
  <si>
    <t>RE21C122</t>
  </si>
  <si>
    <t>RE21C123</t>
  </si>
  <si>
    <t>RE23D104</t>
  </si>
  <si>
    <t>RE23D105</t>
  </si>
  <si>
    <t>RE26B109</t>
  </si>
  <si>
    <t>CE17A205</t>
  </si>
  <si>
    <t>CE17A206</t>
  </si>
  <si>
    <t>CE19A112</t>
  </si>
  <si>
    <t>CE19A116</t>
  </si>
  <si>
    <t>CE19A117</t>
  </si>
  <si>
    <t>CE19A120</t>
  </si>
  <si>
    <t>CE19A121</t>
  </si>
  <si>
    <t>CE19A122</t>
  </si>
  <si>
    <t>CE19A123</t>
  </si>
  <si>
    <t>CE20A1242</t>
  </si>
  <si>
    <t>CE20A1243</t>
  </si>
  <si>
    <t>CE20C465</t>
  </si>
  <si>
    <t>CE20C466</t>
  </si>
  <si>
    <t>CE20C472</t>
  </si>
  <si>
    <t>CE20D173</t>
  </si>
  <si>
    <t>CE28A202</t>
  </si>
  <si>
    <t>CE28A203</t>
  </si>
  <si>
    <t>FE14B121</t>
  </si>
  <si>
    <t>FE14B122</t>
  </si>
  <si>
    <t>FE14C134</t>
  </si>
  <si>
    <t>FE14C135</t>
  </si>
  <si>
    <t>FE14C136</t>
  </si>
  <si>
    <t>FE17A103-25</t>
  </si>
  <si>
    <t>FE20P111</t>
  </si>
  <si>
    <t>FE20P112</t>
  </si>
  <si>
    <t>FE20P113</t>
  </si>
  <si>
    <t>FE20P114</t>
  </si>
  <si>
    <t>CE19A111</t>
  </si>
  <si>
    <t>CE12A264</t>
  </si>
  <si>
    <t>CE26A114</t>
  </si>
  <si>
    <t>RE11W###C</t>
  </si>
  <si>
    <t>RE11W###D</t>
  </si>
  <si>
    <t>XE12S307</t>
  </si>
  <si>
    <t xml:space="preserve"> </t>
  </si>
  <si>
    <t>RE20D103</t>
  </si>
  <si>
    <t>RE20E103</t>
  </si>
  <si>
    <t>CE22A109</t>
  </si>
  <si>
    <t>CE22A114#</t>
  </si>
  <si>
    <t>CE22A133</t>
  </si>
  <si>
    <t>FE14D101</t>
  </si>
  <si>
    <t>FE11A103</t>
  </si>
  <si>
    <t>FE11A104</t>
  </si>
  <si>
    <t>FE11A105</t>
  </si>
  <si>
    <t>FE11A106</t>
  </si>
  <si>
    <t>CE20C108</t>
  </si>
  <si>
    <t>CE20D169</t>
  </si>
  <si>
    <t>RI15A101</t>
  </si>
  <si>
    <t>RI15B101</t>
  </si>
  <si>
    <t>RI15C101</t>
  </si>
  <si>
    <t>C4</t>
  </si>
  <si>
    <t>CE11A</t>
  </si>
  <si>
    <t>CE17A</t>
  </si>
  <si>
    <t>CE20A</t>
  </si>
  <si>
    <t>CE20B</t>
  </si>
  <si>
    <t>CE20C</t>
  </si>
  <si>
    <t>CE20D</t>
  </si>
  <si>
    <t>CE22A</t>
  </si>
  <si>
    <t>CE24A</t>
  </si>
  <si>
    <t>CE26A</t>
  </si>
  <si>
    <t>CE27A</t>
  </si>
  <si>
    <t>RE53A101</t>
  </si>
  <si>
    <t>RI20A113</t>
  </si>
  <si>
    <t>RE25A103</t>
  </si>
  <si>
    <t>RE20B###E</t>
  </si>
  <si>
    <t>RI33A101</t>
  </si>
  <si>
    <t>XI12B101</t>
  </si>
  <si>
    <t>XI12C101</t>
  </si>
  <si>
    <t>FE20G101</t>
  </si>
  <si>
    <t>FE20H101</t>
  </si>
  <si>
    <t>FE20I101</t>
  </si>
  <si>
    <t>FE20K101</t>
  </si>
  <si>
    <t>FE20L101</t>
  </si>
  <si>
    <t>FE20M101</t>
  </si>
  <si>
    <t>FE20N101</t>
  </si>
  <si>
    <t>FE20P101</t>
  </si>
  <si>
    <t>FE20P103</t>
  </si>
  <si>
    <t>FE20P104</t>
  </si>
  <si>
    <t>FE20P106</t>
  </si>
  <si>
    <t>FE20P108</t>
  </si>
  <si>
    <t>FE20P109</t>
  </si>
  <si>
    <t>CE26A223</t>
  </si>
  <si>
    <t>CE20C406#</t>
  </si>
  <si>
    <t>CE19A</t>
  </si>
  <si>
    <t>RI20A114</t>
  </si>
  <si>
    <t>XE12S402</t>
  </si>
  <si>
    <t>XE12S403</t>
  </si>
  <si>
    <t>XE12S404</t>
  </si>
  <si>
    <t>XE12S405</t>
  </si>
  <si>
    <t>XE12S302</t>
  </si>
  <si>
    <t>XE12S303</t>
  </si>
  <si>
    <t>XE12S304</t>
  </si>
  <si>
    <t>XE12S305</t>
  </si>
  <si>
    <t>RE28F107</t>
  </si>
  <si>
    <t>RE29A101A</t>
  </si>
  <si>
    <t>CE17A192/J13-</t>
  </si>
  <si>
    <t>XI12C101A</t>
  </si>
  <si>
    <t>RI29D101</t>
  </si>
  <si>
    <t>RE11S101A</t>
  </si>
  <si>
    <t>RE11S101B</t>
  </si>
  <si>
    <t>RE11T101A</t>
  </si>
  <si>
    <t>RE11U101</t>
  </si>
  <si>
    <t>RE27A125</t>
  </si>
  <si>
    <t>RE13#126</t>
  </si>
  <si>
    <t>RE13#127</t>
  </si>
  <si>
    <t>XE12S102</t>
  </si>
  <si>
    <t>XE12S103</t>
  </si>
  <si>
    <t>XE12S104</t>
  </si>
  <si>
    <t>XE12S105</t>
  </si>
  <si>
    <t>XE12S107</t>
  </si>
  <si>
    <t>RI19B102</t>
  </si>
  <si>
    <t>RI19B103</t>
  </si>
  <si>
    <t>FE15A111</t>
  </si>
  <si>
    <t>RE29A103</t>
  </si>
  <si>
    <t>RE29A104</t>
  </si>
  <si>
    <t>RE29A105</t>
  </si>
  <si>
    <t>RE29A109</t>
  </si>
  <si>
    <t>RE51A101</t>
  </si>
  <si>
    <t>CE</t>
  </si>
  <si>
    <t>Total</t>
  </si>
  <si>
    <t>CE26A178</t>
  </si>
  <si>
    <t>RE20B###D</t>
  </si>
  <si>
    <t>RE11A104</t>
  </si>
  <si>
    <t>RE11A105</t>
  </si>
  <si>
    <t>RE11A106</t>
  </si>
  <si>
    <t>FE17A149-13</t>
  </si>
  <si>
    <t>XE12S407</t>
  </si>
  <si>
    <t>XE12R106</t>
  </si>
  <si>
    <t>RE11J104</t>
  </si>
  <si>
    <t>RI17H101</t>
  </si>
  <si>
    <t>XE23D105</t>
  </si>
  <si>
    <t>XE23D107</t>
  </si>
  <si>
    <t>RE11A169</t>
  </si>
  <si>
    <t>XE23D118L</t>
  </si>
  <si>
    <t>RE11L108</t>
  </si>
  <si>
    <t>CE20B101/T1-</t>
  </si>
  <si>
    <t>RE21B110</t>
  </si>
  <si>
    <t>RE21C101A</t>
  </si>
  <si>
    <t>RE11A102A</t>
  </si>
  <si>
    <t>RE11A103</t>
  </si>
  <si>
    <t>RE11A103A</t>
  </si>
  <si>
    <t>RE11A101A</t>
  </si>
  <si>
    <t>XE12L107</t>
  </si>
  <si>
    <t>RE19B101A</t>
  </si>
  <si>
    <t>RE19B102</t>
  </si>
  <si>
    <t>RE19B103</t>
  </si>
  <si>
    <t>CE20B108/T7-</t>
  </si>
  <si>
    <t>FE14E</t>
  </si>
  <si>
    <t>FE14E101</t>
  </si>
  <si>
    <t>FE17A103-2</t>
  </si>
  <si>
    <t>FE17A103-4</t>
  </si>
  <si>
    <t>FE17A103-12</t>
  </si>
  <si>
    <t>RI11H103R</t>
  </si>
  <si>
    <t>RI11H103S</t>
  </si>
  <si>
    <t>XE23A102A</t>
  </si>
  <si>
    <t>XE23A103</t>
  </si>
  <si>
    <t>CE20A102/A2-</t>
  </si>
  <si>
    <t>XE12R102</t>
  </si>
  <si>
    <t>XE12R103</t>
  </si>
  <si>
    <t>XE23C104</t>
  </si>
  <si>
    <t>XE23C105</t>
  </si>
  <si>
    <t>XE23C106</t>
  </si>
  <si>
    <t>XE23C107</t>
  </si>
  <si>
    <t>XE23C108</t>
  </si>
  <si>
    <t>XE23C109</t>
  </si>
  <si>
    <t>XE23C110</t>
  </si>
  <si>
    <t>XE23C111</t>
  </si>
  <si>
    <t>XE23C117</t>
  </si>
  <si>
    <t>XE23D101A</t>
  </si>
  <si>
    <t>XE23D102</t>
  </si>
  <si>
    <t>FE14C101</t>
  </si>
  <si>
    <t>FE14C108</t>
  </si>
  <si>
    <t>C5</t>
  </si>
  <si>
    <t>RI14A106</t>
  </si>
  <si>
    <t>RI14A109</t>
  </si>
  <si>
    <t>RI14A109A</t>
  </si>
  <si>
    <t>RI14A110</t>
  </si>
  <si>
    <t>RE11W###A</t>
  </si>
  <si>
    <t>RE11J101C</t>
  </si>
  <si>
    <t>RE11J102</t>
  </si>
  <si>
    <t>RE11J103</t>
  </si>
  <si>
    <t>RE11J101A</t>
  </si>
  <si>
    <t>RE45A101</t>
  </si>
  <si>
    <t>RE46A101</t>
  </si>
  <si>
    <t>RI21C101</t>
  </si>
  <si>
    <t>RI14A104</t>
  </si>
  <si>
    <t>CE12A381/J11-</t>
  </si>
  <si>
    <t>RI22D101</t>
  </si>
  <si>
    <t>RI23A101</t>
  </si>
  <si>
    <t>RI23A102</t>
  </si>
  <si>
    <t>RI23A103</t>
  </si>
  <si>
    <t>FE17A103-1</t>
  </si>
  <si>
    <t>FE17A113-6</t>
  </si>
  <si>
    <t>RI19A101</t>
  </si>
  <si>
    <t>RI15F101</t>
  </si>
  <si>
    <t>RE28B110</t>
  </si>
  <si>
    <t>RE28B111</t>
  </si>
  <si>
    <t>RE28C101A</t>
  </si>
  <si>
    <t>RE28C102</t>
  </si>
  <si>
    <t>RE28C103</t>
  </si>
  <si>
    <t>RE28C106</t>
  </si>
  <si>
    <t>RE28C107</t>
  </si>
  <si>
    <t>Primary Education</t>
  </si>
  <si>
    <t>Secondary Education</t>
  </si>
  <si>
    <t>CE22A605</t>
  </si>
  <si>
    <t>ZE16C101/PR1-</t>
  </si>
  <si>
    <t>RE11N101A</t>
  </si>
  <si>
    <t>code</t>
  </si>
  <si>
    <t>RE20B106</t>
  </si>
  <si>
    <t>RE20B107</t>
  </si>
  <si>
    <t>RE20B114</t>
  </si>
  <si>
    <t>RE20B115</t>
  </si>
  <si>
    <t>RE20B116</t>
  </si>
  <si>
    <t>ZE16B104#</t>
  </si>
  <si>
    <t>CE22A573</t>
  </si>
  <si>
    <t>RE23G102</t>
  </si>
  <si>
    <t>RE23G###A</t>
  </si>
  <si>
    <t>CE20A102#</t>
  </si>
  <si>
    <t>CE20A103#</t>
  </si>
  <si>
    <t>RI20A101</t>
  </si>
  <si>
    <t>RI20A102</t>
  </si>
  <si>
    <t>RI20A103</t>
  </si>
  <si>
    <t>FE14D118</t>
  </si>
  <si>
    <t>FE14A101#</t>
  </si>
  <si>
    <t>RE34A101</t>
  </si>
  <si>
    <t>RE35A101</t>
  </si>
  <si>
    <t>RE36A101</t>
  </si>
  <si>
    <t>RE37A101</t>
  </si>
  <si>
    <t>RE38A101</t>
  </si>
  <si>
    <t>RE19A109</t>
  </si>
  <si>
    <t>RE11H108</t>
  </si>
  <si>
    <t>RE26A103</t>
  </si>
  <si>
    <t>FE14B</t>
  </si>
  <si>
    <t>FE14C</t>
  </si>
  <si>
    <t>FE14D</t>
  </si>
  <si>
    <t>FE14</t>
  </si>
  <si>
    <t>FE15A101</t>
  </si>
  <si>
    <t>FE15A102</t>
  </si>
  <si>
    <t>FE15A103</t>
  </si>
  <si>
    <t>FE15A104</t>
  </si>
  <si>
    <t>FE14C116</t>
  </si>
  <si>
    <t>Laboratory Fee</t>
  </si>
  <si>
    <t>RE19A101A</t>
  </si>
  <si>
    <t>RE19A102</t>
  </si>
  <si>
    <t>RE19A103</t>
  </si>
  <si>
    <t>RE19A104</t>
  </si>
  <si>
    <t>RE19A107</t>
  </si>
  <si>
    <t>RI28A101</t>
  </si>
  <si>
    <t>RI28A102</t>
  </si>
  <si>
    <t>RI28A103</t>
  </si>
  <si>
    <t>RI11H103J</t>
  </si>
  <si>
    <t>RI11H103K</t>
  </si>
  <si>
    <t>XE12A101A</t>
  </si>
  <si>
    <t>XE12A101B</t>
  </si>
  <si>
    <t>*</t>
  </si>
  <si>
    <t>RE11L106</t>
  </si>
  <si>
    <t>RE11L107</t>
  </si>
  <si>
    <t>RE11M101A</t>
  </si>
  <si>
    <t>RE11M102</t>
  </si>
  <si>
    <t>RE11M103</t>
  </si>
  <si>
    <t>RE11M104</t>
  </si>
  <si>
    <t>RE11M105</t>
  </si>
  <si>
    <t>RE11M106</t>
  </si>
  <si>
    <t>RE14C101A</t>
  </si>
  <si>
    <t>RE14C102</t>
  </si>
  <si>
    <t>RE14C105</t>
  </si>
  <si>
    <t>RE14C107</t>
  </si>
  <si>
    <t>RE14C109</t>
  </si>
  <si>
    <t>RE14C110</t>
  </si>
  <si>
    <t>ZE16A115#</t>
  </si>
  <si>
    <t>CE13A215</t>
  </si>
  <si>
    <t>XE12A109</t>
  </si>
  <si>
    <t>XE12A112</t>
  </si>
  <si>
    <t>XE12A115</t>
  </si>
  <si>
    <t>XE12N108</t>
  </si>
  <si>
    <t>XE12N109</t>
  </si>
  <si>
    <t>XE23A###A</t>
  </si>
  <si>
    <t>XE23B101A</t>
  </si>
  <si>
    <t>RE21C116</t>
  </si>
  <si>
    <t>RE22A101A</t>
  </si>
  <si>
    <t>RE22A102</t>
  </si>
  <si>
    <t>FE11A102</t>
  </si>
  <si>
    <t>XE12P117</t>
  </si>
  <si>
    <t>RE11A121</t>
  </si>
  <si>
    <t>RE11A122</t>
  </si>
  <si>
    <t>RE11A123</t>
  </si>
  <si>
    <t>RE11A123A</t>
  </si>
  <si>
    <t>RE11A124A</t>
  </si>
  <si>
    <t>RE14C###A</t>
  </si>
  <si>
    <t>RE14D101A</t>
  </si>
  <si>
    <t>RE14D102</t>
  </si>
  <si>
    <t>ZE16D101#</t>
  </si>
  <si>
    <t>W6</t>
  </si>
  <si>
    <t>W7</t>
  </si>
  <si>
    <t>C6</t>
  </si>
  <si>
    <t>C7</t>
  </si>
  <si>
    <t>ZE16A</t>
  </si>
  <si>
    <t>ZE16B</t>
  </si>
  <si>
    <t>ZE16C</t>
  </si>
  <si>
    <t>ZE16D</t>
  </si>
  <si>
    <t>ZE Total</t>
  </si>
  <si>
    <t>CE22A362</t>
  </si>
  <si>
    <t>ZE16A106#</t>
  </si>
  <si>
    <t>RE28A115</t>
  </si>
  <si>
    <t>RE28A116</t>
  </si>
  <si>
    <t>RE28A120</t>
  </si>
  <si>
    <t>CE22A370/J9-</t>
  </si>
  <si>
    <t>RI20A107</t>
  </si>
  <si>
    <t>RI20A108</t>
  </si>
  <si>
    <t>RI20A109</t>
  </si>
  <si>
    <t>RE13#101A</t>
  </si>
  <si>
    <t>RE24A102</t>
  </si>
  <si>
    <t>RE24A103A</t>
  </si>
  <si>
    <t>CE20C436</t>
  </si>
  <si>
    <t>CE20C437</t>
  </si>
  <si>
    <t>CE20C335</t>
  </si>
  <si>
    <t>RI11C101</t>
  </si>
  <si>
    <t>RI11C102</t>
  </si>
  <si>
    <t>RI11C103</t>
  </si>
  <si>
    <t>RE21A104</t>
  </si>
  <si>
    <t>RE21A105</t>
  </si>
  <si>
    <t>RE21A106</t>
  </si>
  <si>
    <t>RE21B101A</t>
  </si>
  <si>
    <t>RE21B101B</t>
  </si>
  <si>
    <t>RE21B102</t>
  </si>
  <si>
    <t>RE21B103</t>
  </si>
  <si>
    <t>RE21B104</t>
  </si>
  <si>
    <t>RE21B106</t>
  </si>
  <si>
    <t>RE21B108</t>
  </si>
  <si>
    <t>FE17A149-3</t>
  </si>
  <si>
    <t>FE17A149-4</t>
  </si>
  <si>
    <t>XE12K101</t>
  </si>
  <si>
    <t>XE12M101</t>
  </si>
  <si>
    <t>XE12Z101</t>
  </si>
  <si>
    <t>XE12N101A</t>
  </si>
  <si>
    <t>RE11K103</t>
  </si>
  <si>
    <t>RE11F105</t>
  </si>
  <si>
    <t>RI15K101</t>
  </si>
  <si>
    <t>RI17A101</t>
  </si>
  <si>
    <t>RI17B101</t>
  </si>
  <si>
    <t>RI17C101</t>
  </si>
  <si>
    <t>RI17D101</t>
  </si>
  <si>
    <t>RE26B108</t>
  </si>
  <si>
    <t>RE28C108</t>
  </si>
  <si>
    <t>RI11B102</t>
  </si>
  <si>
    <t>RI11B108</t>
  </si>
  <si>
    <t>CE27A210#</t>
  </si>
  <si>
    <t>Family Planning</t>
  </si>
  <si>
    <t>RE11B101A</t>
  </si>
  <si>
    <t>RE11B102A</t>
  </si>
  <si>
    <t>RE28D101A</t>
  </si>
  <si>
    <t>RE28D102</t>
  </si>
  <si>
    <t>RE28D103</t>
  </si>
  <si>
    <t>RE28D105</t>
  </si>
  <si>
    <t>RE28D106</t>
  </si>
  <si>
    <t>RE28D107</t>
  </si>
  <si>
    <t>RE28D108</t>
  </si>
  <si>
    <t>RE28D109</t>
  </si>
  <si>
    <t>RE28F103</t>
  </si>
  <si>
    <t>RE28F104</t>
  </si>
  <si>
    <t>RE28F105</t>
  </si>
  <si>
    <t>RE43A101</t>
  </si>
  <si>
    <t>RE19A111</t>
  </si>
  <si>
    <t>RE19A113</t>
  </si>
  <si>
    <t>RE19A114</t>
  </si>
  <si>
    <t>RE19A116</t>
  </si>
  <si>
    <t>RE19A###A</t>
  </si>
  <si>
    <t>RE19A###C</t>
  </si>
  <si>
    <t>RI14A102</t>
  </si>
  <si>
    <t>XE23B103</t>
  </si>
  <si>
    <t>XE23B104</t>
  </si>
  <si>
    <t>XE23B105</t>
  </si>
  <si>
    <t>XE23B106</t>
  </si>
  <si>
    <t>XE23B107</t>
  </si>
  <si>
    <t>XE23B110</t>
  </si>
  <si>
    <t>XE23B112</t>
  </si>
  <si>
    <t>XE23B113</t>
  </si>
  <si>
    <t>XE23C101A</t>
  </si>
  <si>
    <t>XE23C102</t>
  </si>
  <si>
    <t>XE23C103</t>
  </si>
  <si>
    <t>FE17A177</t>
  </si>
  <si>
    <t>XE12R104</t>
  </si>
  <si>
    <t>XE12R105</t>
  </si>
  <si>
    <t>XE12X101</t>
  </si>
  <si>
    <t>RE11W###B</t>
  </si>
  <si>
    <t>RE11Z101</t>
  </si>
  <si>
    <t>RE11Y101</t>
  </si>
  <si>
    <t>RE11Y102</t>
  </si>
  <si>
    <t>RE12A101</t>
  </si>
  <si>
    <t>RE11P101</t>
  </si>
  <si>
    <t>RE11Q101A</t>
  </si>
  <si>
    <t>RE11Q102</t>
  </si>
  <si>
    <t>RE11Q103</t>
  </si>
  <si>
    <t>RE11R101</t>
  </si>
  <si>
    <t>RI11H102D</t>
  </si>
  <si>
    <t>RI11H102E</t>
  </si>
  <si>
    <t>RI11H102F</t>
  </si>
  <si>
    <t>CE20A103/A13-</t>
  </si>
  <si>
    <t>RE11A110</t>
  </si>
  <si>
    <t>RE11A111</t>
  </si>
  <si>
    <t>RE11A113</t>
  </si>
  <si>
    <t>RE11A114</t>
  </si>
  <si>
    <t>RE11A115</t>
  </si>
  <si>
    <t>RE11A116</t>
  </si>
  <si>
    <t>RE11A117</t>
  </si>
  <si>
    <t>RE11A118</t>
  </si>
  <si>
    <t>RE11A119</t>
  </si>
  <si>
    <t>RE11A120</t>
  </si>
  <si>
    <t>RI26B102</t>
  </si>
  <si>
    <t>RI26B102A</t>
  </si>
  <si>
    <t>RI26B102B</t>
  </si>
  <si>
    <t>RI26C101</t>
  </si>
  <si>
    <t>RI26D101</t>
  </si>
  <si>
    <t>RI23A104</t>
  </si>
  <si>
    <t>CE12A381#</t>
  </si>
  <si>
    <t>CE20A884#</t>
  </si>
  <si>
    <t>RE13#102</t>
  </si>
  <si>
    <t>RE13#103</t>
  </si>
  <si>
    <t>RE13#104</t>
  </si>
  <si>
    <t>RE13#105</t>
  </si>
  <si>
    <t>RE13#106</t>
  </si>
  <si>
    <t>RE13#107</t>
  </si>
  <si>
    <t>RE13#108</t>
  </si>
  <si>
    <t>RE13#109</t>
  </si>
  <si>
    <t>XE12N102</t>
  </si>
  <si>
    <t>XE12N103</t>
  </si>
  <si>
    <t>XE12N104</t>
  </si>
  <si>
    <t>RI28A108</t>
  </si>
  <si>
    <t>RI28B101</t>
  </si>
  <si>
    <t>RI28B103</t>
  </si>
  <si>
    <t>RI28B105</t>
  </si>
  <si>
    <t>RI28B102</t>
  </si>
  <si>
    <t>RI15D101</t>
  </si>
  <si>
    <t>RI28C101</t>
  </si>
  <si>
    <t>RI28C102</t>
  </si>
  <si>
    <t>RI28C103</t>
  </si>
  <si>
    <t>RI28C104</t>
  </si>
  <si>
    <t>RI28C105</t>
  </si>
  <si>
    <t>RI28C106</t>
  </si>
  <si>
    <t>RI28C107</t>
  </si>
  <si>
    <t>RI28D101</t>
  </si>
  <si>
    <t>RI28D102</t>
  </si>
  <si>
    <t>XI12A101</t>
  </si>
  <si>
    <t>RE11K101A</t>
  </si>
  <si>
    <t>RE11K102</t>
  </si>
  <si>
    <t>CE20A819#</t>
  </si>
  <si>
    <t>XE23A###B</t>
  </si>
  <si>
    <t>XE12A120</t>
  </si>
  <si>
    <t>XE12A###A</t>
  </si>
  <si>
    <t>XE12A103</t>
  </si>
  <si>
    <t>XE12A104</t>
  </si>
  <si>
    <t>XE12A105</t>
  </si>
  <si>
    <t>XE12A106</t>
  </si>
  <si>
    <t>XE12A107</t>
  </si>
  <si>
    <t>RI17I101</t>
  </si>
  <si>
    <t>RI18A101</t>
  </si>
  <si>
    <t>RI18A102</t>
  </si>
  <si>
    <t>XE12N105</t>
  </si>
  <si>
    <t>XE12N106</t>
  </si>
  <si>
    <t>RI15E101</t>
  </si>
  <si>
    <t>XE23D117</t>
  </si>
  <si>
    <t>XE23D118A</t>
  </si>
  <si>
    <t>RI18A103</t>
  </si>
  <si>
    <t>RE42A101</t>
  </si>
  <si>
    <t>RE28E108</t>
  </si>
  <si>
    <t>RE28E109</t>
  </si>
  <si>
    <t>RE28E110</t>
  </si>
  <si>
    <t>RE28E111</t>
  </si>
  <si>
    <t>RI14A103</t>
  </si>
  <si>
    <t>RI30E101</t>
  </si>
  <si>
    <t>CE28A160#</t>
  </si>
  <si>
    <t>XE23A101A</t>
  </si>
  <si>
    <t>CE22A590</t>
  </si>
  <si>
    <t>XI12S101</t>
  </si>
  <si>
    <t>RE11F107</t>
  </si>
  <si>
    <t>ZE16B113#</t>
  </si>
  <si>
    <t>RE32A101A</t>
  </si>
  <si>
    <t>RE32A101B</t>
  </si>
  <si>
    <t>RE32B101</t>
  </si>
  <si>
    <t>ward</t>
  </si>
  <si>
    <t>RI27A105</t>
  </si>
  <si>
    <t>RE23E102</t>
  </si>
  <si>
    <t>RE23F101A</t>
  </si>
  <si>
    <t>RE23G101A</t>
  </si>
  <si>
    <t>RE23C102</t>
  </si>
  <si>
    <t>RE23D101A</t>
  </si>
  <si>
    <t>RE23D102</t>
  </si>
  <si>
    <t>RE23D103</t>
  </si>
  <si>
    <t>RE23E101A</t>
  </si>
  <si>
    <t>RE21B109</t>
  </si>
  <si>
    <t>RE28C104</t>
  </si>
  <si>
    <t>RE28C105</t>
  </si>
  <si>
    <t>RE11B103</t>
  </si>
  <si>
    <t>RE11C101A</t>
  </si>
  <si>
    <t>FE14A</t>
  </si>
  <si>
    <t>XE12N118</t>
  </si>
  <si>
    <t>RE11C126A</t>
  </si>
  <si>
    <t>RE11C127A</t>
  </si>
  <si>
    <t>RE11C129C</t>
  </si>
  <si>
    <t>RE11C131A</t>
  </si>
  <si>
    <t>RE11C132A</t>
  </si>
  <si>
    <t>RE11C133</t>
  </si>
  <si>
    <t>RE21C115</t>
  </si>
  <si>
    <t>RI35A101</t>
  </si>
  <si>
    <t>RE24A104</t>
  </si>
  <si>
    <t>RE24A105</t>
  </si>
  <si>
    <t>RE24A106</t>
  </si>
  <si>
    <t>RE24A107</t>
  </si>
  <si>
    <t>RE24A109</t>
  </si>
  <si>
    <t>RE24A110</t>
  </si>
  <si>
    <t>RE25A101A</t>
  </si>
  <si>
    <t>RE25A102</t>
  </si>
  <si>
    <t>RE25B101A</t>
  </si>
  <si>
    <t>FE38A101</t>
  </si>
  <si>
    <t>FE38A103</t>
  </si>
  <si>
    <t>CE20A883#</t>
  </si>
  <si>
    <t>RI28D106</t>
  </si>
  <si>
    <t>RI28D109</t>
  </si>
  <si>
    <t>RE20B###B</t>
  </si>
  <si>
    <t>RE20B###C</t>
  </si>
  <si>
    <t>RI30A101</t>
  </si>
  <si>
    <t>RI30B101</t>
  </si>
  <si>
    <t>RE26A104</t>
  </si>
  <si>
    <t>RE26A105</t>
  </si>
  <si>
    <t>RE26A106</t>
  </si>
  <si>
    <t>RE26A107</t>
  </si>
  <si>
    <t>RE26A108</t>
  </si>
  <si>
    <t>RE26A109</t>
  </si>
  <si>
    <t>RE26B101A</t>
  </si>
  <si>
    <t>RE26B102</t>
  </si>
  <si>
    <t>RE26B103</t>
  </si>
  <si>
    <t>RE26B104</t>
  </si>
  <si>
    <t>RE26B105</t>
  </si>
  <si>
    <t>RE26B106</t>
  </si>
  <si>
    <t>RE13#124</t>
  </si>
  <si>
    <t>RE13#125</t>
  </si>
  <si>
    <t>RE14A101A</t>
  </si>
  <si>
    <t>RE14A102A</t>
  </si>
  <si>
    <t>RE14A103</t>
  </si>
  <si>
    <t>RI11H103A</t>
  </si>
  <si>
    <t>RI11H103B</t>
  </si>
  <si>
    <t>RI11H103C</t>
  </si>
  <si>
    <t>RI11H103D</t>
  </si>
  <si>
    <t>RI27A101</t>
  </si>
  <si>
    <t>RI27A102</t>
  </si>
  <si>
    <t>RI27A103</t>
  </si>
  <si>
    <t>RI27A104</t>
  </si>
  <si>
    <t>RE11C151</t>
  </si>
  <si>
    <t>RE11C152</t>
  </si>
  <si>
    <t>RE21C104A</t>
  </si>
  <si>
    <t>XE23D118B</t>
  </si>
  <si>
    <t>XE23D118C</t>
  </si>
  <si>
    <t>XE23D118D</t>
  </si>
  <si>
    <t>XE23D118E</t>
  </si>
  <si>
    <t>XE23D118F</t>
  </si>
  <si>
    <t>XE23D118G</t>
  </si>
  <si>
    <t>XE23D118H</t>
  </si>
  <si>
    <t>XE23D118I</t>
  </si>
  <si>
    <t>XE23D118J</t>
  </si>
  <si>
    <t>XE23D118K</t>
  </si>
  <si>
    <t>XE23E101</t>
  </si>
  <si>
    <t>XE23F101</t>
  </si>
  <si>
    <t>XE23G101</t>
  </si>
  <si>
    <t>XE23H101</t>
  </si>
  <si>
    <t>XE23J101</t>
  </si>
  <si>
    <t>XE23K101</t>
  </si>
  <si>
    <t>XE23Z101</t>
  </si>
  <si>
    <t>XE23X101</t>
  </si>
  <si>
    <t>CE26A351</t>
  </si>
  <si>
    <t>RE61A101</t>
  </si>
  <si>
    <t>B</t>
  </si>
  <si>
    <t>G</t>
  </si>
  <si>
    <t>FE14A104</t>
  </si>
  <si>
    <t>FE14A105#</t>
  </si>
  <si>
    <t>FE14A107</t>
  </si>
  <si>
    <t>FE14A118#</t>
  </si>
  <si>
    <t>RI26A101G</t>
  </si>
  <si>
    <t>RI26B101</t>
  </si>
  <si>
    <t>CE28A</t>
  </si>
  <si>
    <t>CE29A</t>
  </si>
  <si>
    <t>CE12A</t>
  </si>
  <si>
    <t>CE13A</t>
  </si>
  <si>
    <t>CE29A229#</t>
  </si>
  <si>
    <t>W2</t>
  </si>
  <si>
    <t>W1</t>
  </si>
  <si>
    <t>W4</t>
  </si>
  <si>
    <t>C2</t>
  </si>
  <si>
    <t>C1</t>
  </si>
  <si>
    <t>CE26A336#</t>
  </si>
  <si>
    <t>XE23D108</t>
  </si>
  <si>
    <t>XE23D111</t>
  </si>
  <si>
    <t>XE23D112</t>
  </si>
  <si>
    <t>XE23D113</t>
  </si>
  <si>
    <t>XE23D114</t>
  </si>
  <si>
    <t>XE23A###C</t>
  </si>
  <si>
    <t>RE11C128</t>
  </si>
  <si>
    <t>RE11C129</t>
  </si>
  <si>
    <t>RI24C101</t>
  </si>
  <si>
    <t>RE63A101</t>
  </si>
  <si>
    <t>RE11C108</t>
  </si>
  <si>
    <t>RE11C109</t>
  </si>
  <si>
    <t>RE11C118</t>
  </si>
  <si>
    <t>FE15A105</t>
  </si>
  <si>
    <t>FE15A106</t>
  </si>
  <si>
    <t>FE15A107</t>
  </si>
  <si>
    <t>FE15A108</t>
  </si>
  <si>
    <t>FE20A101A</t>
  </si>
  <si>
    <t>FE20A102A</t>
  </si>
  <si>
    <t>CE20A1195#</t>
  </si>
  <si>
    <t>CE20A1196#</t>
  </si>
  <si>
    <t>RI28E101</t>
  </si>
  <si>
    <t>RI28E102</t>
  </si>
  <si>
    <t>RI12A101</t>
  </si>
  <si>
    <t>RI28E103</t>
  </si>
  <si>
    <t>RI29A101</t>
  </si>
  <si>
    <t>FE14B101</t>
  </si>
  <si>
    <t>FE14B112</t>
  </si>
  <si>
    <t>FE14B113</t>
  </si>
  <si>
    <t>RE28E106</t>
  </si>
  <si>
    <t>RE28E107</t>
  </si>
  <si>
    <t>RE28E102</t>
  </si>
  <si>
    <t>RE28E103</t>
  </si>
  <si>
    <t>RE28E104</t>
  </si>
  <si>
    <t>RE28E105</t>
  </si>
  <si>
    <t>XI12L101</t>
  </si>
  <si>
    <t>XI12M101</t>
  </si>
  <si>
    <t>XI12R101</t>
  </si>
  <si>
    <t>RE20C103</t>
  </si>
  <si>
    <t>RE20C107</t>
  </si>
  <si>
    <t>RE20C108</t>
  </si>
  <si>
    <t>RE20C###A</t>
  </si>
  <si>
    <t>XE12B101A</t>
  </si>
  <si>
    <t>XE12B102</t>
  </si>
  <si>
    <t>XE12B107</t>
  </si>
  <si>
    <t>XE12B111</t>
  </si>
  <si>
    <t>XE12B112</t>
  </si>
  <si>
    <t>XE12B###A</t>
  </si>
  <si>
    <t>XE12C101</t>
  </si>
  <si>
    <t>XE12C103</t>
  </si>
  <si>
    <t>XE12C104</t>
  </si>
  <si>
    <t>RI22A101</t>
  </si>
  <si>
    <t>RI22A102</t>
  </si>
  <si>
    <t>RI22A103</t>
  </si>
  <si>
    <t>RI22A104</t>
  </si>
  <si>
    <t>CE20C411</t>
  </si>
  <si>
    <t>RE64A101</t>
  </si>
  <si>
    <t>RE65A101</t>
  </si>
  <si>
    <t>RE66A101</t>
  </si>
  <si>
    <t>RI23A111</t>
  </si>
  <si>
    <t>RI23B101</t>
  </si>
  <si>
    <t>RI24A101</t>
  </si>
  <si>
    <t>RI24B101</t>
  </si>
  <si>
    <t>XE12A123</t>
  </si>
  <si>
    <t>FE14A121#</t>
  </si>
  <si>
    <t>W5</t>
  </si>
  <si>
    <t>CE20C106</t>
  </si>
  <si>
    <t>CE20C118#</t>
  </si>
  <si>
    <t>RI15G101</t>
  </si>
  <si>
    <t>RI15H101</t>
  </si>
  <si>
    <t>RE11D101A</t>
  </si>
  <si>
    <t>RE11D102A</t>
  </si>
  <si>
    <t>RE11D103</t>
  </si>
  <si>
    <t>RE11D126A</t>
  </si>
  <si>
    <t>RE11D127</t>
  </si>
  <si>
    <t>RE11D128A</t>
  </si>
  <si>
    <t>RE11D129</t>
  </si>
  <si>
    <t>RE11E101A</t>
  </si>
  <si>
    <t>RE11E102A</t>
  </si>
  <si>
    <t>RE11E103</t>
  </si>
  <si>
    <t>RE11F101A</t>
  </si>
  <si>
    <t>RE11F102</t>
  </si>
  <si>
    <t>RE11F103</t>
  </si>
  <si>
    <t>RE11F104</t>
  </si>
  <si>
    <t>CE28A160/J16-</t>
  </si>
  <si>
    <t>CE22A370#</t>
  </si>
  <si>
    <t>CE29A229/J14-</t>
  </si>
  <si>
    <t>RE25B102</t>
  </si>
  <si>
    <t>RE25B103</t>
  </si>
  <si>
    <t>RE25B105</t>
  </si>
  <si>
    <t>RE25B106</t>
  </si>
  <si>
    <t>RE25C101A</t>
  </si>
  <si>
    <t>RE25C102</t>
  </si>
  <si>
    <t>RE25C104</t>
  </si>
  <si>
    <t>RE26A101A</t>
  </si>
  <si>
    <t>RE26A102</t>
  </si>
  <si>
    <t>RI20A111</t>
  </si>
  <si>
    <t>CE20B102/T2-</t>
  </si>
  <si>
    <t>RE11A124D</t>
  </si>
  <si>
    <t>RE11A124G</t>
  </si>
  <si>
    <t>RE11A124H</t>
  </si>
  <si>
    <t>RE11A125</t>
  </si>
  <si>
    <t>RE11A126</t>
  </si>
  <si>
    <t>RE11A127</t>
  </si>
  <si>
    <t>RE11A128</t>
  </si>
  <si>
    <t>RE11A139</t>
  </si>
  <si>
    <t>RE11A143</t>
  </si>
  <si>
    <t>RE28C109</t>
  </si>
  <si>
    <t>XE12P118E</t>
  </si>
  <si>
    <t>XE12P118F</t>
  </si>
  <si>
    <t>XE12P118G</t>
  </si>
  <si>
    <t>XE12L101A</t>
  </si>
  <si>
    <t>XE12L102</t>
  </si>
  <si>
    <t>FE20C101</t>
  </si>
  <si>
    <t>FE20C102</t>
  </si>
  <si>
    <t>CE22A547#</t>
  </si>
  <si>
    <t>CE22A548#</t>
  </si>
  <si>
    <t>XE12P110</t>
  </si>
  <si>
    <t>XE12L108</t>
  </si>
  <si>
    <t>XE12Q101A</t>
  </si>
  <si>
    <t>RE28C110</t>
  </si>
  <si>
    <t>RE11K106</t>
  </si>
  <si>
    <t>RE11K107</t>
  </si>
  <si>
    <t>RE11L101A</t>
  </si>
  <si>
    <t>RE11L102</t>
  </si>
  <si>
    <t>RE11L103</t>
  </si>
  <si>
    <t>RE11L104</t>
  </si>
  <si>
    <t>RE11L105</t>
  </si>
  <si>
    <t>RE33C102</t>
  </si>
  <si>
    <t>RE33D101</t>
  </si>
  <si>
    <t>RE13#110</t>
  </si>
  <si>
    <t>RE13#111</t>
  </si>
  <si>
    <t>RE13#123</t>
  </si>
  <si>
    <t>XI12Q101</t>
  </si>
  <si>
    <t>XI12Q102</t>
  </si>
  <si>
    <t>RE11F106</t>
  </si>
  <si>
    <t>RE11G101A</t>
  </si>
  <si>
    <t>ZE16A107#</t>
  </si>
  <si>
    <t>FE11A101</t>
  </si>
  <si>
    <t>•</t>
  </si>
  <si>
    <t>RE19C###A</t>
  </si>
  <si>
    <t>RE19D###A</t>
  </si>
  <si>
    <t>RE19E###A</t>
  </si>
  <si>
    <t>RE20A101A</t>
  </si>
  <si>
    <t>RE20A102A</t>
  </si>
  <si>
    <t>RE20A103A</t>
  </si>
  <si>
    <t>RE20A###A</t>
  </si>
  <si>
    <t>RE20B101A</t>
  </si>
  <si>
    <t>RE20B103</t>
  </si>
  <si>
    <t>RE20B104</t>
  </si>
  <si>
    <t>XE12P###A</t>
  </si>
  <si>
    <t>XE12P118C</t>
  </si>
  <si>
    <t>XE12P118D</t>
  </si>
  <si>
    <t>RE19B###A</t>
  </si>
  <si>
    <t>RE19C101A</t>
  </si>
  <si>
    <t>XE41X101</t>
  </si>
  <si>
    <t>XE41X102</t>
  </si>
  <si>
    <t>CE22A458#</t>
  </si>
  <si>
    <t>ZE16A117#</t>
  </si>
  <si>
    <t>#+</t>
  </si>
  <si>
    <t>FE17A114-6</t>
  </si>
  <si>
    <t>FE17A124</t>
  </si>
  <si>
    <t>FE17A146</t>
  </si>
  <si>
    <t>CE22A386</t>
  </si>
  <si>
    <t>RE28B101A</t>
  </si>
  <si>
    <t>RE28B102</t>
  </si>
  <si>
    <t>RE28B104</t>
  </si>
  <si>
    <t>RE28B105</t>
  </si>
  <si>
    <t>RE28B106</t>
  </si>
  <si>
    <t>RE28B107</t>
  </si>
  <si>
    <t>RE28B108</t>
  </si>
  <si>
    <t>RE28B109</t>
  </si>
  <si>
    <t>FE15A110</t>
  </si>
  <si>
    <t>RE11A142</t>
  </si>
  <si>
    <t>RI25A101</t>
  </si>
  <si>
    <t>RI25A102</t>
  </si>
  <si>
    <t>RI25A103</t>
  </si>
  <si>
    <t>RI25A104</t>
  </si>
  <si>
    <t>RI25A105</t>
  </si>
  <si>
    <t>RI25A106</t>
  </si>
  <si>
    <t>RI25B101</t>
  </si>
  <si>
    <t>RI26A101A</t>
  </si>
  <si>
    <t>RI26A101B</t>
  </si>
  <si>
    <t>RE28C113</t>
  </si>
  <si>
    <t>RE14A110</t>
  </si>
  <si>
    <t>RE14B101A</t>
  </si>
  <si>
    <t>RI22A105</t>
  </si>
  <si>
    <t>RI22B101</t>
  </si>
  <si>
    <t>RI22B102</t>
  </si>
  <si>
    <t>RI22C101</t>
  </si>
  <si>
    <t>RE20C###C</t>
  </si>
  <si>
    <t>RE21A102</t>
  </si>
  <si>
    <t>RE21A103</t>
  </si>
  <si>
    <t>XE12L103</t>
  </si>
  <si>
    <t>XE12L104</t>
  </si>
  <si>
    <t>XE12L105</t>
  </si>
  <si>
    <t>RI14A101</t>
  </si>
  <si>
    <t>RI36A101</t>
  </si>
  <si>
    <t>RI37A101</t>
  </si>
  <si>
    <t>XE12N120</t>
  </si>
  <si>
    <t>XE12N121</t>
  </si>
  <si>
    <t>XE12N###A</t>
  </si>
  <si>
    <t>XE12P101A</t>
  </si>
  <si>
    <t>XE12P102</t>
  </si>
  <si>
    <t>XE12P103</t>
  </si>
  <si>
    <t>XE12P104</t>
  </si>
  <si>
    <t>XE12P106</t>
  </si>
  <si>
    <t>FE20C107</t>
  </si>
  <si>
    <t>FE20C108</t>
  </si>
  <si>
    <t>FE20D101</t>
  </si>
  <si>
    <t>FE20Q101</t>
  </si>
  <si>
    <t>FE20E101</t>
  </si>
  <si>
    <t>RE11G103</t>
  </si>
  <si>
    <t>RE11G104</t>
  </si>
  <si>
    <t>RE11G105</t>
  </si>
  <si>
    <t>RE11G106</t>
  </si>
  <si>
    <t>RE11G107</t>
  </si>
  <si>
    <t>RE11H101A</t>
  </si>
  <si>
    <t>RI13A101#</t>
  </si>
  <si>
    <t>RI13A102#</t>
  </si>
  <si>
    <t>RI13A103#</t>
  </si>
  <si>
    <t>RI13A104#</t>
  </si>
  <si>
    <t>RI13A105#</t>
  </si>
  <si>
    <t>RI11H103L</t>
  </si>
  <si>
    <t>RI28A107</t>
  </si>
  <si>
    <t>RE23C101A</t>
  </si>
  <si>
    <t>XE12F101</t>
  </si>
  <si>
    <t>XE12G101</t>
  </si>
  <si>
    <t>XE12H101</t>
  </si>
  <si>
    <t>XE12I101</t>
  </si>
  <si>
    <t>RE28A109</t>
  </si>
  <si>
    <t>RE28A110</t>
  </si>
  <si>
    <t>RE28A111</t>
  </si>
  <si>
    <t>RE28A112</t>
  </si>
  <si>
    <t>RE28A113</t>
  </si>
  <si>
    <t>RE28A114</t>
  </si>
  <si>
    <t>RI15I101</t>
  </si>
  <si>
    <t>RI11H103N</t>
  </si>
  <si>
    <t>RI11H103P</t>
  </si>
  <si>
    <t>RI11H103Q</t>
  </si>
  <si>
    <t>CE17A192#</t>
  </si>
  <si>
    <t>RI11H103E</t>
  </si>
  <si>
    <t>RI11H103F</t>
  </si>
  <si>
    <t>RI11H103I</t>
  </si>
  <si>
    <t>RI30C101</t>
  </si>
  <si>
    <t>RI30D101</t>
  </si>
  <si>
    <t>L</t>
  </si>
  <si>
    <t>P</t>
  </si>
  <si>
    <t>CE28A190</t>
  </si>
  <si>
    <t>CE28A193</t>
  </si>
  <si>
    <t>RE28D110</t>
  </si>
  <si>
    <t>RE28D111</t>
  </si>
  <si>
    <t>RE28D112</t>
  </si>
  <si>
    <t>RE28D113</t>
  </si>
  <si>
    <t>RE24A101A</t>
  </si>
  <si>
    <t>RE58A101</t>
  </si>
  <si>
    <t>RE58A101B</t>
  </si>
  <si>
    <t>RE11H102</t>
  </si>
  <si>
    <t>RE11H103</t>
  </si>
  <si>
    <t>RE11H104</t>
  </si>
  <si>
    <t>RE33C101</t>
  </si>
  <si>
    <t>RE20C105</t>
  </si>
  <si>
    <t>RE20C106</t>
  </si>
  <si>
    <t>FE14C117</t>
  </si>
  <si>
    <t>FE14C118</t>
  </si>
  <si>
    <t>CE20C352#</t>
  </si>
  <si>
    <t>FE20C103</t>
  </si>
  <si>
    <t>FE20C104</t>
  </si>
  <si>
    <t>FE20C105</t>
  </si>
  <si>
    <t>FE20C106</t>
  </si>
  <si>
    <t>RI28A104</t>
  </si>
  <si>
    <t>RI28A105</t>
  </si>
  <si>
    <t>RI28A106</t>
  </si>
  <si>
    <t>RE11N102</t>
  </si>
  <si>
    <t>RE28D116</t>
  </si>
  <si>
    <t>XI23D101</t>
  </si>
  <si>
    <t>XI23F101</t>
  </si>
  <si>
    <t>CE20D161</t>
  </si>
  <si>
    <t>RE27A103</t>
  </si>
  <si>
    <t>RE27A104</t>
  </si>
  <si>
    <t>RE27A105</t>
  </si>
  <si>
    <t>RE27A106</t>
  </si>
  <si>
    <t>RE27A107</t>
  </si>
  <si>
    <t>Balance</t>
  </si>
  <si>
    <t>CE20C423</t>
  </si>
  <si>
    <t>RE22C102</t>
  </si>
  <si>
    <t>RE22C###B</t>
  </si>
  <si>
    <t>RE22C###C</t>
  </si>
  <si>
    <t>RE23A101A</t>
  </si>
  <si>
    <t>RE21C104B</t>
  </si>
  <si>
    <t>RE21C105</t>
  </si>
  <si>
    <t>RE21C106</t>
  </si>
  <si>
    <t>RE21C107</t>
  </si>
  <si>
    <t>RE21C108</t>
  </si>
  <si>
    <t>RE21C109</t>
  </si>
  <si>
    <t>RE21C110</t>
  </si>
  <si>
    <t>RE21C111</t>
  </si>
  <si>
    <t>RE21C112</t>
  </si>
  <si>
    <t>RE21C113</t>
  </si>
  <si>
    <t>RE21C114</t>
  </si>
  <si>
    <t>RE20B###F</t>
  </si>
  <si>
    <t>RE20C101A</t>
  </si>
  <si>
    <t>RE20C102</t>
  </si>
  <si>
    <t>RE20C109</t>
  </si>
  <si>
    <t>FE38A108</t>
  </si>
  <si>
    <t>FE48A101</t>
  </si>
  <si>
    <t>CE20A176#</t>
  </si>
  <si>
    <t>FE31A101</t>
  </si>
  <si>
    <t>Description</t>
  </si>
  <si>
    <t>XE12R101</t>
  </si>
  <si>
    <t>RE11N103</t>
  </si>
  <si>
    <t>XI23C101</t>
  </si>
  <si>
    <t>RE27A110</t>
  </si>
  <si>
    <t>RE27A111</t>
  </si>
  <si>
    <t>RE27A112</t>
  </si>
  <si>
    <t>RE27A113</t>
  </si>
  <si>
    <t>RE27A115</t>
  </si>
  <si>
    <t>RE27A117</t>
  </si>
  <si>
    <t>RE27A119</t>
  </si>
  <si>
    <t>RE27A120</t>
  </si>
  <si>
    <t>RE27A121</t>
  </si>
  <si>
    <t>RE27B103</t>
  </si>
  <si>
    <t>RE27C101A</t>
  </si>
  <si>
    <t>RE27C102</t>
  </si>
  <si>
    <t>RE27C103</t>
  </si>
  <si>
    <t>RE28A101A</t>
  </si>
  <si>
    <t>RE28A102</t>
  </si>
  <si>
    <t>RE28A103</t>
  </si>
  <si>
    <t>RE28A104</t>
  </si>
  <si>
    <t>RE28A105</t>
  </si>
  <si>
    <t>RE28A106</t>
  </si>
  <si>
    <t>RE28A107</t>
  </si>
  <si>
    <t>RE28A108</t>
  </si>
  <si>
    <t>XE12N117</t>
  </si>
  <si>
    <t>RE13#113</t>
  </si>
  <si>
    <t>RE13#114</t>
  </si>
  <si>
    <t>RE13#115</t>
  </si>
  <si>
    <t>RE13#117</t>
  </si>
  <si>
    <t>RE13#118</t>
  </si>
  <si>
    <t>RE13#119</t>
  </si>
  <si>
    <t>RE13#121</t>
  </si>
  <si>
    <t>RE13#122</t>
  </si>
  <si>
    <t>RE22A104A</t>
  </si>
  <si>
    <t>RE22A104B</t>
  </si>
  <si>
    <t>RE11C102A</t>
  </si>
  <si>
    <t>RE23A102A</t>
  </si>
  <si>
    <t>RE23A103</t>
  </si>
  <si>
    <t>RE23A104</t>
  </si>
  <si>
    <t>RE23A105</t>
  </si>
  <si>
    <t>RE23A106</t>
  </si>
  <si>
    <t>RE23B101A</t>
  </si>
  <si>
    <t>FE20P115</t>
  </si>
  <si>
    <t>RI19A104</t>
  </si>
  <si>
    <t>RE33A101</t>
  </si>
  <si>
    <t>RE33A102</t>
  </si>
  <si>
    <t>RE33A103</t>
  </si>
  <si>
    <t>RE33A105</t>
  </si>
  <si>
    <t>RE33A106</t>
  </si>
  <si>
    <t>RE33B101</t>
  </si>
  <si>
    <t>RE33B102</t>
  </si>
  <si>
    <t>RE23B106</t>
  </si>
  <si>
    <t>RI11A101</t>
  </si>
  <si>
    <t>RI11A102</t>
  </si>
  <si>
    <t>RI11A103</t>
  </si>
  <si>
    <t>RI11A104</t>
  </si>
  <si>
    <t>RI11B101</t>
  </si>
  <si>
    <t>RI11B105</t>
  </si>
  <si>
    <t>RE28F106</t>
  </si>
  <si>
    <t>RE22A107A</t>
  </si>
  <si>
    <t>RE22A107B</t>
  </si>
  <si>
    <t>RE22A107C</t>
  </si>
  <si>
    <t>RE22A108</t>
  </si>
  <si>
    <t>RE22A109</t>
  </si>
  <si>
    <t>RE22B101</t>
  </si>
  <si>
    <t>RE22B103</t>
  </si>
  <si>
    <t>RE22C101A</t>
  </si>
  <si>
    <t>XI23A101</t>
  </si>
  <si>
    <t>RI19A102</t>
  </si>
  <si>
    <t>RI19A103</t>
  </si>
  <si>
    <t>RI11D101</t>
  </si>
  <si>
    <t>RI11E101</t>
  </si>
  <si>
    <t>RE23B102</t>
  </si>
  <si>
    <t>RE23B103</t>
  </si>
  <si>
    <t>RE23B104</t>
  </si>
  <si>
    <t>RE23B105</t>
  </si>
  <si>
    <t>FE11A102A</t>
  </si>
  <si>
    <t>CE27A232</t>
  </si>
  <si>
    <t>XI12C101B</t>
  </si>
  <si>
    <t>XI12D101</t>
  </si>
  <si>
    <t>XI12E101</t>
  </si>
  <si>
    <t>XI12F101</t>
  </si>
  <si>
    <t>XI12G101</t>
  </si>
  <si>
    <t>XI12H101</t>
  </si>
  <si>
    <t>XI12K101</t>
  </si>
  <si>
    <t>CE20B213#</t>
  </si>
  <si>
    <t>CE20B101#</t>
  </si>
  <si>
    <t>CE20B102#</t>
  </si>
  <si>
    <t>ZE16B130#</t>
  </si>
  <si>
    <t>ZE16C101#</t>
  </si>
  <si>
    <t>CE22A548/J10-</t>
  </si>
  <si>
    <t>RE11C103A</t>
  </si>
  <si>
    <t>RE11C104</t>
  </si>
  <si>
    <t>RE11C106</t>
  </si>
  <si>
    <t>RE23A112</t>
  </si>
  <si>
    <t>RE21C102A</t>
  </si>
  <si>
    <t>RE21C103A</t>
  </si>
  <si>
    <t>RI11H101</t>
  </si>
  <si>
    <t>RI11H102A</t>
  </si>
  <si>
    <t>RE28C111</t>
  </si>
  <si>
    <t>RE28C112</t>
  </si>
  <si>
    <t>CE13A128#</t>
  </si>
  <si>
    <t>CE20D170#</t>
  </si>
  <si>
    <t>RI45A101</t>
  </si>
  <si>
    <t>Water Supply</t>
  </si>
  <si>
    <t>XE12Q102</t>
  </si>
  <si>
    <t>XE12Q103</t>
  </si>
  <si>
    <t>XE12Q104</t>
  </si>
  <si>
    <t>XE12Q105</t>
  </si>
  <si>
    <t>XE12Q107</t>
  </si>
  <si>
    <t>XE12Q108</t>
  </si>
  <si>
    <t>RI23A114</t>
  </si>
  <si>
    <t>RI15N101</t>
  </si>
  <si>
    <t>RI11H102B</t>
  </si>
  <si>
    <t>RE27A101A</t>
  </si>
  <si>
    <t>RE27A102</t>
  </si>
  <si>
    <t>RE28B113</t>
  </si>
  <si>
    <t>RE28B114</t>
  </si>
  <si>
    <t>RE14A112</t>
  </si>
  <si>
    <t>RE68A101</t>
  </si>
  <si>
    <t>BPL</t>
  </si>
  <si>
    <t>PL</t>
  </si>
  <si>
    <t>RE23A118</t>
  </si>
  <si>
    <t>RE19A###D</t>
  </si>
  <si>
    <t>RI11H102C</t>
  </si>
  <si>
    <t>CE26A228</t>
  </si>
  <si>
    <t>RI11B103</t>
  </si>
  <si>
    <t>FE61A111</t>
  </si>
  <si>
    <t>CE20C352/B5-</t>
  </si>
  <si>
    <t>139</t>
  </si>
  <si>
    <t>RE11A123B</t>
  </si>
  <si>
    <t>RE11A123C</t>
  </si>
  <si>
    <t>RE11G108</t>
  </si>
  <si>
    <t>RE11L110</t>
  </si>
  <si>
    <t>CE28A206</t>
  </si>
  <si>
    <t>CE28A211</t>
  </si>
  <si>
    <t>FE11A107</t>
  </si>
  <si>
    <t>FE11A108</t>
  </si>
  <si>
    <t>FE14C138</t>
  </si>
  <si>
    <t>FE17A190</t>
  </si>
  <si>
    <t>BL</t>
  </si>
  <si>
    <t>ZE16C101/PR1-522+</t>
  </si>
  <si>
    <t>ZE16C101/PR1-531+</t>
  </si>
  <si>
    <t>ZE16C101/PR1-539+</t>
  </si>
  <si>
    <t>CE20A1249#</t>
  </si>
  <si>
    <t>CE20A1250#</t>
  </si>
  <si>
    <t>CE20A1249/A6-</t>
  </si>
  <si>
    <t>RE20B120#</t>
  </si>
  <si>
    <t>CE26A336/U1-</t>
  </si>
  <si>
    <t>RE26A117</t>
  </si>
  <si>
    <t>RE20B121#</t>
  </si>
  <si>
    <t>RE11F108</t>
  </si>
  <si>
    <t>àH$ënr` aŠH$_</t>
  </si>
  <si>
    <t>RI14A117</t>
  </si>
  <si>
    <t>CE20E</t>
  </si>
  <si>
    <t>RE20B###A</t>
  </si>
  <si>
    <t>RE14B###A</t>
  </si>
  <si>
    <t>RI11H102G</t>
  </si>
  <si>
    <t>XE12A126</t>
  </si>
  <si>
    <t>XE12A127</t>
  </si>
  <si>
    <t>XE12A128</t>
  </si>
  <si>
    <t>XE12B113</t>
  </si>
  <si>
    <t>XE12B114</t>
  </si>
  <si>
    <t>XE12N123</t>
  </si>
  <si>
    <t>XE12N124</t>
  </si>
  <si>
    <t>XE12P119</t>
  </si>
  <si>
    <t>XE12P120</t>
  </si>
  <si>
    <t>XE12P121</t>
  </si>
  <si>
    <t>XE12P122</t>
  </si>
  <si>
    <t>XE12L109</t>
  </si>
  <si>
    <t>XE12L110</t>
  </si>
  <si>
    <t>XE12Q109</t>
  </si>
  <si>
    <t>XE12S108</t>
  </si>
  <si>
    <t>XE12S308</t>
  </si>
  <si>
    <t>XE12S408</t>
  </si>
  <si>
    <t>XE12S502</t>
  </si>
  <si>
    <t>XE12S503</t>
  </si>
  <si>
    <t>XE12S504</t>
  </si>
  <si>
    <t>XE12S505</t>
  </si>
  <si>
    <t>XE12S602</t>
  </si>
  <si>
    <t>XE12S603</t>
  </si>
  <si>
    <t>XE12S604</t>
  </si>
  <si>
    <t>XE12S605</t>
  </si>
  <si>
    <t>XE23A###D</t>
  </si>
  <si>
    <t>XE23A###E</t>
  </si>
  <si>
    <t>XE23A###F</t>
  </si>
  <si>
    <t>XE23A###G</t>
  </si>
  <si>
    <t>XE23D118M</t>
  </si>
  <si>
    <t>RE11F109</t>
  </si>
  <si>
    <t>RE11D127B</t>
  </si>
  <si>
    <t>RE11D127C</t>
  </si>
  <si>
    <t>RE11D127D</t>
  </si>
  <si>
    <t>RE11D127E</t>
  </si>
  <si>
    <t>RE11H113</t>
  </si>
  <si>
    <t>RE11G109</t>
  </si>
  <si>
    <t>RE11J106</t>
  </si>
  <si>
    <t>RE11J107</t>
  </si>
  <si>
    <t>RE11J108</t>
  </si>
  <si>
    <t>RE11J109</t>
  </si>
  <si>
    <t>RE14B###B</t>
  </si>
  <si>
    <t>RE14B###C</t>
  </si>
  <si>
    <t>RE14B###D</t>
  </si>
  <si>
    <t>RE14B###E</t>
  </si>
  <si>
    <t>RE19A###E</t>
  </si>
  <si>
    <t>RE20B###G</t>
  </si>
  <si>
    <t>RE20B###H</t>
  </si>
  <si>
    <t>RE20B###J</t>
  </si>
  <si>
    <t>RE20B###K</t>
  </si>
  <si>
    <t>RE20B###L</t>
  </si>
  <si>
    <t>RE20B###M</t>
  </si>
  <si>
    <t>RE20B###N</t>
  </si>
  <si>
    <t>RE20B###P</t>
  </si>
  <si>
    <t>RE20C###D</t>
  </si>
  <si>
    <t>RE21C124</t>
  </si>
  <si>
    <t>RE22A102B</t>
  </si>
  <si>
    <t>RE22B104</t>
  </si>
  <si>
    <t>RE22B105</t>
  </si>
  <si>
    <t>RE22B106</t>
  </si>
  <si>
    <t>RE22B107</t>
  </si>
  <si>
    <t>RE22B109</t>
  </si>
  <si>
    <t>RE22C###D</t>
  </si>
  <si>
    <t>RE22C###E</t>
  </si>
  <si>
    <t>RE24A111</t>
  </si>
  <si>
    <t>RE26B111</t>
  </si>
  <si>
    <t>RE26B112</t>
  </si>
  <si>
    <t>RE26E101</t>
  </si>
  <si>
    <t>RE26E102</t>
  </si>
  <si>
    <t>RE26E103</t>
  </si>
  <si>
    <t>RE26E104</t>
  </si>
  <si>
    <t>RE26E105</t>
  </si>
  <si>
    <t>RE28A123</t>
  </si>
  <si>
    <t>RE17D102</t>
  </si>
  <si>
    <t>RE17D103</t>
  </si>
  <si>
    <t>RE17D107</t>
  </si>
  <si>
    <t>RE17D109</t>
  </si>
  <si>
    <t>RE17D110</t>
  </si>
  <si>
    <t>RE17D111</t>
  </si>
  <si>
    <t>RE17D113</t>
  </si>
  <si>
    <t>RE17D114</t>
  </si>
  <si>
    <t>RE17D115</t>
  </si>
  <si>
    <t>RE17D116</t>
  </si>
  <si>
    <t>RE17E101</t>
  </si>
  <si>
    <t>RE17E104</t>
  </si>
  <si>
    <t>RE17F102</t>
  </si>
  <si>
    <t>RE17F103</t>
  </si>
  <si>
    <t>RE17F104</t>
  </si>
  <si>
    <t>RE17F105</t>
  </si>
  <si>
    <t>RE17F106</t>
  </si>
  <si>
    <t>RE17F107</t>
  </si>
  <si>
    <t>RE17F108</t>
  </si>
  <si>
    <t>RE17F109</t>
  </si>
  <si>
    <t>RE17F112</t>
  </si>
  <si>
    <t>RE17F113</t>
  </si>
  <si>
    <t>RE17F114</t>
  </si>
  <si>
    <t>RE17F115A</t>
  </si>
  <si>
    <t>RE17F116</t>
  </si>
  <si>
    <t>RE17F117</t>
  </si>
  <si>
    <t>RE17F119</t>
  </si>
  <si>
    <t>RE17F120</t>
  </si>
  <si>
    <t>RE17F122</t>
  </si>
  <si>
    <t>RE17F123</t>
  </si>
  <si>
    <t>RE17F132</t>
  </si>
  <si>
    <t>RE17F133</t>
  </si>
  <si>
    <t>RE17F134</t>
  </si>
  <si>
    <t>RE17F135</t>
  </si>
  <si>
    <t>RE17F136</t>
  </si>
  <si>
    <t>RE17F137</t>
  </si>
  <si>
    <t>RE17F138</t>
  </si>
  <si>
    <t>RE17F139</t>
  </si>
  <si>
    <t>RE17F140</t>
  </si>
  <si>
    <t>RE17F141</t>
  </si>
  <si>
    <t>RE17F142</t>
  </si>
  <si>
    <t>RE17F143</t>
  </si>
  <si>
    <t>RE17F144</t>
  </si>
  <si>
    <t>RE17F145</t>
  </si>
  <si>
    <t>RE17F147</t>
  </si>
  <si>
    <t>RE17F152</t>
  </si>
  <si>
    <t>RE17F153A</t>
  </si>
  <si>
    <t>RE17F153B</t>
  </si>
  <si>
    <t>RE17F153C</t>
  </si>
  <si>
    <t>RE17F153D</t>
  </si>
  <si>
    <t>RE17F154</t>
  </si>
  <si>
    <t>RE17F155</t>
  </si>
  <si>
    <t>RE17F156</t>
  </si>
  <si>
    <t>RE17F162</t>
  </si>
  <si>
    <t>RE17F163</t>
  </si>
  <si>
    <t>RE17F164</t>
  </si>
  <si>
    <t>RE17F165</t>
  </si>
  <si>
    <t>RE17F166</t>
  </si>
  <si>
    <t>RE17F167</t>
  </si>
  <si>
    <t>RE17F###A</t>
  </si>
  <si>
    <t>RE17D101A</t>
  </si>
  <si>
    <t>RE17D104A</t>
  </si>
  <si>
    <t>RE17D105A</t>
  </si>
  <si>
    <t>RE17D106A</t>
  </si>
  <si>
    <t>RE17D108A</t>
  </si>
  <si>
    <t>RE17D112A</t>
  </si>
  <si>
    <t>RE17F101A</t>
  </si>
  <si>
    <t>RE17F110A</t>
  </si>
  <si>
    <t>RE17F111A</t>
  </si>
  <si>
    <t>RE17F118A</t>
  </si>
  <si>
    <t>RE17F121A</t>
  </si>
  <si>
    <t>RE17F131A</t>
  </si>
  <si>
    <t>RE17F148A</t>
  </si>
  <si>
    <t>RE17F151A</t>
  </si>
  <si>
    <t>RE17F161A</t>
  </si>
  <si>
    <t>RE19A124</t>
  </si>
  <si>
    <t>RE19A125</t>
  </si>
  <si>
    <t>RE11H114</t>
  </si>
  <si>
    <t>RE25B###B</t>
  </si>
  <si>
    <t>RE25B###C</t>
  </si>
  <si>
    <t>RE11D130</t>
  </si>
  <si>
    <t>CE11A122</t>
  </si>
  <si>
    <t>CE12A400</t>
  </si>
  <si>
    <t>CE17A209</t>
  </si>
  <si>
    <t>CE17A217</t>
  </si>
  <si>
    <t>CE17A218</t>
  </si>
  <si>
    <t>CE19A139</t>
  </si>
  <si>
    <t>CE19A140</t>
  </si>
  <si>
    <t>CE19A141</t>
  </si>
  <si>
    <t>CE19A142</t>
  </si>
  <si>
    <t>CE19A143</t>
  </si>
  <si>
    <t>CE20C482</t>
  </si>
  <si>
    <t>CE20C484</t>
  </si>
  <si>
    <t>CE22A630</t>
  </si>
  <si>
    <t>CE22A631</t>
  </si>
  <si>
    <t>CE22A642</t>
  </si>
  <si>
    <t>CE22A644</t>
  </si>
  <si>
    <t>CE26A375</t>
  </si>
  <si>
    <t>CE26A377</t>
  </si>
  <si>
    <t>CE26A380</t>
  </si>
  <si>
    <t>CE26A381</t>
  </si>
  <si>
    <t>CE28A213</t>
  </si>
  <si>
    <t>CE29A236</t>
  </si>
  <si>
    <t>CE29A239</t>
  </si>
  <si>
    <t>FE14A129</t>
  </si>
  <si>
    <t>FE14A130</t>
  </si>
  <si>
    <t>FE14B123</t>
  </si>
  <si>
    <t>FE14C139</t>
  </si>
  <si>
    <t>FE14C140</t>
  </si>
  <si>
    <t>FE14C142</t>
  </si>
  <si>
    <t>FE14C143</t>
  </si>
  <si>
    <t>FE20P116</t>
  </si>
  <si>
    <t>CE20A1242+</t>
  </si>
  <si>
    <t>Signal Free Roads</t>
  </si>
  <si>
    <t>RE11D131</t>
  </si>
  <si>
    <t>RE13#130</t>
  </si>
  <si>
    <t>RE13#131</t>
  </si>
  <si>
    <t>RE17D117</t>
  </si>
  <si>
    <t>RE23A120</t>
  </si>
  <si>
    <t>RE28A124</t>
  </si>
  <si>
    <t>RE23A121</t>
  </si>
  <si>
    <t>RE23A122</t>
  </si>
  <si>
    <t>FE61A119</t>
  </si>
  <si>
    <t>CE12A411</t>
  </si>
  <si>
    <t>CE22A646#</t>
  </si>
  <si>
    <t>CE22A647</t>
  </si>
  <si>
    <t>CE17A227#</t>
  </si>
  <si>
    <t>CE20D188</t>
  </si>
  <si>
    <t>CE19A144</t>
  </si>
  <si>
    <t>FE11A109</t>
  </si>
  <si>
    <t>CE17A230</t>
  </si>
  <si>
    <t>CE20B251</t>
  </si>
  <si>
    <t>FE17A107-22</t>
  </si>
  <si>
    <t>RE35A101A</t>
  </si>
  <si>
    <t>RE20C110</t>
  </si>
  <si>
    <t>RI11H103T</t>
  </si>
  <si>
    <t>RI59A101</t>
  </si>
  <si>
    <t>FE15A112</t>
  </si>
  <si>
    <t>RI27A106</t>
  </si>
  <si>
    <t>ZE16A107/P8-</t>
  </si>
  <si>
    <t>RI11E107</t>
  </si>
  <si>
    <t>RE11D127F</t>
  </si>
  <si>
    <t>RE11L113</t>
  </si>
  <si>
    <t>RE11L114</t>
  </si>
  <si>
    <t>RE11L115</t>
  </si>
  <si>
    <t>RE11Q105</t>
  </si>
  <si>
    <t>RE13#133</t>
  </si>
  <si>
    <t>RE17E105</t>
  </si>
  <si>
    <t>RE17F147B</t>
  </si>
  <si>
    <t>RE19A129</t>
  </si>
  <si>
    <t>RE19A130</t>
  </si>
  <si>
    <t>RE20C111</t>
  </si>
  <si>
    <t>RE21C126</t>
  </si>
  <si>
    <t>RE21C127</t>
  </si>
  <si>
    <t>RE21C128</t>
  </si>
  <si>
    <t>RE26A118</t>
  </si>
  <si>
    <t>RE26E106</t>
  </si>
  <si>
    <t>RE32A101C</t>
  </si>
  <si>
    <t>ZE16A103/P1-125+</t>
  </si>
  <si>
    <t>ZE16A103/P1-126+</t>
  </si>
  <si>
    <t>ZE16C101/PR1-623+</t>
  </si>
  <si>
    <t>ZE16C101/PR1-624+</t>
  </si>
  <si>
    <t>ZE16C101/PR1-625+</t>
  </si>
  <si>
    <t>ZE16C101/PR1-643+</t>
  </si>
  <si>
    <t>RE17F153E</t>
  </si>
  <si>
    <t>RI15Q101</t>
  </si>
  <si>
    <t>RE22C301/W4-#</t>
  </si>
  <si>
    <t>RE14B301/W5-#</t>
  </si>
  <si>
    <t>RE20A301/W2-#</t>
  </si>
  <si>
    <t>RE20C301/W1-#</t>
  </si>
  <si>
    <t>RE14B302/C5-#</t>
  </si>
  <si>
    <t>RE20A302/C2-#</t>
  </si>
  <si>
    <t>RE20C302/C1-#</t>
  </si>
  <si>
    <t>RE22C302/C4-#</t>
  </si>
  <si>
    <t>XE23A301/W7-#</t>
  </si>
  <si>
    <t>XE23A302/C7-#</t>
  </si>
  <si>
    <t>XE12B301/W6-#</t>
  </si>
  <si>
    <t>XE12B302/C6-#</t>
  </si>
  <si>
    <t>CE12A412</t>
  </si>
  <si>
    <t>CE12A413</t>
  </si>
  <si>
    <t>CE12A414</t>
  </si>
  <si>
    <t>CE17A232</t>
  </si>
  <si>
    <t>CE19A152</t>
  </si>
  <si>
    <t>CE19A153</t>
  </si>
  <si>
    <t>CE20A1252</t>
  </si>
  <si>
    <t>CE20C509</t>
  </si>
  <si>
    <t>CE20C510</t>
  </si>
  <si>
    <t>CE20D200</t>
  </si>
  <si>
    <t>CE20D201</t>
  </si>
  <si>
    <t>CE20D203</t>
  </si>
  <si>
    <t>CE20D206</t>
  </si>
  <si>
    <t>CE22A652</t>
  </si>
  <si>
    <t>CE22A653</t>
  </si>
  <si>
    <t>CE22A655</t>
  </si>
  <si>
    <t>CE26A388</t>
  </si>
  <si>
    <t>CE26A389</t>
  </si>
  <si>
    <t>FE11A110</t>
  </si>
  <si>
    <t>FE17A114-9</t>
  </si>
  <si>
    <t>FE17A150</t>
  </si>
  <si>
    <t>FE17A198</t>
  </si>
  <si>
    <t>FE14C146</t>
  </si>
  <si>
    <t>FE14C147</t>
  </si>
  <si>
    <t>FE61A118/A-135</t>
  </si>
  <si>
    <t>FE61A118/A-136</t>
  </si>
  <si>
    <t>FE61A118/B-101</t>
  </si>
  <si>
    <t>FE61A118/B-105</t>
  </si>
  <si>
    <t>FE61A118/C-112</t>
  </si>
  <si>
    <t>CE19A154#</t>
  </si>
  <si>
    <t>RE11L116</t>
  </si>
  <si>
    <t>RE11L117</t>
  </si>
  <si>
    <t>RE13#135</t>
  </si>
  <si>
    <t>RE19A132A</t>
  </si>
  <si>
    <t>RE19A132B</t>
  </si>
  <si>
    <t>RE19A132C</t>
  </si>
  <si>
    <t>RE19A132D</t>
  </si>
  <si>
    <t>RE26E107</t>
  </si>
  <si>
    <t>RE27A151</t>
  </si>
  <si>
    <t>RE27A153</t>
  </si>
  <si>
    <t>RE27A154</t>
  </si>
  <si>
    <t>XE12A129</t>
  </si>
  <si>
    <t>FE17A208</t>
  </si>
  <si>
    <t>RI26D102</t>
  </si>
  <si>
    <t>XE12N125</t>
  </si>
  <si>
    <t>FE15A113</t>
  </si>
  <si>
    <t>FE15A114</t>
  </si>
  <si>
    <t>RI23A116</t>
  </si>
  <si>
    <t>RI11E122</t>
  </si>
  <si>
    <t>FE61A118#</t>
  </si>
  <si>
    <t>RI26D103</t>
  </si>
  <si>
    <t>RI30F101</t>
  </si>
  <si>
    <t>RE11A255</t>
  </si>
  <si>
    <t>RE11C135</t>
  </si>
  <si>
    <t>RE11C141</t>
  </si>
  <si>
    <t>RE11C142</t>
  </si>
  <si>
    <t>RE11C143</t>
  </si>
  <si>
    <t>RE11C144</t>
  </si>
  <si>
    <t>RE11G110</t>
  </si>
  <si>
    <t>RE11L115A</t>
  </si>
  <si>
    <t>RE11W###E</t>
  </si>
  <si>
    <t>RE13#136</t>
  </si>
  <si>
    <t>RE13#137</t>
  </si>
  <si>
    <t>RE17E106</t>
  </si>
  <si>
    <t>RE17F105A</t>
  </si>
  <si>
    <t>RE17F147C</t>
  </si>
  <si>
    <t>RE17F147D</t>
  </si>
  <si>
    <t>RE17F147F</t>
  </si>
  <si>
    <t>RE17F147G</t>
  </si>
  <si>
    <t>RE17F147H</t>
  </si>
  <si>
    <t>RE17F147J</t>
  </si>
  <si>
    <t>RE17F158</t>
  </si>
  <si>
    <t>RE17F183</t>
  </si>
  <si>
    <t>RE17F184</t>
  </si>
  <si>
    <t>RE19A133</t>
  </si>
  <si>
    <t>RE19A134</t>
  </si>
  <si>
    <t>RE19A135</t>
  </si>
  <si>
    <t>RE19A136</t>
  </si>
  <si>
    <t>RE19A137</t>
  </si>
  <si>
    <t>RE19A139</t>
  </si>
  <si>
    <t>RE20D104</t>
  </si>
  <si>
    <t>RE20F103</t>
  </si>
  <si>
    <t>RE21B113</t>
  </si>
  <si>
    <t>RE21C129</t>
  </si>
  <si>
    <t>RE21C130</t>
  </si>
  <si>
    <t>RE21C131</t>
  </si>
  <si>
    <t>RE21C132</t>
  </si>
  <si>
    <t>RE21C133</t>
  </si>
  <si>
    <t>RE21C134</t>
  </si>
  <si>
    <t>RE21C135</t>
  </si>
  <si>
    <t>RE21C136</t>
  </si>
  <si>
    <t>RE22A110</t>
  </si>
  <si>
    <t>RE22A111</t>
  </si>
  <si>
    <t>RE23A123</t>
  </si>
  <si>
    <t>RE23A124</t>
  </si>
  <si>
    <t>RE23A125</t>
  </si>
  <si>
    <t>RE27D102</t>
  </si>
  <si>
    <t>RE27D103</t>
  </si>
  <si>
    <t>RE27D104</t>
  </si>
  <si>
    <t>RE27D105</t>
  </si>
  <si>
    <t>RE27D106</t>
  </si>
  <si>
    <t>RE27D107</t>
  </si>
  <si>
    <t>RE27D108</t>
  </si>
  <si>
    <t>RE27D109</t>
  </si>
  <si>
    <t>RE27D110</t>
  </si>
  <si>
    <t>RE27D112</t>
  </si>
  <si>
    <t>RE27D113</t>
  </si>
  <si>
    <t>RE27D114</t>
  </si>
  <si>
    <t>RE28A134</t>
  </si>
  <si>
    <t>RE28G102</t>
  </si>
  <si>
    <t>RE28G104</t>
  </si>
  <si>
    <t>RE28G105</t>
  </si>
  <si>
    <t>RE28G106</t>
  </si>
  <si>
    <t>RE28G107</t>
  </si>
  <si>
    <t>RE28G108</t>
  </si>
  <si>
    <t>RE28G109</t>
  </si>
  <si>
    <t>RE28G110</t>
  </si>
  <si>
    <t>RE28G111</t>
  </si>
  <si>
    <t>RE28G113</t>
  </si>
  <si>
    <t>RE28G114</t>
  </si>
  <si>
    <t>RE28H102</t>
  </si>
  <si>
    <t>RE28H103</t>
  </si>
  <si>
    <t>RE28H104</t>
  </si>
  <si>
    <t>RE28H105</t>
  </si>
  <si>
    <t>RE28H106</t>
  </si>
  <si>
    <t>RE28H107</t>
  </si>
  <si>
    <t>RE28H108</t>
  </si>
  <si>
    <t>RE28H110</t>
  </si>
  <si>
    <t>RE28H111</t>
  </si>
  <si>
    <t>RE28H112</t>
  </si>
  <si>
    <t>FE61A118/A-142</t>
  </si>
  <si>
    <t>FE61A123</t>
  </si>
  <si>
    <t>FE61A127</t>
  </si>
  <si>
    <t>CE12A415</t>
  </si>
  <si>
    <t>CE12A417</t>
  </si>
  <si>
    <t>CE17A233</t>
  </si>
  <si>
    <t>CE17A234</t>
  </si>
  <si>
    <t>CE17A235</t>
  </si>
  <si>
    <t>CE19A155</t>
  </si>
  <si>
    <t>CE19A156</t>
  </si>
  <si>
    <t>CE19A157</t>
  </si>
  <si>
    <t>CE19A158</t>
  </si>
  <si>
    <t>CE19A159</t>
  </si>
  <si>
    <t>CE19A160</t>
  </si>
  <si>
    <t>CE20B262</t>
  </si>
  <si>
    <t>CE20B263</t>
  </si>
  <si>
    <t>CE20C517</t>
  </si>
  <si>
    <t>CE22A657</t>
  </si>
  <si>
    <t>CE22A660</t>
  </si>
  <si>
    <t>CE24A130</t>
  </si>
  <si>
    <t>FE14C155</t>
  </si>
  <si>
    <t>FE14C156</t>
  </si>
  <si>
    <t>FE14D121</t>
  </si>
  <si>
    <t>FE17A209</t>
  </si>
  <si>
    <t>FE17A211</t>
  </si>
  <si>
    <t>FE17A212</t>
  </si>
  <si>
    <t>FE17A213</t>
  </si>
  <si>
    <t>FE17A214</t>
  </si>
  <si>
    <t>FE17A215</t>
  </si>
  <si>
    <t>FE17A216</t>
  </si>
  <si>
    <t>FE17A217</t>
  </si>
  <si>
    <t>CE17A192/S25-165+</t>
  </si>
  <si>
    <t>CE17A192/S25-174+</t>
  </si>
  <si>
    <t>CE20A102/A2-1109+</t>
  </si>
  <si>
    <t>CE20A1252+</t>
  </si>
  <si>
    <t>XE12R107</t>
  </si>
  <si>
    <t>XE23A109</t>
  </si>
  <si>
    <t>ZE16A104A/P2-648+</t>
  </si>
  <si>
    <t>ZE16A104A/P2-632+</t>
  </si>
  <si>
    <t>RE21A103A</t>
  </si>
  <si>
    <t>FE17A219</t>
  </si>
  <si>
    <t>CE24A133</t>
  </si>
  <si>
    <t>FE14C160</t>
  </si>
  <si>
    <t>XE12A130</t>
  </si>
  <si>
    <t>XE12A131</t>
  </si>
  <si>
    <t>XE12S507</t>
  </si>
  <si>
    <t>XE12S508</t>
  </si>
  <si>
    <t>RI20A108A</t>
  </si>
  <si>
    <t>RI11H103U</t>
  </si>
  <si>
    <t>RI65A101</t>
  </si>
  <si>
    <t>RE28F102</t>
  </si>
  <si>
    <t>ZE16A104A/P2-727+</t>
  </si>
  <si>
    <t>ZE16A104A/P2-742+</t>
  </si>
  <si>
    <t>ZE16A104A/S5-1175+</t>
  </si>
  <si>
    <t>ZE16C101/PR1-754+</t>
  </si>
  <si>
    <t>ZE16C101/PR1-756+</t>
  </si>
  <si>
    <t>ZE16C101/PR1-758+</t>
  </si>
  <si>
    <t>CE26A336/S27-742+</t>
  </si>
  <si>
    <t>CE12A381/S23-436+</t>
  </si>
  <si>
    <t>CE12A381/S23-501+</t>
  </si>
  <si>
    <t>XE23D119</t>
  </si>
  <si>
    <t>RI11B201</t>
  </si>
  <si>
    <t>RI11B202</t>
  </si>
  <si>
    <t>RI11B203</t>
  </si>
  <si>
    <t>RI11B204</t>
  </si>
  <si>
    <t>RE11H151</t>
  </si>
  <si>
    <t>RI11B202A</t>
  </si>
  <si>
    <t>RI11B202B</t>
  </si>
  <si>
    <t>RI11B202C</t>
  </si>
  <si>
    <t>RI11B202D</t>
  </si>
  <si>
    <t>RI11B202E</t>
  </si>
  <si>
    <t>RI11B206</t>
  </si>
  <si>
    <t>RI11B205</t>
  </si>
  <si>
    <t>RI11B207</t>
  </si>
  <si>
    <t>RI11B251</t>
  </si>
  <si>
    <t>RI25A107</t>
  </si>
  <si>
    <t>RE11H152</t>
  </si>
  <si>
    <t>RE11H153</t>
  </si>
  <si>
    <t>RE11H154</t>
  </si>
  <si>
    <t>RE11H155</t>
  </si>
  <si>
    <t>RE11H156</t>
  </si>
  <si>
    <t>RE11A265</t>
  </si>
  <si>
    <t>RE11D132</t>
  </si>
  <si>
    <t>RE17F140B</t>
  </si>
  <si>
    <t>RE17F147N</t>
  </si>
  <si>
    <t>RE17F147P</t>
  </si>
  <si>
    <t>RE17F187</t>
  </si>
  <si>
    <t>RE19A141</t>
  </si>
  <si>
    <t>RE20C112</t>
  </si>
  <si>
    <t>RE22B111</t>
  </si>
  <si>
    <t>RE23A127</t>
  </si>
  <si>
    <t>RE25B108</t>
  </si>
  <si>
    <t>RE25B109</t>
  </si>
  <si>
    <t>RE28J102</t>
  </si>
  <si>
    <t>RE28J103</t>
  </si>
  <si>
    <t>RE28J104</t>
  </si>
  <si>
    <t>RE28J106</t>
  </si>
  <si>
    <t>RE28J107</t>
  </si>
  <si>
    <t>RE28J108</t>
  </si>
  <si>
    <t>RE28J109</t>
  </si>
  <si>
    <t>RE28J110</t>
  </si>
  <si>
    <t>RE28J111</t>
  </si>
  <si>
    <t>RE28J112</t>
  </si>
  <si>
    <t>RE28K102</t>
  </si>
  <si>
    <t>RE28K103</t>
  </si>
  <si>
    <t>RE28K105</t>
  </si>
  <si>
    <t>RE28K106</t>
  </si>
  <si>
    <t>RE28K107</t>
  </si>
  <si>
    <t>RE28K108</t>
  </si>
  <si>
    <t>RE28K110</t>
  </si>
  <si>
    <t>RE28K111</t>
  </si>
  <si>
    <t>RE28K112</t>
  </si>
  <si>
    <t>RE28L102</t>
  </si>
  <si>
    <t>RE28L103</t>
  </si>
  <si>
    <t>RE28L104</t>
  </si>
  <si>
    <t>RE28L105</t>
  </si>
  <si>
    <t>RE28L106</t>
  </si>
  <si>
    <t>RE28L107</t>
  </si>
  <si>
    <t>RE28L108</t>
  </si>
  <si>
    <t>RE28L109</t>
  </si>
  <si>
    <t>RE28L110</t>
  </si>
  <si>
    <t>RE28L111</t>
  </si>
  <si>
    <t>RE28L112</t>
  </si>
  <si>
    <t>RE28M102</t>
  </si>
  <si>
    <t>RE28M103</t>
  </si>
  <si>
    <t>RE28M104</t>
  </si>
  <si>
    <t>RE28M105</t>
  </si>
  <si>
    <t>RE28M106</t>
  </si>
  <si>
    <t>RE28M107</t>
  </si>
  <si>
    <t>RE28M108</t>
  </si>
  <si>
    <t>RE28M109</t>
  </si>
  <si>
    <t>RE28M110</t>
  </si>
  <si>
    <t>RE28M111</t>
  </si>
  <si>
    <t>RE28M112</t>
  </si>
  <si>
    <t>RE28G103</t>
  </si>
  <si>
    <t>RE28G112</t>
  </si>
  <si>
    <t>RE28H109</t>
  </si>
  <si>
    <t>RE28H113</t>
  </si>
  <si>
    <t>FE49A104</t>
  </si>
  <si>
    <t>FE49A105</t>
  </si>
  <si>
    <t>FE61A118/A-143</t>
  </si>
  <si>
    <t>FE61A118/A-144</t>
  </si>
  <si>
    <t>FE61A118/A-145</t>
  </si>
  <si>
    <t>CE12A419</t>
  </si>
  <si>
    <t>CE12A420</t>
  </si>
  <si>
    <t>CE12A421</t>
  </si>
  <si>
    <t>CE17A236</t>
  </si>
  <si>
    <t>CE17A237</t>
  </si>
  <si>
    <t>CE20C531</t>
  </si>
  <si>
    <t>CE20C532</t>
  </si>
  <si>
    <t>CE22A666</t>
  </si>
  <si>
    <t>CE22A667</t>
  </si>
  <si>
    <t>CE22A668</t>
  </si>
  <si>
    <t>CE22A669</t>
  </si>
  <si>
    <t>CE22A672</t>
  </si>
  <si>
    <t>CE22A678</t>
  </si>
  <si>
    <t>CE24A134</t>
  </si>
  <si>
    <t>CE26A392</t>
  </si>
  <si>
    <t>CE26A393</t>
  </si>
  <si>
    <t>CE26A394</t>
  </si>
  <si>
    <t>CE26A395</t>
  </si>
  <si>
    <t>CE26A396</t>
  </si>
  <si>
    <t>CE26A397</t>
  </si>
  <si>
    <t>CE26A398</t>
  </si>
  <si>
    <t>CE26A399</t>
  </si>
  <si>
    <t>CE26A400</t>
  </si>
  <si>
    <t>CE27A236</t>
  </si>
  <si>
    <t>CE27A237</t>
  </si>
  <si>
    <t>CE27A238</t>
  </si>
  <si>
    <t>CE27A239</t>
  </si>
  <si>
    <t>CE28A219</t>
  </si>
  <si>
    <t>CE28A220</t>
  </si>
  <si>
    <t>CE29A240</t>
  </si>
  <si>
    <t>CE29A241</t>
  </si>
  <si>
    <t>FE14D122</t>
  </si>
  <si>
    <t>FE17A103-30</t>
  </si>
  <si>
    <t>FE17A235</t>
  </si>
  <si>
    <t>FE17A236</t>
  </si>
  <si>
    <t>FE17A237</t>
  </si>
  <si>
    <t>CE20A1258#</t>
  </si>
  <si>
    <t>CE20A1259#</t>
  </si>
  <si>
    <t>CE20A1259/A9-</t>
  </si>
  <si>
    <t>RE11L120</t>
  </si>
  <si>
    <t>RE11N108</t>
  </si>
  <si>
    <t>RE11N109</t>
  </si>
  <si>
    <t>RE11N110</t>
  </si>
  <si>
    <t>RE11N111</t>
  </si>
  <si>
    <t>RE11N112</t>
  </si>
  <si>
    <t>RE11N113</t>
  </si>
  <si>
    <t>RE13#138</t>
  </si>
  <si>
    <t>RE17F189</t>
  </si>
  <si>
    <t>RE17F190</t>
  </si>
  <si>
    <t>RE25B110</t>
  </si>
  <si>
    <t>RE11A268</t>
  </si>
  <si>
    <t>CE17A238</t>
  </si>
  <si>
    <t>CE17A239</t>
  </si>
  <si>
    <t>CE20C533</t>
  </si>
  <si>
    <t>CE20C534</t>
  </si>
  <si>
    <t>CE22A685</t>
  </si>
  <si>
    <t>CE22A686</t>
  </si>
  <si>
    <t>CE28A221</t>
  </si>
  <si>
    <t>FE14C187</t>
  </si>
  <si>
    <t>FE14C188</t>
  </si>
  <si>
    <t>FE14C189</t>
  </si>
  <si>
    <t>FE14C190</t>
  </si>
  <si>
    <t>FE14E110</t>
  </si>
  <si>
    <t>FE17A238</t>
  </si>
  <si>
    <t>FE17A240</t>
  </si>
  <si>
    <t>FE17A241</t>
  </si>
  <si>
    <t>FE17A242</t>
  </si>
  <si>
    <t>FE17A243</t>
  </si>
  <si>
    <t>FE17A246</t>
  </si>
  <si>
    <t>FE17A248</t>
  </si>
  <si>
    <t>XE12A132</t>
  </si>
  <si>
    <t>XE12A133</t>
  </si>
  <si>
    <t>XE12A134</t>
  </si>
  <si>
    <t>XE12A135</t>
  </si>
  <si>
    <t>XE12A136</t>
  </si>
  <si>
    <t>XE12A137</t>
  </si>
  <si>
    <t>XE12A138</t>
  </si>
  <si>
    <t>XE12A139</t>
  </si>
  <si>
    <t>RI19A106</t>
  </si>
  <si>
    <t>RI40A101A</t>
  </si>
  <si>
    <t>FE15A115</t>
  </si>
  <si>
    <t>RI23A117</t>
  </si>
  <si>
    <t>RI25A109</t>
  </si>
  <si>
    <t>RI28F101</t>
  </si>
  <si>
    <t>RI28F102</t>
  </si>
  <si>
    <t>RI28F103</t>
  </si>
  <si>
    <t>RI28F104</t>
  </si>
  <si>
    <t>RI28F105</t>
  </si>
  <si>
    <t>RI28G101</t>
  </si>
  <si>
    <t>RI28G102</t>
  </si>
  <si>
    <t>RI28G103</t>
  </si>
  <si>
    <t>RI28G104</t>
  </si>
  <si>
    <t>RI28G106</t>
  </si>
  <si>
    <t>RI28H101</t>
  </si>
  <si>
    <t>RI28H102</t>
  </si>
  <si>
    <t>RI28H103</t>
  </si>
  <si>
    <t>RI28H104</t>
  </si>
  <si>
    <t>RI28H106</t>
  </si>
  <si>
    <t>RI28J101</t>
  </si>
  <si>
    <t>RI28J102</t>
  </si>
  <si>
    <t>RI28J103</t>
  </si>
  <si>
    <t>RI28J104</t>
  </si>
  <si>
    <t>RI28J105</t>
  </si>
  <si>
    <t>RI28J106</t>
  </si>
  <si>
    <t>RI28J107</t>
  </si>
  <si>
    <t>FE15A116</t>
  </si>
  <si>
    <t>RI28F106</t>
  </si>
  <si>
    <t>RI28K101</t>
  </si>
  <si>
    <t>RI28K103</t>
  </si>
  <si>
    <t>RI28K105</t>
  </si>
  <si>
    <t>RI28L101</t>
  </si>
  <si>
    <t>RI28L102</t>
  </si>
  <si>
    <t>RI28L103</t>
  </si>
  <si>
    <t>RI28L104</t>
  </si>
  <si>
    <t>RI28L106</t>
  </si>
  <si>
    <t>RI28L107</t>
  </si>
  <si>
    <t>RI28M101</t>
  </si>
  <si>
    <t>RI28M102</t>
  </si>
  <si>
    <t>RI28M103</t>
  </si>
  <si>
    <t>RI28M107</t>
  </si>
  <si>
    <t>2013-14</t>
  </si>
  <si>
    <t>RE12A101A</t>
  </si>
  <si>
    <t>RE12A103</t>
  </si>
  <si>
    <t>RE12A104</t>
  </si>
  <si>
    <t>RE12A106</t>
  </si>
  <si>
    <t>RE12A107</t>
  </si>
  <si>
    <t>RE12A108</t>
  </si>
  <si>
    <t>RE12A109A</t>
  </si>
  <si>
    <t>RE12A109B</t>
  </si>
  <si>
    <t>RE12A110</t>
  </si>
  <si>
    <t>RE12A111</t>
  </si>
  <si>
    <t>RE12A112</t>
  </si>
  <si>
    <t>RE12A113A</t>
  </si>
  <si>
    <t>RE12A113B</t>
  </si>
  <si>
    <t>RE12A113C</t>
  </si>
  <si>
    <t>RE12A113D</t>
  </si>
  <si>
    <t>RE12A113E</t>
  </si>
  <si>
    <t>RE12A114A</t>
  </si>
  <si>
    <t>RE12A114B</t>
  </si>
  <si>
    <t>RE12A114C</t>
  </si>
  <si>
    <t>RE12A114D</t>
  </si>
  <si>
    <t>RE12A115A</t>
  </si>
  <si>
    <t>RE12A115B</t>
  </si>
  <si>
    <t>RE12A115C</t>
  </si>
  <si>
    <t>RE12A115D</t>
  </si>
  <si>
    <t>RE12A115E</t>
  </si>
  <si>
    <t>RE12A119</t>
  </si>
  <si>
    <t>RE12A120</t>
  </si>
  <si>
    <t>RE12A121</t>
  </si>
  <si>
    <t>RE12A122</t>
  </si>
  <si>
    <t>RE12A123</t>
  </si>
  <si>
    <t>RE12A124</t>
  </si>
  <si>
    <t>RE12A125</t>
  </si>
  <si>
    <t>RE12A130</t>
  </si>
  <si>
    <t>RE17F153F</t>
  </si>
  <si>
    <t>2015-16</t>
  </si>
  <si>
    <t>RE12A102</t>
  </si>
  <si>
    <t>RE12A105</t>
  </si>
  <si>
    <t>RE12A116A</t>
  </si>
  <si>
    <t>RE12A116B</t>
  </si>
  <si>
    <t>RE12A116C</t>
  </si>
  <si>
    <t>RE12A117A</t>
  </si>
  <si>
    <t>RE12A117B</t>
  </si>
  <si>
    <t>RE12A117C</t>
  </si>
  <si>
    <t>RE12A117D</t>
  </si>
  <si>
    <t>RE12A117E</t>
  </si>
  <si>
    <t>RE12A117F</t>
  </si>
  <si>
    <t>RE12A117G</t>
  </si>
  <si>
    <t>RE12A118B</t>
  </si>
  <si>
    <t>RE12A118C</t>
  </si>
  <si>
    <t>RE12A118D</t>
  </si>
  <si>
    <t>RE12A126</t>
  </si>
  <si>
    <t>RE12A127</t>
  </si>
  <si>
    <t>RE12A128</t>
  </si>
  <si>
    <t>BP</t>
  </si>
  <si>
    <t>Y W</t>
  </si>
  <si>
    <t>ZE16A104A/P2-1355+</t>
  </si>
  <si>
    <t>RE12A115F</t>
  </si>
  <si>
    <t>RE11A269</t>
  </si>
  <si>
    <t>RE11G113</t>
  </si>
  <si>
    <t>RE11L121</t>
  </si>
  <si>
    <t>RE17F191</t>
  </si>
  <si>
    <t>RE17F192</t>
  </si>
  <si>
    <t>RE17F193</t>
  </si>
  <si>
    <t>RE19A143</t>
  </si>
  <si>
    <t>RE19A144</t>
  </si>
  <si>
    <t>RE19A145</t>
  </si>
  <si>
    <t>RE19A146</t>
  </si>
  <si>
    <t>RE20C113</t>
  </si>
  <si>
    <t>RE20C114</t>
  </si>
  <si>
    <t>RE20C115</t>
  </si>
  <si>
    <t>RE20F102</t>
  </si>
  <si>
    <t>RE21C138</t>
  </si>
  <si>
    <t>RE23A128</t>
  </si>
  <si>
    <t>RE23A129</t>
  </si>
  <si>
    <t>RE25B111</t>
  </si>
  <si>
    <t>RE26B113</t>
  </si>
  <si>
    <t>RE26E108</t>
  </si>
  <si>
    <t>RE26E109</t>
  </si>
  <si>
    <t>RE27A160</t>
  </si>
  <si>
    <t>RE27C105</t>
  </si>
  <si>
    <t>RE28F108</t>
  </si>
  <si>
    <t>RE28F109</t>
  </si>
  <si>
    <t>RE28F110</t>
  </si>
  <si>
    <t>RE58A101A</t>
  </si>
  <si>
    <t>RI12A102</t>
  </si>
  <si>
    <t>RI12A103</t>
  </si>
  <si>
    <t>RI12A104</t>
  </si>
  <si>
    <t>RI12A105</t>
  </si>
  <si>
    <t>RI12A106</t>
  </si>
  <si>
    <t>RI27A107</t>
  </si>
  <si>
    <t>RI27A108</t>
  </si>
  <si>
    <t>RI27A109</t>
  </si>
  <si>
    <t>RI27A110</t>
  </si>
  <si>
    <t>RI27A111</t>
  </si>
  <si>
    <t>CE17A240</t>
  </si>
  <si>
    <t>CE17A241</t>
  </si>
  <si>
    <t>CE19A162</t>
  </si>
  <si>
    <t>CE19A163</t>
  </si>
  <si>
    <t>CE19A165</t>
  </si>
  <si>
    <t>CE20A1260</t>
  </si>
  <si>
    <t>CE20B274</t>
  </si>
  <si>
    <t>CE20B275</t>
  </si>
  <si>
    <t>CE20C536</t>
  </si>
  <si>
    <t>CE20C537</t>
  </si>
  <si>
    <t>CE20C538</t>
  </si>
  <si>
    <t>CE20C539</t>
  </si>
  <si>
    <t>CE20C540</t>
  </si>
  <si>
    <t>CE20C541</t>
  </si>
  <si>
    <t>CE20C542</t>
  </si>
  <si>
    <t>CE20C543</t>
  </si>
  <si>
    <t>CE20C544</t>
  </si>
  <si>
    <t>CE20C545</t>
  </si>
  <si>
    <t>CE20C546</t>
  </si>
  <si>
    <t>CE20C547</t>
  </si>
  <si>
    <t>CE20C548</t>
  </si>
  <si>
    <t>CE20C549</t>
  </si>
  <si>
    <t>CE20D214</t>
  </si>
  <si>
    <t>CE20D215</t>
  </si>
  <si>
    <t>CE20D218</t>
  </si>
  <si>
    <t>CE22A688</t>
  </si>
  <si>
    <t>CE22A692</t>
  </si>
  <si>
    <t>CE22A693</t>
  </si>
  <si>
    <t>CE22A696</t>
  </si>
  <si>
    <t>CE22A698</t>
  </si>
  <si>
    <t>CE22A701</t>
  </si>
  <si>
    <t>CE26A401</t>
  </si>
  <si>
    <t>CE28A222</t>
  </si>
  <si>
    <t>CE28A223</t>
  </si>
  <si>
    <t>FE14A131</t>
  </si>
  <si>
    <t>FE14A132</t>
  </si>
  <si>
    <t>FE14C191</t>
  </si>
  <si>
    <t>FE14C192</t>
  </si>
  <si>
    <t>FE14C193</t>
  </si>
  <si>
    <t>FE14D123</t>
  </si>
  <si>
    <t>FE14D124</t>
  </si>
  <si>
    <t>FE14D125</t>
  </si>
  <si>
    <t>FE14D126</t>
  </si>
  <si>
    <t>FE17A249</t>
  </si>
  <si>
    <t>ZE16A104A/P2-211</t>
  </si>
  <si>
    <t>CE12A381/S23-614+</t>
  </si>
  <si>
    <t>CE12A381/S23-663+</t>
  </si>
  <si>
    <t>CE17A192/S25-302+</t>
  </si>
  <si>
    <t>CE17A192/S25-303+</t>
  </si>
  <si>
    <t>CE22A548/S26-744+</t>
  </si>
  <si>
    <t>CE22A548/S26-847+</t>
  </si>
  <si>
    <t>CE26A336/U1-165+</t>
  </si>
  <si>
    <t>CE26A336/U1-171+</t>
  </si>
  <si>
    <t>CE27A210/S28-445+</t>
  </si>
  <si>
    <t>CE28A160/S22-55+</t>
  </si>
  <si>
    <t>CE28A160/S22-57+</t>
  </si>
  <si>
    <t>CE29A229/S29-319+</t>
  </si>
  <si>
    <t>ZE16A104A/P2-1169+</t>
  </si>
  <si>
    <t>ZE16D101/MP2-359+</t>
  </si>
  <si>
    <t>FE61A118/C-115</t>
  </si>
  <si>
    <t>FE61A118/C-116</t>
  </si>
  <si>
    <t>XE12N126</t>
  </si>
  <si>
    <t>XE12S309</t>
  </si>
  <si>
    <t>XE12S409</t>
  </si>
  <si>
    <t>51~</t>
  </si>
  <si>
    <t>56A</t>
  </si>
  <si>
    <t>65~</t>
  </si>
  <si>
    <t>26~</t>
  </si>
  <si>
    <t>36A</t>
  </si>
  <si>
    <t>57A</t>
  </si>
  <si>
    <t>ZE16A104A/S5-323</t>
  </si>
  <si>
    <t>ZE16A104A/S5-325</t>
  </si>
  <si>
    <t>ZE16A104A/S5-327</t>
  </si>
  <si>
    <t>CE24A138</t>
  </si>
  <si>
    <t>CE24A139</t>
  </si>
  <si>
    <t>CE28A224</t>
  </si>
  <si>
    <t>FE14C201</t>
  </si>
  <si>
    <t>FE14C202</t>
  </si>
  <si>
    <t>FE14C205</t>
  </si>
  <si>
    <t>FE14D128</t>
  </si>
  <si>
    <t>FE14E113</t>
  </si>
  <si>
    <t>FE17A250</t>
  </si>
  <si>
    <t>FE17A252</t>
  </si>
  <si>
    <t>FE17A253</t>
  </si>
  <si>
    <t>FE17A254</t>
  </si>
  <si>
    <t>FE17A255</t>
  </si>
  <si>
    <t>FE17A256</t>
  </si>
  <si>
    <t>FE17A257</t>
  </si>
  <si>
    <t>FE17A259</t>
  </si>
  <si>
    <t>FE17A260</t>
  </si>
  <si>
    <t>FE17A261</t>
  </si>
  <si>
    <t>FE17A262</t>
  </si>
  <si>
    <t>FE17A263</t>
  </si>
  <si>
    <t>FE17A264</t>
  </si>
  <si>
    <t>FE17A265</t>
  </si>
  <si>
    <t>FE17A266</t>
  </si>
  <si>
    <t>FE17A267</t>
  </si>
  <si>
    <t>FE17A268</t>
  </si>
  <si>
    <t>FE17A270</t>
  </si>
  <si>
    <t>FE17A271</t>
  </si>
  <si>
    <t>FE17A272</t>
  </si>
  <si>
    <t>FE17A273</t>
  </si>
  <si>
    <t>RE11M108</t>
  </si>
  <si>
    <t>RE11N115</t>
  </si>
  <si>
    <t>RE11N116</t>
  </si>
  <si>
    <t>RE12A131</t>
  </si>
  <si>
    <t>RE23A107A</t>
  </si>
  <si>
    <t>RE58A101C</t>
  </si>
  <si>
    <t>CE29A242</t>
  </si>
  <si>
    <t>FE17A107-23</t>
  </si>
  <si>
    <t>RE13#139</t>
  </si>
  <si>
    <t>RE27A161</t>
  </si>
  <si>
    <t>RE20C301/W1-501</t>
  </si>
  <si>
    <t>RE20C301/W1-502</t>
  </si>
  <si>
    <t>RE20C301/W1-503</t>
  </si>
  <si>
    <t>RE20C301/W1-504</t>
  </si>
  <si>
    <t>RE20C301/W1-505</t>
  </si>
  <si>
    <t>RE20C301/W1-506</t>
  </si>
  <si>
    <t>RE20C301/W1-507</t>
  </si>
  <si>
    <t>RE20C301/W1-508</t>
  </si>
  <si>
    <t>XE23A301/W7-501</t>
  </si>
  <si>
    <t>XE23A301/W7-502</t>
  </si>
  <si>
    <t>XE23A301/W7-503</t>
  </si>
  <si>
    <t>XE23A301/W7-504</t>
  </si>
  <si>
    <t>XE23A301/W7-505</t>
  </si>
  <si>
    <t>XE23A301/W7-506</t>
  </si>
  <si>
    <t>XE23A301/W7-507</t>
  </si>
  <si>
    <t>XE23A301/W7-508</t>
  </si>
  <si>
    <t>XE23A301/W7-509</t>
  </si>
  <si>
    <t>XE23A301/W7-510</t>
  </si>
  <si>
    <t>XE23A301/W7-511</t>
  </si>
  <si>
    <t>XE23A301/W7-512</t>
  </si>
  <si>
    <t>XE23A301/W7-513</t>
  </si>
  <si>
    <t>XE23A301/W7-514</t>
  </si>
  <si>
    <t>XE23A301/W7-515</t>
  </si>
  <si>
    <t>XE23A301/W7-516</t>
  </si>
  <si>
    <t>XE23A301/W7-517</t>
  </si>
  <si>
    <t>XE23A301/W7-518</t>
  </si>
  <si>
    <t>XE23A301/W7-519</t>
  </si>
  <si>
    <t>XE23A301/W7-520</t>
  </si>
  <si>
    <t>XE23A301/W7-521</t>
  </si>
  <si>
    <t>XE23A301/W7-522</t>
  </si>
  <si>
    <t>XE23A301/W7-523</t>
  </si>
  <si>
    <t>XE23A301/W7-524</t>
  </si>
  <si>
    <t>XE23A301/W7-525</t>
  </si>
  <si>
    <t>XE23A301/W7-526</t>
  </si>
  <si>
    <t>XE23A301/W7-527</t>
  </si>
  <si>
    <t>XE23A301/W7-528</t>
  </si>
  <si>
    <t>XE23A301/W7-529</t>
  </si>
  <si>
    <t>XE23A301/W7-530</t>
  </si>
  <si>
    <t>XE23A301/W7-531</t>
  </si>
  <si>
    <t>XE23A301/W7-532</t>
  </si>
  <si>
    <t>XE23A301/W7-533</t>
  </si>
  <si>
    <t>XE23A301/W7-534</t>
  </si>
  <si>
    <t>XE23A301/W7-535</t>
  </si>
  <si>
    <t>XE23A301/W7-536</t>
  </si>
  <si>
    <t>XE23A301/W7-537</t>
  </si>
  <si>
    <t>XE23A301/W7-538</t>
  </si>
  <si>
    <t>XE23A301/W7-539</t>
  </si>
  <si>
    <t>XE23A301/W7-540</t>
  </si>
  <si>
    <t>XE23A301/W7-541</t>
  </si>
  <si>
    <t>XE23A301/W7-542</t>
  </si>
  <si>
    <t>XE23A301/W7-543</t>
  </si>
  <si>
    <t>XE23A301/W7-544</t>
  </si>
  <si>
    <t>XE23A301/W7-545</t>
  </si>
  <si>
    <t>XE23A301/W7-546</t>
  </si>
  <si>
    <t>XE23A301/W7-547</t>
  </si>
  <si>
    <t>XE23A301/W7-548</t>
  </si>
  <si>
    <t>XE23A301/W7-549</t>
  </si>
  <si>
    <t>XE23A301/W7-550</t>
  </si>
  <si>
    <t>XE23A301/W7-551</t>
  </si>
  <si>
    <t>XE23A301/W7-552</t>
  </si>
  <si>
    <t>XE23A301/W7-553</t>
  </si>
  <si>
    <t>XE23A301/W7-554</t>
  </si>
  <si>
    <t>XE23A301/W7-555</t>
  </si>
  <si>
    <t>XE23A301/W7-556</t>
  </si>
  <si>
    <t>XE23A301/W7-557</t>
  </si>
  <si>
    <t>XE23A301/W7-558</t>
  </si>
  <si>
    <t>XE23A301/W7-559</t>
  </si>
  <si>
    <t>XE23A301/W7-560</t>
  </si>
  <si>
    <t>XE23A301/W7-561</t>
  </si>
  <si>
    <t>XE23A301/W7-562</t>
  </si>
  <si>
    <t>CE20A1196/C2-101</t>
  </si>
  <si>
    <t>CE20A1196/C2-102</t>
  </si>
  <si>
    <t>CE20A1196/C2-103</t>
  </si>
  <si>
    <t>CE20A1196/C2-104</t>
  </si>
  <si>
    <t>CE20A1196/C2-105</t>
  </si>
  <si>
    <t>CE20A1196/C2-106</t>
  </si>
  <si>
    <t>CE20A1196/C2-107</t>
  </si>
  <si>
    <t>CE20A1196/C2-108</t>
  </si>
  <si>
    <t>CE20A1196/C2-109</t>
  </si>
  <si>
    <t>CE20A1196/C2-110</t>
  </si>
  <si>
    <t>CE20A1196/C2-111</t>
  </si>
  <si>
    <t>CE20A1196/C2-112</t>
  </si>
  <si>
    <t>CE20A1196/C2-113</t>
  </si>
  <si>
    <t>CE20A1196/C2-114</t>
  </si>
  <si>
    <t>CE20A1196/C2-115</t>
  </si>
  <si>
    <t>CE20A1196/C2-116</t>
  </si>
  <si>
    <t>CE20A1196/C2-117</t>
  </si>
  <si>
    <t>CE20A1196/C2-118</t>
  </si>
  <si>
    <t>CE20A1196/C2-119</t>
  </si>
  <si>
    <t>CE20A1196/C2-120</t>
  </si>
  <si>
    <t>CE20A1196/C2-121</t>
  </si>
  <si>
    <t>CE20A1196/C2-122</t>
  </si>
  <si>
    <t>CE20A1196/C2-123</t>
  </si>
  <si>
    <t>CE20A1196/C2-124</t>
  </si>
  <si>
    <t>CE20A1196/C2-125</t>
  </si>
  <si>
    <t>CE20A1196/C2-126</t>
  </si>
  <si>
    <t>CE20A1196/C2-127</t>
  </si>
  <si>
    <t>CE20A1196/C2-128</t>
  </si>
  <si>
    <t>CE20A1196/C2-129</t>
  </si>
  <si>
    <t>CE20A1196/C2-130</t>
  </si>
  <si>
    <t>CE20A1196/C2-131</t>
  </si>
  <si>
    <t>CE20A1196/C2-132</t>
  </si>
  <si>
    <t>CE20A1196/C2-133</t>
  </si>
  <si>
    <t>CE20A1196/C2-134</t>
  </si>
  <si>
    <t>CE20A1196/C2-135</t>
  </si>
  <si>
    <t>CE20A1196/C2-136</t>
  </si>
  <si>
    <t>CE20A1196/C2-137</t>
  </si>
  <si>
    <t>CE20A1196/C2-138</t>
  </si>
  <si>
    <t>CE20A1196/C2-139</t>
  </si>
  <si>
    <t>CE20A1196/C2-140</t>
  </si>
  <si>
    <t>CE20A1196/C2-141</t>
  </si>
  <si>
    <t>CE20A1196/C2-142</t>
  </si>
  <si>
    <t>CE20A1196/C2-143</t>
  </si>
  <si>
    <t>CE20A1196/C2-144</t>
  </si>
  <si>
    <t>CE20A1196/C2-145</t>
  </si>
  <si>
    <t>CE20A1196/C2-146</t>
  </si>
  <si>
    <t>CE20A1196/C2-147</t>
  </si>
  <si>
    <t>CE20A1196/C2-148</t>
  </si>
  <si>
    <t>CE20A1196/C2-149</t>
  </si>
  <si>
    <t>CE20A1196/C2-150</t>
  </si>
  <si>
    <t>CE20A1196/C2-151</t>
  </si>
  <si>
    <t>CE20A1196/C2-152</t>
  </si>
  <si>
    <t>CE20A1196/C2-153</t>
  </si>
  <si>
    <t>CE20A1196/C2-154</t>
  </si>
  <si>
    <t>CE20A1196/C2-155</t>
  </si>
  <si>
    <t>CE20A1196/C2-156</t>
  </si>
  <si>
    <t>CE20A1196/C2-157</t>
  </si>
  <si>
    <t>CE20A1196/C2-158</t>
  </si>
  <si>
    <t>CE20A1196/C2-159</t>
  </si>
  <si>
    <t>CE20A1196/C2-160</t>
  </si>
  <si>
    <t>CE20A1196/C2-161</t>
  </si>
  <si>
    <t>CE20A1196/C2-162</t>
  </si>
  <si>
    <t>CE20A1196/C2-163</t>
  </si>
  <si>
    <t>CE20A1196/C2-164</t>
  </si>
  <si>
    <t>CE20A1196/C2-165</t>
  </si>
  <si>
    <t>2014-15</t>
  </si>
  <si>
    <t>CE20A1261</t>
  </si>
  <si>
    <t>विवरण</t>
  </si>
  <si>
    <t>योजनेतर खर्च तपशील</t>
  </si>
  <si>
    <t>नक्‍की आकडा</t>
  </si>
  <si>
    <t>१. मुख्य देखरेख, वसुली वगैरे</t>
  </si>
  <si>
    <t>क. महानगरपालिका व स्थायी समिती</t>
  </si>
  <si>
    <t>१ नगरसचिव यांचे कार्यालय</t>
  </si>
  <si>
    <t>१. नगरसचिव (म्युनिसिपल सेक्रेटरी) (मुं.प्रां. मनपा अधिनियम, कलम४५(३) प्रमाणे) वेतन</t>
  </si>
  <si>
    <t>२. कायम सेवकवर्ग वेतन</t>
  </si>
  <si>
    <t>३. संकीर्ण (न.स.)</t>
  </si>
  <si>
    <t>३अ. मागील बिले देण्यासाठी (न.स.)</t>
  </si>
  <si>
    <t>४. प्रवास खर्च (न.स.)</t>
  </si>
  <si>
    <t>५. ग्रंथालय व वाचनालय</t>
  </si>
  <si>
    <t>६. समारंभ खर्च (न.स. व वि.अ.)</t>
  </si>
  <si>
    <t>१०. अखिल भारतीय/महाराष्ट्र महापौर परिषद व अखिल भारतीय स्थानिक स्वराज्य संस्था प्रतिनिधी अधिवेशन</t>
  </si>
  <si>
    <t>१३. महाराष्ट्र राज्य महानगरपालिका स्थायी समिती अध्यक्ष परिषद वर्गणी व तद्‌नुषंगिक खर्च</t>
  </si>
  <si>
    <t>१४. मा. महापौर यांचा व्ययनियमन (सम्प्च्युअरी) भत्ता</t>
  </si>
  <si>
    <t>१५. मा. महापौर यांचा ऐच्छिक खर्च</t>
  </si>
  <si>
    <t>१६. मा. उपमहापौर यांचा ऐच्छिक खर्च</t>
  </si>
  <si>
    <t>१७. अखिल भारतीय महापौर मंडळाची वार्षिक वर्गणी</t>
  </si>
  <si>
    <t>१८. मा. अध्यक्ष, स्थायी समिती यांचा ऐच्छिक खर्च</t>
  </si>
  <si>
    <t>१९. मा. सभासदांना मानधन नि भत्ता</t>
  </si>
  <si>
    <t>२०. स्थायी समिती सभा चहापान खर्च</t>
  </si>
  <si>
    <t>२१. विशेष समित्यांचा चहापान खर्च</t>
  </si>
  <si>
    <t>२२. मा. मनपा विरोधी पक्षनेते यांचा चहापान खर्च</t>
  </si>
  <si>
    <t>२३. सभागृह नेता चहापान खर्च</t>
  </si>
  <si>
    <t>२३-ब पक्षनेता राष्ट्रीय काँग्रेस पक्ष चहापान खर्च</t>
  </si>
  <si>
    <t>२३-क पक्षनेता राष्ट्रवादी काँग्रेस पक्ष चहापान खर्च</t>
  </si>
  <si>
    <t>२३-अ. थोर व्यक्तींचे पुतळे, कार्यक्रम प्रसंगी फोटो, हार व व्यवस्था</t>
  </si>
  <si>
    <t>२४-अ. मा.अध्यक्ष, विधी समिती चहापान खर्च</t>
  </si>
  <si>
    <t>२४-ड. मा.अध्यक्ष, शहर सुधारणा समिती चहापान खर्च</t>
  </si>
  <si>
    <t>२४-उ. मा.अध्यक्ष, क्रीडा समिती चहापान खर्च</t>
  </si>
  <si>
    <t>२४-फ. मा.अध्यक्ष, महिला बालकल्याण समिती चहापान खर्च</t>
  </si>
  <si>
    <t>२५. मा. महापौर यांनी बोलविलेल्या सभेच्यावेळी केलेला खर्च</t>
  </si>
  <si>
    <t>२६. मनपा इतिहास ग्रंथ समिती</t>
  </si>
  <si>
    <t>२७. प्रादेशिक सेनादल स्वागत समारंभ व चहापान खर्च</t>
  </si>
  <si>
    <t>२८. मनपा विस्तारीत कक्ष इमारतीतील नगरसचिव कार्यालयात फर्निचर व इतर सुविधा करणे</t>
  </si>
  <si>
    <t>३९. इंटरनॅशनल युनियन ऑफ लोकल अ‍ॅथॉरिटीज आशियन पॅसिफिक सेक्शन</t>
  </si>
  <si>
    <t>४२. नगरसेवकांसाठी अभ्यास दौरा व प्रशिक्षण शिबीर</t>
  </si>
  <si>
    <t>४३. महापौर परिषदेसाठी खर्च</t>
  </si>
  <si>
    <t>६९. राष्ट्रीय व आंतरराष्ट्रीय स्तरावरील मनपाला भेट देणार्‍या प्रमुख पाहुण्यांचे स्वागत, निवास व भोजन कार्यक्रम प्रसंगी</t>
  </si>
  <si>
    <t>नेताजी सुभाषचंद्र बोस यांची जयंती साजरी करणे</t>
  </si>
  <si>
    <t>स्व. पंडित रोहिणी भाटे पुरस्कार</t>
  </si>
  <si>
    <t>येरवडा येथे लोकशाहिर अण्णाभाऊ साठे जयंती महोत्सव साजरा करणे</t>
  </si>
  <si>
    <t>स्वरभास्कर पंडित भिमसेन जोशी पुरस्कार</t>
  </si>
  <si>
    <t>भारतरत्न डॉ. बाबासाहेब आंबेडकर पुरस्कार</t>
  </si>
  <si>
    <t>महाराष्ट्र महापौर परिषदेची वार्षिक वर्गणी</t>
  </si>
  <si>
    <t>श्री संत रोहिदास महाराज जयंती, पुण्यतिथी साजरी करणे</t>
  </si>
  <si>
    <t>म.न.पा च्या  समारंभासाठी मंडप उभारणे (भवन)</t>
  </si>
  <si>
    <t>श्री छत्रपती शिवाजी महाराज सभागृह , पुणे महानगरपालिका यांत्रिकीकरणाने सफाई करणे.</t>
  </si>
  <si>
    <t>क. मनपा व स्थायी समिती बेरीज</t>
  </si>
  <si>
    <t>ख. मुख्य लेखापरिक्षक यांचे कार्यालय</t>
  </si>
  <si>
    <t>१. मुख्य लेखापरिक्षक (म्युनिसिपल चीफ ऑडिटर) (मु.प्रां. मनपा अधिनियम, कलम ४५ (३) प्रमाणे) यांचे वेतन</t>
  </si>
  <si>
    <t>३. संकीर्ण</t>
  </si>
  <si>
    <t>ख. मुख्यलेखापरिक्षक यांचे कार्या. बेरीज</t>
  </si>
  <si>
    <t>ग१. महापालिका आयुक्त यांचे कार्यालय</t>
  </si>
  <si>
    <t>१. महापालिका आयुक्त (म्युनिसिपल कमिशनर) (मु. प्रां. मनपा अधिनियम, कलम ३७ (१) प्रमाणे) यांचे वेतन</t>
  </si>
  <si>
    <t>२. उपआयुक्त (जनरल) (मुं. प्रां. मनपा अधिनियम, कलम ४५(३) प्रमाणे) यांचे वेतन</t>
  </si>
  <si>
    <t>३. कायम सेवकवर्ग वेतन</t>
  </si>
  <si>
    <t>४. संकीर्ण</t>
  </si>
  <si>
    <t>६. मा. महापालिका आयुक्त यांचा ऐच्छिक खर्च (म.स.आ.)</t>
  </si>
  <si>
    <t>विकास आराखडा व मायक्रोफिल्म करणे</t>
  </si>
  <si>
    <t>ग१. महापालिका आयुक्त कार्यालय बेरीज</t>
  </si>
  <si>
    <t>ग२. अतिरिक्त महापालिका आयुक्त (विशेष) यांचे कार्यालय</t>
  </si>
  <si>
    <t>१. अतिरिक्त महापालिका आयुक्त (विशेष) यांचे वेतन</t>
  </si>
  <si>
    <t>४. मनपा सेवकांस विविध सेमिनर, कॉन्फरन्स, प्रशिक्षण इ. साठी हजर राहण्यासाठी खर्च</t>
  </si>
  <si>
    <t>५. मनपा अधिकार्‍यांकडे येणार्‍या पाहुण्यांच्या आतिथ्याकरिता होणारा खर्च</t>
  </si>
  <si>
    <t>ग२. अतिरिक्त महापालिका आयुक्त (विशेष) यांचे कार्यालय बेरीज</t>
  </si>
  <si>
    <t>ग३. अतिरिक्त महापालिका आयुक्त (जनरल) यांचे कार्यालय</t>
  </si>
  <si>
    <t>१. मा. अतिरिक्त महापालिका आयुक्त (जनरल) यांचे वेतन</t>
  </si>
  <si>
    <t>४.अतिरिक्त महापालिका आयुक्त (जनरल) यांचेकडे येणार्‍या पाहुण्यांचा आतिथ्याकरिता होणारा खर्च</t>
  </si>
  <si>
    <t>५. अधिकारी / सेवक प्रशिक्षण वर्ग / कार्यशाळेस उपस्थित राहण्याचा प्रवासखर्च, कार्यशाळा शुल्क, प्रशिक्षण शुल्क वगैरे</t>
  </si>
  <si>
    <t>ग३. अतिरिक्त महापालिका आयुक्त (जनरल) यांचे कार्यालय बेरीज</t>
  </si>
  <si>
    <t>ग४. अतिरिक्त महापालिका आयुक्त (इस्टेट) यांचे कार्यालय</t>
  </si>
  <si>
    <t>१. मा. अतिरिक्त महापालिका आयुक्त (इस्टेट) यांचे वेतन</t>
  </si>
  <si>
    <t>४.अतिरिक्त महापालिका आयुक्त (इस्टेट) यांचेकडे येणार्‍या पाहुण्यांचा आतिथ्याकरिता होणारा खर्च</t>
  </si>
  <si>
    <t>ग४. अतिरिक्त महापालिका आयुक्त (इस्टेट) यांचे कार्यालय बेरीज</t>
  </si>
  <si>
    <t>ग५. दक्षता विभाग</t>
  </si>
  <si>
    <t>१. कायम सेवकवर्ग वेतन</t>
  </si>
  <si>
    <t>२. संकीर्ण</t>
  </si>
  <si>
    <t>ग५. दक्षता विभाग बेरीज</t>
  </si>
  <si>
    <t>ग१+ग२+ग३+ग४+ग५ एकूण बेरीज</t>
  </si>
  <si>
    <t>घ१. उपआयुक्त (विशेष) यांचे कार्यालय</t>
  </si>
  <si>
    <t>१. उपआयुक्त (विशेष) (मुं. प्रां. मनपा अधिनियम, कलम ४५(३) प्रमाणे) यांचे वेतन</t>
  </si>
  <si>
    <t>घ१. उपआयुक्त (विशेष) कार्यालय बेरीज</t>
  </si>
  <si>
    <t>घ२. सेवकवर्ग विभाग</t>
  </si>
  <si>
    <t>४. विविध रिक्त पदे भरण्यासाठी आयोजित करण्यात येणार्‍या परीक्षांसाठी खर्च</t>
  </si>
  <si>
    <t>५. प्रशिक्षण प्रबोधिनीसाठी फर्निचर व तद्‌नुषंगिक कामे करणे व साहित्य घेणे</t>
  </si>
  <si>
    <t>६. अधिकारी / कर्मचार्‍यांसाठी प्रशिक्षण आयोजन करणेसाठी खर्च</t>
  </si>
  <si>
    <t>७. पुणे मनपामध्ये बायोमॅट्रिक अटेंडन्स प्रणाली कार्यान्वीत करणे</t>
  </si>
  <si>
    <t>८. सेवकवर्ग विभागासाठी फर्निचर करणे</t>
  </si>
  <si>
    <t>घ२. सेवकवर्ग विभाग बेरीज</t>
  </si>
  <si>
    <t>घ३. सुरक्षा विभाग</t>
  </si>
  <si>
    <t>३. खाजगी सुरक्षा रक्षक पुरविणे</t>
  </si>
  <si>
    <t>४. सुरक्षा सेवकांसाठी गणवेश</t>
  </si>
  <si>
    <t>५. पुणे मनपा भवन येथे बॅग्ज स्कॅनिंग सिस्टीम बसविणे व इतर साहित्य खरेदी करणे</t>
  </si>
  <si>
    <t>घ३. सुरक्षा विभाग बेरीज</t>
  </si>
  <si>
    <t>ड१. उपआयुक्त (जिंदगी व घरबांधणी) यांचे कार्यालय</t>
  </si>
  <si>
    <t>१. उपआयुक्त (जिं.घ.) (मुं. प्रां. मनपा अधिनियम, कलम ४५(३) प्रमाणे) यांचे वेतन</t>
  </si>
  <si>
    <t>ड१. बेरीज</t>
  </si>
  <si>
    <t>ड२. दूरध्वनी विभाग</t>
  </si>
  <si>
    <t>१. टेलिफोन खात्याकडील पी.ए.बी.एक्स. बोर्ड व त्यावरील एक्स्टेंशनचे भाडे, कॉल्स / टेलिफोन बीले</t>
  </si>
  <si>
    <t>२. टेलिफोन दुरुस्ती व देखभाल याचा खर्च</t>
  </si>
  <si>
    <t>३. दूरध्वनी व्यवस्थेत सुधारणा करणे व मोबाईल फोनची बिले देण्यासाठी</t>
  </si>
  <si>
    <t>ड२. दूरध्वनी विभाग बेरीज</t>
  </si>
  <si>
    <t>ड. उपआयुक्त (जिं.घ.) यांचे कार्यालय बेरीज</t>
  </si>
  <si>
    <t>च. मुख्यलेखापाल यांचे कार्यालय</t>
  </si>
  <si>
    <t>३. तूट खर्च (मु.ले.)</t>
  </si>
  <si>
    <t>४. मुंबई प्रांतिक महानगरपालिका अधिनियम १९४९ कलम १२६ (२) अन्वये कर्जबाकी दर्शविणारा तक्ता शासकीय पत्रकात (गॅझेटमध्ये) प्रसिद्ध करणे (मु.ले.)</t>
  </si>
  <si>
    <t>५. बँक कमिशन चार्जेस</t>
  </si>
  <si>
    <t>६. वार्षिक अहवाल छपाई</t>
  </si>
  <si>
    <t>७. अंशदायी निवृत्ती वेतन योजनेअंतर्गत मनपाचा हिस्सा</t>
  </si>
  <si>
    <t>८. मुख्यलेखापाल कार्यालयासाठी फर्निचर व आसन व्यवस्था करणे</t>
  </si>
  <si>
    <t>९. वेतन राखीव निधीसाठी तरतूद</t>
  </si>
  <si>
    <t>च. मुख्यलेखापाल यांचे कार्यालय बेरीज</t>
  </si>
  <si>
    <t>छ. करआकारणी व करसंकलन प्रमुख यांचे कार्यालय</t>
  </si>
  <si>
    <t>४. अधिपत्र (वॉरंट) वसुली खर्च (कआकसंप्र)</t>
  </si>
  <si>
    <t>५. मा. आर्बिट्रेटर (वसुली) यांचा खर्च</t>
  </si>
  <si>
    <t>६. संगणक यंत्रासाठी तयार करावयाच्या फॉर्मचा मुशाहिरा व तद्‌नुषंगिक खर्च</t>
  </si>
  <si>
    <t>७. मिळकतींस घरांक देणे</t>
  </si>
  <si>
    <t>भांडवली मुल्यावर करआकारणी करणेसाठी कायदेतज्ञ, व्हॅल्युअर, प्रशासकीय अधिकारी इत्यादी तद्‌नुषंगिक खर्च</t>
  </si>
  <si>
    <t>करआकारणीचे रेकॉर्ड जतन करण्यासाठी अयावत रेकॉर्ड रूम तयार करणे</t>
  </si>
  <si>
    <t>छ. करआकारणी व करसंकलन प्रमुखयांचे कार्यालय बेरीज</t>
  </si>
  <si>
    <t>ज. आयातकर कार्यालय</t>
  </si>
  <si>
    <t>२. सेवानिवृत्ती वेतन व तोषदान (मु.ले.)</t>
  </si>
  <si>
    <t>४. आयातकर नाकी व भवन दुरुस्ती, भवन</t>
  </si>
  <si>
    <t>९. खराडी जकात नाका येथील भूमीभाडे, नाक्याचा बांधकाम खर्च व तद्‌नुषंगिक इतर कामे</t>
  </si>
  <si>
    <t>मनपा आयात सिमेवर अनेक उपमार्ग निर्माण झाल्याने याठिकाणी नव्याने जकात नाकी निर्माण करणे अथवा भाडे तत्त्वावर घेणे झाल्यास सदर जकात नाक्याचे भाडे आदा करणेकामी (सध्या अस्तित्त्वात असलेल्या नाक्यांव्यतिरिक्त)</t>
  </si>
  <si>
    <t>आयातकर कार्यालयाकडील कोर्ट केसेस कामी होणार्‍या खर्चाकरिता लागणारा सर्व प्रकारचा खर्च</t>
  </si>
  <si>
    <t>ज. आयातकर कार्यालय बेरीज</t>
  </si>
  <si>
    <t>ज.  वजा एकूण बेरीज</t>
  </si>
  <si>
    <t>स्थानिक संस्था कर कार्यालय</t>
  </si>
  <si>
    <t>४. स्थानिक संस्था कर कार्यालयाकडील कोर्ट केसेस कामी होणार्‍या खर्चाकरिता लागणारा सर्व प्रकारचा खर्च</t>
  </si>
  <si>
    <t>५. स्थानिक संस्था कर कार्यालयासाठी फर्निचर करणे</t>
  </si>
  <si>
    <t>६. वार्षिक विवरणपत्र तपासणीसाठी खर्च</t>
  </si>
  <si>
    <t>स्थानिक संस्था कर कार्यालय बेरीज</t>
  </si>
  <si>
    <t>झ. मुख्य कार्यालय भवनाची दुरुस्ती</t>
  </si>
  <si>
    <t>२. मा. महा. आयुक्त व मा. अति. महा. आयुक्त यांचे निवासस्थानांची दुरूस्ती करणे (भवन)</t>
  </si>
  <si>
    <t>३. भवन दुरुस्ती (भवन)</t>
  </si>
  <si>
    <t>४. मा. महापौर यांचे निवासस्थानाची दुरूस्ती करणे (भवन)</t>
  </si>
  <si>
    <t>झ. मुख्य कार्यालय भवनाची दुरुस्ती बेरीज</t>
  </si>
  <si>
    <t>ञ. भांडार खाते</t>
  </si>
  <si>
    <t>१. कायम सेवकवर्ग वेतन (म.स.आ.)</t>
  </si>
  <si>
    <t>२. संकीर्ण (म.स.आ.)</t>
  </si>
  <si>
    <t>३. विमा हप्ता (म.स.आ.)</t>
  </si>
  <si>
    <t>ञ. भांडार खाते बेरीज</t>
  </si>
  <si>
    <t>ट. सल्लागार कामगार</t>
  </si>
  <si>
    <t>१. कायम सेवकवर्ग वेतन (म.स.आ.ज.)</t>
  </si>
  <si>
    <t>३. कामगार शिक्षण वर्ग खर्च</t>
  </si>
  <si>
    <t>५. सेवापूर्ती समारंभ</t>
  </si>
  <si>
    <t>६. कामगार कल्याणनिधी मनपा वर्गणी</t>
  </si>
  <si>
    <t>७. मृत सेवकांच्या वारसांना अर्थसहाय्य</t>
  </si>
  <si>
    <t>८. कामगारांसाठी आपत्कालीन निधी</t>
  </si>
  <si>
    <t>१०. पुणे शहरात अपघात शुल्क योजना राबविणे</t>
  </si>
  <si>
    <t>१४. पुणे मनपा अधिकारी / सेवक सांस्कृतिक मंच</t>
  </si>
  <si>
    <t>१५. क्षेत्रिय महिला तक्रार निवारण समिती</t>
  </si>
  <si>
    <t>मनपा मुख्य भवनामध्ये महिला अधिकारी/ कर्मचार्‍यांसाठी विश्रांतीकक्ष निर्माण करणे</t>
  </si>
  <si>
    <t>मराठी भाषा संवर्धन</t>
  </si>
  <si>
    <t>नगरसेवकांसाठी नागरिक समस्या सोडविण्यासाठी प्रशिक्षण वर्ग</t>
  </si>
  <si>
    <t>१ अपत्यावर कुटुंब नियोजनाचे ऑपरेशन केलेल्या पुणे महानगरपालिकेतील सेवकांना २ जादा वेतनवाढ देणे.</t>
  </si>
  <si>
    <t>ट. सल्लागार कामगार बेरीज</t>
  </si>
  <si>
    <t>ठ. जनता संपर्क कार्यालय</t>
  </si>
  <si>
    <t>ठ१. जनता संपर्क कार्यालय</t>
  </si>
  <si>
    <t>१ कायम सेवकवर्ग वेतन (म.स.आ.)</t>
  </si>
  <si>
    <t>३. दैनिके, साप्ताहिके, मासिके वर्गणी व पुस्तके खरेदी (म.स.आ.)</t>
  </si>
  <si>
    <t>४. संपर्क, प्रसिद्धी (म.स.आ.)</t>
  </si>
  <si>
    <t>५. जाहिरात प्रकटन खर्च</t>
  </si>
  <si>
    <t>६. मनपा कार्यक्रम प्रसिद्धी</t>
  </si>
  <si>
    <t>पुणे मनपामार्फत होणार्‍या विकास कामांची प्रसिध्दी करणे</t>
  </si>
  <si>
    <t>ठ१. जनता संपर्क कार्यालय बेरीज</t>
  </si>
  <si>
    <t>ड. सांख्यिकी आणि संगणक कार्यालय</t>
  </si>
  <si>
    <t>३. विशेष प्रकारचे हिशेबी काम कॉम्प्यूटरमार्फत करून घेणे, ईआरपी अंमलबजावणी, सॉफ्टवेअर डेव्हलपमेंट, डेटा इंन्ट्री, सेवकांना प्रशिक्षण खर्च, जीआयएस, वर्क्स मॅनेजमेंट सिस्टीम, क्युऑक्स व तद्‌नुषंगिक कामे करणे</t>
  </si>
  <si>
    <t>प्र.क्र. १७ ब संगणक दुरुस्ती व नविन संगणक खरेदी करुन संगणक वर्ग सुरु करणे</t>
  </si>
  <si>
    <t>ण. बेरीज</t>
  </si>
  <si>
    <t>त. विधी सल्लागार कार्यालय</t>
  </si>
  <si>
    <t>३. दावे, खटले, न्यायालयीन खर्च</t>
  </si>
  <si>
    <t>४. विधी सल्लागार कार्यालय फर्निचर व्यवस्था करणेसाठी</t>
  </si>
  <si>
    <t>त. विधी सल्लागार कार्यालय बेरीज</t>
  </si>
  <si>
    <t>थ१. नैसर्गिक आपत्तीग्रस्त / अपघात- ग्रस्तांना तातडीच्या खर्चासाठी मदत</t>
  </si>
  <si>
    <t>थ. नागरिक संरक्षण व पूर संरक्षण योजना बेरीज</t>
  </si>
  <si>
    <t>द.  अ. हंगामी सेवकवर्ग वेतन (मसआ.वि.)</t>
  </si>
  <si>
    <t>द. एकूण बेरीज</t>
  </si>
  <si>
    <t>ध. निवडणूक खर्च (म.स.आ.)</t>
  </si>
  <si>
    <t>१. निवडणूक व तद्‌नुषंगिक खर्च</t>
  </si>
  <si>
    <t>ध. निवडणूक खर्च बेरीज</t>
  </si>
  <si>
    <t>न. खानेसुमारी खर्च (म.स.आ.जिं.घ.)</t>
  </si>
  <si>
    <t>न. खानेसुमारी खर्च बेरीज</t>
  </si>
  <si>
    <t>र. विभागीय कार्यालये</t>
  </si>
  <si>
    <t>१. क्षेत्रीय आयुक्त वेतन</t>
  </si>
  <si>
    <t>२. क्षेत्रीय आयुक्त संकीर्ण</t>
  </si>
  <si>
    <t>३. क्षेत्रीय कार्यालये कायम सेवकवर्ग वेतन</t>
  </si>
  <si>
    <t>४. क्षेत्रीय कार्यालये संकीर्ण</t>
  </si>
  <si>
    <t>५. प्रभाग समिती चहापान खर्च</t>
  </si>
  <si>
    <t>र. विभागीय कार्यालये बेरीज</t>
  </si>
  <si>
    <t>ज्ञ. कर्ज उभारण्याचा खर्च, कर्जाचे हप्ते व व्याज (मु.ले.)</t>
  </si>
  <si>
    <t>व. घसारा</t>
  </si>
  <si>
    <t>वजा - मुख्य देखरेख</t>
  </si>
  <si>
    <t>वजा  बेरीज</t>
  </si>
  <si>
    <t>१. मुख्य देखरेख, वसुली वगैरे एकूण बेरीज</t>
  </si>
  <si>
    <t>२. प्राथमिक शिक्षण</t>
  </si>
  <si>
    <t>१. कायम सेवकवर्ग वेतन (प्रा.शि.)</t>
  </si>
  <si>
    <t>२. महागाई भत्ता (प्रा.शि.)</t>
  </si>
  <si>
    <t>४. सानुग्रह अनुदान (प्रा.शि.)</t>
  </si>
  <si>
    <t>५. सेवानिवृत्त वेतन व तोषदान (प्रा.शि.)</t>
  </si>
  <si>
    <t>६. अंशदायी निवृत्ती वेतन योजनेअर्तगत मनपाचा हिस्सा (प्रा.शि.)</t>
  </si>
  <si>
    <t>७. शिक्षण मंडळ सदस्य मानधन व सभाभत्ता</t>
  </si>
  <si>
    <t>८. संकीर्ण</t>
  </si>
  <si>
    <t>९. शिक्षण मंडळ कार्यालय खर्च</t>
  </si>
  <si>
    <t>ब. वकील फी</t>
  </si>
  <si>
    <t>१०. पेट्राल  डिझेल व तदनुषंगीक कामे</t>
  </si>
  <si>
    <t>११. सादिलवार</t>
  </si>
  <si>
    <t>१२. भवन भाडे</t>
  </si>
  <si>
    <t>१३. प्राथमिक शाळांकडील इमारत खर्च</t>
  </si>
  <si>
    <t>अ. शाळा इमारत दुरूस्ती</t>
  </si>
  <si>
    <t>ब. शाळा इमारत स्वच्छता व साहित्य खरेदी</t>
  </si>
  <si>
    <t>क. शाळा इमारत व कार्यालय वीज बीले</t>
  </si>
  <si>
    <t>ड. शाळा इमारती वीज दुरूस्ती</t>
  </si>
  <si>
    <t>इ. फर्निचर व इतर साहित्य शाळांसाठी व कार्यालयासाठी व दुरूस्ती</t>
  </si>
  <si>
    <t>१४. शालेय साहित्य खरेदी</t>
  </si>
  <si>
    <t>अ. गणवेश</t>
  </si>
  <si>
    <t>ब. शिपाई व रखवालदार यांना गणवेश</t>
  </si>
  <si>
    <t>क. बुटमोजे</t>
  </si>
  <si>
    <t>ड. दप्तरे</t>
  </si>
  <si>
    <t>१५. शैक्षणिक साहित्य</t>
  </si>
  <si>
    <t>अ. वहया</t>
  </si>
  <si>
    <t>ब. चित्रकला साहित्य</t>
  </si>
  <si>
    <t>क. लेखन साहित्य व पाटया खरेदी</t>
  </si>
  <si>
    <t>ड. विज्ञानकेंद्र प्रयोगशाळा (सायन्सलॅब)</t>
  </si>
  <si>
    <t>इ. वाचनालय पुस्तके</t>
  </si>
  <si>
    <t>फ. शारीरिक शिक्षण साहित्य</t>
  </si>
  <si>
    <t>अ. बसपास भाडे</t>
  </si>
  <si>
    <t>ब. बनियन पेटीकोट</t>
  </si>
  <si>
    <t>क. स्टेशनरी</t>
  </si>
  <si>
    <t>१७. क्रिडानिकेतन शाळा</t>
  </si>
  <si>
    <t>ब. क्रिडासाहित्य, मैदानावर लावणेसाठी</t>
  </si>
  <si>
    <t>ड. क्रिडामार्गदर्शक मानधन (१० महिने)</t>
  </si>
  <si>
    <t>इ. अल्पोपहार, भोजन (सुमारे २२० दिवस)</t>
  </si>
  <si>
    <t>ग. मैदान देखभाल व दुरूस्ती</t>
  </si>
  <si>
    <t>१८. इंग्रजी माध्यम शाळा</t>
  </si>
  <si>
    <t>ब. सी बी एस सी पुस्तके खरेदी</t>
  </si>
  <si>
    <t>ड. शिबीर, सेमीनार, सभा व चहापान</t>
  </si>
  <si>
    <t>२०. फॉर्म छपाई व इतर छपाई</t>
  </si>
  <si>
    <t>२१. शिष्यवृत्ती परिक्षा व शिष्यवृत्या</t>
  </si>
  <si>
    <t>२२. शैक्षणिक उपक्रम</t>
  </si>
  <si>
    <t>२३. समारंभ, राष्ट्रीय सण, वर्धापन दिन, शैक्षणिक पुरस्कार, जयंती व स्नेहसंमेलन</t>
  </si>
  <si>
    <t>२४. विविध स्पर्धा</t>
  </si>
  <si>
    <t>२५. सहली</t>
  </si>
  <si>
    <t>२६. शारदाबाई पवार जन्मशताब्दी वर्षानिमित्त दृकश्राव्य शिक्षण, उपकरणे व साहित्य</t>
  </si>
  <si>
    <t>२७. शाळा सुधार मोहीम</t>
  </si>
  <si>
    <t>केंब्रीज इंग्रजी परीक्षा, इंग्रजी भाषण परीक्षा यासाठी तरतुद</t>
  </si>
  <si>
    <t>क. बेरीज</t>
  </si>
  <si>
    <t>२. प्राथमिक शिक्षण एकूण बेरीज</t>
  </si>
  <si>
    <t>३. दुय्यम शिक्षण</t>
  </si>
  <si>
    <t>क. शिक्षणाधिकारी (माध्यमिक) यांचे कार्यालय</t>
  </si>
  <si>
    <t>३. सानुग्रह अनुदान</t>
  </si>
  <si>
    <t>४. सेवानिवृत्ती वेतन व तोषदान</t>
  </si>
  <si>
    <t>५. संकीर्ण</t>
  </si>
  <si>
    <t>६. शैक्षणिक मासिके</t>
  </si>
  <si>
    <t>७. शैक्षणिक परिषदा चर्चासत्र</t>
  </si>
  <si>
    <t>८. शिक्षणसाहित्य व शिलकी साहित्य</t>
  </si>
  <si>
    <t>१०. खेळाचे साहित्य</t>
  </si>
  <si>
    <t>११. भवन भाडे</t>
  </si>
  <si>
    <t>१३. प्रयोगशाळा</t>
  </si>
  <si>
    <t>१४. शैक्षणिक संस्थांना सभासद वर्गणी</t>
  </si>
  <si>
    <t>१५. छात्रसेना बालवीर इत्यादी</t>
  </si>
  <si>
    <t>१७. आंतरशालेय क्रीडा स्पर्धा</t>
  </si>
  <si>
    <t>१८. विज्ञान शोधिका</t>
  </si>
  <si>
    <t>१९. कॉम्प्युटर क्लास प्रोजेक्ट</t>
  </si>
  <si>
    <t>२१. आय.टी.आय. जागा वाढविणे</t>
  </si>
  <si>
    <t>२५. पर्यावरण शिक्षण उपक्रम</t>
  </si>
  <si>
    <t>पुणे शहरातील माध्यमिक शाळांमध्ये वॉटर प्रुफींग, पाण्याची व्यवस्था व इतर दुरुस्ती कामे करणे</t>
  </si>
  <si>
    <t>राजीव गांधी अ‍ॅकॅडमी ऑफ इ-लर्निंग इंग्लिश स्कूल</t>
  </si>
  <si>
    <t>३. दुय्यम शिक्षण एकूण बेरीज</t>
  </si>
  <si>
    <t>४. झोपडपट्टी निर्मूलन व पुनर्वसन विभाग</t>
  </si>
  <si>
    <t>क१. उपआयुक्त (झो.नि.पु.) यांचे कार्यालय</t>
  </si>
  <si>
    <t>१. उप आयुक्त (झो.नि.पु.) (असिस्टंट म्यु. कमिशनर स्लम क्लिअरन्स) (मुं.प्रा.मनपा. अधिनियम कलम ४५(३) प्रमाणे) यांचे वेतन</t>
  </si>
  <si>
    <t>९. झोपडीधारकांना आपत्कालीन सहाय्य</t>
  </si>
  <si>
    <t>क१. बेरीज</t>
  </si>
  <si>
    <t>क२. बेरीज</t>
  </si>
  <si>
    <t>क. एकूण बेरीज</t>
  </si>
  <si>
    <t>ख१. सब्‌इंजिनियर (हेल्थ)</t>
  </si>
  <si>
    <t>ख१. बेरीज</t>
  </si>
  <si>
    <t>ख२. सबइंजिनियर (हेल्थ) (विभा. कार्या.)</t>
  </si>
  <si>
    <t>सार्वजनिक/सुलभ शौचालय दुरूस्ती, मुतार्‍या दुरूस्ती कामे करणे</t>
  </si>
  <si>
    <t>काँक्रीटीकरणाची व फरशीची कामे / पेव्हींगची कामे व देखभाल दुरूस्ती करणे</t>
  </si>
  <si>
    <t>जुन्या ड्रेनेज लाईन बदलणे व दुरूस्ती करणे</t>
  </si>
  <si>
    <t>देखभाल दुरुस्तीसाठी साहित्य खरेदी - पुरविणे व बसविणे</t>
  </si>
  <si>
    <t>क्षेत्रीय कार्यालयाने करावयाची योजनेतर कामे</t>
  </si>
  <si>
    <t>क्षेत्रीय कार्यालयाने नागरिकांच्या सहभागातून करावयाची योजनेतर कामे</t>
  </si>
  <si>
    <t>ख२. बेरीज</t>
  </si>
  <si>
    <t>ख. एकूण बेरीज</t>
  </si>
  <si>
    <t>४. बालवाड्या देखभाल दुरुस्ती</t>
  </si>
  <si>
    <t>५. पाळणाघर दुरूस्ती कामे करणे</t>
  </si>
  <si>
    <t>७. सुवर्णजयंती शहरी रोजगार योजना राबविणे</t>
  </si>
  <si>
    <t>८. समूह संघटक मानधन देणे</t>
  </si>
  <si>
    <t>ग१. बेरीज</t>
  </si>
  <si>
    <t>ग२. बेरीज</t>
  </si>
  <si>
    <t>ग. एकूण बेरीज</t>
  </si>
  <si>
    <t>घ. उपायुक्त (समाजकल्याण) यांचे कार्यालय</t>
  </si>
  <si>
    <t>१. उपायुक्त (समाजकल्याण) यांचे वेतन</t>
  </si>
  <si>
    <t>घ. बेरीज</t>
  </si>
  <si>
    <t>संकीर्ण</t>
  </si>
  <si>
    <t>वसतिगृहातील इमारतीवर सोलर सिस्टीम करणे व जुनी सिस्टीम दुरूस्त करणे</t>
  </si>
  <si>
    <t>वसतिगृह देखभाल दुरूस्ती करणे</t>
  </si>
  <si>
    <t>खाजगी सुरक्षा व्यवस्था पुरविणे</t>
  </si>
  <si>
    <t>डॉ. बाबासाहेब आंबेडकर वसतिगृहासाठी ग्रंथालय, पुस्तके खरेदी करणे</t>
  </si>
  <si>
    <t>डॉ. बाबासाहेब आंबेडकर वसतिगृहातील मेससाठी टेबल, खुर्च्या खरेदी करणे</t>
  </si>
  <si>
    <t>डॉ. बाबासाहेब आंबेडकर वसतिगृहासाठी ग्रंथपाल, डेटाइंट्री ऑपरेटर नेमणे</t>
  </si>
  <si>
    <t>च. बेरीज</t>
  </si>
  <si>
    <t>४. झोपडपट्टी निर्मूलन व पुनर्वसन विभाग एकूण बेरीज</t>
  </si>
  <si>
    <t>५. लोकारोग्य</t>
  </si>
  <si>
    <t>३. कोठी व इतर साहित्य</t>
  </si>
  <si>
    <t>१. कायम सेवक वर्ग वेतन</t>
  </si>
  <si>
    <t>(अ) सेवकवर्ग वेतन</t>
  </si>
  <si>
    <t>(ब) संकीर्ण</t>
  </si>
  <si>
    <t>७. नागरी हिवताप निर्मूलन योजना (सेवकवर्ग वेतन)</t>
  </si>
  <si>
    <t>ख. बेरीज</t>
  </si>
  <si>
    <t>ग. बेरीज</t>
  </si>
  <si>
    <t>ड्‌. बेरीज</t>
  </si>
  <si>
    <t>१. सेवकवर्ग वेतन</t>
  </si>
  <si>
    <t>५. लोकारोग्य एकूण बेरीज</t>
  </si>
  <si>
    <t>३. नायडू व कमला नेहरू रुग्णालयातील रुग्णांना पौष्टिक आहार देणे</t>
  </si>
  <si>
    <t>४. औषधे व उपकरणी</t>
  </si>
  <si>
    <t>५. रोग्यांसाठी कपडे व लिनन</t>
  </si>
  <si>
    <t>८. इतर साहित्य</t>
  </si>
  <si>
    <t>९. कपडे धुलाई</t>
  </si>
  <si>
    <t>१०. रुग्णालयाकडील मशिनरी व इतर देखभाल व दुरुस्ती</t>
  </si>
  <si>
    <t>ख. कामगार राज्य विमा योजना</t>
  </si>
  <si>
    <t>७. आरोग्य विभाग</t>
  </si>
  <si>
    <t>कुटुंब नियोजन (संततिनियमन)</t>
  </si>
  <si>
    <t>३. प्रचार व शैक्षणिक कार्यक्रम, प्रदर्शन, उत्तेजनार्थ बक्षिसे देणे वगैरे</t>
  </si>
  <si>
    <t>४. फॅमिली प्लॅनिंग ब्युरो : सेवकवर्ग वेतन</t>
  </si>
  <si>
    <t>५. पोस्ट पार्टेम : सेवकवर्ग वेतन</t>
  </si>
  <si>
    <t>मुलांची आरोग्यविषयक तपासणी व पौष्टीक अन्नपुरवठा</t>
  </si>
  <si>
    <t>४. झोपडपट्टीतील बालकांच्या लसीकरण प्रकल्पासाठी पुणे मनपा व निरामय संयुक्त प्रकल्प</t>
  </si>
  <si>
    <t>कुत्र्यांचा बंदोबस्त</t>
  </si>
  <si>
    <t>उपद्रवी प्राण्यांचा बंदोबस्त</t>
  </si>
  <si>
    <t>जागतिक आरोग्य दिन</t>
  </si>
  <si>
    <t>विविध राष्ट्रीय आरोग्य कार्यक्रम</t>
  </si>
  <si>
    <t>पुणे शहरातील गरजू लोकांवर अल्पदरात उपचार करणार्‍या ताराचंद रामनाथ हॉस्पीटल येथे विविध सुधारणा करणेसाठी</t>
  </si>
  <si>
    <t>अ. बेरीज</t>
  </si>
  <si>
    <t>१. प्रजनन व बाल आरोग्य कार्यक्रम - कंत्राटी सेवकांच्या पगारासाठी मनपा हिस्सा</t>
  </si>
  <si>
    <t>४. आशा - एड्‌स नियंत्रण कार्यक्रम</t>
  </si>
  <si>
    <t>ब. बेरीज</t>
  </si>
  <si>
    <t>क. लोकारोग्य</t>
  </si>
  <si>
    <t>५अ. गॅस / डिझेल शवदाहिनी देखभाल दुरुस्ती</t>
  </si>
  <si>
    <t>६. प्रयोगशाळा शुल्क</t>
  </si>
  <si>
    <t>७. दुरुस्ती व इतर खर्च</t>
  </si>
  <si>
    <t>८. पुणे शहरात मृत्यु पावणार्‍या व्यक्तीचे दहन व दफनविधी विनामूल्य करणे</t>
  </si>
  <si>
    <t>साथींचा बंदोबस्त</t>
  </si>
  <si>
    <t>१. कायम सेवकवर्ग वेतन (जंतुनाशक फवारे)</t>
  </si>
  <si>
    <t>२. कायम सेवकवर्ग वेतन (कीटकप्रतिबंध)</t>
  </si>
  <si>
    <t>५. जंतुनाशक विषारी औषधे</t>
  </si>
  <si>
    <t>६. हिवताप (मलेरिया) निर्मूलनाची राष्ट्रीय योजना</t>
  </si>
  <si>
    <t>(क) रसायने</t>
  </si>
  <si>
    <t>८. मुळामुठा नदीच्या पात्रातील व इतर ठिकाणची जलपर्णी काढणे</t>
  </si>
  <si>
    <t>९. जनजागरण साहित्य</t>
  </si>
  <si>
    <t>११. पालखी, चतुःश्रृंगी यात्रा व गणेशोत्सव विसर्जन मिरवणूक इत्यादी</t>
  </si>
  <si>
    <t>१. मांडव उभारणे इत्यादी (भवन)</t>
  </si>
  <si>
    <t>२. पालखी व्यवस्था खर्च (भवन)</t>
  </si>
  <si>
    <t>रुग्णालये, प्रसूतिगृहे, औषधालये</t>
  </si>
  <si>
    <t>रुग्णालये, प्रसूतिगृहे व औषधालये येथे विविध सुधारणा कामे करणे</t>
  </si>
  <si>
    <t>डॉ. कोटणीस दवाखना (गाडीखाना) येथील लिफटचे काम करणे व इतर तद्‌नुषंगिक कामे करणे</t>
  </si>
  <si>
    <t>डॉ.कोटणीस दवाखाना (गाडीखाना) येथील प्रसुतीगृहाची विविध सुधारणा कामे करणे</t>
  </si>
  <si>
    <t>समाविष्ट गावांमध्ये नवीन रुग्णालये व दवाखाने / सस्थितीतील रुग्णालये व दवाखने सुरू करणेकरिता कंत्राटी पध्दतीने पगारापोटी मनपा हिस्सा</t>
  </si>
  <si>
    <t>पुणे शहरातील रुग्णालये व स्मशानभूमींमध्ये खाजगी सुरक्षा रक्षक पुरविणे</t>
  </si>
  <si>
    <t>ज्येष्ठ महिला तपासणी शिबिर घेण्यासाठी व उपचार</t>
  </si>
  <si>
    <t>जननी शिशु सुरक्षा अंतर्गत विविध उपकरणे</t>
  </si>
  <si>
    <t>मध्यवर्ती आरोग्य खात्याकडील विविध विभागातील फर्निचर करणे</t>
  </si>
  <si>
    <t>शीत साखळी उपकरणे देखभाल दुरूस्ती</t>
  </si>
  <si>
    <t>जननी शिशु सुरक्षा कार्यक्रम अंतर्गत मोफत औषधे, तपासणी, पौष्टिक आहार व वाहन व्यवस्था देणे</t>
  </si>
  <si>
    <t>विभागीय कार्यालयांच्या कार्यक्षेत्रात डॉग पॉंड्‌स आणि व्हेटरनरी क्लिनिक टेंडर पध्दतीने बांधणे</t>
  </si>
  <si>
    <t>क. सेवकांसाठी आरोग्य सहाय्य योजना</t>
  </si>
  <si>
    <t>३. औषधे, उपकरणी व साहित्य वगैरे :</t>
  </si>
  <si>
    <t>ब१. मनपा सभासदांसाठी रिएम्बर्समेंट</t>
  </si>
  <si>
    <t>ब२. मनपा सेवकांसाठी रिएम्बर्समेंट</t>
  </si>
  <si>
    <t>माजी सभासदांसाठी वैकिय सहाय्य योजना</t>
  </si>
  <si>
    <t>शिक्षण मंडळ सेवकांसाठी रिएम्बर्समेंट</t>
  </si>
  <si>
    <t>पुणे शहरातील झोपडपट्टीत राहणारे / पिवळे रेशनकार्ड धारक / वार्षिक उत्पन्न रु. १ लाखापर्यंतच्या नागरिकांसाठी पुणे मनपातर्फे आरोग्य सहाय्य योजना</t>
  </si>
  <si>
    <t>कारकस युटीलायझेशन प्रोजेक्टची देखभाल दुरुस्ती</t>
  </si>
  <si>
    <t>मयत अनुदान</t>
  </si>
  <si>
    <t>साथीचे रोगनियंत्रण विविध उपाय योजनांसाठी</t>
  </si>
  <si>
    <t>मांस, मासळी बाजार व पशुवधगृहे</t>
  </si>
  <si>
    <t>३. जंतुनाशक औषधे</t>
  </si>
  <si>
    <t>५. कोंढवा कत्तलखाना ई.टी.पी. प्लॅन्ट चालविणे व इतर सुधारणा कामे करणे</t>
  </si>
  <si>
    <t>जन्म व मृत्यू रेकॉर्डचे संगणकीकरण करणे, डेटाबेस, स्कॅनिंग व डिजीटलायझेशन करणे</t>
  </si>
  <si>
    <t>जन्म व मृत्यू दाखल्यांसाठी मनपाच्या लोगोसह वॉटरमार्क पेपरचा पुरवठा करणे</t>
  </si>
  <si>
    <t>शहरातील हिंदू स्मशानभूमीत सुधारणा कामे करणे</t>
  </si>
  <si>
    <t>शहरातील मुस्लिम कब्रस्तानात सुधारणा कामे करणे</t>
  </si>
  <si>
    <t>शहरातील ख्रिश्चन दफनभूमी येथे सुधारणा कामे करणे</t>
  </si>
  <si>
    <t>लिंगायत स्मशानभूमीत विविध सुधारणा कामे करणे</t>
  </si>
  <si>
    <t>लिंगायत ख्रिश्चन मुस्लिम स्मशानभूमीमध्ये माती टाकणे</t>
  </si>
  <si>
    <t>आरोग्य कार्यालयाचे नियंत्रणाखाली कोंढवा कत्तलखाना, मटण, मासळी मार्केटची दुरूस्ती</t>
  </si>
  <si>
    <t>कोंढवा कत्तलखाना येथील प्रयोगशाळा चालविणे</t>
  </si>
  <si>
    <t>मुंढवा, केशवनगर येथे ईनसिनेटर चालविणे</t>
  </si>
  <si>
    <t>पुणे मनपाचे जन्म-मृत्यू केंद्रावर स्कॅनर व संगणक यंत्रणा कार्यान्वित करणे.</t>
  </si>
  <si>
    <t>जनेरीक मेडीसिन शॉप सुरू करणे.</t>
  </si>
  <si>
    <t>कमला नेहरू रुग्णालय येथील अतिदक्षता विभागाकरिता दैनंदिन वापरासाठी औषधें व इतर अत्यावश्यक साहित्य (कंझुमेबल) खरेदी करणे</t>
  </si>
  <si>
    <t>कमला नेहरू रुग्णालय येथे बंदपत्रित तज्ज्ञ (बाँडेड) (स्पेशालिस्ट व सुपर स्पेशालिस्ट) डॉक्टरांच्या एकवट वेतनापोटी</t>
  </si>
  <si>
    <t>लोकारोग्य (विभागीय कार्यालय)</t>
  </si>
  <si>
    <t>क. लोकारोग्य बेरीज</t>
  </si>
  <si>
    <t>७. रुग्णालये, प्रसूतिगृहे व औषधालये इ.एकूण बेरीज</t>
  </si>
  <si>
    <t>९. पथांची झाडलोट, कचरावाहतूक व मैलापाणी वाहतूक व्यवस्था</t>
  </si>
  <si>
    <t>क१. पथांची झाडलोट</t>
  </si>
  <si>
    <t>३. सॅनिटेशन कमिटी जनजागृती मोहिम</t>
  </si>
  <si>
    <t>४. कोठी व इतर साहित्य व खराटापोटी भत्ता</t>
  </si>
  <si>
    <t>६. रॅक पिकर्स यांचा विमा काढणे व त्यांच्या मुलांना शैक्षणिक अर्थसहाय्य करणे</t>
  </si>
  <si>
    <t>७. उरूळी कचरा डेपोसाठी लागणार्‍या कचरा गाड्या भाडे तत्त्वावर घेणे</t>
  </si>
  <si>
    <t>९. मनपा इमारती, ऑडीटोरियम, क्षेत्रीय कार्यालये इ. अंतर्गत स्वच्छता करणे</t>
  </si>
  <si>
    <t>१४. मास्क, गमबूट, हॅण्डग्लोज इ.</t>
  </si>
  <si>
    <t>१६. मध्यवर्ती रॅगपिकर्स सोसायटी व इतर संस्थांसाठी सहाय्य व तद्‌नुषंगिक खर्च</t>
  </si>
  <si>
    <t>१८.उरुळीदेवाची फुरसुंगी कचरा डेपो परिसरात औषध फवारणी</t>
  </si>
  <si>
    <t>१९.उभारण्यात आलेल्या व्हर्मिकंपोस्ट / बायोगॅस व मॅकेनिकल कंपोस्टींग / श्रेडर मशिन प्रकल्पाची देखभाल दुरुस्ती व तद्‌नुषंगिक कामे करणे</t>
  </si>
  <si>
    <t>२०. उरुळी देवाची व  फुरसुंगी गावामध्ये टॅकरने पाणीपुरवठा करणे</t>
  </si>
  <si>
    <t>संत गाडगेबाबा नागरी स्वच्छता अभियान राबविणे</t>
  </si>
  <si>
    <t>घरोघरी जाऊन कचरा गोळा करणे, कंटेनर मुक्त शहर करणे</t>
  </si>
  <si>
    <t>घनकचरा व्यवस्थापन कार्यालयाकडील गणवेश अनुज्ञेय सेवकांसाठी गणवेश खरेदी करणे</t>
  </si>
  <si>
    <t>लोकनेते यशवंतराव चव्हाण स्वच्छ सुंदर प्रभाग स्पर्धा प्रथम क्रमांक (सन २०१५-१६)</t>
  </si>
  <si>
    <t>लोकनेते यशवंतराव चव्हाण स्वच्छ सुंदर प्रभाग स्पर्धा व्दितीय क्रमांक (सन २०१५-१६)</t>
  </si>
  <si>
    <t>लोकनेते यशवंतराव चव्हाण स्वच्छ सुंदर प्रभाग स्पर्धा तृतीय क्रमांक (सन २०१५-१६)</t>
  </si>
  <si>
    <t>लोकनेते यशवंतराव चव्हाण स्वच्छ सुंदर प्रभाग स्पर्धा चतुर्थ क्रमांक (सन २०१५-१६)</t>
  </si>
  <si>
    <t>ईयू अंतर्गत झोपडपट्टीमधील स्वच्छतेसंदर्भात करावयाच्या कामांसाठी मनपाचा हिस्सा</t>
  </si>
  <si>
    <t>लोकनेते यशवंतराव चव्हाण शहर स्वच्छता अभियान अंतर्गत शून्य कचरा प्रक्रिया प्रकल्प राबविणे</t>
  </si>
  <si>
    <t>शहरातील सार्वजनिक शौचालय व मुतार्‍या साफ करण्यासाठी आवश्यक ते साधनसाहित्य (पावडर साधन सामुग्री, केमिकल व तद्‌नुषंगिक साहित्य) खरेदी करणे</t>
  </si>
  <si>
    <t>बायोलॉजिकल ओडोर कंट्रोलर व वेस्ट डिग्रेटर पुरविणे</t>
  </si>
  <si>
    <t>पुणे शहरातील सार्वजनिक स्वच्छतागृहांची स्वच्छता यांत्रिक पध्दतीने करणे (भाग अ व भाग ब)</t>
  </si>
  <si>
    <t>स्वच्छ भारत अभियान तसेच पुणे शहराच्या भेटीवरील विविध शिष्टमंडळांची व्यवस्था करणेसाठी</t>
  </si>
  <si>
    <t>रॅगपिकर्ससाठी लागणार्‍या संरक्षित साहित्य व विमा संरक्षण इ. सुविधा पुरविणे</t>
  </si>
  <si>
    <t>२२. पुणे शहारात प्रभाग स्तरावर कचरा व्यवस्थापन करणे</t>
  </si>
  <si>
    <t>क२. पथांची झाडलोट (विभागीय कार्या.)</t>
  </si>
  <si>
    <t>घंटागाड्या,सायकल रिक्षा पुरविणे व दुरूस्ती,बकेट खरेदी करणे, आरोग्यकोठ्या दुरूस्त करणे</t>
  </si>
  <si>
    <t>बायोगॅस, गांडुळखत प्रकल्प संबंधी आवश्यक ती कामे करणे</t>
  </si>
  <si>
    <t>ख१. कचरावाहतूक</t>
  </si>
  <si>
    <t>ख२. कचरा वाहतूक (विभागीय कार्यालय)</t>
  </si>
  <si>
    <t>घ२. बेरीज</t>
  </si>
  <si>
    <t>घ. एकूण बेरीज</t>
  </si>
  <si>
    <t>च२. झोपडपट्टी वस्त्यांची स्वच्छता व साफसफाईची कामे (विभा.कार्या.)</t>
  </si>
  <si>
    <t>च२. बेरीज</t>
  </si>
  <si>
    <t>च. एकूण बेरीज</t>
  </si>
  <si>
    <t>९. पथांची झाडलोट, कचरा वाहतूक व मैलापाणी वाहतूक व्यवस्था एकूण बेरीज</t>
  </si>
  <si>
    <t>१०. पथ सुधारणा (विशेष कार्याधिकारी)</t>
  </si>
  <si>
    <t>क१. पथ सुधारणा (विशेष कार्याधिकारी)</t>
  </si>
  <si>
    <t>२. हंगामी सेवकवर्ग वेतन (रोजंदारी सेवकवर्ग)</t>
  </si>
  <si>
    <t>३. संकीर्ण (१) पथ विभाग</t>
  </si>
  <si>
    <t>क२. पथ सुधारणा (विशेष कार्याधिकारी) (विभा.कार्या.)</t>
  </si>
  <si>
    <t>ख१. पथ दुरुस्ती (पथ विभाग)</t>
  </si>
  <si>
    <t>१. पथांची दुरुस्ती</t>
  </si>
  <si>
    <t>(अ) निरनिराळ्या पथांवरील खड्डे दुरुस्ती करणे (मोबाईल पार्टी)</t>
  </si>
  <si>
    <t>४. यंत्रे दुरुस्ती हॉट मिक्स प्लँट साहित्य व इतर कामे / डांबरी माल विकत घेणे</t>
  </si>
  <si>
    <t>५. अस्तित्वातील पुलांची, नाल्यांची व नाल्यावरील कल्व्हर्टची देखभाल व दुरुस्ती</t>
  </si>
  <si>
    <t>११. ट्रॅफिक वॉर्डन यांच्या खर्चासाठी</t>
  </si>
  <si>
    <t>ख२. पथ दुरुस्ती (विभागीय कार्यालय)</t>
  </si>
  <si>
    <t>पथांवरील राडारोडा उचलणे</t>
  </si>
  <si>
    <t>निरनिराळ्या पथावरील खड्‌डे दुरुस्ती करणे</t>
  </si>
  <si>
    <t>रियन्सटेंटमेंटची कामे करणे.</t>
  </si>
  <si>
    <t>पथावरील पुतळ्यांची स्वच्छता व दुरूस्ती करणे</t>
  </si>
  <si>
    <t>साईन बोर्डस्‌ रंगविणे, रंगरंगोटी, रेलींगची कामे व डिव्हायडरची कामे करणे</t>
  </si>
  <si>
    <t>फूटपाथ दुरूस्ती करणे</t>
  </si>
  <si>
    <t>पेव्हींग ब्लॉकची दुरूस्ती / कामे करणे</t>
  </si>
  <si>
    <t>मोबाईल पार्टी व रिक्युपमेंटची बिले देणे</t>
  </si>
  <si>
    <t>कोठीसाठी आवश्यक साहित्य पुरविणे व खरेदी करणे</t>
  </si>
  <si>
    <t>किरकोळ दुरुस्तीची कामे मजुरांमार्फत करून घेणे</t>
  </si>
  <si>
    <t>पावसाळी लाईन ६०० मि.मि.पर्यंत पाईप टाकणे/दुरूस्ती करणे व इतर अनुषंगिक कामे करणे</t>
  </si>
  <si>
    <t>पावसाळी जाळ्या पुरविणे, बसविणे व दुरूस्ती करणे</t>
  </si>
  <si>
    <t>काँक्रीटीकरण करणे / फरशी बसविणे व दुरूस्ती करणे</t>
  </si>
  <si>
    <t>मुरूम पुरविणे व रस्ता दुरूस्त करणे</t>
  </si>
  <si>
    <t>३. सोडियम व्हेपर दिवे व साहित्य खरेदी करणे</t>
  </si>
  <si>
    <t>४. समाविष्ट गावांमधील वीज खर्च</t>
  </si>
  <si>
    <t>६. येरवडा येथील हॉट मिक्स प्लँटसाठी वीज खर्च</t>
  </si>
  <si>
    <t>७. शनिवार वाडा येथे प्रकाश व्यवस्था करणे</t>
  </si>
  <si>
    <t>८. विविध प्रकारच्या मशिनरी, लिफ्ट, ए.सी., इत्यादींची देखभाल दुरूस्ती करणे</t>
  </si>
  <si>
    <t>९. गणेशोत्सव काळात शनिवारवाडा व संपूर्ण शहरात विविध कार्यक्रमांसाठी तात्पुरती प्रकाश व्यवस्था करणे</t>
  </si>
  <si>
    <t>कारंजे व थ्रीडी थिएटर ऑपरेटिंग देखभाल, दुरूस्ती करणे</t>
  </si>
  <si>
    <t>मनपाच्या विविध भवनांमधील उद्‌वाहकाची देखभाल दुरूस्ती</t>
  </si>
  <si>
    <t>ग२. पथांवरील दिवाबत्ती (विभागीय कार्यालय)</t>
  </si>
  <si>
    <t>१. संकीर्ण</t>
  </si>
  <si>
    <t>२. बीएसयुपी प्रकल्पांतर्गत बांधण्यात आलेल्या ओटा मार्केट इनसीटू डॉरमेटरीज, वारजे, हडपसर येथील इमारतींसाठी सिक्युरिटी पुरविणे, मेंटेनन्स, लाईटबील, रिपेअरिंग व इतर तद्‌नुषंगीक कामे करणे</t>
  </si>
  <si>
    <t>छ. विशेष कार्याधिकारी (अति. नगर अभियंता) - मेट्रो प्रकल्प</t>
  </si>
  <si>
    <t>३. मेट्रो सेल विभागाकडील खर्च</t>
  </si>
  <si>
    <t>१०. पथ सुधारणा एकूण बेरीज</t>
  </si>
  <si>
    <t>११. यांत्रिक</t>
  </si>
  <si>
    <t>क. यांत्रिक स्थापत्य अधिकारी यांचे कार्यालय</t>
  </si>
  <si>
    <t>२. पेट्रोल, डिझेल, ऑईल व सीएनजीसाठी खर्च</t>
  </si>
  <si>
    <t>२अ. सुटे भाग खर्च</t>
  </si>
  <si>
    <t>३. फुरसुंगी व अन्य टोलनाक्यासाठी गाड्यांचे टोल भरणे</t>
  </si>
  <si>
    <t>४. भाडे तत्त्वावर गाड्या घेणे</t>
  </si>
  <si>
    <t>५. आर.टी.ओ. पासिंग कामे करणे</t>
  </si>
  <si>
    <t>६.  मा. पदाधिकारी यांना शासकीय वाहनाऐवजी वाहन प्रतीपूर्ती भत्ता</t>
  </si>
  <si>
    <t>ख. कर्मशाला (स.का.)</t>
  </si>
  <si>
    <t>१अ. कायम सेवकवर्ग वेतन (एम्प्लॉईज प्रॉव्हिडंट फंड अ‍ॅक्टखालील)</t>
  </si>
  <si>
    <t>१ब. कायम सेवकवर्ग वेतन (तसलमात दुबेरजीमधील सेवक)</t>
  </si>
  <si>
    <t>३. हत्यारे व यंत्र</t>
  </si>
  <si>
    <t>५. कामगारांना सूतवाईस, रॉकेल वगैरे देणे</t>
  </si>
  <si>
    <t>६. मशिनरी दुरुस्ती व देखभाल</t>
  </si>
  <si>
    <t>७. परवाना नुतनीकरण शुल्क</t>
  </si>
  <si>
    <t>८. साहित्य खर्च</t>
  </si>
  <si>
    <t>१०. कामगार, मोटारसारथी यांना बुट, गणवेश व स्वेटर देणे</t>
  </si>
  <si>
    <t>११. ढकलगाडे, व्हिल बॅरो, लोखंडी कंटेनर दुरूस्त करणे</t>
  </si>
  <si>
    <t>ग. मोटार विभाग (कार्यकारी अभियंता, व्हेईकल डेपो)</t>
  </si>
  <si>
    <t>२. व्हेईकल डेपोकडील कायम सेवकवर्ग वेतन (एम्प्लॉईज प्रा. फंड अ‍ॅक्टखालील)</t>
  </si>
  <si>
    <t>३. कायम सेवकवर्ग वेतन (मोटारसारथी)</t>
  </si>
  <si>
    <t>४अ. हंगामी सेवकवर्ग वेतन (मोटार व्हेईकल डेपोकडील सारथी विभाग व इतर हंगामी सेवकवर्ग)</t>
  </si>
  <si>
    <t>४क. ठेकेदारी पद्धतीने घेण्यात येणार्‍या मोटार सारथी / तांत्रिक सेवकांचे वेतन</t>
  </si>
  <si>
    <t>६. स्वच्छता व दुरुस्ती</t>
  </si>
  <si>
    <t>८. मोटार हत्यारे</t>
  </si>
  <si>
    <t>९. कामगार शिक्षण योजना साहित्य, फर्स्टएड कोर्स व तद्‌नुषंगिक खर्च</t>
  </si>
  <si>
    <t>१०. चहा भत्ता</t>
  </si>
  <si>
    <t>११. नोंदणी शुल्क</t>
  </si>
  <si>
    <t>१२. विमा</t>
  </si>
  <si>
    <t>१३. गुलटेकडी व्हेईकल डेपो देखभाल दुरुस्ती</t>
  </si>
  <si>
    <t>१४. अपघात नुकसान भरपाई</t>
  </si>
  <si>
    <t>१५. व्हेईकल मेंटेनन्स मशिनरीची देखभाल व दुरुस्ती</t>
  </si>
  <si>
    <t>१६. परवाना नुतनीकरण शुल्क</t>
  </si>
  <si>
    <t>१७. आर.टी.ओ. विषयक कामे करणे</t>
  </si>
  <si>
    <t>१८. हायड्रॉलिक यंत्रणेवर चालणार्‍या वाहनांची हायड्रॉलिक यंत्रणा दुरूस्ती</t>
  </si>
  <si>
    <t>१९. पुणे शहरातील ड्रेनेज लाईन जेटिंग मशिनच्या सहाय्याने साफ करणे</t>
  </si>
  <si>
    <t>२०. मोटारींचे इंजिन दुरूस्ती, रिकॉन करणे</t>
  </si>
  <si>
    <t>२१. प्रमुख रस्त्यांवरील ड्रेनेज चेंबरमधील गाळ यांत्रिक पंपाच्या सहाय्याने साफ करणे</t>
  </si>
  <si>
    <t>२२. शहरातील मोठ्या ड्रेनेज लाईन साफसफाईसाठी यांत्रिकीकरणाने साफसफाई करणे</t>
  </si>
  <si>
    <t>२३. प्रमुख रस्ते (समाविष्ट गावांसह) मेकॅनिकल स्विपींग मशिनने साफ करणे</t>
  </si>
  <si>
    <t>सारसबाग कोठीकडील मशिनरींची देखभाल दुरूस्ती</t>
  </si>
  <si>
    <t>बी.आर.सी. व अन्य कचरा विषयक वाहनांचे ऑपरेशन व मेंटेनन्स खाजगीकरणाने करणे</t>
  </si>
  <si>
    <t>विविध रॅम्पसवरील कामकाज व कचरा वाहतूक खाजगीकरणाने करणे</t>
  </si>
  <si>
    <t>पावसाळी नाले साफसफाईसाठी भाडेतत्वावर एस्कॅव्हेटर लोडर, हायड्रोलिक एस्कॅव्हेटर घेणे</t>
  </si>
  <si>
    <t>पावसाळी नाले साफसफाईसाठी भाडेतत्वावर टिपर घेणे</t>
  </si>
  <si>
    <t>वानवडी कोंढवा व धनकवडी क्षेत्रिय कार्यालयाअंतर्गत येणार्‍या प्रभागातील कचरा ट्रॅक्टरच्या सहाय्याने वाहून नेणे</t>
  </si>
  <si>
    <t>पुणे मनपाकडे स्थानांतरणीय केंद्रांवर कचरा वाहतूक करणारी वाहणे वॉशिंग करण्यासाठी व्यवस्था करणे</t>
  </si>
  <si>
    <t>स्थानांतरणीय केंद्रांवर असणारे वजन काट्यांची देखभाल दुरूस्ती करणे</t>
  </si>
  <si>
    <t>घनकचरा व्यवस्थापन, क्षेत्रिय कार्यालये, आरोग्य यांचेकडे कार्यरत असलेल्या वाहनांवर पी.ए. सिस्टीम बसविणे व त्याची देखभाल दुरूस्ती करणे</t>
  </si>
  <si>
    <t>घनकचरा व्यवस्थापन विभागाकडील वाहनांना जी.पी.आर.एस. प्रणाली बसविणे</t>
  </si>
  <si>
    <t>भाडेतत्त्वावर क्रेन, ट्रक व ट्रेलर घेणे</t>
  </si>
  <si>
    <t>११. यांत्रिक एकूण बेरीज</t>
  </si>
  <si>
    <t>१२. भवने, भूमी व मनपा वसाहती यांची व्यवस्था</t>
  </si>
  <si>
    <t>क. भवने व भूमी खाते - (म.स.आ.वि.)</t>
  </si>
  <si>
    <t>मनपाच्या मिळकती संदर्भात होणारा अत्यावश्यक खर्च</t>
  </si>
  <si>
    <t>४. भाडे व सारा -</t>
  </si>
  <si>
    <t>अ) मनपाच्या स्थावर मिळकतींवरील सारा</t>
  </si>
  <si>
    <t>ब) भूमी भाडे</t>
  </si>
  <si>
    <t>६. महानगरपालिकेच्या वसाहती व इतर भवने यांची देखभाल व दुरुस्ती (भवन)</t>
  </si>
  <si>
    <t>७. स्वातंत्र्यवीर सावरकर औोगिक भवन येथील स्वच्छता व परिरक्षण सेवा (म.स.आ.वि.)</t>
  </si>
  <si>
    <t>८. कमर्शिअल इमारतींत देखभाल, दुरुस्ती (भवन)</t>
  </si>
  <si>
    <t>पुणे मनपाच्या सर्व इमारती, भवने यांसाठी खाजगी सुरक्षा रक्षक पुरविणे</t>
  </si>
  <si>
    <t>ख. महानगरपालिकेची भवने</t>
  </si>
  <si>
    <t>३. विश्रामबागवाडा, लालमहाल व मोलेदिना हॉल व इतर भवनांची देखभाल व दुरुस्ती</t>
  </si>
  <si>
    <t>औंध, घोलेरोड, कोथरूड, वारजे कर्वेनगर, ढोलेपाटील,  संगमवाडी, भवानीपेठ, सहकारनगर, कसबा विश्रामबागवाडा, टिळकरोड, हडपसर, बिबवेवाडी, नगर रोड (वडगावशेरी) क्षेत्रीय कार्यालय इमारत दुरुस्ती करणे व रॅम्प तयार करणे (भवन)</t>
  </si>
  <si>
    <t>पुणे मनपाच्या असलेल्या वसाहतींमध्ये विविध दुरुस्ती करणे</t>
  </si>
  <si>
    <t>महापालिका व मनपा भवन कार्यालयांत महिलांसाठी अत्याधुनिक स्वच्छतागृहे बांधणे</t>
  </si>
  <si>
    <t>महात्मा फुले पेठ येथील महात्मा फुले यांच्या राष्ट्रीय स्मारकाचे देखभाल व दुरस्ती करणे सावित्रीबाई फुले स्मारक व महात्मा फुले वाडा मधील परिसराचा विकास करणे</t>
  </si>
  <si>
    <t>पुणे शहरातील विविधा पुतळ्यांच्या चौथर्‍यांची व परिसरातील भागांची दुरूस्ती करणे</t>
  </si>
  <si>
    <t>ग१. मनपा वसाहती</t>
  </si>
  <si>
    <t>१. कायम सेवकवर्ग वेतन (म.स.आ.वि.)</t>
  </si>
  <si>
    <t>ग२. मनपा वसाहती (विभागीय कार्यालय)</t>
  </si>
  <si>
    <t>२. मनपा वसाहतींची देखभाल दुरुस्ती</t>
  </si>
  <si>
    <t>भवन दुरुस्ती (शाळा, दवाखाने, मार्केट, क्षेत्रिय कार्यालय, मनपा वसाहती इ.)</t>
  </si>
  <si>
    <t>इतर भवन दुरुस्ती (घाट, स्मशानभूमी, विसर्जन हौद इ.)</t>
  </si>
  <si>
    <t>उत्सवानिमित्त (पालखी, जयंती, गणेशोत्सव इ.) मांडव उभारणे व तदनुषंगिक कामे करणे</t>
  </si>
  <si>
    <t>किरकोळ दुरुस्तीसाठी कोठीस साहित्य पुरविणे</t>
  </si>
  <si>
    <t>१२. भवने व भूमी यांची व्यवस्था एकूण बेरीज</t>
  </si>
  <si>
    <t>१३. बांधकाम नियोजन, नगर रचना व नगर विकास योजना</t>
  </si>
  <si>
    <t>क. नगर अभियंता यांचे मुख्य कार्यालय</t>
  </si>
  <si>
    <t>१. नगर अभियंता (मुं.प्रां.म. अधिनियम, कलम ४५ (३) अन्वये) (न.अ.) वेतन</t>
  </si>
  <si>
    <t>२अ. नगर अभियंता यांचे कार्यालय - कायम सेवकवर्ग वेतन (न.अ.)</t>
  </si>
  <si>
    <t>४. कोर्ट कामासाठी खर्च (न.अ.)</t>
  </si>
  <si>
    <t>५. कॉन्टॅ्रक्ट लेबर अ‍ॅक्टनुसार रजिस्टे्रशन फी भरणे</t>
  </si>
  <si>
    <t>६. प्रवास खर्च</t>
  </si>
  <si>
    <t>पुणे आर्टस्‌ कमिटी स्थापन करणे व त्यायोगे पुणे पर्यटनाचा व्हिजन प्लॅन तयार करणे</t>
  </si>
  <si>
    <t>९. थर्ड पार्टी क्वालिटी अ‍ॅश्युरन्सकरिता सल्लागार फी देणे</t>
  </si>
  <si>
    <t>१३. टीडीआरपोटी सर्चकरिता जाहिरात खर्च</t>
  </si>
  <si>
    <t>१४. टीडीआरपोटी सर्च टायटलकरिता वकील फी</t>
  </si>
  <si>
    <t>१५. शहरात व समाविष्ट गावांत टी.पी. स्कीम करणे</t>
  </si>
  <si>
    <t>क्षेत्रिय कार्यालयाकडील विकास कामांचा दर्जा तपासण्यासाठी कन्सलटंट नेमणे</t>
  </si>
  <si>
    <t>पुणे मनपा हद्दीमध्ये डी. पी. मार्कींग करणे व एकत्रित योजना करणे तसेच टाऊन प्लॅनिंग स्कीम राबविणे / जुन्या हद्दीतील निवासी झोनचा विकास आराखडा तयार करणे / मनपा हद्दीमध्ये सिटी सर्व्हे करणे</t>
  </si>
  <si>
    <t>अनधिकृत / धोक्याच्या बांधकामाबाबत कारवाई करण्यासाठी लागणारी मशिनरी भाडे तत्त्वावर / खरेदीने उपलब्ध करून घेणे</t>
  </si>
  <si>
    <t>ऑटो डी.सी.आर.च्या अनुषंगाने सॉफ्टवेअर व हार्डवेअर अयावत करणेसाठी यंत्रणा विकसित करणे</t>
  </si>
  <si>
    <t>कागदपत्रे जतन करण्याकरिता मायक्रोफ्लिमींग व स्कॅनिंग करणे</t>
  </si>
  <si>
    <t>पुणे शहरातील मोबाईल टॉवर नियमीतीकरण करणे व करआकारणी करणे</t>
  </si>
  <si>
    <t>पुणे शहरातील अनधिकृत बांधकामाचे सर्वेक्षण करणे</t>
  </si>
  <si>
    <t>पुणे शहरातील टेकड्यालगतच्या रहिवाशांच्या सुरक्षिततेसाठी उपाययोजना करणेसाठी जमिनीचा जिऑलॉजिकल सर्वे करणे</t>
  </si>
  <si>
    <t>ख. बांधकाम परवानगी</t>
  </si>
  <si>
    <t>खाजगी भवनांचे बांधकाम नियंत्रण -</t>
  </si>
  <si>
    <t>१अ. कायम सेवकवर्ग वेतन (न.अ.)</t>
  </si>
  <si>
    <t>३. हत्यारे व इतर साहित्य (न.अ.)</t>
  </si>
  <si>
    <t>४. प्रवास खर्च</t>
  </si>
  <si>
    <t>ग. नगर विकास खाते</t>
  </si>
  <si>
    <t>घ. नगर विकास योजना</t>
  </si>
  <si>
    <t>१. कायम सेवकवर्ग वेतन (न.अ.)</t>
  </si>
  <si>
    <t>४.२३ गावातील विकास आराखड्यानुसार रस्ते जागेवर आखणे व  दगड पुरविणे</t>
  </si>
  <si>
    <t>५.२३ गावातील विकास आराखड्याची छपाई व प्रती काढणे</t>
  </si>
  <si>
    <t>च. विकास अभियंता (प्रकल्प)</t>
  </si>
  <si>
    <t>१अ. कायम सेवकवर्ग वेतन</t>
  </si>
  <si>
    <t>छ१. भवन विभाग</t>
  </si>
  <si>
    <t>छ१. बेरीज</t>
  </si>
  <si>
    <t>छ२. भवन विभाग (विभागीय कार्यालय)</t>
  </si>
  <si>
    <t>छ२. बेरीज</t>
  </si>
  <si>
    <t>छ. एकूण बेरीज</t>
  </si>
  <si>
    <t>१३. बांधकाम नियोजन, नगर रचना व 
नगर विकास योजना एकूण बेरीज</t>
  </si>
  <si>
    <t>१४. अग्निशामक पथक</t>
  </si>
  <si>
    <t>क. आग विझविण्याचे यंत्र (बंब)</t>
  </si>
  <si>
    <t>२. संकीर्ण / गणवेश</t>
  </si>
  <si>
    <t>३. स्वच्छता व दुरुस्ती :</t>
  </si>
  <si>
    <t>(अ) यंत्रे व उपकरणी (न.अ.)</t>
  </si>
  <si>
    <t>४. साहित्य - कॅन्व्हासच्या नळ्या व तोंडे (न.अ.)</t>
  </si>
  <si>
    <t>५. पारितोषिके (न.अ.)</t>
  </si>
  <si>
    <t>६. कंपल्सरी इन्शुरन्स अंडर पर्सनल इन्ज्युअरीज स्कीमचा हप्ता (न.अ.)</t>
  </si>
  <si>
    <t>७. मोटार खाते खर्च : मोटार दुरुस्ती व इतर साहित्याचा खर्च (न.अ.)</t>
  </si>
  <si>
    <t>९. कोळे कल्याण येथील अग्निशामक दलाच्या सेवकांच्या प्रशिक्षण केंद्रास पाठवावयाचे अनुदान</t>
  </si>
  <si>
    <t>१४. अग्निशामक पथक एकूण बेरीज</t>
  </si>
  <si>
    <t>१५. अनुज्ञापत्र व आकाशचिन्हे, पथांवरील अतिक्रमणे काढणे, कोंडवाडे</t>
  </si>
  <si>
    <t>क. अनुज्ञापत्र व आकाशचिन्हे खाते</t>
  </si>
  <si>
    <t>१अ. कायम सेवकवर्ग वेतन (म.स.आ.वि.)</t>
  </si>
  <si>
    <t>ख१. पथांवरील अतिक्रमणे काढणे</t>
  </si>
  <si>
    <t>२. पोलीस खर्च</t>
  </si>
  <si>
    <t>४. अतिक्रमण काढणार्‍या सेवकांसाठी नुकसान भरपाई / विमा योजना</t>
  </si>
  <si>
    <t>५. ठेकेदारी पद्धतीने बिगारी पुरविणे / अतिक्रमण विरोधी पथक</t>
  </si>
  <si>
    <t>हॉकर्स सर्व्हेक्षण व अतिक्रमण निर्मूलन कक्ष</t>
  </si>
  <si>
    <t>पथारी व्यावसायिकांच्या नविन धोरणानुसार अंमलबजावणी करणे</t>
  </si>
  <si>
    <t>बैठक व्यवस्था, नवीन इमारत व फर्निचर</t>
  </si>
  <si>
    <t>किरकोळ दुरुस्तीची कामे मजुरांमार्फत करून घेणे (विभागीय कार्यालय)</t>
  </si>
  <si>
    <t>आकाशचिन्ह, बांधकाम नियंत्रण, अतिक्रमण विभागाच्या कामांसाठी व्हिडीओ शुटिंग, कॅमेरा, गॅस कटर, ब्रेकर्स इ. साहित्य पुरविणे व कामे करून घेणे (वि.कार्या)</t>
  </si>
  <si>
    <t>ग. कोंडवाडे</t>
  </si>
  <si>
    <t>१. कायम सेवकवर्ग वेतन (म.स.आ.जिं.घ.)</t>
  </si>
  <si>
    <t>३. चारा खर्च</t>
  </si>
  <si>
    <t>१५. अनुज्ञापत्र व आकाशचिन्हे, पथांवरील अतिक्रमणे काढणे, कोंडवाडे एकूण बेरीज</t>
  </si>
  <si>
    <t>९. बँडवादन व नगारावादन</t>
  </si>
  <si>
    <t>पर्यावरण प्रयोग शाळा चालविणे व पर्यावरण अहवाल तयार करणे</t>
  </si>
  <si>
    <t>पर्यावरण प्रयोग शाळेसाठी लागणारी प्रदूषणमापक यंत्र घेणे</t>
  </si>
  <si>
    <t>ख. प्राणिसंग्रहालये</t>
  </si>
  <si>
    <t>३. नवीन प्राणी, मासे, सर्प खरेदी व वाहतूक</t>
  </si>
  <si>
    <t>४. प्राण्यांसाठी खापदार्थ</t>
  </si>
  <si>
    <t>५. औषधे हत्यारे इत्यादी</t>
  </si>
  <si>
    <t>६. प्राणिसंग्रहालय पिंजरे दुरुस्ती, उपकरणी खरेदी व स्वच्छता</t>
  </si>
  <si>
    <t>८. फुलराणी  दुरुस्ती, हत्यारे व साहित्य खरेदी</t>
  </si>
  <si>
    <t>९. शाळेसाठी शैक्षणिक उपक्रम वगैरे</t>
  </si>
  <si>
    <t>प्राणी दत्तक योजनेतील पालकांसाठी सेवासुविधा</t>
  </si>
  <si>
    <t>बॅटरी ऑपरेटेड वाहन देखभाल दुरूस्ती खर्च</t>
  </si>
  <si>
    <t>वाझा वार्षिक सभासदत्व, सभेला उपस्थिती व देशीविदेशी प्राणीसंग्रहालयांना भेटी</t>
  </si>
  <si>
    <t>ग. पर्यावरण कार्यालय</t>
  </si>
  <si>
    <t>शहरात विविध ठिकाणी शांतता क्षेत्र फलक लावणे (फेज २)</t>
  </si>
  <si>
    <t>इंद्रधनुष्य पर्यावरण केंद्र चालविणे व देखभाल दुरूस्ती</t>
  </si>
  <si>
    <t>जैववैविध्य टिकविणे व वृध्दीगत करणे</t>
  </si>
  <si>
    <t>जैवविविधता नोंदवही व अहवाल तयार करणेसंबंधी कामे करणे</t>
  </si>
  <si>
    <t>जैवविविधता जनजागृतीसंबंधी कार्यक्रम करणे व समितीचे क्षेत्र भेटी करणे</t>
  </si>
  <si>
    <t>ग. पर्यावरण कार्यालय एकूण बेरीज</t>
  </si>
  <si>
    <t>ग. मत्स्यालय</t>
  </si>
  <si>
    <t>१७. खेळ व क्रीडांगणे</t>
  </si>
  <si>
    <t>क. पंडित जवाहरलाल नेहरू स्टेडियम</t>
  </si>
  <si>
    <t>१. कायम सेवकवर्ग वेतन (कआकसंप्र)</t>
  </si>
  <si>
    <t>३. भाडे (म.स.आ.)</t>
  </si>
  <si>
    <t>४. सरकारी व निमसरकारी कर (मसआ)</t>
  </si>
  <si>
    <t>५. सर्वसाधारण दुरुस्ती (भवन)</t>
  </si>
  <si>
    <t>७. राष्ट्रीय व आंतरराष्ट्रीय क्रिकेट सामने व तत्सम स्वरूपाची अन्य सामन्यांसाठी मैदानाची देखभाल दुरुस्ती</t>
  </si>
  <si>
    <t>१०. स्टेडियम खोल्यांतील फर्निचर दुरुस्ती व इतर सुधारणा</t>
  </si>
  <si>
    <t>११. आंतरराज्य मनपा खेळ स्पर्धेसाठी खेळाडूंचा प्रवास खर्च व अनुषंगिक खर्च</t>
  </si>
  <si>
    <t>१२. क्लब ऑफ महाराष्ट्र यांना नुकसान भरपाईपोटी देण्यात येणारी रक्कम</t>
  </si>
  <si>
    <t>१५. महापौर चषक खो खो स्पर्धा</t>
  </si>
  <si>
    <t>१७. कै. बाबूराव सणस मैदान देखभाल दुरूस्ती करणे</t>
  </si>
  <si>
    <t>१९. महापौर चषक कबडी स्पर्धा</t>
  </si>
  <si>
    <t>२०. राष्ट्रीय व आंतरराष्ट्रीय स्तरावरील महापौर केसरी कुस्ती स्पर्धा</t>
  </si>
  <si>
    <t>२१. आंतरकचेरी स्पर्धांचे आयोजन करणे</t>
  </si>
  <si>
    <t>२५. महापौर चषक मल्लखांब स्पर्धा</t>
  </si>
  <si>
    <t>शिव छत्रपती पुरस्काराच्या धर्तीवर पुणे शहरातील गुणवंत खेळाडूंचा सत्कार पुणे मनपा क्रीडा पुरस्कार मनपा वर्धापन दिनी करणे (प्रत्येकी रु.५० हजार रोख, मानचिन्ह)</t>
  </si>
  <si>
    <t>खेळाडू दत्तक योजना</t>
  </si>
  <si>
    <t>देशी खेळांना प्रोत्साहन देण्याकरिता शिबीरे व स्पर्धा आयोजित करणे</t>
  </si>
  <si>
    <t>कै. बाबुराव सणस मैदान येथील स्पोर्टस हॉस्टेल दैनंदिन देखभाल</t>
  </si>
  <si>
    <t>पं. नेहरू स्टेडियम येथील मैदानाच्या दुरूस्तीच्या कामासाठी नवीन मशिनरी खरेदी करणे</t>
  </si>
  <si>
    <t>क१. पंडित जवाहरलाल नेहरू स्टेडियम (क्रीडा धोरणानुसार)</t>
  </si>
  <si>
    <t>संकिर्ण</t>
  </si>
  <si>
    <t>मशिनरी, फर्निचर, अवजारे नव्याने उपलब्ध करुन घेणे व देखभाल दरुस्ती</t>
  </si>
  <si>
    <t>क्रिडा पुरस्कार धोरणानुसार पुरस्कार देणे</t>
  </si>
  <si>
    <t>क्रिडा नर्सरी तयार करणे व मानधन देणे</t>
  </si>
  <si>
    <t>क्रिडा नर्सरी सुविधा पुरवणे</t>
  </si>
  <si>
    <t>अनिवासी क्रिडा प्रबोधनी</t>
  </si>
  <si>
    <t>क्रिडा प्रबोधिनीसाठी मैदान तयार करणे</t>
  </si>
  <si>
    <t>क्रिडा शिक्षणासाठी प्रशिक्षण शिबीर राबविणे</t>
  </si>
  <si>
    <t>क्रिडा साहित्य अनुदान</t>
  </si>
  <si>
    <t>तालीम व क्रीडा केंद्रांचा विकास करणे</t>
  </si>
  <si>
    <t>मनपा शाळातील खेळाडूंना प्रोत्साहनात्मक शिष्यवृत्ती</t>
  </si>
  <si>
    <t>क्रीडा संकुले दुरुस्ती करणे</t>
  </si>
  <si>
    <t>ख. पोहण्याचे तलाव</t>
  </si>
  <si>
    <t>१. स्वच्छता व भवन दुरुस्ती (भवन)</t>
  </si>
  <si>
    <t>३. स्वच्छता व भवन दुरुस्ती (भवन)</t>
  </si>
  <si>
    <t>१७. खेळ व क्रीडांगणे एकूण बेरीज</t>
  </si>
  <si>
    <t>१८. सांस्कृतिक केंद्रे</t>
  </si>
  <si>
    <t>क. बालगंधर्व रंगमंदिर</t>
  </si>
  <si>
    <t>४. द्वारपालन (डोअरकीपर व प्रयोग फलक व्यवस्था)</t>
  </si>
  <si>
    <t>५. स्वच्छताविषयक ठेका</t>
  </si>
  <si>
    <t>६. सर्वसाधारण दुरुस्ती (भवन)</t>
  </si>
  <si>
    <t>९. फायर फायटींग इक्विपमेंट व मेंटेनन्स</t>
  </si>
  <si>
    <t>१०. पोलीस लायसेन्स, इलेक्ट्रिक तपासणी इ. साठी भरावी लागणारी फी</t>
  </si>
  <si>
    <t>११. प्रेक्षागृहातील खुर्च्या कुशनिंग व दुरुस्ती</t>
  </si>
  <si>
    <t>१५. बालगंधर्व कलादालन सुधारणा व दुरुस्ती</t>
  </si>
  <si>
    <t>१६. बालगंधर्व पुरस्कार</t>
  </si>
  <si>
    <t>१८. पुणे मनपा अधिकारी / सेवक सांस्कृतिक मंच</t>
  </si>
  <si>
    <t>बालगंधर्व रंगमंदिर, गणेश कलाक्रीडा केंद्र, यशवंतराव चव्हाण नाट्यगृह, डॉ. आंबेडकर सांस्कृतिक भवन, मौलाना आझाद सभागृह, मनपा प्रेस कमर्शिअल इमारत येथे देखभाल दुरुस्तीची कामे करणे (भवन)</t>
  </si>
  <si>
    <t>हडपसर येथे स्व.खासदार विठ्ठलरावजी तुपे सांस्कृतिक महोत्सव साजरा करणे</t>
  </si>
  <si>
    <t>पुणे मनपाच्या सांस्कृतिक केंद्रांसाठी सुरक्षा रक्षक पुरविणे</t>
  </si>
  <si>
    <t>ख. गणेश कलाक्रीडा मंदिर</t>
  </si>
  <si>
    <t>२. संकीर्ण व इतर कामे</t>
  </si>
  <si>
    <t>७. पोलीस लायसेन्स इलेक्ट्रीक तपासणी फी</t>
  </si>
  <si>
    <t>९. खुर्च्या दुरुस्ती</t>
  </si>
  <si>
    <t>११. स्वच्छता ठेका</t>
  </si>
  <si>
    <t>ग. यशवंतराव चव्हाण नाट्यगृह</t>
  </si>
  <si>
    <t>४. द्वारपालन व फलक व्यवस्था</t>
  </si>
  <si>
    <t>९. कलादालन सुधारणा</t>
  </si>
  <si>
    <t>१०. स्वच्छता विषयक ठेका</t>
  </si>
  <si>
    <t>१३. प्रेक्षागृह खुर्च्या दुरुस्ती</t>
  </si>
  <si>
    <t>घ. डॉ. बाबासाहेब आंबेडकर सांस्कृतिक भवन</t>
  </si>
  <si>
    <t>९. डॉ. बाबासाहेब आंबेडकर पुरस्कार</t>
  </si>
  <si>
    <t>१६. ग्रंथालयासाठी पुस्तके खरेदी करणे</t>
  </si>
  <si>
    <t>य. मौलाना अबुल कलाम आझाद स्मारक</t>
  </si>
  <si>
    <t>४. सर्वसाधारण दुरुस्ती (भवन)</t>
  </si>
  <si>
    <t>८. स्वच्छता विषयक ठेका</t>
  </si>
  <si>
    <t>११. प्रेक्षागृह खुर्च्या दुरुस्ती</t>
  </si>
  <si>
    <t>य. बेरीज</t>
  </si>
  <si>
    <t>र. राजा रवीवर्मा कलादालन व पं. जवाहरलाल नेहरू सांस्कृतिक भवन (घोले रोड आर्ट गॅलरी)</t>
  </si>
  <si>
    <t>स्वच्छता विषयक ठेका</t>
  </si>
  <si>
    <t>द्वारपालन व फलक व्यवस्था</t>
  </si>
  <si>
    <t>र. बेरीज</t>
  </si>
  <si>
    <t>ल. पंडित भिमसेन जोशी कलादालन, सहकारनगर</t>
  </si>
  <si>
    <t>कायम सेवकवर्ग वेतन</t>
  </si>
  <si>
    <t>सर्वसाधारण दुरुस्ती (भवन)</t>
  </si>
  <si>
    <t>कलादालन सुधारणा</t>
  </si>
  <si>
    <t>प्रेक्षागृह खुर्च्या दुरुस्ती</t>
  </si>
  <si>
    <t>प्रदर्शन हॉल ठेका</t>
  </si>
  <si>
    <t>म्युझिक लायब्ररी देखभाल दुरूस्ती</t>
  </si>
  <si>
    <t>ल. बेरीज</t>
  </si>
  <si>
    <t>व. पंडित भिमसेन जोशी कलामंदिर, औंध</t>
  </si>
  <si>
    <t>व. बेरीज</t>
  </si>
  <si>
    <t>लोकशाहीर अण्णाभाऊ साठे स्मारक (नाट्यगृह), बिबवेवाडी</t>
  </si>
  <si>
    <t>बेरीज</t>
  </si>
  <si>
    <t>राजीव गांधी ई लर्निंग स्कूलमधील विजय तेंडूलकर नाट्यगृह</t>
  </si>
  <si>
    <t>साध्वी सावित्रीबाई फुले सांस्कृतिक भवन, भवानीपेठ</t>
  </si>
  <si>
    <t>महात्मा फुले सांस्कृतिक भवन, वानवडी</t>
  </si>
  <si>
    <t>१८. सांस्कृतिक केंद्रे एकूण बेरीज</t>
  </si>
  <si>
    <t>१९. भाजी मंडया</t>
  </si>
  <si>
    <t>क१. भाजी मंडया</t>
  </si>
  <si>
    <t>१. कायम सेवकवर्ग वेतन (मसआ. जिंघ.)</t>
  </si>
  <si>
    <t>४. इतर साहित्य</t>
  </si>
  <si>
    <t>७. ठेका पद्धतीने भाजी मंडया स्वच्छतेसाठी देणे</t>
  </si>
  <si>
    <t>१९. भाजी मंडया एकूण बेरीज</t>
  </si>
  <si>
    <t>महापौर विकास निधी</t>
  </si>
  <si>
    <t>नामनिर्देशित सभासद १</t>
  </si>
  <si>
    <t>नामनिर्देशित सभासद २</t>
  </si>
  <si>
    <t>नामनिर्देशित सभासद ३</t>
  </si>
  <si>
    <t>नामनिर्देशित सभासद ४</t>
  </si>
  <si>
    <t>नामनिर्देशित सभासद ५</t>
  </si>
  <si>
    <t>२२. पुरस्संचय फॅक्टरी अ‍ॅक्ट खालील सेवकांचे सेवानिवृत्ती वेतन व तोषदान</t>
  </si>
  <si>
    <t>क. पुरस्संचय निधी व तोषदान</t>
  </si>
  <si>
    <t>१. पुरस्संचय निधी (मु.ले.)</t>
  </si>
  <si>
    <t>२. तोषदान (मु.ले.)</t>
  </si>
  <si>
    <t>३. प्रॉव्हिडंट फंडाच्या व्याजाच्या फरकापोटी खर्च</t>
  </si>
  <si>
    <t>ख. सेवानिवृत्ती वेतन तोषदान निधीला देणगी (मु.ले.)</t>
  </si>
  <si>
    <t>२२. पुरस्संचय फॅक्टरी अ‍ॅक्ट खालील सेवकांचे सेवानिवृत्ती वेतन व तोषदान एकूण बेरीज</t>
  </si>
  <si>
    <t>२३. सार्वजनिक संस्थांना देगण्या :</t>
  </si>
  <si>
    <t>क. बंधनकारक देणग्या</t>
  </si>
  <si>
    <t>क१. रुग्णालय</t>
  </si>
  <si>
    <t>महारोग्यांसाठी पोटगी खर्च (आ.प्र.)</t>
  </si>
  <si>
    <t>वेड्यांचे रुग्णालय पोटगी खर्च (आ.प्र.)</t>
  </si>
  <si>
    <t>शेठ ताराचंद रामनाथ आयुर्वेद रुग्णालय</t>
  </si>
  <si>
    <t>आयुर्वेद शिक्षण मंडळ</t>
  </si>
  <si>
    <t>क२. शैक्षणिक</t>
  </si>
  <si>
    <t>महात्मा फुले वस्तुसंग्रहालय (म.स.आ.)</t>
  </si>
  <si>
    <t>राजा दिनकर केळकर संग्रहालय</t>
  </si>
  <si>
    <t>आनंदवन कुष्ठाश्रम (आ.प्र.)</t>
  </si>
  <si>
    <t>ससून हॉस्पिटल पुणे येथील भाजलेल्या रोग्यांवर उपचार करण्यास अनुदान</t>
  </si>
  <si>
    <t>२३क. + २३ख एकूण बेरीज</t>
  </si>
  <si>
    <t>पुणे महानगरपालिका क्रीडा मंडळ (म.स.आ.)</t>
  </si>
  <si>
    <t>जनसेवा फाऊंडेशन</t>
  </si>
  <si>
    <t>ग. इतर संस्थांना देणग्या बेरीज</t>
  </si>
  <si>
    <t>२३. सार्वजनिक संस्थांना देणग्या एकूण बेरीज</t>
  </si>
  <si>
    <t>२८. भूमी संपादन निधीकडे वर्ग</t>
  </si>
  <si>
    <t>३२. मागासवर्गीय कल्याण योजना निधीकडे वर्ग</t>
  </si>
  <si>
    <t>३३. महिलाबाल कल्याण निधीकडे वर्ग</t>
  </si>
  <si>
    <t>३५. महसूल निधीतून भांडवली निधीकडे वर्ग</t>
  </si>
  <si>
    <t>३६. वृक्ष संरक्षण व संवर्धन प्राधिकारी निधीकडे वर्ग</t>
  </si>
  <si>
    <t>४१. यंत्रसामुग्री, घसारा निधीला हप्ता</t>
  </si>
  <si>
    <t>४८. पीएमपीएमएल खात्यास उचल</t>
  </si>
  <si>
    <t>४८-अ. पीएमपीएमएलच्या संचलनामधील तुटीपोटीचा हिस्सा</t>
  </si>
  <si>
    <t>५२. युवक कल्याणकारी योजना निधीकडे वर्ग</t>
  </si>
  <si>
    <t>५७. अपंग कल्याणकारी योजना निधी</t>
  </si>
  <si>
    <t>अधिनियमानुसार एक लाख रुपये कमीत कमी शिल्लक धरून वर्षाअखेरीची शिल्लक</t>
  </si>
  <si>
    <t>११. मनपा व शासकीय निवृत्त सेवकांना द्यावयाचा चहापान खर्च</t>
  </si>
  <si>
    <t>महात्मा फुले यांची पुण्यतिथी साजरी करणे (दि. 28 नोव्हेंबर)</t>
  </si>
  <si>
    <t>११. अ‍ॅनेस्थेटिक - जरूरीच्या वेळी बोलाविण्यात येणार्‍या तज्ज्ञ डॉक्टर्सना द्यावयाचे मानधन</t>
  </si>
  <si>
    <t>देवाची उरुळी / फुरसुंगीसाठी केंद्रशासीत अनुदानाने उभारण्यात आलेले प्रकल्प व इतर प्रकल्पामधील रिजेक्ट शास्त्रोक्त पध्दतीने बंदिस्त करणेपोटी द्यावयाची रक्कम</t>
  </si>
  <si>
    <t>३. रंगमंदिरासाठी लागणारी उपकरणी व साहित्य (विद्युत)</t>
  </si>
  <si>
    <t>७. दिवाबत्ती (विद्युत)</t>
  </si>
  <si>
    <t>८. एअर कंडिशनिंग प्लँट मेंटेनन्स व ऑपरेटिंग (विद्युत)</t>
  </si>
  <si>
    <t>१२. ट्रान्सफॉर्मर मेंटेनन्स व ऑइल बदलणे (विद्युत)</t>
  </si>
  <si>
    <t>१३. जनरेटर दुरुस्ती व डिझेल खर्च (विद्युत)</t>
  </si>
  <si>
    <t>१४. लाईट, साउंड दुरुस्ती व ठेका (विद्युत)</t>
  </si>
  <si>
    <t>मा. स्थायी समिती, मा. मुख्य सभा व अन्य सभांचे ऑपरेटिंग, देखभाल व रेकॉर्डींग करणे (विद्युत)</t>
  </si>
  <si>
    <t>८. आयातकर नाक्यांवरील दिवाबत्ती (विद्युत)</t>
  </si>
  <si>
    <t>१. दिवाबत्ती (विद्युत)</t>
  </si>
  <si>
    <t>अ. वीज खर्च (विद्युत)</t>
  </si>
  <si>
    <t>क. उद्‌वाहक (विद्युत)</t>
  </si>
  <si>
    <t>सी.सी.टी.व्ही व एल.ई.डी. देखभाल दुरूस्ती (विद्युत)</t>
  </si>
  <si>
    <t>पुणे मनपाच्या विविध इमारतींमधील उद्‌वाहक, ए.सी., जनरेटर, पाण्याचे पंप, ट्रान्सफॉर्मर इ. देखभाल दुरूस्तीसाटी (विद्युत)</t>
  </si>
  <si>
    <t>९. वीज खर्च विजेची उपकरणे (विद्युत)</t>
  </si>
  <si>
    <t>७. सुलभ शौचालयातील विज खर्च (विद्युत)</t>
  </si>
  <si>
    <t>४. वीज खर्च (विद्युत)</t>
  </si>
  <si>
    <t>६. दिवाबत्ती व विजेची उपकरणे (विद्युत)</t>
  </si>
  <si>
    <t>९. गॅस शवदाहिनीसाठी सिंलेडर पुरविणे (विद्युत)</t>
  </si>
  <si>
    <t>४. दिवाबत्ती व विजेची उपकरणे देखभाल व दुरुस्ती (विद्युत)</t>
  </si>
  <si>
    <t>३. औंध व येरवडा सेंट्रल स्टोअरे व इतर कोठ्यावर सुधारणा व प्रकाश योजना करणे (विद्युत)</t>
  </si>
  <si>
    <t>४. यंत्रासाठी वीज खर्च व दुरुस्ती (विद्युत)</t>
  </si>
  <si>
    <t>७. वीज खर्च (विद्युत)</t>
  </si>
  <si>
    <t>(अ) महानगरपालिका वसाहती व इतर भवनातील दिवाबत्ती (विद्युत)</t>
  </si>
  <si>
    <t>(ब) कमर्शिअल इमारतीमधील उद्‌वाहक (विद्युत)</t>
  </si>
  <si>
    <t>(क) निरनिराळ्या मनपा वसाहतींमध्ये घरवायरिंग व वसाहतींमधील प्रकाश योजना सुधारणा व पंप दुरूस्ती करणे (विद्युत)</t>
  </si>
  <si>
    <t>१. महानगरपालिका भवनात वीजजोडाची कामे करणे (विद्युत)</t>
  </si>
  <si>
    <t>१०. वीज खर्च (विद्युत)</t>
  </si>
  <si>
    <t>अग्निशामक केंद्र येथील पाण्याचे पंप व इतर मशिनरीसाठी आवयश्क (विद्युत)</t>
  </si>
  <si>
    <t>६. वीज खर्च (विद्युत)</t>
  </si>
  <si>
    <t>२. वीज खर्च (विद्युत)</t>
  </si>
  <si>
    <t>४. रंगमंच उपकरणे व साहित्य (विद्युत)</t>
  </si>
  <si>
    <t>६. दिवाबत्ती (विद्युत)</t>
  </si>
  <si>
    <t>८. लाईट, साउंड ऑपरेटिंग (विद्युत)</t>
  </si>
  <si>
    <t>१०. जनरेटर दुरुस्ती व डिझेल खर्च (विद्युत)</t>
  </si>
  <si>
    <t>१२. एअर कंडिशनिंग प्लँट ऑपरेटिंग व मेन्टेनन्स (विद्युत)</t>
  </si>
  <si>
    <t>१३. ट्रान्सफॉर्मर मेंटेनन्स व ऑइल बदलणे (विद्युत)</t>
  </si>
  <si>
    <t>३. उपकरणे व साहित्य (विद्युत)</t>
  </si>
  <si>
    <t>७. ट्रान्सफार्मर व मेंटेनन्स (विद्युत)</t>
  </si>
  <si>
    <t>८. जनरेटर दुरुस्ती व देखभाल (विद्युत)</t>
  </si>
  <si>
    <t>११. एअरकंडिशनर प्लान्ट मेंटेनन्स व ऑपरेटिंग (विद्युत)</t>
  </si>
  <si>
    <t>१२. लाईट, साउंड दुरुस्ती व ऑपरेटिंग (विद्युत)</t>
  </si>
  <si>
    <t>५. दिवाबत्ती (विद्युत)</t>
  </si>
  <si>
    <t>६. ट्रान्सफॉर्मर (विद्युत)</t>
  </si>
  <si>
    <t>७. जनरेटर दुरुस्ती व देखभाल (विद्युत)</t>
  </si>
  <si>
    <t>९. ए.सी. प्लॅन्ट मेंटेनन्स व ऑपरेटिंग (विद्युत)</t>
  </si>
  <si>
    <t>१०. लाईट, साऊंड दुरुस्ती व ऑपरेटिंग (विद्युत)</t>
  </si>
  <si>
    <t>दिवाबत्ती (विद्युत)</t>
  </si>
  <si>
    <t>ट्रान्सफॉर्मर (विद्युत)</t>
  </si>
  <si>
    <t>जनरेटर दुरुस्ती व देखभाल (विद्युत)</t>
  </si>
  <si>
    <t>ए.सी. प्लॅन्ट मेंटेनन्स व ऑपरेटिंग (विद्युत)</t>
  </si>
  <si>
    <t>लाईट, साऊंड दुरुस्ती व ऑपरेटिंग (विद्युत)</t>
  </si>
  <si>
    <t>उपकरणे व साहित्य (विद्युत)</t>
  </si>
  <si>
    <t>ट्रान्सफार्मर व मेंटेनन्स (विद्युत)</t>
  </si>
  <si>
    <t>एअरकंडिशनर प्लान्ट मेंटेनन्स व ऑपरेटिंग (विद्युत)</t>
  </si>
  <si>
    <t>लाईट, साउंड दुरुस्ती व ऑपरेटिंग (विद्युत)</t>
  </si>
  <si>
    <t>३. दिवाबत्ती - म. फुले मंडई व इतर मंडया (विद्युत)</t>
  </si>
  <si>
    <t>ग१. पथांवरील दिवाबत्ती (विद्युत)</t>
  </si>
  <si>
    <t>मनपा मुख्य भवनातील विद्युत विषयक देखभाल दुरूस्ती (विद्युत)</t>
  </si>
  <si>
    <t>वसतिगृहातील विद्युत वायरींग, ट्यूब, फॅन, सी.सी.टी.व्ही.कॅमेरे साऊंड सिस्टिमची कामे करणे.</t>
  </si>
  <si>
    <t>कमलानेहरू हॉस्पिटल येथील विद्युत विषयक कामांसाठी आऊटसोर्सिंगने तांत्रिक सेवक उपलब्ध करणे (विद्युत)</t>
  </si>
  <si>
    <t>बी.ओ.टी. तत्त्वावर उभारण्यात आलेल्या कचर्‍यापासून विद्युत निर्मिती प्रकल्पाच्या कचरा प्रक्रियेसाठी टिपींग फी आदा करणे</t>
  </si>
  <si>
    <t>२१.शहरात  विविध ठिकाणी होणाय्या गॅस प्लॅन्टचा विद्युत खर्च (विद्युत)</t>
  </si>
  <si>
    <t>५. विद्युत कोठ्यांमधील दिवाबत्ती खर्च व निरनिराळ्या समारंभ प्रसंगी ध्वनिप्रक्षेपक व्यवस्था करणे</t>
  </si>
  <si>
    <t>विद्युत विभागाकडील दैनंदिन देखभाल दुरुस्ती सक्षमतेने होणेसाठी जीप माउंटेड लॅडर्स पुरविणे</t>
  </si>
  <si>
    <t>रस्त्यावरील दिवे, देखभाल दुरूस्ती तसेच विद्युत विषयक आवश्यक कामे करणे</t>
  </si>
  <si>
    <t>कुत्रा वाहने, विद्युत वाहने व सलेज वाहने देखभाल दुरुस्तीसह खाजगीकरणाने चालविणे</t>
  </si>
  <si>
    <t>प्र.द. हुले मार्केट, येरवडा येथे विविध विद्युत विषयक देखभाल दुरूस्तीची कामे करणे (विद्युत)</t>
  </si>
  <si>
    <t>७. मनपा उद्यानांत विद्युत विषयक देखभालीची व दुरुस्तीची कामे करणे</t>
  </si>
  <si>
    <t>१६. उद्याने, प्राणिसंग्रहालये, मत्स्यालय व सर्पोद्यान</t>
  </si>
  <si>
    <t>क. उद्याने</t>
  </si>
  <si>
    <t>३. सर्व उद्यानांची विद्युत बिले महावितरण संस्थेकडे आदा करणे (विद्युत)</t>
  </si>
  <si>
    <t>४. सर्व उद्यानांसाठी माती, खते, अवजारे, रोपे, हारे, खराटे, प्राण्यांकरिता खापदार्थ, औषधें इ. साहित्य तसेच मत्स्यालयाकरिता मासे खरेदी करणे</t>
  </si>
  <si>
    <t>५. सर्व उद्यानांची स्थापत्यविषयक दुरुस्ती व देखभालांची कामे करणे</t>
  </si>
  <si>
    <t>६. सर्व उद्यानांतील लहान मुलांची खेळणी दुरुस्ती व देखभाल</t>
  </si>
  <si>
    <t>८. मनपाची उद्याने ठेका पद्धतीने विकसित करणे व त्यांची देखभाल करणे याकरिता येणार्‍या खर्चाची बिले आदा करणे</t>
  </si>
  <si>
    <t>मा. उप आयुक्त क्र. १ ते ४ यांचे कार्यक्षेत्रातील उद्यानामध्ये डस्टबीन बसविणे</t>
  </si>
  <si>
    <t>पुणे शहरातील उद्यानांसाठी खाजगी सुरक्षा रक्षक पुरविणे</t>
  </si>
  <si>
    <t>१६. उद्याने, प्राणिसंग्रहालये, मत्स्यालय व सर्पोद्यान एकूण बेरीज</t>
  </si>
  <si>
    <t>मुंबई भिकारी अधिनियम १९४५ (दि बाँम्बे बेगर्स अ‍ॅक्ट, १९४५, महानगरपालिकेच्या सीमेत लागू करण्याबाबत येणार्‍या खर्चापोटी शासनाला द्यावयाची रक्कम</t>
  </si>
  <si>
    <t>४८-ब. पीएमपीएमएलच्या विविध प्रकारच्या पासेसपोटी द्यावयाची रक्कम</t>
  </si>
  <si>
    <t>४८-क. परिवहन महामंडळाच्या कर्मचारी व अधिकार्‍यांना वेतनश्रेण्यातील दुसर्‍या टप्प्यातील फरकाची रक्‍कम देणे</t>
  </si>
  <si>
    <t>अंदाजपत्रक 'अ' एकूण जमा</t>
  </si>
  <si>
    <t>अंदाजपत्रक 'क' एकूण खर्च</t>
  </si>
  <si>
    <t>अंदाजपत्रक 'अ' + 'क' एकूण खर्च</t>
  </si>
  <si>
    <t>वजा : अंदाजपत्रक 'क' कडे वर्ग</t>
  </si>
  <si>
    <t>१. पाणीपुरवठा</t>
  </si>
  <si>
    <t>क. पाणीपुरवठा</t>
  </si>
  <si>
    <t>२अ. कायम सेवकवर्ग वेतन</t>
  </si>
  <si>
    <t>२ब. कायम सेवकवर्ग वेतन (वि.का.)</t>
  </si>
  <si>
    <t>४. पाण्याची किंमत (पर्वती पंपिंग स्टेशन)</t>
  </si>
  <si>
    <t>५. पाणी शुद्ध करणे व तद्‌नुषंगिक कामे करणे</t>
  </si>
  <si>
    <t>६. प्रयोगशाळा देखभाल खर्च</t>
  </si>
  <si>
    <t>७-अ. पंपिंग वीज खर्च</t>
  </si>
  <si>
    <t>९. कोठी इतर साहित्य खर्च</t>
  </si>
  <si>
    <t>१२. पर्वती जलकेंद्रातील यंत्रसामुग्रीवरील घसारा (मु.ले.)</t>
  </si>
  <si>
    <t>१४. जलप्रदूषण प्रतिबंधक खर्च</t>
  </si>
  <si>
    <t>१८. जलकेंद्र पाण्याच्या टाक्या येथे प्रकाश व्यवस्था व दूरध्वनी व्यवस्था</t>
  </si>
  <si>
    <t>२१. पर्वती जलकेंद्र येथे पंपिंग विषयक अत्यावश्यक तातडीची कामे करणे</t>
  </si>
  <si>
    <t>२४.पाणी वापराबाबत जनजागृती व इतर उपाय योजना राबविणे.</t>
  </si>
  <si>
    <t>२५. पाणीपुरवठा विभागासाठी सुरक्षा रक्षक पुरविणे</t>
  </si>
  <si>
    <t>२६. पर्वती, वडगाव, होळकर जलकेंद्र व त्यावरील सर्व पंपिंग स्टेशनचे ट्रान्सफॉर्मर, पंप मोटार, व्हॉल्व्ह पॅनेल, केबल व इतर उपकरणांची वार्षिक देखभाल दुरुस्ती विषयक कामे करणे</t>
  </si>
  <si>
    <t>ठेका पध्दतीने सेवक उपलब्ध करणे</t>
  </si>
  <si>
    <t>प्रयोगशाळेमध्ये सुधारणा विषयक कामे करणे</t>
  </si>
  <si>
    <t>पर्वती जलकेंद्रातील क्लोरिफायर व क्लोरिफ्लायुलेटरची वार्षिक देखभाल दुरुस्तीची कामे करणे</t>
  </si>
  <si>
    <t>पर्वती जलकेंद्रतील क्लोरिनेश सिलेंडर स्टोअरेज शेड समोरील व आवारातील पीसीसी व बांधकाम करणे</t>
  </si>
  <si>
    <t>पर्वती पंपहाऊस एलएलआर व एमएलआर पंपासाठी स्पेअर्स पुरविणे व बसविणे</t>
  </si>
  <si>
    <t>पर्वती जलकेंद्रातील प्रयोगशाळेसाठी टर्बिडिटी मीटर व अन्य साहित्य खरेदी करणे</t>
  </si>
  <si>
    <t>वडगाव जलकेंद्र केदारेश्वर आगम मंदिर येथील पंपिंग यंत्रणा चालविणे व देखभाल दुरुस्तीची कामे करणे</t>
  </si>
  <si>
    <t>पर्वती जलकेंद्र येथील फिल्टर बेड विषयक कामे करणे</t>
  </si>
  <si>
    <t>सुपर इंदिरानगर टाकी येथे स्थापत्य विषयक कामे करणे</t>
  </si>
  <si>
    <t>ख१. नळ खाते (स्वारगेट विभाग)</t>
  </si>
  <si>
    <t>४. शहरांतील / नव्याने समाविष्ट गावांतील सर्व व्हॉल्व्हज्‌ चालू व बंद करणे</t>
  </si>
  <si>
    <t>८. टँकरने पाणीपुरवठा करणे</t>
  </si>
  <si>
    <t>९. कोठी व इतर साहित्य खरेदी</t>
  </si>
  <si>
    <t>१०. देखभाल दुरुस्ती : नळदुरुस्ती व स्वच्छता तातडीच्या दुरुस्त्या चेंबर करणे, आर.सी.सी, कव्हर बसविणे व तदनुषंगिक कामे करणे</t>
  </si>
  <si>
    <t>ख२. नळ खाते (विभागीय कार्यालय)</t>
  </si>
  <si>
    <t>ग. पाणीमापके</t>
  </si>
  <si>
    <t>१. पाणीमापके दुरुस्ती</t>
  </si>
  <si>
    <t>३. संगणक यंत्रासाठी तयार करावयाच्या फॉर्मचा मुशाहिरा</t>
  </si>
  <si>
    <t>४. मीटर बीले वाटप करणे</t>
  </si>
  <si>
    <t>ज. सानुग्रह अनुदान</t>
  </si>
  <si>
    <t>थ. सेवानिवृत्ती वेतन व तोषदान</t>
  </si>
  <si>
    <t>प. पेट्रोल, डिझेल, टायर्स, सुटे भाग, देखभाल, दुरुस्ती</t>
  </si>
  <si>
    <t>ज्ञ१. कर्ज उभारण्याचा खर्च, कर्जाचे हप्ते व व्याज (मु.ले.)</t>
  </si>
  <si>
    <t>१. पाणीपुरवठा एकूण बेरीज</t>
  </si>
  <si>
    <t>१अ. पुणे लष्कर व खडकी पाणीपुरवठा</t>
  </si>
  <si>
    <t>क१. लष्कर पाणीपुरवठा</t>
  </si>
  <si>
    <t>३. पाण्याची किंमत</t>
  </si>
  <si>
    <t>४. पाणी शुद्ध करणे, तद्‌नुषंगिक कामे करणे</t>
  </si>
  <si>
    <t>५. प्रयोगशाळा सँपल टेस्टींगसाठी होणारा खर्च</t>
  </si>
  <si>
    <t>६. पंपिंग वीज खर्च</t>
  </si>
  <si>
    <t>८. कोठी व इतर साहित्य खर्च</t>
  </si>
  <si>
    <t>९. पंपाचे डिझेल इंजिनसाठी व इतर इंजिनसाठी लागणारे तेल</t>
  </si>
  <si>
    <t>१३. पाणीपुरवठा केंद्र भवनाची देखभाल व दुरुस्ती</t>
  </si>
  <si>
    <t>१६. पुणे लष्कर पाणीपुरवठा हद्दीतील व्हॉल्व्ह चालू करणे व बंद करणे</t>
  </si>
  <si>
    <t>१७. टँकरने पाणीपुरवठा करणे</t>
  </si>
  <si>
    <t>१९. देखभाल दुरुस्ती (यंत्रसामुग्री सुटे भाग, ट्रान्सफॉर्मर ऑईल, सर्किट ब्रेकर्स, विुत उपकरणांची देखभाल दुरूस्ती, बागकाम, भवनांची देखभाल दुरूस्ती, दिवाबत्ती, नळदुरूस्त्या व इतर दुरूस्त्या)</t>
  </si>
  <si>
    <t>२१. लष्कर पाणीपुरवठा केंद्राचे मिळ्कतीवरील पुणे छावणी परिषदेने आकारलेला मिळकतकर</t>
  </si>
  <si>
    <t>२२. जुने लष्कर जलकेंद्र व संलग्न पंपिंग स्टेशन चालविणे (सेवकवर्ग पुरविणे, ठेकेदारी पध्दत)</t>
  </si>
  <si>
    <t>क१. लष्कर पाणीपुरवठा बेरीज</t>
  </si>
  <si>
    <t>क२. लष्कर पाणीपुरवठा (विभागीय कार्यालय)</t>
  </si>
  <si>
    <t>४. पाणी शुद्ध करणे व तद्‌नुषंगिक कामे करणे</t>
  </si>
  <si>
    <t>१०. कोठी व इतर साहित्य खर्च</t>
  </si>
  <si>
    <t>१५. पाणीपुरवठा केंद्र भवनाची देखभाल व दुरुस्ती (वि.अ.)</t>
  </si>
  <si>
    <t>१८. देखभाल दुरुस्त्या : नळदुरुस्ती व तातडीच्या दुरुस्त्या इत्यादी</t>
  </si>
  <si>
    <t>१९. व्हॉल्व्ह सोड बंद करणे</t>
  </si>
  <si>
    <t>ज  सानुग्रह अनुदान</t>
  </si>
  <si>
    <t>थ  सेवानिवृत्त वेतन व तोषदान (मु.ले.)</t>
  </si>
  <si>
    <t>१ब. वाघोली प्रादेशिक पाणीपुरवठा योजना</t>
  </si>
  <si>
    <t>१. कायम सेवकवर्ग वेतन / ठेका पध्दत</t>
  </si>
  <si>
    <t>२. संकिर्ण</t>
  </si>
  <si>
    <t>५. पंपिंग वीज खर्च</t>
  </si>
  <si>
    <t>७. कोठी व इतर साहित्य</t>
  </si>
  <si>
    <t>८. तातडीच्या दुरुस्त्या</t>
  </si>
  <si>
    <t>९. देखभाल व दुरुस्ती : ठेकेदारी पध्दतीने जलकेंद्र चालविणे</t>
  </si>
  <si>
    <t>१-ब. वाघोली प्रादेशिक पाणीपुरवठा योजना 
एकूण बेरीज</t>
  </si>
  <si>
    <t>१क. वारजे पाणीपुरवठा योजना</t>
  </si>
  <si>
    <t>१क१. वारजे प्रादेशिक पाणीपुरवठा योजना</t>
  </si>
  <si>
    <t>८. तातडीच्या दुरूस्त्या</t>
  </si>
  <si>
    <t>९. देखभाल दुरुस्ती : यंत्रसामुग्री सुटे भाग, ट्रान्सफॉर्मर ऑईलसर्कीट ब्रेकर्स, विुत उपकरणांची देखभाल दुरुस्ती, बागकाम, भवनांची देखभाल दुरुस्ती, दिवाबत्ती व नळ दुरुस्त्या व इतर दुरुस्त्या</t>
  </si>
  <si>
    <t>१क१. वारजे प्रादेशिक पाणीपुरवठा योजना 
एकूण बेरीज</t>
  </si>
  <si>
    <t>१क२. वारजे मध्यवर्ती पाणीपुरवठा योजना</t>
  </si>
  <si>
    <t>१. संकिर्ण</t>
  </si>
  <si>
    <t>२. पाण्याची किंमत</t>
  </si>
  <si>
    <t>३. पाणी शुद्ध करणे व तद्‌नुषंगिक कामे करणे</t>
  </si>
  <si>
    <t>४. पंपिंग वीज खर्च</t>
  </si>
  <si>
    <t>५. देखभाल दुरूस्ती</t>
  </si>
  <si>
    <t>६. तातडीच्या दुरूस्त्या</t>
  </si>
  <si>
    <t>७. डिझेल जनरेटर सेट साठी व इतर इंजिनसाठी लागणारी तेले</t>
  </si>
  <si>
    <t>१क२. वारजे मध्यवर्ती पाणीपुरवठा योजना 
एकूण बेरीज</t>
  </si>
  <si>
    <t>१ड. वडगाव जलकेंद्र</t>
  </si>
  <si>
    <t>६. तातडीच्या दुरूस्त्या (ठेकेदारी पध्दत)</t>
  </si>
  <si>
    <t>७. देखभाल दुरुस्ती</t>
  </si>
  <si>
    <t>१ड. वडगाव जलकेंद्र एकूण बेरीज</t>
  </si>
  <si>
    <t>१ई. नवीन होळकर जलकेंद्र</t>
  </si>
  <si>
    <t>८. नवीन होळकर जलकेंद्र व पंपिंग स्टेशन चालविणे (सेवकवर्ग पुरविणे, ठेकेदारी पध्दत)</t>
  </si>
  <si>
    <t>१ई. नवीन होळकर जलकेंद्र एकूण बेरीज</t>
  </si>
  <si>
    <t>१फ. नवीन लष्कर जलकेंद्र</t>
  </si>
  <si>
    <t>८. नवीन लष्कर जलकेंद्र व पंपिंग स्टेशन चालविणे (सेवकवर्ग पुरविणे, ठेकेदारी पध्दत)</t>
  </si>
  <si>
    <t>१फ. नवीन लष्कर जलकेंद्र एकूण बेरीज</t>
  </si>
  <si>
    <t>२. पंपीग वीज खर्च</t>
  </si>
  <si>
    <t>३. देखभाल दुरुस्ती व इतर तदनुषंगीक कामे करणे</t>
  </si>
  <si>
    <t>बुस्टर क्लोरिन विषयक कामे करणे</t>
  </si>
  <si>
    <t>एसएनडीटी व चतुःश्रृंगी पंपिंग स्टेशन अंतर्गत सर्व पंपिंग स्टेशनमधील विुत रोहित्रांची देखभाल दुरूस्ती करणे</t>
  </si>
  <si>
    <t>पाषाण पंपिंग स्टेशन</t>
  </si>
  <si>
    <t>पाषाण पंपिंग स्टेशन एकूण बेरीज</t>
  </si>
  <si>
    <t>१ग. पाणीपुरवठा निधीकडे वर्ग</t>
  </si>
  <si>
    <t>१.  पाणीपुरवठा एकूण बेरीज</t>
  </si>
  <si>
    <t>२. गटारे व नाले सुधारणा</t>
  </si>
  <si>
    <t>क१. नगर अभियंता खात्याकडील खर्च</t>
  </si>
  <si>
    <t>१. कायम सेवकवर्ग वेतन (दुरुस्ती विभाग)</t>
  </si>
  <si>
    <t>२. सेवकवर्ग वेतन (गटारे स्वच्छ करणे)</t>
  </si>
  <si>
    <t>ड्रेनेज लाईन चेंबर व लाईन साफसफाई व गाळ काढणे व दुरुस्ती कामे करणे</t>
  </si>
  <si>
    <t>पावसाळी लाईन चेंबर व लाईन साफसफाई व गाळ काढणे व दुरुस्ती करणे</t>
  </si>
  <si>
    <t>४५० मीमी व्यासापर्यंत ड्रेनेज लाईन दुरूस्ती करणे व बदलणे</t>
  </si>
  <si>
    <t>नाला/बॉक्स कलव्हर्ट/ बंदिस्त नाला साफसफाई करणे</t>
  </si>
  <si>
    <t>किरकोळ दुरुस्तीसाठी कोठीस  साहित्य पुरविणे</t>
  </si>
  <si>
    <t>हाय कॅपॅसिटी सक्शन कम जेटिंग वुईथ वॉटर रिसायकलींग यंत्रणेद्वारे सिव्हर लाईन्स व मॅनहोल्सची साफसफाई करणे</t>
  </si>
  <si>
    <t>क२. नगर अभियंता खात्याकडील खर्च (विभागीय कार्यालय)</t>
  </si>
  <si>
    <t>ख. भुयारी गटारांतील पाणी उपसण्याचे स्थान</t>
  </si>
  <si>
    <t>१. कायम सेवकवर्ग वेतन (भुयारी गटारांतील पाणी उपसण्याचे स्थान)</t>
  </si>
  <si>
    <t>३. मैलापाणी उपसण्यासाठी वीज खर्च (वि.अ.)</t>
  </si>
  <si>
    <t>४. निरनिराळ्या पंपिंग स्टेशनमधील स्क्रिनिंग पेनस्टॉक इ. उपकरणांची देखभाल व दुरुस्ती</t>
  </si>
  <si>
    <t>५. कोठी व इतर साहित्यासाठी खर्च</t>
  </si>
  <si>
    <t>६. यंत्रसामुग्री, सुटे भाग व दुरुस्ती</t>
  </si>
  <si>
    <t>७. भवन दुरुस्ती</t>
  </si>
  <si>
    <t>८. ट्रान्सफार्मर सार्केट ब्रेकर्स इ.विुत यंत्रणाची देखभाल दुरुस्तीची व तद्‌नुषंगिक कामे</t>
  </si>
  <si>
    <t>९. पंपिंग स्टेशनसाठी लागणारी तेले व वंगणे</t>
  </si>
  <si>
    <t>ग. मैलापाणी शुद्धीकरण केंद्र (डॉ. नायडू हॉस्पिटल आवार)</t>
  </si>
  <si>
    <t>३. मैलापाणी शुद्धीकरणासाठी वीजखर्च</t>
  </si>
  <si>
    <t>४. मैलापाणी शुद्धीकरणासाठी लागणारी रासायनिक द्रव्ये (केमिकल्स्‌ व तद्‌नुषंगिक खर्च)</t>
  </si>
  <si>
    <t>५. केंद्रातील मशिनरीसाठी लागणारी तेले</t>
  </si>
  <si>
    <t>६. प्रयोगशाळा व देखभाल खर्च</t>
  </si>
  <si>
    <t>७. कोठी व इतर साहित्यासाठी खर्च</t>
  </si>
  <si>
    <t>८. यंत्रसामुग्री, सुटे भाग व यंत्राच्या दुरुस्तीसाठी लागणारा खर्च</t>
  </si>
  <si>
    <t>९. मैलापाणी शुद्धीकरण केंद्रामधील क्लॅरिफायर्स एरिएशन टँक, थिकनर, डायजेस्टर इ. युनिटस्‌ची देखभाल, दुरुस्ती व तद्‌नुषंगिक कामे करणे</t>
  </si>
  <si>
    <t>१०. स्क्रिनिंग, ग्रीट मटेरियल वाहून नेणे, स्लज वाहतूक करणे</t>
  </si>
  <si>
    <t>११. केंद्राच्या आवारात स्वच्छता, किरकोळ दुरुस्ती, बागकाम करणे इ.</t>
  </si>
  <si>
    <t>१२. क्लोरिन पुरविणे, क्लोरिनेट देखभाल दुरुस्ती</t>
  </si>
  <si>
    <t>घ. बहिरोबा पंपिंग स्टेशन</t>
  </si>
  <si>
    <t>५. पंपिंग स्टेशनमधील मशिनरीसाठी लागणारी तेले, वंगणे इ.</t>
  </si>
  <si>
    <t>११. पंपिंगच्या आवारात बाग करणे</t>
  </si>
  <si>
    <t>१२. ट्रान्सफॉर्मर सर्किट ब्रेकर्स इ. विुत यंत्रणांची देखभाल, दुरुस्तीची तद्‌नुषंगिक कामे करणे</t>
  </si>
  <si>
    <t>१३. निरनिराळ्या सुएज व फ्ल्युएंट पंपाची देखभालीची व दुरुस्तीची कामे करणे</t>
  </si>
  <si>
    <t>१४. एफ्ल्युएंट पंपिंग स्टेशनच्या रायझिंग मेन लाईनची देखभाल व दुरुस्ती</t>
  </si>
  <si>
    <t>१६. अंतर्गत आवाराची देखभाल व दुरुस्ती (रस्ते, प्रकाश योजना)</t>
  </si>
  <si>
    <t>१७. नवीन मैलापाणी शुद्धीकरण केंद्रांची देखभाल दुरुस्ती करणे, पाणी शुध्दीकरण करणे व विजबिले इ. :-</t>
  </si>
  <si>
    <t>१७अ. तानाजीवाडी मैलापाणी शुद्धीकरण केंद्र</t>
  </si>
  <si>
    <t>१७ब. बोपोडी मैलापाणी शुद्धीकरण केंद्र</t>
  </si>
  <si>
    <t>१७क. भैरोबा / कल्याणीनगर मैलापाणी शुद्धीकरण केंद्र</t>
  </si>
  <si>
    <t>१७ड. एरंडवणा मैलापाणी शुद्धीकरण केंद्र</t>
  </si>
  <si>
    <t>१७इ. मेंटल हॉस्पिटल पंपिंग स्टेशन</t>
  </si>
  <si>
    <t>१७फ. बोटॅनिकल गार्डन पंपिंग स्टेशन</t>
  </si>
  <si>
    <t>१७ग. विट्टलवाडी मैलापाणी शुद्धीकरण केंद्र</t>
  </si>
  <si>
    <t>१७घ. नायडू मैलापाणी शुद्धीकरण केंद्र</t>
  </si>
  <si>
    <t>१७च. मुंढवा मैलापाणी शुद्धीकरण केंद्र</t>
  </si>
  <si>
    <t>१७छ. कसबा मैलापाणी संप व पंपगृह</t>
  </si>
  <si>
    <t>१७ज. तोफखाना मैलापाणी संप व पंपगृह</t>
  </si>
  <si>
    <t>१७झ. बाणेर मैलापाणी शुद्धीकरण केंद्र</t>
  </si>
  <si>
    <t>१७ख. खराडी मैलापाणी शुध्दीकरण केंद्र</t>
  </si>
  <si>
    <t>१८. मुंढवा येथील पाण्याच्या पुनर्वापराची योजना</t>
  </si>
  <si>
    <t>थ  सेवानिवृत्ती वेतन व तोषदान</t>
  </si>
  <si>
    <t>ज्ञ  कर्ज उभारण्याचा खर्च, कर्जाचे हप्ते व व्याज (मु.ले.)</t>
  </si>
  <si>
    <t>२. गटारे व नाले सुधारणा एकूण बेरीज</t>
  </si>
  <si>
    <t>२अ. जलोत्सारण निधीकडे वर्ग</t>
  </si>
  <si>
    <t>२.  एकूण बेरीज</t>
  </si>
  <si>
    <t>४. पाणीपुरवठा प्रकल्प निधीकडे वर्ग</t>
  </si>
  <si>
    <t>५. जलोत्सारण प्रकल्प निधीकडे वर्ग</t>
  </si>
  <si>
    <t>१. + २. +  ३. + ४. + ५. एकूण बेरीज</t>
  </si>
  <si>
    <t>अधिनियमानुसार एक लाख रुपये कमीत कमी शिल्लक धरून वर्षाअखेरची शिल्लक</t>
  </si>
  <si>
    <t>१. मध्यवर्ती कार्यालय, कायम सेवकवर्ग वेतन</t>
  </si>
  <si>
    <t>पर्वती एचसीआर झोनच्या पंपासाठी चौकोनी व गोल स्पेअर्स पुरविणे व बसविणे</t>
  </si>
  <si>
    <t>११. टाक्‍यांची दुरुस्ती</t>
  </si>
  <si>
    <t>च. मनपा सेवकांना द्यावयाचा महागाईभत्ता</t>
  </si>
  <si>
    <t>छ. नवीन वेतनश्रेणीनुसार द्यावयाच्या वेतनापोटी हप्ता</t>
  </si>
  <si>
    <t>झ. मनपा सेवकांना प्रवासभत्ता सवलतीसाठी द्यावयाची रक्कम</t>
  </si>
  <si>
    <t>२०. टाक्‍यांची दुरुस्ती</t>
  </si>
  <si>
    <t>१७. टाक्‍यांची दुरुस्ती</t>
  </si>
  <si>
    <t>२०. टँकरने पाणीपुरवठा करणे</t>
  </si>
  <si>
    <t>त  नवीन वेतनश्रेणीनुसार द्यावयाच्या वेतनापोटी हप्ता</t>
  </si>
  <si>
    <t>च  मनपा सेवकांना द्यावयाचा महागाई भत्ता</t>
  </si>
  <si>
    <t>झ  मनपा सेवकांना प्रवासभत्ता सवलतीसाठी द्यावयाची रक्कम</t>
  </si>
  <si>
    <t>१०. टाक्‍यांची दुरुस्ती</t>
  </si>
  <si>
    <t>४. तातडीच्या दुरुस्त्या (विद्युत विषयक व स्थापत्य विषयक)</t>
  </si>
  <si>
    <t>१. कायम सेवकवर्ग वेतन (गटारे स्वच्छ करणे व दुरुस्ती करणे)</t>
  </si>
  <si>
    <t>छ  नवीन वेतनश्रेणीनुसार द्यावयाच्या वेतनापोटी हप्ता</t>
  </si>
  <si>
    <t>अंदाजपत्रक 'क' एकूण जमा</t>
  </si>
  <si>
    <t>RI14A118</t>
  </si>
  <si>
    <t>RI11E123</t>
  </si>
  <si>
    <t>RI28M105</t>
  </si>
  <si>
    <t>ड. सांख्यिकी व संगणक कार्यालय बेरीज</t>
  </si>
  <si>
    <t>ण. खास न्यायाधीश यांच्या कार्यालयाचा खर्च व शासनाला द्यावयाची रक्कम (वि.स.)</t>
  </si>
  <si>
    <t>ब. दि अप्रेंटिस अ‍ॅक्ट, १९६१ अनुसार शिकाऊ उमेदवारांना द्यावयाचे पाठ्यवेतन व तद्‌नुषंगिक इतर खर्च (म.स.आ.वि.)</t>
  </si>
  <si>
    <t>क. शिक्षण मंडळाला द्यावयाची रक्कम - शिक्षण मंडळाकडील खर्च</t>
  </si>
  <si>
    <t>३. नवीन वेतन श्रेणीनुसार द्यावयाच्या वेतनापोटी हप्ता (शिक्षकेत्तर) (प्रा.शि.)</t>
  </si>
  <si>
    <t>अ. अंतर्गत दूरध्वनी खर्च</t>
  </si>
  <si>
    <t>क. विद्यार्थी टॅकसुट व बुट</t>
  </si>
  <si>
    <t>फ. विद्यार्थी वाहतूक व्यवस्था</t>
  </si>
  <si>
    <t>१९. विद्यार्थी वाहतूक</t>
  </si>
  <si>
    <t>२८. विशेष विद्यार्थ्यांसाठी शाळा</t>
  </si>
  <si>
    <t>३०. वैद्यकिय प्रतिपूर्ती</t>
  </si>
  <si>
    <t>२. नवीन वेतनश्रेणीनुसार द्यावयाच्या वेतनापोटी हप्ता</t>
  </si>
  <si>
    <t>ग. कै. जनरल अरुणकुमार वैद्य स्टेडियम व इतर क्रीडांगणे</t>
  </si>
  <si>
    <t>कै. जनरल अरुणकुमार वैद्य स्टेडियममधील बाक्सिंगरिंग, एलईडी व्हिडीओ वॉल, इतर विद्युत विषयक कामांची ऑपरेटिंग व देखभाल (विद्युत)</t>
  </si>
  <si>
    <t>ग.  इतर संस्थांना देणग्या</t>
  </si>
  <si>
    <t>ख. ऐच्छिक</t>
  </si>
  <si>
    <t>५५. सार्वजनिक वाहतूक सुधारणा व विशेष प्रकल्पाच्या कंपनीसाठी वर्ग</t>
  </si>
  <si>
    <t>नक्की आकडा</t>
  </si>
  <si>
    <t>मा. महापालिका 
आयुक्त यांनी 
सुचविलेला</t>
  </si>
  <si>
    <t>मा. स्थायी 
समितीने 
मान्यता दिलेला</t>
  </si>
  <si>
    <t>मा. महानगर-
पालिकेने 
संमत केलेला</t>
  </si>
  <si>
    <t>अधिक</t>
  </si>
  <si>
    <t>कमी</t>
  </si>
  <si>
    <t>शेरा</t>
  </si>
  <si>
    <t>मान्य अंदाज</t>
  </si>
  <si>
    <t>दुरूस्त अंदाज</t>
  </si>
  <si>
    <t>जमेचा</t>
  </si>
  <si>
    <t>तपशील</t>
  </si>
  <si>
    <t>अधिनियमाप्रमाणे कमीत कमी रोख शिल्लक ठेवण्याची रक्कम जमेस धरून वर्षारंभीची शिल्लक</t>
  </si>
  <si>
    <t>१. सर्वसाधारण कर, अप्रत्यक्ष कर व इतर जमा</t>
  </si>
  <si>
    <t>क. सर्वसाधारण पट्टी</t>
  </si>
  <si>
    <t>१. नागरिकांकडून (कआकसंप्र)</t>
  </si>
  <si>
    <t>२. राज्य सरकारकडून (कआकसंप्र)</t>
  </si>
  <si>
    <t>३. मध्यवर्ती शासनाकडून करांऐवजी येणारे सहाय्य (कआकसंप्र)</t>
  </si>
  <si>
    <t>४. पुणे वाहन व्यवहार खात्याकडील मिळकतींवरील कर (कआकसंप्र)</t>
  </si>
  <si>
    <t>ख. आयातकर</t>
  </si>
  <si>
    <t>१. पक्की जमा (आ.क.प्र.)</t>
  </si>
  <si>
    <t>२. निर्गत रिफंडमधील १० टक्के हिस्सा (आ.क.प्र.)</t>
  </si>
  <si>
    <t>३. प्रलंबित असलेल्या करवाढीपोटी येणारे उत्पन्न</t>
  </si>
  <si>
    <t>वजा :-  परत करावयाची रक्कम (रिफंड) पक्का (आ.क.प्र.)</t>
  </si>
  <si>
    <t>निव्वळ जमा</t>
  </si>
  <si>
    <t>ट्रॅन्झिट फी (रहदारी फी) (आ.क.प्र.)</t>
  </si>
  <si>
    <t>ख. निव्वळ आयातकर एकूण बेरीज</t>
  </si>
  <si>
    <t>ख-१. स्थानिक संस्था कर</t>
  </si>
  <si>
    <t>स्थानिक संस्था कर नोंदणी शुल्क</t>
  </si>
  <si>
    <t>स्थानिक संस्था कर</t>
  </si>
  <si>
    <t>र.रु. १० लाखापर्यंतच्या खरेदी उलाढालीवर भरावयाची ठोक रक्कम</t>
  </si>
  <si>
    <t>चौरस मीटर बांधकामाप्रमाणे भरावयाची ठोक रक्कम</t>
  </si>
  <si>
    <t>कंत्राटदाराने एकूण उलाढाल / करारानुसार ०.२५ % भरावयाची रक्कम</t>
  </si>
  <si>
    <t>निर्गत मालापोटी १० % हिस्सा</t>
  </si>
  <si>
    <t>स्थानिक संस्था करापोटी व्याज</t>
  </si>
  <si>
    <t>स्थानिक संस्था कर शास्ती (दंड)</t>
  </si>
  <si>
    <t>स्थानिक संस्था कर जप्त केलेली रक्कम</t>
  </si>
  <si>
    <t>राज्य शासनाकडून मुद्रांक शुल्क अधिभारापोटी मिळालेली रक्कम (१%)</t>
  </si>
  <si>
    <t>मनपा ठेकेदारांच्या बिलांमधून एल.बी.टी. वसुली</t>
  </si>
  <si>
    <t>ख-१. स्थानिक संस्था कर बेरीज</t>
  </si>
  <si>
    <t>वजा :- स्थानिक संस्था कर रिफंड</t>
  </si>
  <si>
    <t>ख-१. स्थानिक संस्था कर एकूण बेरीज</t>
  </si>
  <si>
    <t>ग. इतर कर</t>
  </si>
  <si>
    <t>१. करमणूककर (कआकसंप्र)</t>
  </si>
  <si>
    <t>२. व्यवसायकर (कआकसंप्र) शासनाकडून व्यवसाय करापोटी मिळणारी नुकसान भरपाई</t>
  </si>
  <si>
    <t>३. राज्य शासनाने बसविलेल्या करमणूककरापोटी मिळणारा हिस्सा (शासनाकडून) (कआकसंप्र)</t>
  </si>
  <si>
    <t>घ. महानगरपालिका अधिनियमाखाली दंडाबाबत शासकीय सहाय्य (वि. सल्लागार)</t>
  </si>
  <si>
    <t>ड-१ गुंतविलेल्या रकमांवरील व्याज (मु.ले.)</t>
  </si>
  <si>
    <t>ड-३ विविध खात्यांच्या ऑडिट अहवालातून वसुली</t>
  </si>
  <si>
    <t>पुणे महानगरपालिकेस बक्षिसापोटी मिळालेल्या रकमा</t>
  </si>
  <si>
    <t>सेवकांसाठी सेवापुस्तक  शुल्क</t>
  </si>
  <si>
    <t>ज. इतर जमा</t>
  </si>
  <si>
    <t>१. जुनी रद्दी विक्री (मसआ.जिंघ.)</t>
  </si>
  <si>
    <t>२. शुल्काचे उत्पन्न</t>
  </si>
  <si>
    <t>अ. मसुदा शुल्क (वि. सल्लागार)</t>
  </si>
  <si>
    <t>ब. दाव्याचा खर्च व प्रोसेस शुल्क (वि. सल्लागार)</t>
  </si>
  <si>
    <t>क. नक्कल शुल्क (मसआ.जिंघ.)</t>
  </si>
  <si>
    <t>ड. अधिपत्र (वॉरंट) शुल्क (कआकसंप्र)</t>
  </si>
  <si>
    <t>ई. सूचनापत्र (नोटीस) शुल्क (कआकसंप्र)</t>
  </si>
  <si>
    <t>फ. मिळकतीच्या मालकी हक्काबद्दल शुल्क (कआकसंप्र)</t>
  </si>
  <si>
    <t>ग. मिळकतकर थकबाकी शास्ती (२%) (कआकसंप्र)</t>
  </si>
  <si>
    <t>ज२. बेरीज</t>
  </si>
  <si>
    <t>३. किरकोळ जमा</t>
  </si>
  <si>
    <t>अ. न नेलेली व जप्त केलेली अनामत पक्की जमा (मु.ले.)</t>
  </si>
  <si>
    <t>ब. काटा भाडे (आ.क.प्र.)</t>
  </si>
  <si>
    <t>ड. इतर खात्यांकडील पुस्तके, मॅन्युअल्स्‌, नकाशे इ. (मसआ.जिंघ.)</t>
  </si>
  <si>
    <t>ई. भांडार खात्याकडील जुने साहित्य विक्री (म.स.आ.)</t>
  </si>
  <si>
    <t>च. देणगी फॉर्म विक्री जमा (उपआयुकत ज)</t>
  </si>
  <si>
    <t>छ. घरबांधणी कर्ज फॉर्म विक्री (मसआ.जिंघ.)</t>
  </si>
  <si>
    <t>ज. खानेसुमारीपोटी शासनाकडून मिळणारी रक्कम (जिं.घ.)</t>
  </si>
  <si>
    <t>सेवकवर्ग विभाग इतर जमा</t>
  </si>
  <si>
    <t>सुरक्षा विभाग इतर जमा</t>
  </si>
  <si>
    <t>जकात फॉर्म विक्री (आ.क.प्र.)</t>
  </si>
  <si>
    <t>महाराष्ट्र माहितीचा अधिकार अधिनियम</t>
  </si>
  <si>
    <t>सीएफसी अंतर्गत जमा होणारी रक्कम</t>
  </si>
  <si>
    <t>किऑक्स अंतर्गत जाहिराती व ई सुविधांसाठी मिळणारा महसूल</t>
  </si>
  <si>
    <t>जकात नाक्यांवरील उपहारगृह भाडेपोटी जमा</t>
  </si>
  <si>
    <t>ज३. बेरीज</t>
  </si>
  <si>
    <t>ज. इतर जमा एकूण बेरीज</t>
  </si>
  <si>
    <t>१. सर्वसाधारणकर, अप्रत्यक्षकर व इतर जमा एकूण बेरीज</t>
  </si>
  <si>
    <t>शासकीय अनुदान (मु.ले.)</t>
  </si>
  <si>
    <t>दंड, साक्षी, भत्ता इत्यादी</t>
  </si>
  <si>
    <t>बालवाडी शुल्क</t>
  </si>
  <si>
    <t>बहिस्त परीक्षा शुल्क</t>
  </si>
  <si>
    <t>इंग्रजी माध्यम फी</t>
  </si>
  <si>
    <t>१. वर्ग शुल्क</t>
  </si>
  <si>
    <t>२. सहामाही शुल्क</t>
  </si>
  <si>
    <t>३. प्रवेश शुल्क</t>
  </si>
  <si>
    <t>५. शासकीय अनुदान</t>
  </si>
  <si>
    <t>१. झोपडपट्टी ओळख पावती / दाखला शुल्क</t>
  </si>
  <si>
    <t>३. झोपडपट्टीवासियांकडून सर्व्हिस चार्जेस्‌</t>
  </si>
  <si>
    <t>४. झो.नि.पु. योजनेखाली बांधलेल्या ओट्यांची व गाळ्यांची देखभाल वसुली शुल्क</t>
  </si>
  <si>
    <t>६. शासनाकडून झोपडपट्टी निर्मूलन व पुनर्वसन कामापोटी येणारे अनुदान</t>
  </si>
  <si>
    <t>९. इतर जमा, झो.नि.पु.</t>
  </si>
  <si>
    <t>१०. इतर जमा, नागरवस्ती</t>
  </si>
  <si>
    <t>११. फोटो पास जमा</t>
  </si>
  <si>
    <t>१६. अनुसूचित जाती व नवबौध्द घटकांसाठी घरकुल योजना</t>
  </si>
  <si>
    <t>मुलगी दत्तक योजना - नागरिकांचा हिस्सा</t>
  </si>
  <si>
    <t>क. हिवताप (मलेरिया) निर्मूलन योजना शासकीय अनुदान इतर जमा (आ.प्र.)</t>
  </si>
  <si>
    <t>ख. वैकुंठ स्मशानभूमी उत्पन्न (आ.प्र.)</t>
  </si>
  <si>
    <t>ग. भेसळप्रतिबंधक निर्बंध उपहारगृह शुल्क (आ.प्र.)</t>
  </si>
  <si>
    <t>च. इतर जमा (औषध विक्री, लस वगैरे) (आ.प्र.)</t>
  </si>
  <si>
    <t>छ. संतती नियमन सहाय्यप्रित्यर्थ (आ.प्र.)</t>
  </si>
  <si>
    <t>ज. कुत्र्यांच्या बंदोबस्ताप्रित्यर्थ शासकीय सहाय्य (आ.प्र.)</t>
  </si>
  <si>
    <t>झ. फॉर्म विकी (आ.प्र.)</t>
  </si>
  <si>
    <t>ट. जन्ममृत्यू विभाग (आ.प्र.)</t>
  </si>
  <si>
    <t>य. विवाह नोंदणी फॉर्म विक्री</t>
  </si>
  <si>
    <t>दंडात्मक कारवाईपोटी १५ क्षेत्रिय कार्यालयांकडून शुल्क जमा</t>
  </si>
  <si>
    <t>घरपोच दाखले देण्यासाठी डॉक्टरांकडून मिळणारी फी</t>
  </si>
  <si>
    <t>क. सांसर्गिक रोगांचे रुग्णालय इतर संस्थांचा हिस्सा (आ.प्र.)</t>
  </si>
  <si>
    <t>ख. औषधालय शुल्क (आ.प्र.)</t>
  </si>
  <si>
    <t>ग. प्रयोगशाळा शुल्क (आ.प्र.)</t>
  </si>
  <si>
    <t>घ. इतर जमा (आ.प्र.)</t>
  </si>
  <si>
    <t>ज. कुटी रुग्णालय (आ.प्र.)</t>
  </si>
  <si>
    <t>झ. रेडिऑलॉजी (आ.प्र.)</t>
  </si>
  <si>
    <t>७. रुग्णालये, प्रसुतिगृहे, औषधालये एकूण बेरीज</t>
  </si>
  <si>
    <t>८. मा. सभासद व सेवकांसाठी आरोग्य सहाय्य योजना</t>
  </si>
  <si>
    <t>अ.  सभासद व सेवकांसाठी आरोग्य सहाय्य योजना (आ.प्र.)</t>
  </si>
  <si>
    <t>ब.  वाहन व्यवहार सेवकांसाठी आरोग्य सहाय्य योजना (आ.प्र.)</t>
  </si>
  <si>
    <t>क.  शिक्षण मंडळ सेवकांसाठी आरोग्य सहाय्य योजना (आ.प्र.)</t>
  </si>
  <si>
    <t>८. आरोग्य सहाय्य योजना एकूण बेरीज</t>
  </si>
  <si>
    <t>९. पथांची झाटलोट, कचरावाहतूक नि मैला व मैलापाणी वाहतूक व्यवस्था</t>
  </si>
  <si>
    <t>क. सफाईपट्टी व विशेष सफाईपट्टी</t>
  </si>
  <si>
    <t>२. शासनाकडून (कआकसंप्र)</t>
  </si>
  <si>
    <t>३. पुणे मनपा वाहन व्यवहार खात्याच्या मिळकतींवरील (कआकसंप्र)</t>
  </si>
  <si>
    <t>४. विशेष सफाई कर (कआकसंप्र)</t>
  </si>
  <si>
    <t>६. मौजे मांजरी गावाचा कचरा स्विकारणे पोटी जमा</t>
  </si>
  <si>
    <t>ख. इतर जमा</t>
  </si>
  <si>
    <t>२. किरकोळ जमा (आ.प्र.)</t>
  </si>
  <si>
    <t>३. साफसफाई शुल्क (आ.प्र.)</t>
  </si>
  <si>
    <t>९. पथांची झाडलोट एकूण बेरीज</t>
  </si>
  <si>
    <t>१०. पथ सुधारणा</t>
  </si>
  <si>
    <t>क. पथ विभाग</t>
  </si>
  <si>
    <t>१. स्ट्रीट टॅक्स (कआकसंप्र)</t>
  </si>
  <si>
    <t>२. वाहनकराऐवजी शासकीय सहाय्य (कआकसंप्र)</t>
  </si>
  <si>
    <t>३. किरकोळ जमा (टेंडर फॉर्म विक्री, देखरेख खर्च)</t>
  </si>
  <si>
    <t>७. फळी, पायरी शुल्क (अतिक्रमण)</t>
  </si>
  <si>
    <t>८. रस्ता खोदाईपोटी आलेली जमा (पथ)</t>
  </si>
  <si>
    <t>८-अ. ऑप्टिकल फायबर केबल टाकणेसाठी डिमांड नोट पोटी जमा (पथ)</t>
  </si>
  <si>
    <t>१०. रस्ते बांधणी व रस्ते दुरुस्तीसाठी अनुदान (कआकसंप्र)</t>
  </si>
  <si>
    <t>११. बी.पी.एम.सी. अ‍ॅक्ट कलम ७९क प्रमाणे वन टाईम डक्ट केबल भाडे / रॉयल्टीपोटी जमा (थकबाकीसह)</t>
  </si>
  <si>
    <t>१३. नो पार्किंग झोनमध्ये पार्किंग केलेल्या वाहनांवर कारवाई करणे</t>
  </si>
  <si>
    <t>११. यांत्रिक विभाग - महानगरपालिका कर्मशाळा</t>
  </si>
  <si>
    <t>ग. इतर जमा</t>
  </si>
  <si>
    <t>क. भूमी भवन भाडे व भूमी विक्री</t>
  </si>
  <si>
    <t>१. भूमी भाडे (मसआ.वि.)</t>
  </si>
  <si>
    <t>२. भूमी विक्री (मसआ.वि.)</t>
  </si>
  <si>
    <t>३. भवन भाडे (मसआ.वि.)</t>
  </si>
  <si>
    <t>४. इतर जमा (मसआ.वि.)</t>
  </si>
  <si>
    <t>५. स्वातंत्र्यवीर सावरकर औोगिक भवन येथील स्वच्छता परीरक्षण सेवा शुल्क (मसआ.वि.)</t>
  </si>
  <si>
    <t>ख. मनपा वसाहती भाडे (मसआ.वि.)</t>
  </si>
  <si>
    <t>१. मनपा वसाहती भाडे</t>
  </si>
  <si>
    <t>२. सेवा शुल्क</t>
  </si>
  <si>
    <t>घ. मांडव पास, इतर जागा व साहित्य भाडे (अतिक्रमण)</t>
  </si>
  <si>
    <t>१२. भवने, भूमी व चाळी एकूण बेरीज</t>
  </si>
  <si>
    <t>क. शुल्क</t>
  </si>
  <si>
    <t>१. परवानगी अनुज्ञापत्र शुल्क (बांधकाम नियोजन)</t>
  </si>
  <si>
    <t>२. नकाशा शुल्क (बांधकाम नियोजन)</t>
  </si>
  <si>
    <t>३. बांधकाम साहित्य जागा भाडे (अतिक्रमण)</t>
  </si>
  <si>
    <t>४. बेटरमेंट चार्जेस (न.अ.)</t>
  </si>
  <si>
    <t>८. वॉटर लाईनच्या पेरीफेरलपोटी जमा होणारी रक्कम</t>
  </si>
  <si>
    <t>११. ठेकेदार रजिस्ट्रेशन फी</t>
  </si>
  <si>
    <t>१२. लेआऊटमधील अ‍ॅमिनिटी स्पेस सामाजिक उपयोगाकरिता वापरणेबाबत</t>
  </si>
  <si>
    <t>१३. नाला / ओढा क्षेत्र विकसन चार्जेस</t>
  </si>
  <si>
    <t>१४. मोबाईल टॉवरसाठी प्रशासकीय शुल्क</t>
  </si>
  <si>
    <t>ख. इतर जमा (टेंडर फॉर्म विक्री, देखरेख खर्च व कोठी कमिशन) (न.अ.)</t>
  </si>
  <si>
    <t>१३. बांधकाम नियोजन एकूण बेरीज</t>
  </si>
  <si>
    <t>क. रुग्ण व प्रेतवाहक वाहनाचे भाडे (अग्निशामक)</t>
  </si>
  <si>
    <t>ख. फायरप्रीमीयमसह इतर जमा १५ ते ४० मीटर उंच इमारतींसाठी मनपा हद्दीत (अग्निशामक)</t>
  </si>
  <si>
    <t>ख. फायरप्रीमीयमसह इतर जमा १५ ते ४० मीटर उंच इमारतींसाठी मनपा हद्दीबाहेरील (अग्निशामक)</t>
  </si>
  <si>
    <t>ग. अग्निशामक सेवा खर्चाच्या भरपाईसाठी जादा सर्वसाधारण कर (कआकसंप्र)</t>
  </si>
  <si>
    <t>४० मीटरपेक्षा जास्त उंच इमारतींकरिता फायर इन्फ्रास्टक्चर चार्जेस मनपा हद्दीत (अग्निशामक)</t>
  </si>
  <si>
    <t>४० मीटरपेक्षा जास्त उंच इमारतींकरिता फायर इन्फ्रास्टक्चर चार्जेस मनपा हद्दीबाहेरील (अग्निशामक)</t>
  </si>
  <si>
    <t>आग सुरक्षा निधी अग्निशमन सेवा फी व वार्षिक फी मनपा हद्दीत (अग्निशामक)</t>
  </si>
  <si>
    <t>आग सुरक्षा निधी अग्निशमन सेवा फी व वार्षिक फी मनपा हद्दीबाहेरील (अग्निशामक)</t>
  </si>
  <si>
    <t>१५. अनुज्ञापत्र व आकाशचिन्हे, पथांवरील अतिक्रमणे काढणे व कोंडवाडे</t>
  </si>
  <si>
    <t>क. अनुज्ञापत्र व आकाशचिन्हे</t>
  </si>
  <si>
    <t>१. फेरीवाले अनुज्ञापत्र शुल्क (अतिक्रमण)</t>
  </si>
  <si>
    <t>२. आकाशचिन्हे आज्ञापत्र शुल्क (परवाना)</t>
  </si>
  <si>
    <t>३. इतर अनुज्ञापत्र शुल्क (परवाना)</t>
  </si>
  <si>
    <t>४. झडपा (ऊन, पाऊस संरक्षण) अनुज्ञापत्र शुल्क (अतिक्रमण)</t>
  </si>
  <si>
    <t>५. कोंडवाडे (म.स.आ.जिं.घ.)</t>
  </si>
  <si>
    <t>६. फॉर्म्स विक्री (परवाना विभाग)</t>
  </si>
  <si>
    <t>७. पथारी व व्यावसायिक फी (अतिक्रमण)</t>
  </si>
  <si>
    <t>९. फॉर्म विक्री (अतिक्रमण)</t>
  </si>
  <si>
    <t>ख. अतिक्रमणे काढणे (म.स.आ.वि.)</t>
  </si>
  <si>
    <t>१५. अनुज्ञापत्र व आकाशचिन्ह एकूण बेरीज</t>
  </si>
  <si>
    <t>१. फळे, फुले, रोपे व खत विक्री, चित्रीकरण फी, कुंड्या भाडे इ.</t>
  </si>
  <si>
    <t>२. अनुज्ञापत्र शुल्क</t>
  </si>
  <si>
    <t>१. फुलराणी (छोट्यांसाठी आगगाडी)</t>
  </si>
  <si>
    <t>२. इतर जमा</t>
  </si>
  <si>
    <t>अ. किरकोळ विक्री / प्राणी विक्री</t>
  </si>
  <si>
    <t>ब. अनुज्ञापत्र शुल्क</t>
  </si>
  <si>
    <t>१. मत्स्यालय, प्रवेश शुल्क (वि.का.)</t>
  </si>
  <si>
    <t>घ. स्व. राजीव गांधी प्राणीसंग्रहालय, कात्रज</t>
  </si>
  <si>
    <t>१. स्व. राजीव गांधी प्राणीसंग्रहालय, प्रवेश शुल्क</t>
  </si>
  <si>
    <t>२. प्लॅस्टिक प्रतिबंध / प्राणी दत्तक योजना / इतर जमा</t>
  </si>
  <si>
    <t>३. बॅटरी ऑपरेटर व्हेईकल</t>
  </si>
  <si>
    <t>क. पंडित जवाहरलाल नेहरू स्टेडियम (म.स.आ.वि.)</t>
  </si>
  <si>
    <t>१. मैदान भाडे</t>
  </si>
  <si>
    <t>३. स्टेडियम भाडे</t>
  </si>
  <si>
    <t>६. सणस ग्राउंड बॅडमिंटन हॉल भाडे</t>
  </si>
  <si>
    <t>७. कै. बाबुराव सणस मैदान भाडे</t>
  </si>
  <si>
    <t>८. कै. बाबुराव सणस मैदान सराव भाडे</t>
  </si>
  <si>
    <t>९. कै. बाबुराव सणस मैदान स्पोर्टस्‌ होस्टेल भाडे</t>
  </si>
  <si>
    <t>११. हडपसर हॅण्डबॉल मैदान भाडे</t>
  </si>
  <si>
    <t>१. रंगमंदिर भाडे</t>
  </si>
  <si>
    <t>२. द्वारपालन व फलक</t>
  </si>
  <si>
    <t>३. कलादालन भाडे</t>
  </si>
  <si>
    <t>४. उपाहारगृह भाडे</t>
  </si>
  <si>
    <t>५. निवास भाडे</t>
  </si>
  <si>
    <t>६. छायाचित्रांसाठी सोय</t>
  </si>
  <si>
    <t>७. इतर जमा</t>
  </si>
  <si>
    <t>८. सायकल, स्कूटर व मोटर स्टॅण्ड भाडे</t>
  </si>
  <si>
    <t>क. बालगंधर्व रंगमंदिर बेरीज</t>
  </si>
  <si>
    <t>१. प्रेक्षागृह भाडे</t>
  </si>
  <si>
    <t>२. प्रदर्शन हॉल भाडे</t>
  </si>
  <si>
    <t>३. उपहारगृह भाडे</t>
  </si>
  <si>
    <t>४. वाहनतळ भाडे</t>
  </si>
  <si>
    <t>५. इतर जमा</t>
  </si>
  <si>
    <t>ख. गणेश कलाक्रीडा मंदिर बेरीज</t>
  </si>
  <si>
    <t>१. नाट्यगृह भाडे</t>
  </si>
  <si>
    <t>२. द्वारपालन व फलक भाडे</t>
  </si>
  <si>
    <t>४. उपहारगृह भाडे</t>
  </si>
  <si>
    <t>६. वाहनतळ भाडे</t>
  </si>
  <si>
    <t>ग. यशवंतराव चव्हाण नाट्यगृह बेरीज</t>
  </si>
  <si>
    <t>१. थिएटर भाडे</t>
  </si>
  <si>
    <t>२. कॉन्फरन्स हॉल भाडे</t>
  </si>
  <si>
    <t>३. प्रदर्शन हॉल भाडे</t>
  </si>
  <si>
    <t>५. वाहनतळ भाडे</t>
  </si>
  <si>
    <t>६. इतर जमा</t>
  </si>
  <si>
    <t>७. कॉम्प्युटर रूम</t>
  </si>
  <si>
    <t>घ. डॉ. बाबासाहेब आंबेडकर सांस्कृतिक भवन बेरीज</t>
  </si>
  <si>
    <t>१. मल्टीपरपज हॉल भाडे</t>
  </si>
  <si>
    <t>३. इतर जमा</t>
  </si>
  <si>
    <t>य. मौलाना अबुल कलाम आझाद स्मारक बेरीज</t>
  </si>
  <si>
    <t>६. उपहारगृह भाडे</t>
  </si>
  <si>
    <t>र. राजा रवीवर्मा कलादालन व पं.जवाहरलाल नेहरू सांस्कृतिक भवन बेरीज</t>
  </si>
  <si>
    <t>२. कलादालन भाडे</t>
  </si>
  <si>
    <t>४. कॅन्टीन व कॅफेटेरीया भाडे</t>
  </si>
  <si>
    <t>ल. पंडित भिमसेन जोशी कलादालन, सहकारनगर बेरीज</t>
  </si>
  <si>
    <t>३. आर्टगॅलरी भाडे</t>
  </si>
  <si>
    <t>व. पंडित भिमसेन जोशी कलामंदिर, औंध बेरीज</t>
  </si>
  <si>
    <t>२. मल्टीपर्पज हॅाल भाडे</t>
  </si>
  <si>
    <t>३. रिहर्सल हॉल भाडे</t>
  </si>
  <si>
    <t>४. व्दारपालन व फलक भाडे</t>
  </si>
  <si>
    <t>५. उपहारगृह भाडे</t>
  </si>
  <si>
    <t>लोकशाहीर अण्णाभाऊ साठे स्मारक (नाट्यगृह), बिबवेवाडी बेरीज</t>
  </si>
  <si>
    <t>२. व्दारपालन व फलक भाडे</t>
  </si>
  <si>
    <t>राजीव गांधी ई लर्निंग स्कूलमधील विजय तेंडूलकर नाट्यगृह बेरीज</t>
  </si>
  <si>
    <t>६. निवास भाडे</t>
  </si>
  <si>
    <t>साध्वी सावित्रीबाई फुले सांस्कृतिक भवन, भवानीपेठ बेरीज</t>
  </si>
  <si>
    <t>महात्मा फुले सांस्कृतिक भवन, वानवडी बेरीज</t>
  </si>
  <si>
    <t>क. मंडयांकडील जमा</t>
  </si>
  <si>
    <t>घ. दैनिक जागा भाडे शुल्क (वि.का.) (अतिक्रमण)</t>
  </si>
  <si>
    <t>२०. मांस, मासळी बाजार आणि पशुवधगृहे</t>
  </si>
  <si>
    <t>क. मांस बाजार गाळा भाडे (आ.प्र.)</t>
  </si>
  <si>
    <t>ख. कोंढवा पशुवधगृह शुल्क (आ.प्र.)</t>
  </si>
  <si>
    <t>ग. मांसळी बाजार गाळा भाडे (आ.प्र.)</t>
  </si>
  <si>
    <t>घ. गुरांचे मांस बाजार गाळा भाडे (आ.प्र.)</t>
  </si>
  <si>
    <t>ड. किरकोळ जमा (आ.प्र.)</t>
  </si>
  <si>
    <t>प्रयोगशाळा शुल्क</t>
  </si>
  <si>
    <t>२०. मांस, मासळी बाजार आणि पशुवधगृहे एकूण बेरीज</t>
  </si>
  <si>
    <t>२३. शिक्षण कर वसूल करण्याबाबत शासनाकडून मिळणारा रिबेट (कआकसंप्र)</t>
  </si>
  <si>
    <t>२५. निवासी जागांवरील करवसुलीबाबत  रिबेट (कआकसंप्र)</t>
  </si>
  <si>
    <t>२६. रोजगार हमी कर वसुल करण्याप्रित्यर्थ मिळणारा रिबेट (कआकसंप्र)</t>
  </si>
  <si>
    <t>२७. डेव्हलपमेंट निधीकडून जमा डेव्हलपमेंट चार्जेस</t>
  </si>
  <si>
    <t>३०. स्थानिक विकास कार्यक्रमांतर्गत जिल्हा नियोजन व विकास परिषदेकडून उपलब्ध होणारा निधी (आमदार, खासदार निधी)</t>
  </si>
  <si>
    <t>३०.१ - डी.पी.डी.सी.कामापोटी सेटेज चार्जेस वसुली</t>
  </si>
  <si>
    <t>मुलभुत सोयी-सुविधा शासनाचे विशेष अनुदान</t>
  </si>
  <si>
    <t>३२. जागतिक बँक, एशियन डेव्हलपमेंट बँक, जपान बँकेकडून अथवा अन्य बँका व वित्त संस्था यांचेकडून दिर्घ व लघु मुदतीसाठी कर्ज</t>
  </si>
  <si>
    <t>३८. मूलभूत सुविधांच्या विकासासाठी विशेष अनुदान</t>
  </si>
  <si>
    <t>४१. उपकरापोटी रिबेट</t>
  </si>
  <si>
    <t>४३. ओंकारेश्वर मंदिर येथे सिमाभिंत बांधणे, सौरदिवे बसविणे, पाण्याची लाईन टाकणे व वाहनतळ तयार करणेसाठी निधी प्राप्त</t>
  </si>
  <si>
    <t>४४. सर्वसाधारण जिल्हा वार्षिक योजना २०१२-१३ अंतर्गत घनकचरा व्यवस्थापनास निधी प्राप्त</t>
  </si>
  <si>
    <t>४५. सर्वसाधारण जिल्हा वार्षिक योजना २०१२-१३ अंतर्गत म. फुले संग्रहालय एमपीएससी/युपीएससी अभ्यासवर्ग सुरू करणेसाठी निधी प्राप्त</t>
  </si>
  <si>
    <t>४६. प्रादेशिक पर्यटन विकास योजना - शनिवार वाडा व परिसर विकास करणे</t>
  </si>
  <si>
    <t>इतर जमा - स्थानिक संस्था कर</t>
  </si>
  <si>
    <t>ड. परत माल नोंद लेखनिकी खर्च (आ.क.प्र.)</t>
  </si>
  <si>
    <t>४. इतर जमा - दुय्यम शिक्षण</t>
  </si>
  <si>
    <t>ड. इतर धंद्यांवरील अनुज्ञापत्र शुल्क (आ.प्र.)</t>
  </si>
  <si>
    <t>त. इतर धंद्यांवरील अनुज्ञापत्र - धोबी घाट (मसआ.जिंघ.)</t>
  </si>
  <si>
    <t>ग. मागासलेल्या विद्यार्थ्यांसाठी वसतिगृह - भाडे व इतर जमा (शिक्षणाधिकारी माध्य.)</t>
  </si>
  <si>
    <t>१६. उद्याने, प्राणिसंग्रहालये व मत्स्यालय</t>
  </si>
  <si>
    <t>५. उद्याने प्रवेश शुल्क</t>
  </si>
  <si>
    <t>१६. उद्याने, प्राणिसंग्रहालये व मत्स्यालय एकूण बेरीज</t>
  </si>
  <si>
    <t>४. कै. जनरल अरुणकुमार वैद्य स्टेडियम भाडे</t>
  </si>
  <si>
    <t>५. तलाव शुल्क (उद्यान)</t>
  </si>
  <si>
    <t>१०. कै. जनरल अरुणकुमार वैद्य स्टेडियम बॉक्सिंगरिंग भाडे</t>
  </si>
  <si>
    <t>३. म्युझिक लायब्ररी भाडे</t>
  </si>
  <si>
    <t>अंदाजपत्रक 'अ' + 'क' एकूण जमा</t>
  </si>
  <si>
    <t>१. पाणीपुरवठा (अति. न.अ.)</t>
  </si>
  <si>
    <t>क. पाणीपट्टी  साधारण पाणीपट्टी (कआकसंप्र)</t>
  </si>
  <si>
    <t>ख. शासनाकडून (कआकसंप्र)</t>
  </si>
  <si>
    <t>ग. पाणीपट्टी  पाणीमापकानुसार (अति.न.अ.)</t>
  </si>
  <si>
    <t>ग१. मीटर पाणीपट्टी थकबाकीपोटी जमा</t>
  </si>
  <si>
    <t>ग२. गवनि खात्याअंतर्गत होणारी पाणीपट्टी जमा</t>
  </si>
  <si>
    <t>घ. पाणीमापक भाडे</t>
  </si>
  <si>
    <t>ड. नवीन नळ आकार नळदुरुस्ती व साफसफी (परतजमा)</t>
  </si>
  <si>
    <t>च. पुणे महानगर परिवहन महामंडळ लि. कडील मिळकतीवरील पाणीपट्टी (कआकसंप्र)</t>
  </si>
  <si>
    <t>ज. मनपाच्या विविध विभागाच्या पाणीपुरवठ्यापोटी</t>
  </si>
  <si>
    <t>ठ. कॉलनी रस्त्यावर पाईप टाकणे कामापोटी सुपरव्हिजन स्क्रुटीनी फी व अन्य जमा होणार</t>
  </si>
  <si>
    <t>ढ. जलकेंद्राच्या आवारांतील निवास स्थानापोटी जमा होणारे भाडे</t>
  </si>
  <si>
    <t>थ. पाणी वजावट ठेकेदार</t>
  </si>
  <si>
    <t>अनधिकृत कनेक्शन नियमित करण्यापोटी जमा</t>
  </si>
  <si>
    <t>१. बेरीज</t>
  </si>
  <si>
    <t>१अ. पुणे कॅन्टोन्मेंट पाणीपुरवठा जमा (अति.न.अ.)</t>
  </si>
  <si>
    <t>(१) पाणीमापकानुसार पाणीपट्टी</t>
  </si>
  <si>
    <t>(२) एच.ई. फॅक्टरीकडून येणारी जमा</t>
  </si>
  <si>
    <t>१अ. बेरीज</t>
  </si>
  <si>
    <t>१. एकूण बेरीज</t>
  </si>
  <si>
    <t>२. गटारे व नाले सुधारणा (अति.न.अ.)</t>
  </si>
  <si>
    <t>क. सफाईपट्टी (करपात्र रकमेच्या १४%) (कआकसंप्र)</t>
  </si>
  <si>
    <t>घ. सुअरेज बेनिफीट टॅक्स (जलनिस्सारण लाभकर करपात्र रकमेच्या ६%) (कआकसंप्र)</t>
  </si>
  <si>
    <t>२. बेरीज</t>
  </si>
  <si>
    <t>३. डेव्हलपमेंट निधीकडून जमा</t>
  </si>
  <si>
    <t>१. + २. + ३.  एकूण बेरीज</t>
  </si>
  <si>
    <t>वर्षारंभीच्या शिलकेसह एकूण जमा</t>
  </si>
  <si>
    <t>छ. वॉटर बेनिफीट टॅक्स (जललाभकर) (कआकसंप्र) (करपात्र रकमेच्या ३ टक्के)</t>
  </si>
  <si>
    <t>ण. अंदाजपत्रक 'अ' कडून वर्ग</t>
  </si>
  <si>
    <t>पाणीपुरवठा व जलोत्सारण प्रकल्पांतर्गत</t>
  </si>
  <si>
    <t>खास निधी 'क' चा जमेचा गोषवारा व तपशील</t>
  </si>
  <si>
    <t>मनपा भवन येथे विस्तारित इमारत बांधणे व पुणे मनपा मिळकतीमध्ये क्षेत्रिय कार्यालय/ प्रशासकिय इमारतीचे विस्तारीकरण करणे</t>
  </si>
  <si>
    <t>पुणे शहरातील प्राथमिक शाळांमध्ये वर्गखोल्या, सिमाभिंत, स्वच्छतागृह, वॉचमन क्वॉर्टर, वॉटर प्रुफिंग, पाण्याची व्यवस्था व इतर तद्‌नुषंगिक कामे व देखभाल दुरूस्तीची कामे करणे</t>
  </si>
  <si>
    <t>वि.स.खांडेकर शाळा दुसर्‍या मजल्यावर नविन ६ वर्ग खोल्या बांधणे</t>
  </si>
  <si>
    <t>वॉर्ड क्र.११६ फायनल प्लॉट क्र.४७८ पर्वती येथील राजीव गांधी प्रायमरी शाळेचे उर्वरित काम पुर्ण करणे</t>
  </si>
  <si>
    <t>वॉर्ड क्र. १२७  मधील हिंगणे खुर्द शाळा क्र. १६८ शाळेचा हॉल व वर्गखोल्या बांधणे व नुतनीकरण करणे</t>
  </si>
  <si>
    <t>एरंडवणा येथील मनपा च्या ताब्यात आलेल्या सन-डयु अपार्टमेंट या ठिकाणी इमारतीत प्राथमिक शाळेसाठी विविध विकासाची कामे करणे</t>
  </si>
  <si>
    <t>प्रभाग क्र. १२ अ, बालवीर शिरिषकुमार विालय येथील वॉटर प्रुफिंग,रंगरंगोटी व स्ट्रकरल स्टॅबिलिटी रिपोर्ट प्रमाणे दुरुस्तीची कामे करणे.</t>
  </si>
  <si>
    <t>मनपाच्या अस्तित्वात असलेल्या शाळा इमारतींमध्ये मुलींसाठी नवीन स्वच्छतागृहे बांधणे</t>
  </si>
  <si>
    <t>प्र.क्र.६२ कोंढवा बु. येथे शाळा इमारत बांधणे.</t>
  </si>
  <si>
    <t>पुणे शहरातील मध्यवर्ती भागाच्या मनपा शाळांमध्ये विविध दुरूस्त्या व विकासकामे करणे</t>
  </si>
  <si>
    <t>मनपा शाळांमध्ये मुलींसाठी स्वच्छतागृहे बांधणे</t>
  </si>
  <si>
    <t>महाराष्ट्र शासनाच्या धर्तीवर आय.ई.सी. सेंटर उभारणे</t>
  </si>
  <si>
    <t>सुतार रुग्णालय (कोथरूड) येथे विस्तारीकरण व इतर सुविधा पुरविणे</t>
  </si>
  <si>
    <t>कमला नेहरू रुग्णालय प्रोजेक्ट अंतर्गत विविध उपकरणे खरेदी व तद्‌नुषंगिक कामे करणे</t>
  </si>
  <si>
    <t>शहरातील इतर सर्व दवाखाने, प्रसुतिगृहे व रुग्णालये यांचेकरिता विविध शस्त्रे व उपकरणे खरेदी करणे</t>
  </si>
  <si>
    <t>डॉ. नायडू हॉस्पिटल प्रोजेक्ट</t>
  </si>
  <si>
    <t>कमला नेहरू रुग्णालयासाठी प्रयोगशाळा विकसित करणे</t>
  </si>
  <si>
    <t>कारकस युटिलायझेशन रेन्डरिंग प्लान्ट व इंन्सीनेटर बांधणे</t>
  </si>
  <si>
    <t>कोंढवा कत्तलखाना येथे उपलब्ध जागेवर स्लॉटर हाऊस वेस्ट ट्रिटमेंट प्लान्ट उभारणे</t>
  </si>
  <si>
    <t>पुणे महानगरपालिकेच्या विविध ठिकाणी असलेल्या शवदाहिन्यांसाठी चिमणी, वॉटरस्क्रबर इ. विविध तद्‌नुषंगिक कामे करणे.</t>
  </si>
  <si>
    <t>कैलास स्मशानभूमी येथे वूड गॅसीफायरवर चालणारी गॅस शव दाहिनी उभारणे व तद्‌नुषंगिक कामे करणे.</t>
  </si>
  <si>
    <t>येरवडा मुस्लीम दफन भूमी येथे सिमाभिंत बांधणे.</t>
  </si>
  <si>
    <t>स्व. मालती काची प्रसुतिगृह येथे विविध मशिनरी खरेदी करणे</t>
  </si>
  <si>
    <t>वैकुंठ स्मशानभूमीत संथारा मरण व्यक्तिस अग्री देण्यासाठी स्वतंत्र चौथरा व शेड बांधणे.</t>
  </si>
  <si>
    <t>पुणे मनपाच्या बाबू गेनू दवाखाना (रविवार पेठ), आनंदीबाई नरहरी गाडगीळ दवाखाना, कलावती मावळे दवाखाना येथील विविध विकास कामे करणे व दर्जा वाढ करणे</t>
  </si>
  <si>
    <t>प्रभाग क्र. १८ व वडगाव शेरी परिसरामध्ये विविध मनपा शाळांमध्ये विविध सुधारणा विषयक कामे करणे</t>
  </si>
  <si>
    <t>७. आरोग्य विभाग एकूण बेरीज</t>
  </si>
  <si>
    <t>९. पथांची झाडलोट / घनकचरा व्यवस्थापन विभाग</t>
  </si>
  <si>
    <t>आय एस ओ ९००१-२००० नुसार व्हिल बॅरो / सायकल रिक्षा /प्लॅस्टीक बकेट खरेदी करणे</t>
  </si>
  <si>
    <t>घरोघरी जावुन कचरा गोळा करणे, कंटेनर मुक्त शहर करणे</t>
  </si>
  <si>
    <t>विशेष निधी उरूळी देवाची/फुरसंगी डेपो परिसर कचरा डेपोवरील उर्वरित कचर्‍याचे नॉर्म्सप्रमाणे कॅपिंग करणे, व तद्‌नुषंगिक कामे करणे.</t>
  </si>
  <si>
    <t>उरुळी देवाची/फुरसुंगी येथील कचरा डेपोच्या भोवती सिमाभिंत बांधणे.</t>
  </si>
  <si>
    <t>व्हर्मीकंपोस्ट पध्दतीचे प्रक्रिया प्रकल्प उभारणे.</t>
  </si>
  <si>
    <t>विकेंद्रित पध्दतीने कचरा प्रक्रिया प्रकल्प उभारणे व  तदनुषंगिक कामे करणे.</t>
  </si>
  <si>
    <t>कचरा प्रक्रिया प्रकल्पासाठी जागा ताब्यात घेणे, कंपाउंड करणे, रस्ते करणे व तदनुषंगिक कामे करणे.</t>
  </si>
  <si>
    <t>ताब्यात येणार्‍या जागांवर प्रक्रिया प्रकल्प उभारणे, प्रकल्पांसाठी आवश्यक सुविधा विषयक कामे करणे इत्यादी.</t>
  </si>
  <si>
    <t>उरुळी देवाची/फुरसंगी येथील गावांमध्ये विविध विकास कामे करणे</t>
  </si>
  <si>
    <t>कचरा गोळा करणेसाठी घंटागाडया खरेदी करणे.</t>
  </si>
  <si>
    <t>घनकचरा व्यवस्थापनकडील कचरागाडया, बंदिस्त करणे विविध रॅम्प बंदिस्त करणे व कॉक्रीट करणे.</t>
  </si>
  <si>
    <t>विकेंद्रीत पध्दतीने विविध ठीकाणी बायोगॅस प्रकल्प / मेकॅनिकल कंपोस्टींग पध्दतीचे ५ टन क्षमते पर्यंतचे प्रकल्प उभारणे</t>
  </si>
  <si>
    <t>गार्डन वेस्टसाठी विविध ठिकाणी पुणे मनपा हद्‌दीत श्रेडर मशिन बसविणे</t>
  </si>
  <si>
    <t>वॉ.क्र.४ स.नं.११४,११५ येथे बायोगॅस प्रकल्प उभारणे</t>
  </si>
  <si>
    <t>कचरा गोळा करणेसाठी वाहतूकी करिता वाहने खरेदी करणे</t>
  </si>
  <si>
    <t>प्लास्टिक व इलेक्ट्रॉनिक वस्तू विभाजीत करणेकरीता शेड बांधणे</t>
  </si>
  <si>
    <t>घनकचरा संदर्भात शहरात विविध विकास कामे करणे</t>
  </si>
  <si>
    <t>ई वेस्ट जमा करणे व प्रक्रिया करणे.</t>
  </si>
  <si>
    <t>कचरा वाहतुकीसाठी नव्याने उपनगरांमध्ये रॅम्प उभारणी व विकासकामे करणे</t>
  </si>
  <si>
    <t>उरळी  देवाची / फुरसुगी येथे  इनर्ट /रिजेक्ट मटेरीयल साठी नव्याने शास्त्रोक्त लॅण्डफील विकसीत करणे व त्याची देखभाल दुरुस्ती करणे</t>
  </si>
  <si>
    <t>पुणे महानगरपालिकाच्या नव्याने समाविष्ट होणा-या गावामध्ये घनकचरा व्यवस्थापनाशी संबधीत कामे करणे</t>
  </si>
  <si>
    <t>कॉम्पेक्टर ६ गाडी खरेदी करणे</t>
  </si>
  <si>
    <t>फुरसुगी/देवाची उरुळी या दोन्ही गावांच्या पाणीपुुरवठा योजनेसाठी शासन आदेशानुसार १० टक्के लोकवर्गणी शासनाकडे भरणे</t>
  </si>
  <si>
    <t>पुणे शहराच्या घनकचर्‍यासाठी ताब्यात येणार्‍या जागांवर नव्याने शास्त्रीय पध्दतीने भूभराव विकसित करणे व त्याची देखभाल दुरूस्ती करणे</t>
  </si>
  <si>
    <t>घनकचरा व्यवस्थापनाअंतर्गत विकेंद्रीत पध्दतीने प्रभाग व वॉर्डनिहाय कचरा प्रकिया केंद्र उभारणे व तद्‌नुषंगिक कामे करणे</t>
  </si>
  <si>
    <t>प्रभाग क्र. १८ व वडगाव शेरी परिसरामध्ये विविध ठिकाणी कचरा साठवणुकीसाठी बकेट्‌स पुरविणे</t>
  </si>
  <si>
    <t>९. पथांची झाडलोट / घनकचरा व्यवस्थापन विभाग एकूण बेरीज</t>
  </si>
  <si>
    <t>१०क. पथ सुधारणा</t>
  </si>
  <si>
    <t>शहरात निरनिराळ्या ठिकाणी रस्ते डांबरी करणे व तद्‌नुषंगिक कामे करणे</t>
  </si>
  <si>
    <t>शहरात विविध ठिकाणी गल्लीबोळ सिमेंट काँक्रीट करणे</t>
  </si>
  <si>
    <t>शहरात विविध विकासाची कामे करणे</t>
  </si>
  <si>
    <t>पावसाळी लाईन टाकणे</t>
  </si>
  <si>
    <t>मुंढवा स.नं. ८९ व ७१ दरम्यानचे पुणे सोलापूर रेल्वले लाईनवर २४ मी. एच.सी.एम.टी.आर. साठी रेल्वे ओलांडणी पूल बांधणे.</t>
  </si>
  <si>
    <t>वॉर्ड क्र. १ मधील लोहगाव धानोरी हद्दीवरील रस्ता विकसीत करणे.</t>
  </si>
  <si>
    <t>एच.सी.एम.टी.आर.जागा ताब्यात घेऊन रोड पूर्ण करणे</t>
  </si>
  <si>
    <t>पुणे शहरातील अस्तित्वातील मुख्य रस्ते ओव्हरले पध्दतीने कॉक्रिटीकरण करणेचे काम डिफर्ड पेमेंट पध्दतीने करणे</t>
  </si>
  <si>
    <t>शहरातील बीआरटीस व आयटीएमएस अंतर्गत कामे करणे</t>
  </si>
  <si>
    <t>१०क. पथ सुधारणा एकूण बेरीज</t>
  </si>
  <si>
    <t>१०ख. वाहतूक नियंत्रण</t>
  </si>
  <si>
    <t>नवीन सिग्न्ल बसविणे व जुने सिग्न्ल दुरुस्त करणे</t>
  </si>
  <si>
    <t>रस्त्यांवरील टी जंक्शनचा विकास व सुधारणा व वाहनतळ निर्माण करणे</t>
  </si>
  <si>
    <t>शहरातील वाहतूक व्यवस्था सुधारणेसाठी विविध विकास कामे करणे</t>
  </si>
  <si>
    <t>पुणे शहरातील रिक्षांना सी एन जी किट बसविणेसाठी अनुदान देणे</t>
  </si>
  <si>
    <t>स्वारगेट येथील श्री. छत्रपती शाहू बसस्थानक येथे स्लॅबचे उर्वरित कामे करणे व दर्शणीभाग सुशोभीकरण करणे.</t>
  </si>
  <si>
    <t>स्व.राजीव गांधी प्राणी संग्रहालयासमोरील पी.एम.पी.एम.एल संरक्षक भिंत बांधणे</t>
  </si>
  <si>
    <t>परिवहन महामंडळाच्या पुणे हद्दीतील विविध डेपो व बसस्थानके याठिकाणी मुलभूत सोयीसुविधांची कामे करणे</t>
  </si>
  <si>
    <t>१. गणपती मंदिर चौक, ओरीअन कॉम्प्लेक्स समोर, खडकी स्टेशनजवळ, २. सिद्बार्थनगर सह गृह.संस्था, औंध समोरील मुख्य रस्त्यावर (शिवाजीनगर हायस्कूल समोर) व इतर ठिकाणी ट्रॅफिक सिग्रल बसवणे</t>
  </si>
  <si>
    <t>१०ख. वाहतूक नियंत्रण विभाग एकूण बेरीज</t>
  </si>
  <si>
    <t>मनपा भवनातील रिवायरिंग करणे</t>
  </si>
  <si>
    <t>शहरातील विविध ठिकाणी प्रकाश व्यवस्था करणे</t>
  </si>
  <si>
    <t>शहरातील रस्त्यांवरील दिव्यांकरिता जी.आय.एस. सिस्टीम व मटेरियल इन्व्हेंटरिंग सिस्टीम पुरविणे व बसविणे</t>
  </si>
  <si>
    <t>मनपा मुख्य भवन येथे विुतीकरणाची, नुतनीकरण, सुशोभिकरण, ट्रान्सफॉर्मर व तद्‌नुषंगिक कामे करणे</t>
  </si>
  <si>
    <t>मनपाच्या विविध इमारतींमध्ये वातानुकुलित यंत्रणा पुरविणे व बसविणे</t>
  </si>
  <si>
    <t>पुणे मनपा मुख्य भवन व पुणे मनपाची महापालिका सहा. आयुक्त कार्यालये येथे सीसीटीव्ही बसविणे</t>
  </si>
  <si>
    <t>पुणे मनपाच्या विविध इमारतीसाठी पाण्याचे मोटार पंप सेट पुरविणे, बसविणे व तद्‌नुषंगिक कामे करणे</t>
  </si>
  <si>
    <t>पुणे मनपाच्या विविध हॉस्पीटलकरीता सोलर सिस्टीम बसविणे</t>
  </si>
  <si>
    <t>कात्रज तलाव छत्रपती शिवाजी महाराज पुतळा येथे म्युजिकल कारंजे व लेसर शो उभारणे, उर्वरीत कामे पूर्ण करणे</t>
  </si>
  <si>
    <t>पुणे मनपाच्या विविध इमारतींमध्ये लिफ्ट उभारणे</t>
  </si>
  <si>
    <t>स्ट्रीट लाईट करिता पथ दिवे जी.पी.एस.यंत्रणा उभारणे.</t>
  </si>
  <si>
    <t>उर्जा बचतीसाठी अत्याधुनिक उपकरणे पुरविणे बसविणे</t>
  </si>
  <si>
    <t>पुणे मनपाच्या विविध इमारतीमध्ये पॉवर फॅक्टर यंत्रणा पुरविणे, आवश्यक कंट्रोल पॅनल्स  व तद्‌नुषंगिक काम करणे</t>
  </si>
  <si>
    <t>बालगंधर्व रंगमंदिर स्टेजसाठी अत्याधुनिक प्रकारची स्टेज लाईटींग यंत्रणा बसविणे व तद्‌नुषंगिक कामे करणे.</t>
  </si>
  <si>
    <t>हडपसर शुटिंग रेंज येथे प्रकाश व्यवस्था करणे.</t>
  </si>
  <si>
    <t>वसंतराव बागुल उान येथील संगीत कारंज्यासाठी फिल्टरेशन युनिट बसविणे</t>
  </si>
  <si>
    <t>पाषाण महिला केंद्र येथे नविन लिफ्ट उभारणे</t>
  </si>
  <si>
    <t>प्रभाग क्र. ६०, अब्दुल रहेमान चौक, काशिवाडी परिसरात विुत पोल उभारणे व एल.ई.डी फिटींग बसविणे.</t>
  </si>
  <si>
    <t>प्रभाग क्र. ३४, सीटी प्राईड रस्ता येथे अत्याधुनिक प्रकाश व्यवस्था करणे</t>
  </si>
  <si>
    <t>प्रभाग क्र. १८ व वडगाव शेरी परिसरामध्ये विविध ठिकाणी एलईडी दिवे बसविणे</t>
  </si>
  <si>
    <t>१०घ. पूल व नदी सुधारणा (विकास योजना)</t>
  </si>
  <si>
    <t>नदीकाठावरील समाधी स्थळे, स्मारके, विविध घाटांची दुरूस्ती कामे करणे व नवीन घाट बांधणे, रेलिंग दुरूस्ती कामे करणे</t>
  </si>
  <si>
    <t>चॅनलायझेशन कामांची दुरूस्ती करणे</t>
  </si>
  <si>
    <t>शहरात विविध ठिकाणी पूल बांधणे, उड्डाणपूल बांधणे, भुयारी मार्ग करणे</t>
  </si>
  <si>
    <t>बंडगार्डन येथील बराजला लोखंडी गेट बसविणे</t>
  </si>
  <si>
    <t>ताडीवाला रोड येथील नदीकाठास रिटेनिंग वॉल बांधणे</t>
  </si>
  <si>
    <t>वॉर्ड क्र. ३८ बंडगार्डन ते सिटी पॉईंट संरक्षक भिंत बांधणे</t>
  </si>
  <si>
    <t>ताडीवाला रोड ते कोरेगाव पार्क बंडगार्डन पर्यंत भिंत बांधणे</t>
  </si>
  <si>
    <t>सेंट फिलीप्स स्कूल बंडगार्डन मागे नदीला रिटेनिंग वॉल बांधणे</t>
  </si>
  <si>
    <t>नदीसुधारणा प्रकल्प राबविणे</t>
  </si>
  <si>
    <t>पुणे शहरातील नदीवरील व रस्त्यांवरील विविध पुलांची दुरूस्तीविषयक कामे करणे</t>
  </si>
  <si>
    <t>प्रभाग क्र. १२ मध्ये महाले मार्केट येथे पुल बांधणे</t>
  </si>
  <si>
    <t>१०घ. पूल व नदी सुधारणा (विकास योजना) एकूण बेरीज</t>
  </si>
  <si>
    <t>१०च. स्ट्रॉम वॉटर ड्रेन प्रकल्प</t>
  </si>
  <si>
    <t>१०च. स्ट्रॉम वॉटर ड्रेन प्रकल्प एकूण बेरीज</t>
  </si>
  <si>
    <t>भवन रचना खात्याकडील मागील बिलासाठी तरतूद</t>
  </si>
  <si>
    <t>भवन रचना खात्याकडील निरनिराळ्या कामांसाठी नेमलेल्या आर्किटेक्ट व अ‍ॅडव्हायजर यांच्या सल्ला फी साठी</t>
  </si>
  <si>
    <t>भवन खात्याकउील कामांसाठी भूमीपूजन व उद्‌घाटन समारंभाकरिता व इतर समारंभाकरिता मांडव, फर्निचर व पाटी व्यवस्था करणे</t>
  </si>
  <si>
    <t>शहरात विविध ठिकाणी व्यायाम शाळा बांधणे</t>
  </si>
  <si>
    <t>घोले रोड येथे आर्ट गॅलरी तयार करणे</t>
  </si>
  <si>
    <t>भवन विभागांतर्गत विविध विकासाची कामे करणे</t>
  </si>
  <si>
    <t>मनपाच्या ताब्यात आलेल्या व असलेल्या जमिनीवर कंपाउंड करणे</t>
  </si>
  <si>
    <t>कोथरुड येथे शिवसृष्टी उभारणे</t>
  </si>
  <si>
    <t>प्रतापराव हुले कॉम्प्लेक्स येथे विविध विकासाची कामे करणे</t>
  </si>
  <si>
    <t>धनकवडी क्षेत्रीय कार्यालयाकरिता कात्रज रॅम्प जागेवर क्षेत्रीय कार्यालयाची इमारत बांधणे</t>
  </si>
  <si>
    <t>वॉर्ड क्र. १२६ येथे बहुउद्देशीय केंद्र बांधणे</t>
  </si>
  <si>
    <t>वॉ. क्र. ११५ भारतमाता अभ्यासिकेमागील जागेत जलतरण तलावाचे उर्वरित काम करणे</t>
  </si>
  <si>
    <t>शहरात विविध ठिकाणी सिमाभिंत बांधणे</t>
  </si>
  <si>
    <t>पुणे शहरात कामगार कल्याण भवन उभारणे</t>
  </si>
  <si>
    <t>शनिवारवाडा व लालमहल येथे विविध विकासाची व दुरूस्तीची कामे करणे</t>
  </si>
  <si>
    <t>मनपा प्रेस घोलेरोड येथे छताची दुरूस्ती व विविध विकासाची कामे करणे</t>
  </si>
  <si>
    <t>स.क्र. १३७/१, पाषाण येथे महिला भवन बांधणे</t>
  </si>
  <si>
    <t>सावरकर भवन इमारतीमध्ये टॉयलेट दुरूस्त करणे व इमारत दर्जा वाढ करणे.</t>
  </si>
  <si>
    <t>जनरल अरूणकुमार वै स्टेडियम भवानी पेठ क्षेत्रिय कार्यालय येथे विविध सुशोभिकरणाची कामे करणे.</t>
  </si>
  <si>
    <t>प्र.क्रं.९ मध्ये खुला रंगमंचाची  उभारणी करणे</t>
  </si>
  <si>
    <t>शिवाजीनगर घरांक ७२१ येथे सुधारणा विषयक कामे करणे</t>
  </si>
  <si>
    <t>स.नं. १९ धनकवडी शंकर महाराज मठामागे महिलांकरिता आधार केंद्र उभारणे</t>
  </si>
  <si>
    <t>प्र.क्र.६३अ येथील क्रीडांगणाला आरसीसीमध्ये मुख्य द्वार करून कमान करणे</t>
  </si>
  <si>
    <t>सिंहगड किल्ल्यावर नरवीर तानाजी मालुसरे समाधी स्थळ येथे स्वराज्यनिष्ठा शिल्प व परिसर विकसीत करणे.</t>
  </si>
  <si>
    <t>पुणे महानगरपालिकेचे उर्वरित वसाहतींचा पुनर्विकास करणे</t>
  </si>
  <si>
    <t>घोले रोड वरील क्षेत्रिय कार्यालयाची इमारत उभारणे</t>
  </si>
  <si>
    <t>पुणे मनपाच्या कर्मचार्‍यांकरीता निवासी इमारत बांधणे</t>
  </si>
  <si>
    <t>पुणे ब्रँडिंग अनुषंगाने विविध कामे करणे</t>
  </si>
  <si>
    <t>विविध हेरिटेज वॉक/टुर उपक्रम चालविणे व डॉक्युमेंटेशन चालविणे व डॉक्युमेंटेशनची कामे करणे</t>
  </si>
  <si>
    <t>पथारी व्यावसायिकांसाठी शहरात विविध ठिकाणी ओटा मार्केट बांधणे</t>
  </si>
  <si>
    <t>पुणे मनपा शाळा क्र. ९० गोखलेनगर येथील शाळेच्या आवारातील व्यायामशाळेमध्ये वितिध विकास कामे करणे</t>
  </si>
  <si>
    <t>प्रभाग क्र. ७१ बिबवेवाडी मनपा वसाहत येथे विविध विकासाची कामे करणे</t>
  </si>
  <si>
    <t>प्र. क्र. २३ मधील २१७ व २२६ मंगळवार पेठ येथे समाजमंदिर बांधणे व अनुषंगिक कामे करणे</t>
  </si>
  <si>
    <t>१२. भवने, भूमी व मनपा वसाहती यांची व्यवस्था एकूण बेरीज</t>
  </si>
  <si>
    <t>पुणे महानगरपालिका मुख्य इमारतीच्या अग्रिशामक यंत्रणेचे काम करणे</t>
  </si>
  <si>
    <t>प्रभाग क्र. ६२ मध्ये कोंढवा बु. सर्व्हे नं. १५ मधील अर्धवट असलेले अग्नीशामक केंद्र बांधणे.</t>
  </si>
  <si>
    <t>प्र. क्र.३६ अ, मधील अग्रिशामक केंद्र येथे पहिल्या मजल्याचे बांधकाम करणे</t>
  </si>
  <si>
    <t>प्र.क्र.५६ अ मध्ये जनता चौक येथे अग्रिशामक केंद्राची व्यवस्था करणे</t>
  </si>
  <si>
    <t>पुणे शहरात निरनिराळ्या ठिकाणी जॉगिंग ट्रॅक दुरूस्ती करणे</t>
  </si>
  <si>
    <t>शहर सुशोभिकरण योजना</t>
  </si>
  <si>
    <t>पुणे मनपा हद्दीमध्ये वन विभागाबरोबर संयुक्त वन व्यवस्थापन प्रकल्प राबविणे</t>
  </si>
  <si>
    <t>शहर सुशोभिकरण योजना  हरित पुणे, सार्वजनिक व पर्यटन स्थळांचा विकास, बायोडायर्व्हसिटी पार्क, रस्त्यांचे सौंदर्यीकरण इ.</t>
  </si>
  <si>
    <t>व्हिलेज पार्क</t>
  </si>
  <si>
    <t>वॉ.क्र. ४६ मधील शाहू उानाचे नुतनीकरण करणे व नविन लॅण्डस्केपिंग करणे</t>
  </si>
  <si>
    <t>वॉर्ड क्र. ७ लोहगाव विमाननगर स.नं. १९९, २०४ ते २०६ (पार्ट) २०८ (पार्ट) येथील जागेत बांधण्यात आलेल्या स्केटींग रिंगची उर्वरीत कामे पूर्ण करणे व वॉचमन क्वार्टर बांधणे</t>
  </si>
  <si>
    <t>येरवडा पाम पार्क</t>
  </si>
  <si>
    <t>प्रभाग क्र. ३ लोहगाव विमान नगर स्केटींग रिंकसाठी क्लब हाऊस व नाल्यावरील अंतर्गत पुलाचे काम करणे</t>
  </si>
  <si>
    <t>प्रभाग क्र. ४ लुंबिनी गार्डन विकसित करणे</t>
  </si>
  <si>
    <t>वडगाव बु.येथील दोन्ही कॅनॉलमध्ये उान विकसीत करणेकरिता विविध विकासाची कामे करणे</t>
  </si>
  <si>
    <t>स.नं.७० घोरपडी येथील प्ले ग्राऊंड विकसनाची कामे करणे</t>
  </si>
  <si>
    <t>प्रभाग क्र. १२ मध्ये लकाकी तळ्यातील शास्त्रीय पद्धतीने गाळ काढणे</t>
  </si>
  <si>
    <t>१७. खेळ, क्रीडांगणे</t>
  </si>
  <si>
    <t>सणस स्पोटर्स ग्राउंड येथे हॉस्टेल इमारत बांधणे</t>
  </si>
  <si>
    <t>हडपसर स.नं.१६४ येथील नियोजित कै.खा.विठ्‌ठलराव तुपे क्रीडासंकुल विकसित करणे</t>
  </si>
  <si>
    <t>सहकारनगर येथे तारांगण बांधणे</t>
  </si>
  <si>
    <t>प्र.क्र. ६८ तळजाई, स्वामी रामदेव क्रीडा संकुल येथे विविध विकासाची कामे करणे</t>
  </si>
  <si>
    <t>प्र.क्र. ६८, शिवाजीराव ढुमे क्रीडा संकुलमधील बॅडमिंटन हॉलमध्ये विविध विकासाची कामे करणे</t>
  </si>
  <si>
    <t>१८. सांस्कृतिक केंद्र</t>
  </si>
  <si>
    <t>औंध येथे सांस्कृतिक भवन व कमर्शिअल कॉम्प्लेक्स बांधणे</t>
  </si>
  <si>
    <t>गणेश कलाक्रीडा केंद्र येथे विविध सुधारणा कामे करणे</t>
  </si>
  <si>
    <t>सावित्रिबाई फुले स्मारक बांधणे</t>
  </si>
  <si>
    <t>लोकशाहीर आण्णाभाऊ साठे स्मारक उभारणे, बिबेवाडी</t>
  </si>
  <si>
    <t>सिंहगड रोड येथे वीर बाजी पासलकर स्मारक करणे</t>
  </si>
  <si>
    <t>राजश्री शाहू महाराज संकुल बांधणे, हडपसर</t>
  </si>
  <si>
    <t>सावित्रिबाई फुले स्मारक व फुले वाड्यामधील परिसराचा विकास करणे</t>
  </si>
  <si>
    <t>यशवंतराव चव्हाण नाटयगृह कोथरूड येथे विविध दुरूस्ती विषयक व विकासाची कामे करणे</t>
  </si>
  <si>
    <t>येरवडा स.नं. ४, लोकशाहीर अण्णाभाऊ साठे सांस्कृतिक हॉलचे उर्वरित काम करणे</t>
  </si>
  <si>
    <t>व्यंगचित्रकार कै. बाळासाहेब ठाकरे कलादालनचे उर्वरित काम करणे व तद्‌नुषंगिक कामे करणे.</t>
  </si>
  <si>
    <t>शनिवारवाडा येथील लाईट अ‍ॅण्ड शो चे नुतनीकरण करणे</t>
  </si>
  <si>
    <t>गणेश कला क्रिडा मंदिर येथील आसन व्यवस्था बदलणे आवषयक कामे करणे</t>
  </si>
  <si>
    <t>सिंहगड किल्ला  स्वराज्य निष्ठ शिल्प तयार करणे</t>
  </si>
  <si>
    <t>१८. सांस्कृतिक केंद्र एकूण बेरीज</t>
  </si>
  <si>
    <t>१९. भाजी मंडया व पशुवधगृहे</t>
  </si>
  <si>
    <t>शहरातील विविध भाजी मंडयांमध्ये विकास कामे करणे</t>
  </si>
  <si>
    <t>गणेशपेठ फिश मार्केट नुतनीकरण करणे</t>
  </si>
  <si>
    <t>कोंढवा कत्तलखाना येथे मांस तपासणीसाठी व मांसापासून होणार्‍या रोगाचे निदान करण्यासाठी प्रयोगशाळा उभारणे</t>
  </si>
  <si>
    <t>सुतारवाडी पाषाण भाजी मंडई विकसित करणे</t>
  </si>
  <si>
    <t>प्र.क्र.६२ कोंढवा बु.येथील स.नं.२ हगवणे नगर येथील अ‍ॅमेनीटी स्पेसवर भाजी मंडई बांधणे.</t>
  </si>
  <si>
    <t>कोंढवा कत्तलखाना येथील ऑपरेशन व मेंटेनन्स करणे</t>
  </si>
  <si>
    <t>१९. भाजी मंडया व पशुवधगृहे एकूण बेरीज</t>
  </si>
  <si>
    <t>क्षेत्रिय कार्यालयाने करावयाची कामे :-</t>
  </si>
  <si>
    <t>क्षेत्रिय कार्यालय : रस्ते डांबरीकरण करणे</t>
  </si>
  <si>
    <t>क्षेत्रिय कार्यालय : नागरिकांच्या सहभाग योजनेतून रस्ते डांबरीकरण करणे</t>
  </si>
  <si>
    <t>क्षेत्रिय कार्यालय : प्रकाश व्यवस्था करणे</t>
  </si>
  <si>
    <t>क्षेत्रिय कार्यालय : नागरिकांच्या सहभाग योजनेतून प्रकाश व्यवस्था करणे</t>
  </si>
  <si>
    <t>क्षेत्रिय कार्यालय : भवन विभागाने करावयाची कामे</t>
  </si>
  <si>
    <t>क्षेत्रिय कार्यालय : नागरिकांच्या सहभाग योजनेतून भवन विभागाने करावयाची कामे</t>
  </si>
  <si>
    <t>क्षेत्रिय कार्यालयाने करावयाची कामे एकूण बेरीज</t>
  </si>
  <si>
    <t>कामाचे नाव अगर वर्णन</t>
  </si>
  <si>
    <t>अनुक्रमांक</t>
  </si>
  <si>
    <t>मान्यतेचा ठराव क्र. दिनांक (कोड)</t>
  </si>
  <si>
    <t>प्रभाग क्रमांक</t>
  </si>
  <si>
    <t>कर्जातून</t>
  </si>
  <si>
    <t>महसूल निधीतून</t>
  </si>
  <si>
    <t>एकूण</t>
  </si>
  <si>
    <t>खर्चाबाबतचे अंदाजपत्रक</t>
  </si>
  <si>
    <t>प्रत्यक्ष उपलब्ध तरतूद</t>
  </si>
  <si>
    <t>कर्जातून तरतूद</t>
  </si>
  <si>
    <t>महसूल निधी व 
इतर निधी</t>
  </si>
  <si>
    <t>प्रकल्पीय रक्कम</t>
  </si>
  <si>
    <t>एकूण बेरीज</t>
  </si>
  <si>
    <t>भांडवली खर्चाबाबतचे अंदाजपत्रक एकूण बेरीज</t>
  </si>
  <si>
    <t>तरतूद</t>
  </si>
  <si>
    <t>मा. महापौर व मा.महापालिका आयुक्त यांचे निवासस्थानावर विविध कार्यक्रम व मंडप व्यवस्था करणे (भवन)</t>
  </si>
  <si>
    <t>भवन विभागाच्या मनपाच्या मार्फत सुरू असलेल्या बांधकामांचे /नियोजित इमारतींचे थर्ड पार्टी इन्स्पेक्शन करणे</t>
  </si>
  <si>
    <t>श्वानदंशावरील लस व ईमिनोग्लोब्युलीन खरेदी करणे</t>
  </si>
  <si>
    <t>पुणे मनपाच्या रुग्णालयाकडील डिजीटल एक्‍सरे, सोनोग्राफी मशिनचे व व्हेंटेलटरचे देखभाल दुरूस्ती करणे</t>
  </si>
  <si>
    <t>आपातकालीन परिस्थितीमध्ये अचानक उद्‌भवलेल्या आजारांमध्ये औषधे व तद्‌नुषंगिक बाबी खरेदी करणे</t>
  </si>
  <si>
    <t>कुष्ठरोग्यांना अर्थसहाय्‌य</t>
  </si>
  <si>
    <t>१६. उद्याने, प्राणिसंग्रहालये</t>
  </si>
  <si>
    <t>१६. उद्याने, प्राणिसंग्रहालये वगैरे एकूण बेरीज</t>
  </si>
  <si>
    <t>५. करसल्लागार यांना द्यावयाचा मुशाहिरा</t>
  </si>
  <si>
    <t>४. विक्री कर / व्हॅट पोटी खात्यास मनपाने द्यावयाची रक्कम</t>
  </si>
  <si>
    <t>घनकचरा व्यवस्थापन व इतर संस्थांकडील सेवकांना साहित्य पुरविणे</t>
  </si>
  <si>
    <t>घनकचरा व्यवस्थापना अंतर्गत उभारण्यात आलेल्या प्रकल्पाची देखभाल दुरूस्ती, बी.ओ.टी./बीओओटी तत्वावर उभारण्यात आलेल्या प्रकल्पांची टिपींग फी आदा करणे व तद्‌नुषंगिक कामे करणे</t>
  </si>
  <si>
    <t>घनकचरा व्यवस्थापना अंतर्गत कचरा वाहतुकीसाठी कंत्राटी पध्दतीने मोटारसारथी घेणे</t>
  </si>
  <si>
    <t>पुणे मनपाच्या अस्तित्वातील कचरा हस्तांतर केंद्र व हजेरीकोठ्‌या व विविध प्रकल्प याठिकाणी सेवकांसाठी सुविधा पुरविणे व बांधकामासाठी देखभाल दुरूस्ती करणे</t>
  </si>
  <si>
    <t>स्वच्छ भारत अभियान अंतर्गत मनपाचा हिस्सा</t>
  </si>
  <si>
    <t>मनपाच्या ताब्यात आलेल्या मिळकतींवर मनपाचे नाव लावण्यासाठी बाह्‌ययंत्रणेकडून कामे करून घेणे</t>
  </si>
  <si>
    <t>महानगरपालिकेसाठी जीआयएस संगणकप्रणाली विकसित करणे व माहिती संकलित करणे</t>
  </si>
  <si>
    <t>आरटीआय अंतर्गत नागरिकांना कागदपत्रांच्या, नकाशांच्या प्रती उपलब्ध करून देणे</t>
  </si>
  <si>
    <t>पुणे महानगरपालिकेच्या हद्‌दीतील क्षेत्राचे हवाई सर्वेक्षण करणे</t>
  </si>
  <si>
    <t>मैदान स्वच्छता शुल्क</t>
  </si>
  <si>
    <t>डॉल्बी साउूंड सिस्टीमची दुरूस्ती व तद्‌नुषंगिक कामे करणे (विद्युत)</t>
  </si>
  <si>
    <t>पुणे मनपा उद्यानांच्या अंतर्गत असणारे जलाशयातील जैवविविधता वृध्दिंगत करणे, परिसंस्थेचे संवर्धन करणे यासाठी उपाययोजना करणे</t>
  </si>
  <si>
    <t>2. हत्यारे, बॅरिकेटस्‌ व साहित्य</t>
  </si>
  <si>
    <t>9. कोठयांवरील रोलर्स, मिक्‍सर्स, पेव्हर अन्य यंत्रसामुग्री दुरुस्ती करणे व नवीन यंत्रसामुग्री खरेदी करणे</t>
  </si>
  <si>
    <t>३९. कसबा गणपती देवस्थान मंदिरालगत विद्युत व्यवस्था करण्यासाठी अनुदान</t>
  </si>
  <si>
    <t>ल. मनपा भवनांसाठी होणारा पाणीपुरवठा खर्च</t>
  </si>
  <si>
    <t>विद्यार्थ्यांसाठी कॉट, टेबल, खुर्ची, डबे व दैनंदिन वापरावयाची साहित्ये खरेदी करणे</t>
  </si>
  <si>
    <t>ग१. घनकचरा विभागा अंतर्गत मैला व मैलापाणी वाहतूक</t>
  </si>
  <si>
    <t>घ२. घनकचरा विभागाअंतर्गत भुयारी गटारे, कुंड्या व चेंबर्स स्वच्छता (विभागीय कार्यालय)</t>
  </si>
  <si>
    <t>ग२. घनकचरा विभागाअंतर्गत मैला व मैलापाणी वाहतूक (विभागीय कार्यालय)</t>
  </si>
  <si>
    <t>५. धोक्याची घरे उतरवणे, जादा कामांसाठी द्यावयाचा मेहनताना</t>
  </si>
  <si>
    <t>६. ग्रुप इन्शुरन्स स्कीमसाठी द्यावयाचा हप्ता</t>
  </si>
  <si>
    <t>३. पुणे शहरातील मान्यताप्राप्त नगररचना योजना अंतर्गत संबंधितांना द्यावयाची नुकसान भरपाई रक्कम</t>
  </si>
  <si>
    <t>१२. आय.टी.एस. बी.आर.टी.साठी भाडेतत्त्वावर विद्युत लॅडरपोटी जमा</t>
  </si>
  <si>
    <t>अतिक्रमण विभागासाठी भाडेतत्वावर गाड्‌या घेणे</t>
  </si>
  <si>
    <t>अतिक्रमण विभागाकडील कारवाईसाठी आवश्यकतेनुसार मनुष्यबळ, मशिनरी / वाहणे घेणे इ.</t>
  </si>
  <si>
    <t>मुख्य अग्निशमन अधिकारी यांचे कार्यालय वापरासाठी महेंद्र कंपनीचे स्कॉर्पीओ जीप खरेदी</t>
  </si>
  <si>
    <t>मलनिःसारण विभागाकरिता हाय कपॅसिटी रिसायकलींग संक्शन कम जेटिंग मशिन खरेदी करणे</t>
  </si>
  <si>
    <t>भूमी संपादन निधीतून करावयाचा खर्च</t>
  </si>
  <si>
    <t>भूमी संपादन विशेष अधिकारी यांचा कार्यालयीन खर्च -</t>
  </si>
  <si>
    <t>कोर्टाच्या निकालानुसार वाढीव नुकसानभरपाई कोर्ट खर्च, वकील फी, जॉइन्ट जज्ज यांचा खर्च वगैरे</t>
  </si>
  <si>
    <t>भूमी संपादन अधिनियमात नव्याने केलेल्या दुरुस्तीमुळे यापूर्वी जाहीर झालेल्या योजनापोटी ावयाच्या वाढीव रकमेचा खर्च</t>
  </si>
  <si>
    <t>परचेस नोटीसांमुळे (नवीन) पाठवावयाच्या भूमी संपादन योजनांसाठी तरतूद</t>
  </si>
  <si>
    <t>ताब्यात घेतलेल्या मिळकती पाडणे, ड्रेनेज, वॉटर, इलेक्ट्रीक टेलिफोन वगैरे कनेक्शन्स हलविणे, जोडणे व इतर तद्‌नुषंगिक कामे करणे.</t>
  </si>
  <si>
    <t>कार्यालयीन कामासाठी साधने, डेडस्टॉक वस्तू खरेदी करणे, हत्यारे खरेदी करणे, कार्यालय व कोठीची दुरुस्ती करणे, आवश्यक सुधारणा करणे, प्रकटन खर्च, प्रवास खर्च वगैर</t>
  </si>
  <si>
    <t>मुंबई प्रांतिक मनपा अधिनियम १९४९ च्या कलम २१३ अन्वये रस्तारूंदीसाठी ताब्यात घेतलेल्या मोकळ्या जागा व त्याप्रित्यर्थ ावयाची नुकसानभरपाईची रक्कम</t>
  </si>
  <si>
    <t>इतर योजनांमधील मोजणी फी व इतर तद्‌नुषंगिक रक्कम</t>
  </si>
  <si>
    <t>भूमी संपादन अधिकारी ह्यांचेकडील खालील नमूद केलेल्या ज्या जागांचे निवाडे जाहीर करतील त्यासाठी रक्कम</t>
  </si>
  <si>
    <t>संगणक दुरूस्ती व आवश्यक साहित्य</t>
  </si>
  <si>
    <t>(अ) बेरीज</t>
  </si>
  <si>
    <t>भूसंपादनासाठी आवश्यक जागांची यादी :-</t>
  </si>
  <si>
    <t>सी.वाय.जी अंतर्गत रस्ते :</t>
  </si>
  <si>
    <t>बाणेर मुख्य रस्ता २६१ ते १०५</t>
  </si>
  <si>
    <t>बाणेर स.क्र. १३३ ते बालेवाडी स.क्र. १० बालेवाडीकडे जाणारा रस्ता मुख्य रस्ता (बालेवाडी)</t>
  </si>
  <si>
    <t>बालेवाडी स.क्र. ३४, ३५ जी१ गार्डनचे आरक्षण</t>
  </si>
  <si>
    <t>बाणेर स.क्र. २८, २९० जी२ गार्डनचे आरक्षण व बाणेर स.क्र. ३५ जी३ गार्डनचे आरक्षण</t>
  </si>
  <si>
    <t>कल्याणीनगर जंक्शन ते आळंदी रोड</t>
  </si>
  <si>
    <t>बाणेर स.क्र. १०५, १०६, ११०, १११ पीएमटी१</t>
  </si>
  <si>
    <t>बाणेर स.क्र. ३३ पी.३</t>
  </si>
  <si>
    <t>बाणेर स.क्र. १०० पी.४</t>
  </si>
  <si>
    <t>बाणेर स.क्र. १७४ पी.४</t>
  </si>
  <si>
    <t>बाणेर स.क्र. ७९ पी.६</t>
  </si>
  <si>
    <t>बाणेर स.क्र. १०५, १०६ पी.७ पार्किंगचे आरक्षण</t>
  </si>
  <si>
    <t>बालेवाडी स.क्र. २८ पी१</t>
  </si>
  <si>
    <t>बालेवाडी स.क्र. २४ पी२ पार्किंगचे आरक्षण</t>
  </si>
  <si>
    <t>हिंगणे खुर्द सि.स.नं. १९,२० वडगांव बुद्रुक स.नं. १,२,८,९,१३ विट्टल मंदिर ते वारजे पूल रस्ता</t>
  </si>
  <si>
    <t>एअरपोर्ट ते रामवाडी जकातनाका</t>
  </si>
  <si>
    <t>एअरपोर्ट जंक्शन ते विश्रांतवाडी</t>
  </si>
  <si>
    <t>एअरपोर्ट रोड ते डेक्कन कॉलेज व्हाया हॉटमिक्स प्लँट</t>
  </si>
  <si>
    <t>जेएनएनयुआरएम / बीआरटी अंतर्गत रस्ते :</t>
  </si>
  <si>
    <t>बाणेर स.क्र. १०७, १०८ व ११० मधून जाणारा १८ मी. रस्ता.</t>
  </si>
  <si>
    <t>मौजे खराडी ता. हवेली, संगमवाडी ते खराडी २४ मी. नदीकाठचा डी.पी. रस्ता</t>
  </si>
  <si>
    <t>मौजे वडगांव शेरी ता. हवेली, संगमवाडी ते खराडी २४ मी. नदीकाठचा डी.पी. रस्ता</t>
  </si>
  <si>
    <t>सिंहगड रस्ता महानगरपालिका हद्द दरम्यान नियोजनाते विकसीत करणे (वडगांव बुद्रुक)</t>
  </si>
  <si>
    <t>सिंहगड रस्ता महानगरपालिका हद्द दरम्यान नियोजनाते विकसीत करणे (वडगांव खुर्द)</t>
  </si>
  <si>
    <t>विश्रांतवाडी ते धानोरी</t>
  </si>
  <si>
    <t>संचेती हॉस्पिटल ते गव्हर्नमेंट पोल्ट्री फार्म</t>
  </si>
  <si>
    <t>पुणे स्टेशन ते मनपा रोड (कॅनॉट रोड)</t>
  </si>
  <si>
    <t>आरआरडीपी अंतर्गत रस्ते :</t>
  </si>
  <si>
    <t>मुळा नदिवरील पिंपळे निलेख यांना जोडणारा पुल रस्त्याचे भुसंपाद (बाणेर)</t>
  </si>
  <si>
    <t>सुतारवाडी रस्ता २४ मी. (जुना)</t>
  </si>
  <si>
    <t>कोथरूड एकलव्य कॉलेज ते हायवेपर्यंत मुख्य रस्ता (१५ मी. नवीन)</t>
  </si>
  <si>
    <t>कोथरूड महात्मा सोसायटी एकलव्य कॉलेज ते हायवे परिसरातील डी.पी. रस्ते (१५ मी.) व ( १८ मी.)</t>
  </si>
  <si>
    <t>बालभारती ते पौड फाटा रस्ता</t>
  </si>
  <si>
    <t>वारजे जकातनाका ते नवीन अहिरे हद्द एन.डी.ए. रोड जुना जकातनाका ते हायवे व वारजे माळवाडी टेकडीपर्यंत</t>
  </si>
  <si>
    <t>जे.पी. नाईक इन्स्टिटयुट ते गणंजय सोसायटी</t>
  </si>
  <si>
    <t>अलंकार पोलीस चौकी गिरीजा शंकर सोसायटी पश्चिमानगरी ते नाईक पूल डी.पी. रस्ता</t>
  </si>
  <si>
    <t>चांदणी चौक ते सुस चौक</t>
  </si>
  <si>
    <t>सिंहगड रोड दोन्ही कॅनॉलवरील प्रस्तावित पुलासह (वडगांव बुद्रुक)</t>
  </si>
  <si>
    <t>सुस रस्ता ते बाणेर रस्ता रामनदी कडेचा रस्ता (बाणेर)</t>
  </si>
  <si>
    <t>सिंहगड रस्ता महानगरपालिका हद्द दरम्यान नियोजनाने विकसीत करणे (धायरी)</t>
  </si>
  <si>
    <t>सुस रस्ता ते बाणेर रस्ता रामनदी कडेचा रस्ता या रस्त्याचे भूसंपादन करणेबाबत (पाषाण)</t>
  </si>
  <si>
    <t>भूसंपादनाची इतर प्रकरणे :</t>
  </si>
  <si>
    <t>पुणेमुंबई रस्ता हॅरीस ब्रिज ते खडकी कॅन्टोन्मेंट</t>
  </si>
  <si>
    <t>हडपसर स.नं. २२६, २२४, २६६, २११, २१०, २०९, २०८, २०७ पोस्ट ऑफीस बाजूने जाणारा १८ मी. डी. पी. रस्ता</t>
  </si>
  <si>
    <t>हडपसर स. नं. ८७, ८९, ९२, ९३, १०६, ३१२, ३१४, ३१ पैकी डी. पी. रस्त्यासाठी</t>
  </si>
  <si>
    <t>हडपसर स.नं. २५ ईडब्ल्यूएस पैकी जागा संपादन करणेबाबत</t>
  </si>
  <si>
    <t>घोरपडी गाव अनंत टॉकीज ते श्रीवस्ती नगर १२ मी डी.पी. रस्ता</t>
  </si>
  <si>
    <t>कोंढवा खु.॥ स.नं. ५अ, ५ ब हायस्कूलसाठी संपादन</t>
  </si>
  <si>
    <t>कोंढवा खु.॥ स.नं. १७ पै. मुलांचे खेळाचे मैदानासाठी</t>
  </si>
  <si>
    <t>पुणे, पेठ पाषाण स.नं. ११० (पै.) पार्क (उान) साठी संपादन</t>
  </si>
  <si>
    <t>हडपसर स.नं. ८४ पैकी प्ले ग्राऊंड साठी संपादन</t>
  </si>
  <si>
    <t>वानवडी स.नं. ४९, ५८, ५९</t>
  </si>
  <si>
    <t>नाना पेठ, सि.सं. नं. ४०५ पै. उानासाठी आरक्षित जागा संपादन करणे</t>
  </si>
  <si>
    <t>नाना पेठ, सि. सं. नं. ४००, ४०२ फायरब्रिगेडसाठी जागा संपादन करणे</t>
  </si>
  <si>
    <t>नाना पेठ, सि.सं.नं. ५९४, ६०४ प्राथमिक शाळेसाठी जागा संपादन करणे</t>
  </si>
  <si>
    <t>नारायण पेठ ४३७ क पार्कींगसाठीचे जागेबाबत भूसंदर्भ कलम १८ अन्वये वाढीव नुकसान भरपाईबाबत</t>
  </si>
  <si>
    <t>नारायण पेठ ४३६ ब पार्कींगसाठीचे जागेबाबत भूसंदर्भ कलम १८ अन्वये वाढीव नुकसान भरपाईबाबत</t>
  </si>
  <si>
    <t>नारायण पेठ ५७७ अ रस्तारुंदीसाठीचे जागेबाबत भूसंदर्भ कलम १८ अन्वये वाढीव नुकसान भरपाईबाबत</t>
  </si>
  <si>
    <t>एरंडवणा स.नं. ७६ अ - खेळाचे मैदान</t>
  </si>
  <si>
    <t>कोथरूड स.नं. ३१  उान</t>
  </si>
  <si>
    <t>कोथरूड स.नं. १४५ पीएमटी पार्कींग</t>
  </si>
  <si>
    <t>सदाशिव पेठ, घरांक ६५, ९४ गांजवेवाडी, नवी पेठ  उान</t>
  </si>
  <si>
    <t>बिबवेवाडी स.नं. ६७३, ६७६ ते ६७८ भू. सं. ४१७ प्राथमिक शाळा, क्रीडांगण आर्थिक दुर्बल घटक</t>
  </si>
  <si>
    <t>बिबवेवाडी स.नं. ६७२/११</t>
  </si>
  <si>
    <t>बिबवेवाडी स.नं. ५७८/१, भू.सं. ४९७</t>
  </si>
  <si>
    <t>पुणे पेठ शिवाजीनगर पुणे महानगरपालिके शेजारील पार्कींग लॉटसाठी संपादन</t>
  </si>
  <si>
    <t>पुणे पेठ शिवाजीनगर फा. प्लॉ. नं. ३०४ ते ३०७ (पै.) ८० मी. डी.पी. रस्त्यासाठी संपादन</t>
  </si>
  <si>
    <t>हिंगणे / कर्वेनगर स.नं. ४०  हायस्कूलसाठी</t>
  </si>
  <si>
    <t>जाहीर झालेल्या निवाड्यापोटी भरण्याची रक्कम</t>
  </si>
  <si>
    <t>कर्वे रस्तारूंद जाहीर झालेल्या निवाड्यापोटी राहीलेली भरावयाची रक्कम</t>
  </si>
  <si>
    <t>सदाशिव पेठ घरांक ४६८ पार्किंगसाठी संपादन करणे</t>
  </si>
  <si>
    <t>भूमिप्रापण खाते :-</t>
  </si>
  <si>
    <t>केळकर रस्ता (मंदार लॉज ते नारायण पेठ पोलीस चौकी)</t>
  </si>
  <si>
    <t>म्हात्रे पूल ते छत्रपती राजाराम पूल दरम्यानच्या नदीकाठचा १००'' डी.पी. रस्ता</t>
  </si>
  <si>
    <t>सातारा रस्ता</t>
  </si>
  <si>
    <t>सिंहगड रस्ता</t>
  </si>
  <si>
    <t>जंगली महाराज रस्ता</t>
  </si>
  <si>
    <t>पवित्र मंगल कार्यालया, पर्वती (सातारा रस्ता)</t>
  </si>
  <si>
    <t>नेहरू रस्ता, रास्ता पेठ पॉवर हाऊस ते लक्ष्मी रस्ता</t>
  </si>
  <si>
    <t>कर्वे रस्ता (खंडूजीबाबा चौक ते एस.एन.डी.टी.)</t>
  </si>
  <si>
    <t>शंकरशेठ रस्ता</t>
  </si>
  <si>
    <t>सेनापती बापट रस्ता</t>
  </si>
  <si>
    <t>उंबर्‍या गणपती चौक ते खुन्या मुरलीधर रस्ता</t>
  </si>
  <si>
    <t>भाऊ महाराज बोळ</t>
  </si>
  <si>
    <t>नगर रस्ता</t>
  </si>
  <si>
    <t>स.नं. ३१ मधील उान (डहाणूकर कॉलनी)</t>
  </si>
  <si>
    <t>ना.सी.फडके रस्ता ते टिळक रस्ता</t>
  </si>
  <si>
    <t>स.नं८३/१५ब कोथरूड येथील ६०'' डी.पी. रस्ता</t>
  </si>
  <si>
    <t>एरंडवणा फा. प्लॉट नं. ७६ व ७७ (खरेदी सूचना)</t>
  </si>
  <si>
    <t>रामवाडी जकातनाका ते लोहगाव विमानतळ</t>
  </si>
  <si>
    <t>जकात नाका :-</t>
  </si>
  <si>
    <t>शिंदेवाडी, स.नं. १०० ते १०६ (पैकी)</t>
  </si>
  <si>
    <t>फुरसुंगी, स.नं. १७५ पैकी</t>
  </si>
  <si>
    <t>वाघोली, गट नं. २३७८, २३७९</t>
  </si>
  <si>
    <t>बावधन खुर्द, स.नं. ६४</t>
  </si>
  <si>
    <t>हडपसर, स.नं. ६३ पैकी</t>
  </si>
  <si>
    <t>उंड्री, स.नं. ५४ पैकी</t>
  </si>
  <si>
    <t>लोहगाव, स.नं. १३४ (पैकी) आणि वाघोली, स.नं. २३३०</t>
  </si>
  <si>
    <t>उान विभाग :-</t>
  </si>
  <si>
    <t>सोमेश्वरवाडी, पाषाण (नॉन डी.पी.)</t>
  </si>
  <si>
    <t>तळजाई, स.नं. ६४</t>
  </si>
  <si>
    <t>कात्रज ङङ्गझू'साठी</t>
  </si>
  <si>
    <t>अग्न्शिामक दल विभाग :-</t>
  </si>
  <si>
    <t>कोंढवा, स.नं. ४अ</t>
  </si>
  <si>
    <t>सिंहगड रस्ता, स.नं. ११४</t>
  </si>
  <si>
    <t>आरोग्य विभाग :-</t>
  </si>
  <si>
    <t>उरूळी देवाची  कचरा डेपो साठी</t>
  </si>
  <si>
    <t>उरूळी देवाची  स.नं. ४३, ४४ व फुरसुंगी स.नं. १५८ रस्त्यासाठी</t>
  </si>
  <si>
    <t>पौड रस्ता रूंद करणे</t>
  </si>
  <si>
    <t>कन्याशाळा ते अप्पा बळवंत चौक रूंद करणे</t>
  </si>
  <si>
    <t>पर्वती ६४/५ गार्डन करिता पर्चेस नोटीस</t>
  </si>
  <si>
    <t>स. क्र. ४३ हिंगणे हिस्सा क्र. १५ डी. पी. रस्ता पर्चेस नोटीस</t>
  </si>
  <si>
    <t>१८ हिंगणे स. क्र. ६१/१ अ/१ गार्डन व डी. पी. रस्ता पर्चेस नोटीस</t>
  </si>
  <si>
    <t>नानापेठ घरांक ५९३अ, ५९३ब, ६०४, ६०५ इ. अल्पना टॉकीज (टकार गल्ली पोलिस चौकी) ते ताराचंद हॉस्पिटल रस्ता</t>
  </si>
  <si>
    <t>गणेश पेठ गोविंद हलवाई चौकीत बुरूडी ब्रिज रस्ता रूंदीकरण</t>
  </si>
  <si>
    <t>शुक्रवार पेठ सि. स. नं. ७६० दवाखाना वाढीसाठी (परचेस नोटीस)</t>
  </si>
  <si>
    <t>गणेशखिंड रस्ता रूंदी</t>
  </si>
  <si>
    <t>कोंढवा स. नं. ४० जकात नाके</t>
  </si>
  <si>
    <t>पौडरस्ता ते बालभारती रस्तारूंद करणे</t>
  </si>
  <si>
    <t>पर्वती प्लॉट क्र. ४७८ब शाळासाठी घेणे (सदरचे काम प्राधान्याने करणे.)</t>
  </si>
  <si>
    <t>पर्वती फा. प्लॉट नं. ४/३ सीपीजी सदाशिवपेठ क्रिडांगणासाठी</t>
  </si>
  <si>
    <t>संगमवाडी पूलाच्या जोड रस्त्यासाठी जागा संपादन करणे</t>
  </si>
  <si>
    <t>हडपसर ते मुंढवा मगरपट्टा रस्ता</t>
  </si>
  <si>
    <t>बिबवेवाडी ते कोंढवा रस्ता रूंद करणे</t>
  </si>
  <si>
    <t>पाषाण सिटी सर्व्हे क्र. १०६ ते १०९, ११९, १२९, १४६, १४७, १६६ ते १६९, १७२, १७३, १८१, १८६ ते १८९ सर्व्हे क्र. १ हिस्सा क्र. १९ ते ३१ रस्तारूंदीसाठी</t>
  </si>
  <si>
    <t>वानवडी सर्व्हे क्र. ६६ ते ६७, ७२ पासून नेताजीनगरपर्यंत रस्त्यासाठी जागा संपादन करणे</t>
  </si>
  <si>
    <t>केळकर रस्ता (कन्याशाळा ते केळकर पुतळा)</t>
  </si>
  <si>
    <t>राष्ट्रभाषा भवन मार्ग (पघयामारूती चौक ते केळकर रस्ता मिळतो तो चौक)</t>
  </si>
  <si>
    <t>क्रांतीवीर वासुदेव फडके रस्ता (टिळक रोड वाघोलीकर बिल्डिंग ते नागनाथ पार)</t>
  </si>
  <si>
    <t>शिवाजी रोड शनिवार वाडा ते जेधे चौक</t>
  </si>
  <si>
    <t>महाराणा प्रतापसिंह रोड (घोरपडे पेठ पोलीस चौकी ते हमेजेखान रस्ता)</t>
  </si>
  <si>
    <t>गुरूनानक रस्ता (हमजेखान चौक ते देवजीबाबा चौक)</t>
  </si>
  <si>
    <t>शाहू चौक ते देवळाची तालीम चौक (शाहू चौक  शिवाजी रोड) ते देवळाची तालीम (महाराणा प्रतापसिंह)</t>
  </si>
  <si>
    <t>शाहू चौक ते महाराणा प्रताप उान (शाहू चौक शिवाजी रोड ते चिंचेची तालीम ते महाराणा प्रताप उान)</t>
  </si>
  <si>
    <t>क्वॉर्टर गेट चौक ते पोलीस वसाहत</t>
  </si>
  <si>
    <t>ग्यानी वस्ताद आढाव चौक ते अहिल्यादेवी होळकर चौक</t>
  </si>
  <si>
    <t>स्टेशन रस्ता ते मौलाना अब्दुल कलाम रस्ता</t>
  </si>
  <si>
    <t>पंचमुखी मंदिर ते शिवाजी रस्ता (पंचमुखी मारूती मंदिर चौक ते पार्श्वनाथ मंदिर चौक ते गाडीखाना हॉस्पिटल  शिवाजी रस्ता)</t>
  </si>
  <si>
    <t>वॉर्ड क्र. ५ मधील जयकर पथापासून विापीठ चौकापर्यंत ८०'</t>
  </si>
  <si>
    <t>औंध स. नं. १५७ ते १५८ हद्दीवरील ८०' डी.पी. रस्ता</t>
  </si>
  <si>
    <t>पाषाण शिवाजी चौक ते बाणेर हद्द स. नं. २ ते १३ मधून जाणारा डी.पी. रस्ता</t>
  </si>
  <si>
    <t>पाषाण सूस रस्ता ते बाणेर रस्ता हद्दीपर्यंतचा ४०' डी.पी. रस्ता</t>
  </si>
  <si>
    <t>पाषाण सूस रस्ता ते हायवे डी.पी. रस्ता (८०')</t>
  </si>
  <si>
    <t>पाषाण सूस रस्ता ते सुतारवाडी ८०' डी.पी. रस्ता</t>
  </si>
  <si>
    <t>अर्चना पूल ते नाईक पूल ६०' डी.पी. रस्ता</t>
  </si>
  <si>
    <t>कोथरूड डहाणूकर कॉलनी १००' डी.पी. रस्ता</t>
  </si>
  <si>
    <t>पौड रस्ता हॉटेल किनारा ते शिक्षकनगर ६०' डी.पी. रस्ता</t>
  </si>
  <si>
    <t>विट्टलवाडी पूल ते कर्वेनगर यांना जोडणारा ६०' डी.पी. रस्ता</t>
  </si>
  <si>
    <t>कर्वे रस्त्यापासून अंध शाळेमागून कोथरूड माळवाडी १००' डी.पी. रस्ता</t>
  </si>
  <si>
    <t>कोथरूड माळवाडी ते पौड रस्ता ६०' डी.पी. रस्ता</t>
  </si>
  <si>
    <t>कोथरूड माळवाडी (सागर कॉलनी ते मनपा हद्द) १००' डी.पी. रस्ता</t>
  </si>
  <si>
    <t>कोथरूड कर्वे पुतळा ते मयूर डी.पी. रस्ता ४०' डी.पी. रसता</t>
  </si>
  <si>
    <t>कात्रज कोंढवा बायपास (सातारा रोड ते राजस सोसायटी)</t>
  </si>
  <si>
    <t>कोंढवा बिबवेवाडी रोड ते मार्केट यार्ड (नेहरू रस्ता)</t>
  </si>
  <si>
    <t>भगवान ता. कवडे पथ ते सिपोरेक्स ते मगरपट्टा रस्ता</t>
  </si>
  <si>
    <t>किर्लोस्कर फ्लायओव्हर (पेट्रोल पंपापासून) रेल्वे लाईनकडे जाणारा रस्ता</t>
  </si>
  <si>
    <t>सातारा रस्ता ते बिबवेवाडी रस्ता (गुरुराज सोसायटीमधून कल्व्हर्टसह)</t>
  </si>
  <si>
    <t>पद्मावती पूल ते बिबवेवाडी रस्ता (बिबवेवाडी ओटा स्कीमजवळ)</t>
  </si>
  <si>
    <t>एन.आय.बी.एम. रस्ता कोणार्क पूरम पर्यंत (६०' डी.पी. रस्ता) (बायपास रस्ता) (कल्व्हर्टसह)</t>
  </si>
  <si>
    <t>तळजाई पाण्याचे टाकीकडे जाणारा रस्ता</t>
  </si>
  <si>
    <t>एम.सी.एम.टी.आर. रस्ता नेताजीनगर ते सोलापूर रस्ता</t>
  </si>
  <si>
    <t>सातारा रस्ता विवेकानंद पुतळा ते लोअर इंदिरानगर</t>
  </si>
  <si>
    <t>बिबवेवाडी १००' डी.पी. रस्तापैकी चैत्रबन ते मनपा हद्द रस्ता</t>
  </si>
  <si>
    <t>सहकारनगर, लक्ष्मीनगर सरहद्दीजवळून जाणारा १००' डी.पी. रस्ता</t>
  </si>
  <si>
    <t>रामवाडी जकातनाका ते संजय पार्क स. नं. २०४, १८२, २३३, २३५ लोहगांव १००' डी.पी. रोड</t>
  </si>
  <si>
    <t>स. नं. २०४, २११, २१०, २३४ लोहगांव नगर रोड समांतर ६०' डी.पी. रोड</t>
  </si>
  <si>
    <t>स. नं. १९५ व १४२ लोहगांव हद्दीवरून नगर रोडला मिळणारा (खुळेवाडीकडे) जाणारा ६०' डी.पी. रोड</t>
  </si>
  <si>
    <t>स. नं. २५, २६ वडगांवशेरी नगर रोडला मिळणारा ६०' डी.पी. रोड</t>
  </si>
  <si>
    <t>स. नं. १९१ नागपूर चाळीपासून लोहगांवमधून लोहगांव रोडला मिळणारा १००' डी.पी. रस्ता</t>
  </si>
  <si>
    <t>डी. व्ही. गोखले पथावरील रमणबाग शाळेच्या पश्चिमेकडील चौक (३)</t>
  </si>
  <si>
    <t>केळकर रस्ता अहिल्यादेवी होळकर चौक ते आढाव चौक या रस्त्याला ज्या ठिकाणी मिळतो तो चौक (३)</t>
  </si>
  <si>
    <t>भालकर भोपटकर रस्ता राष्ट्रभाषा भवन रस्त्याला जिथे मिळतो तो चौक (३)</t>
  </si>
  <si>
    <t>पटवर्धन चौक (बाजीराव रस्ता) (४)</t>
  </si>
  <si>
    <t>साततोटी चौक (४)</t>
  </si>
  <si>
    <t>गणपती चौक (४)</t>
  </si>
  <si>
    <t>राजा धनराज गिरीजी हायस्कूल जवळील चौक (५)</t>
  </si>
  <si>
    <t>दूध भट्टी जवळील चौक</t>
  </si>
  <si>
    <t>दिनबंधू चौक (५)</t>
  </si>
  <si>
    <t>रास्ता पेठ पॉवर हाऊस चौक (५)</t>
  </si>
  <si>
    <t>पोलीस वसाहतीजवळील (एम्प्लॉयमेंट ऑफिस) (५)</t>
  </si>
  <si>
    <t>नेहरू रस्ता व लकारी मारूती चौक जोडणारा चौक</t>
  </si>
  <si>
    <t>कुमठेकर रस्त्यावरील मोदी गणपती रस्त्यावरील चौक (७)</t>
  </si>
  <si>
    <t>आण्णा शास्त्री पंढरपुरे चौक</t>
  </si>
  <si>
    <t>वासुदेव फडके रस्ता भिकारदास मारूती रस्त्याला मिळतो तो चौक</t>
  </si>
  <si>
    <t>बाजीराव रस्त्यावरील लिंबराज महाराज चौक</t>
  </si>
  <si>
    <t>शाहू चौक</t>
  </si>
  <si>
    <t>शितळादेवी चौक</t>
  </si>
  <si>
    <t>पंचमुखी मारूती चौक</t>
  </si>
  <si>
    <t>लालबहादूर शास्त्री चौक</t>
  </si>
  <si>
    <t>कृष्णहट्टी चौक</t>
  </si>
  <si>
    <t>देवळाची तालीम चौक</t>
  </si>
  <si>
    <t>गोविंद हलवाई चौक</t>
  </si>
  <si>
    <t>बुरूड आळी चौक</t>
  </si>
  <si>
    <t>गाडीखाना हॉस्पिटलचे दोन्ही चौक (८)</t>
  </si>
  <si>
    <t>अशोक चौक (८)</t>
  </si>
  <si>
    <t>नाना चावडी चौक (९)</t>
  </si>
  <si>
    <t>हिंदमाता चौक (९)</t>
  </si>
  <si>
    <t>शामा प्रसाद मुखर्जी चौक (९)</t>
  </si>
  <si>
    <t>छाया टॉकीजसमोरील चौक (९)</t>
  </si>
  <si>
    <t>पदम्‌जी चौक</t>
  </si>
  <si>
    <t>देवराम खंदारे चौक</t>
  </si>
  <si>
    <t>म. गांधी चौक</t>
  </si>
  <si>
    <t>संत कबीर चौक</t>
  </si>
  <si>
    <t>पर्वती फ्लायओव्हर चौक</t>
  </si>
  <si>
    <t>बोपोडी जकात नाका चौक</t>
  </si>
  <si>
    <t>पोलीस वर्कशॉप जवळील चौक, औंध</t>
  </si>
  <si>
    <t>जयकर पथ, भाऊ पाटील रस्त्याला मिळतो तो चौक</t>
  </si>
  <si>
    <t>सातारा रस्त्याकडून विवेकानंद पथाला मिळणारा चौक</t>
  </si>
  <si>
    <t>अप्पर इंदिरानगर बसस्टॉप चौक</t>
  </si>
  <si>
    <t>पर्वती पायथा चौक</t>
  </si>
  <si>
    <t>मॉडर्न हायस्कूल चौक</t>
  </si>
  <si>
    <t>म्हात्रे पुलाअलिकडील दत्तवाडी येथील चौक</t>
  </si>
  <si>
    <t>स. गो. बर्वे चौक</t>
  </si>
  <si>
    <t>शिवाजी पुतळा चौक, कोथरूड</t>
  </si>
  <si>
    <t>शास्त्री पुतळा चौक</t>
  </si>
  <si>
    <t>उंबर्‍या गणपती चौक</t>
  </si>
  <si>
    <t>मॉडेल कॉलनी तलाव</t>
  </si>
  <si>
    <t>पुणे स्टेशन विभागीय कार्यालयालगत जागा ताब्यात घेणे</t>
  </si>
  <si>
    <t>बावधन सर्व्हे क्र. २३/२४ ही जागा सार्वजनिक प्रयोजनासाठी संपादित करणे</t>
  </si>
  <si>
    <t>कोथरूड कचरा डेपो स्थलांतर करणेसाठी जागा संपादन करणे</t>
  </si>
  <si>
    <t>स. नं. ९२/२ ते ५ कोथरूड (पाणीपुरवठा योजना व अप्रोच रस्ता)</t>
  </si>
  <si>
    <t>स. नं. ३५/१+२ कोथरूड (पाणीपुरवठा नॉन डी.पी. प्रस्ताव)</t>
  </si>
  <si>
    <t>स. नं. ५/अ, ५/ब शिवणे (पाणीपुरवठा नॉन डी.पी. योजना)</t>
  </si>
  <si>
    <t>स. नं. ३ व ४ एरंडवणा पंपिंग स्टेशन</t>
  </si>
  <si>
    <t>कात्रज स. नं. २८ (पाणीपुरवठा)</t>
  </si>
  <si>
    <t>नर्‍हे गांव स. नं. ३३ (पाणीपुरवठा)</t>
  </si>
  <si>
    <t>बिबवेवाडी स. नं. ६२५, ६२६ (पाणीपुरवठा)</t>
  </si>
  <si>
    <t>वडगांव स. नं. ४५ (पाणीपुरवठा)</t>
  </si>
  <si>
    <t>नांदेड स. नं. ३३ (पाणीपुरवठा)</t>
  </si>
  <si>
    <t>आंबेगांव स. नं. ६३ (पाणीपुरवठा)</t>
  </si>
  <si>
    <t>टी. पी. स्कीम संगमवाडी फा. प्लॉ. क्र. ५६ पैकी जागा पंपिंग स्टेशनसाठी संपादन करणे</t>
  </si>
  <si>
    <t>स. नं. २ब, २क, २ड, २इ व ६ ड्रेनेज ट्रिट प्लॉटसाठी संपादन करणे, बोपोडी पुणे</t>
  </si>
  <si>
    <t>फुरसुंगी स. नं. १५९ इ. मिळकती पैकी १२० एकर जागा कचरा डेपोसाठी व कचरा ट्रिटमेंट प्लँटसाठी</t>
  </si>
  <si>
    <t>शिवाजीनगर फा. प्लॉ. नं. ८२३ ते ८२८ नौकाविहारसाठी</t>
  </si>
  <si>
    <t>शिवाजीनगर फा. प्लॉ. नं. ५०१/२, ५०२ (तलाव उानासाठी)</t>
  </si>
  <si>
    <t>औंध घरांक क्र. ९५ सि. स. नं. ७५६ ते ७६०, ७६७, ८७० ते ८७६</t>
  </si>
  <si>
    <t>पाषाण सोमेश्वरवाडी सि. स. नं. ७९५ शिवाजीमहाराज पुतळा व उान विकसित करणे</t>
  </si>
  <si>
    <t>बिबवेवाडी स. नं. ६७२/११ (इ. डब्ल्यू.एस.)</t>
  </si>
  <si>
    <t>एफ. सी. रोड</t>
  </si>
  <si>
    <t>शास्त्री रस्ता, गांजवे चौक ते ठोसरपागा स्मशानभूमी रस्ता</t>
  </si>
  <si>
    <t>बुधवार पेठ सि. स. क्र. ११२ ते ११४ सुपर मार्केट व  रस्तारुंदीकरणासाठी जागा संपादन करणे</t>
  </si>
  <si>
    <t>बुधवार पेठ सि. स. क्र. १११० व ११११ रस्तारुंदीकरणासाठी जागा संपादन करणे</t>
  </si>
  <si>
    <t>फडगेट पोलीस चौकी (विट्टलमंदिर) शिवाजीरस्ता ते बाजीराव रस्त्यापर्यंत जोडाणारा रस्ता पोतनीस रस्ता</t>
  </si>
  <si>
    <t>कोंढवा खु. स. नं. १ पैकी जागा क्रीडांगणासाठी संपादन करणे</t>
  </si>
  <si>
    <t>वडगाव शेरी स. नं. ५ ते १५, ६० फुटी आर.पी. रस्त्यासाठी जागा संपादन करणे</t>
  </si>
  <si>
    <t>बोपोडी स.नं. ३६ पार्ट, ६९, ७३ पार्ट मधील ई.डब्ल्यू.एस.साठी आरक्षीत असलेली जागा संपादन करणे</t>
  </si>
  <si>
    <t>स.नं. ७४ पार्ट बोपोडी ही प्ले ग्राऊंडसाठी आरक्षीत असलेली जागा संपादन करणे</t>
  </si>
  <si>
    <t>स.नं. ७४ बोपोडी प्राथमिक शाळेसाठी आरक्षीत असलेली जागा संपादन करणे</t>
  </si>
  <si>
    <t>सोन्या मारूती चौक ते मोतीचौक रुंदीकरणासाठी जागा संपादन करणे</t>
  </si>
  <si>
    <t>पुणे मनपातील अपंग कर्मचार्‍यांच्या घरबांधणी संस्थेस घरबांधणीसाठी जागा संपादन करणे</t>
  </si>
  <si>
    <t>स.क्र. ५७८/१ व ५७७/१ बिबवेवाडी कोंढवा रस्त्याच्या दक्षिणेकडील डी. पी. रस्ता तडजोडीने ताब्यात घेणे</t>
  </si>
  <si>
    <t>प्र.क्र. ४५  मध्ये ताब्यात असलेल्या प्ले ग्राऊंडच्या जागा आरक्षित करणे</t>
  </si>
  <si>
    <t>तरतूद उपलब्ध झाल्यास संपादन करावयाच्यापोटी</t>
  </si>
  <si>
    <t>१२९ स. नं. पानमळा प्राथमिक शाळेसाठी फा. प्लॉट ५७१ व ५७२ टीपीएस</t>
  </si>
  <si>
    <t>पर्वती स. क्र. १२२ अ पाईप लाईनसाठी</t>
  </si>
  <si>
    <t>शिवाजीनगर फा. प्लॉट ३८२ दवाखाना वाढीसाठी</t>
  </si>
  <si>
    <t>सदाशिवपेठ ७४९ हौदासाठी संपादन करणे</t>
  </si>
  <si>
    <t>वानवडी स. नं. ६२ व ६३ या ठिकाणी २० फुटी रस्ता संपादन करणे</t>
  </si>
  <si>
    <t>कात्रज सर्व्हे क्र. १२३ जकात नाक्यासाठी</t>
  </si>
  <si>
    <t>कोंढवा सर्व्हे क्र. १ प्राथमिक शाळा क्रीडांगण</t>
  </si>
  <si>
    <t>बिबवेवाडी सर्व्हे क्र. ६७३, ७७६, ६७७ पार्क डी. पी. रोड प्राथमिक शाळा इत्यादीसाठी</t>
  </si>
  <si>
    <t>हिंगणे सर्व्हे क्र. ३३, सि२ झोन</t>
  </si>
  <si>
    <t>कोथरूड सर्व्हे क्र. १७ इंडस्ट्रियल इस्टेटसाठी</t>
  </si>
  <si>
    <t>बिबवेवाडी सर्व्हे क्र. ७३२ फायरबिग्रेडसाठी</t>
  </si>
  <si>
    <t>सर्व्हे न. ४३ हिस्सा क्रमांक १५ हिंगणे ६० फूटी रस्ता</t>
  </si>
  <si>
    <t>एरंडवणा फायनल प्लॉट ७०/२अ, सी. टी. एस क्र. ४७/२अ</t>
  </si>
  <si>
    <t>गोराकुंभार हायस्कूल ते रामनदीवरील पुलाच्या रस्त्यासाठी</t>
  </si>
  <si>
    <t>रामनदी पूल ते एकनाथ नगरकडे, बाणेर रोड</t>
  </si>
  <si>
    <t>शिवाजीनगर नरवीर तानाजीवाडी रस्तारूंदी</t>
  </si>
  <si>
    <t>औंध सिटी सर्व्हे क्र. ७६७, (घरांक ९५) ७५६, ७५८, ते ७६०, ८७०, ८७१, ८७६, ४९१, ४९२, ४९३ रस्तारूंदीसाठी</t>
  </si>
  <si>
    <t>मुळा रोड स. क्र. ६२ (फायनल प्लॉट) १४ डी. पी. रस्त्यासाठी</t>
  </si>
  <si>
    <t>शिवाजीनगर फायनल प्लॉट क्र. २६२/५, सिटी सर्व्हे क्र. ७५९/५, भाजीकेंद्र</t>
  </si>
  <si>
    <t>रविवार पेठ ८२५ क्रीडांगण</t>
  </si>
  <si>
    <t>पर्वती घरांक ९९, १०६ इ.</t>
  </si>
  <si>
    <t>नानापेठ रास्तापेठ घरांक १०६ मिळकती रस्ता (नानापेठ, संत कबीर चौक ते रास्ता पेठ पॉवर हाऊस चौक)</t>
  </si>
  <si>
    <t>सर्व्हे क्र. १७, १८ एरंडवणा रस्ता</t>
  </si>
  <si>
    <t>घरांक ४०/१, ४०/२, गुरूवार पेठ रस्ता</t>
  </si>
  <si>
    <t>घरांक ६०९ ते  ६११ इत्यादी शुक्रवार पेठ रस्ता</t>
  </si>
  <si>
    <t>सर्व्हे क्र. ३, ४ हडपसर रस्ता</t>
  </si>
  <si>
    <t>फायनल प्लॉट क्रमांक ४२४ ते ८२८ शिवाजीनगर नौकाविहार</t>
  </si>
  <si>
    <t>घरांक ८४१ सदाशिवपेठ मोकळी जागा, बारीवाडा</t>
  </si>
  <si>
    <t>घरांक ८५३ भवानी पेठ मोकळी जागा</t>
  </si>
  <si>
    <t>घरांक १२८० गुरूवार पेठ रस्तारूंदी</t>
  </si>
  <si>
    <t>घरांक ७१५अ बुधवार पेठ रस्तारूंदी</t>
  </si>
  <si>
    <t>घरांक ५२६, बुधवार पेठ प्राथमिक शाळा</t>
  </si>
  <si>
    <t>फायनल प्लॉट क्र. ६५३, ६५८ शिवाजीनगर ६० फुटी रस्ता</t>
  </si>
  <si>
    <t>घरांक ६७९, ६८५ औंध रस्तारूंदी</t>
  </si>
  <si>
    <t>घरांक ५५५ ते ५६० गंजपेठ रस्तारूंदी</t>
  </si>
  <si>
    <t>फायनल प्लॉट क्र. ६१९, ६२०, ६५८ इत्यादी पार्किंगसाठी शिवाजीनगर</t>
  </si>
  <si>
    <t>सदाशिव पेठ घरांक ४५६, ४६७, ४५८ इ. पार्किंग सायकल ट्रॅक</t>
  </si>
  <si>
    <t>बिबवेवाडी सर्व्हे क्र. ५८८/२, रस्त्यासाठी</t>
  </si>
  <si>
    <t>बुधवार पेठ घरांक १४८१, १४८२ रस्त्यासाठी (जुना सदाशिव)</t>
  </si>
  <si>
    <t>नारायण घरांक १६२, ते १७२ इ. रस्त्यासाठी</t>
  </si>
  <si>
    <t>नारायण घरांक १७४ ते २०२ ते २०५ रस्त्यासाठी</t>
  </si>
  <si>
    <t>एरंडवणा फायनल प्लॉट क्र. ९क, १, १०, ६२/११, २५२, २५३, २५३अ, सायकल ट्रॅक व पार्किंगसाठी</t>
  </si>
  <si>
    <t>कस्तुरे चौक ते गंज पेठ पोलिस चौकी रस्तारूंदी</t>
  </si>
  <si>
    <t>घोरपडे पेठ घरांक ५८, ५९, ६० रस्तारूंदीसाठी</t>
  </si>
  <si>
    <t>गंजपेठ घरांक २७, ३५, रस्तारूंदीसाठी</t>
  </si>
  <si>
    <t>एरंडवणा स. नं. ४४ पार्क</t>
  </si>
  <si>
    <t>पर्वती फायनल प्लॉट क्र. ५१७, ५१५ब, ५१७२, ५१८, ५१९ ५२१, ५२३, ५३७ इत्यादी पार्कसाठी</t>
  </si>
  <si>
    <t>येरवडा फायनल प्लॉट क्र. ७०/३ पीएमटीसाठी संपादन करणे</t>
  </si>
  <si>
    <t>शिवाजीनगर नरवीर तानाजीवाडी रस्तारुंदीकरिता</t>
  </si>
  <si>
    <t>औंध सर्व्हे क्र. १२५अ व ४ब उानाकरिता</t>
  </si>
  <si>
    <t>बिबवेवाडी ५७९/२, ५८०/२, ५८८/१ येथील जागा १०० फुटी रस्त्यासाठी घेणे</t>
  </si>
  <si>
    <t>एरंडवणा फायनल ७०/२अ, सि.टी.एस्‌ क्र. ४७/२अ रस्त्यासाठी</t>
  </si>
  <si>
    <t>औंध सर्व्हे क्र.१०४ (भाग) १०८ (भाग) क्र. अे (३) व अे (३) (बी) शॉपिंग सेंटर पोस्ट ऑफिससाठी संपादन करण्याबाबत</t>
  </si>
  <si>
    <t>कोंढवा सर्व्हे क्र. ७/३, प्लॉट क्र. १० पैकीची रस्तारूंदीकरिता</t>
  </si>
  <si>
    <t>औंध सिटी सर्व्हे क्र. ७६७ (९५) सिटी सर्व्हे क्र. ७५६, ७५८ ते ७६०, ८७०, ८७१, ८७५, ४९१, ४९२, ४९३ इ. रस्तारूंदीसाठी</t>
  </si>
  <si>
    <t>रस्तारूंदीकरिता रास्तापेठ घरांक ४८०/१८</t>
  </si>
  <si>
    <t>वानवडी सर्व्हे क्र. ७७, हिस्सा नं. ३२, ३३, ३४ पैकी ६० फुटी डी. पी. रस्त्यात येणारी जागा संपादन करणे</t>
  </si>
  <si>
    <t>येरवडा फायनल प्लॉट क्र. ७०/३ मधील रस्तारूंदी जागा संपादन करणे</t>
  </si>
  <si>
    <t>येरवडा सर्व्हे क्र. १५४, १५५, २४३, १६०, १३७, २३९, २३८ २३५(पार्ट २१ अधिक २२ अे ) पार्ट विकास योजना आराखड्यानुसार६० फुटी डी. पी. रस्त्यासाठी संपादन करणेबाबत.</t>
  </si>
  <si>
    <t>१३३, १३४, १३५ म. फुले पेठ रस्ता रूंदीकरणाची जागा संपादन करणे</t>
  </si>
  <si>
    <t>११ मंगळवार पेठ येथील मनपाने आखलेल्या चॅम्परची जागा संपादन करणे</t>
  </si>
  <si>
    <t>बारणे रोड ते आसाराम परदेशी चौक रस्तारूंदीची जागा संपादन करणे</t>
  </si>
  <si>
    <t>स. क्र. ६५ ए, ६४ बी, ६४ सी, बोपोडी प्ले ग्राउंडसाठी व ६५ सी, बोपोडी ही जागा प्राथमिक शाळेसाठी जागा संपादन करणे</t>
  </si>
  <si>
    <t>स. क्र. ५७८/१ व ५७७/१ बिबवेवाडी कोंढवा रस्त्याच्या दक्षिणेकडील डी.पी. रस्ता तडजोडीने ताब्यात घेणे</t>
  </si>
  <si>
    <t>भाऊ पाटील रस्ता रुंदीकरणमधील जागा संपादन करणे</t>
  </si>
  <si>
    <t>बोपोडी कमर्शिअल कॉम्प्लेक्सची जागा संपादन करणे</t>
  </si>
  <si>
    <t>गुरूनानकनगर केवलराम सोसायटीसमोरील जागा संपादन करणे</t>
  </si>
  <si>
    <t>कोंढवा खु. स. नं. ५ब, १५,१४, १३, १२, १०, ९ व ७ येथे ६० फुटी डी. पी. रस्त्यासाठी जागा संपादन करणे (कलम २१३ ने)</t>
  </si>
  <si>
    <t>कोंढवा खु. स. नं. ११, १०, ९ व ३७ यामधून जाणार्‍या २० मीटर रुंदीच्या रस्त्यासाठी जागा संपादन करणे</t>
  </si>
  <si>
    <t>कोंढवा खु. स. नं. ३८ हि. नं. ४, ५, ६ मधून जाणार्‍या ३० फुटी रस्त्यासाठी जागा संपादन करणे (कलम २०५ चा रस्ता)</t>
  </si>
  <si>
    <t>बाणेर रस्तारुंदीकरण</t>
  </si>
  <si>
    <t>पौड रस्ता ते बालभारती (कलम २०५ चा रस्ता)</t>
  </si>
  <si>
    <t>नवी पेठ स.नं. ५८/६९ येथे उान विकसित करण्यासाठी जागा संपादित करणे</t>
  </si>
  <si>
    <t>प्र.क्र. ४४, लडकत मळा येथील प्रायमरी स्कूलची रिझर्व्हेशनही जागा संपादन करणे</t>
  </si>
  <si>
    <t>धानोरी येथे वॉर्टर स्पोर्टस्‌साठी जागा संपादन करणे</t>
  </si>
  <si>
    <t>(ब) + (क) बेरीज</t>
  </si>
  <si>
    <t>४९ अ, ४५ भवानी पेठ येथील जागा भूमी संपादन करणे</t>
  </si>
  <si>
    <t>हडपसर येथील स.क्र.१६५ मधील राज्य शासनाच्या जागा व इतर संपादनासाठी तरतूद करणे</t>
  </si>
  <si>
    <t>भिडेवाडा भुसंपादन करणे</t>
  </si>
  <si>
    <t>डहाणूकर कॉलनी मुख्य रस्ता २१०(१)ब अन्वये रुंद करणेकामी संपादीत करणे</t>
  </si>
  <si>
    <t>वॉर्ड क्र. ७८ येथील ४९ भवानी पेठ पुणे भूसंपादन करणे</t>
  </si>
  <si>
    <t>वॉर्ड क्र. १०८ मधील २१०/१/ब ने डहाणूकर रेसिडेन्सी ते अंधशाळा रस्ता ताब्यात घेणे</t>
  </si>
  <si>
    <t>वाँ.क्र.७८ मध्ये ४९ भवानी पेठ सी.पी.जी. व रस्ता रुंदी जागा भूसंपादन करणे</t>
  </si>
  <si>
    <t>एचसीएमटीआर रस्त्यांसाठी भूसंपादन करणे</t>
  </si>
  <si>
    <t>(अ)</t>
  </si>
  <si>
    <t>कामाचे नाव</t>
  </si>
  <si>
    <t>योजनांतर्गत खर्चाबाबतचे अंदाजपत्रक</t>
  </si>
  <si>
    <t>४. झोपडपट्टी निर्मूलन व पुनर्वसन निधीतून करावयाची कामे</t>
  </si>
  <si>
    <t>निरनिराळ्या झोपडपट्टींमध्ये विविध विकासाची कामे करणे</t>
  </si>
  <si>
    <t>झो.नि.पु. अंतर्गत करावयाची कामे</t>
  </si>
  <si>
    <t>सुलभ पद्धतीची शौच्छालये बांधणे</t>
  </si>
  <si>
    <t>दलित वस्ती सुधारणा अंतर्गत कामे करणे</t>
  </si>
  <si>
    <t>सार्वजनिक ठिकाणी शौचालय बांधणे</t>
  </si>
  <si>
    <t>सार्वजनिक ठिकाणी मुतार्‍या बांधणे</t>
  </si>
  <si>
    <t>प्रभाग क्र. ७१ गंगाधाम चौक, नविन डी.पी. रस्ता सुलभ स्वच्छतागृह बांधणे</t>
  </si>
  <si>
    <t>प्रभाग क्र. १८ व वडगाव शेरी परिसरामध्ये विविध ठिकाणी स्वच्छतागृह बांधणे</t>
  </si>
  <si>
    <t>४. झोपडपट्टी निर्मूलन व पुनर्वसन निधीतून करावयाची कामे बेरीज</t>
  </si>
  <si>
    <t>क्षेत्रिय कार्यालय : झो.नि.पु. विभागाने करावयाची कामे</t>
  </si>
  <si>
    <t>क्षेत्रिय कार्यालय : नागरिकांच्या सहभाग योजनेतून झो.नि.पु. विभागाने करावयाची कामे</t>
  </si>
  <si>
    <t>४. झोपडपट्टी निर्मूलन व पुनर्वसन निधीतून करावयाची कामे + 
क्षेत्रिय कार्यालयाने करावयाची कामे एकूण बेरीज</t>
  </si>
  <si>
    <t>४अ. मागासवर्गीय कल्याणकारी योजना निधी</t>
  </si>
  <si>
    <t>यू.सी.डी. अंतर्गत मागासवर्गीय योजना</t>
  </si>
  <si>
    <t>लोकशाहीर अण्णाभाऊ साठे शैक्षणिक मदत योजना</t>
  </si>
  <si>
    <t>बालविकास केंद्र व वस्ती रिसोर्स सेंटर सुरू करणे</t>
  </si>
  <si>
    <t>मागासवर्गीय कल्याणकारी योजनेअंतर्गत विविध योजना राबविणेसाठी मानधन तत्वावरील सेवकांचा मानधन खर्च</t>
  </si>
  <si>
    <t>शहरात विविध ठिकाणी नाईट शेल्टर योजना राबविणे</t>
  </si>
  <si>
    <t>४अ. मागासवर्गीय कल्याणकारी योजना निधी बेरीज</t>
  </si>
  <si>
    <t>४ब. महिलाबालकल्याण योजना निधी</t>
  </si>
  <si>
    <t>महिलाबालकल्याण योजना</t>
  </si>
  <si>
    <t>महिला सक्षमिकरणासाठी अनुदानाची योजना</t>
  </si>
  <si>
    <t>बचत गटाच्या शिखर संस्थेचा व्यवस्थापन खर्च</t>
  </si>
  <si>
    <t>बचत गटातील महिलांना कुटुंबनियोजनासाठी प्रोत्साहन</t>
  </si>
  <si>
    <t>महिलाबाल कल्याण योजना अंतर्गत करावयाची कामे</t>
  </si>
  <si>
    <t>रस्त्यांवरील मुलांसाठी घरटे प्रकल्प</t>
  </si>
  <si>
    <t>कन्यारत्न योजना</t>
  </si>
  <si>
    <t>कागदी पिशव्या तयार करणार्‍या बचत गटांना अनुदान</t>
  </si>
  <si>
    <t>राणी लक्ष्मीबाई महिला औोगिक प्रशिक्षण संस्था पुणे मनपा संयुक्त प्रकल्पा अंतर्गत मुलभूत सुविधा करणे</t>
  </si>
  <si>
    <t>युसीडी मार्फत राबविल्या जाणार्‍या निरनिराळया उपक्रमासाठी लागणारा खर्च स्वयंरोजगार, प्रशिक्षण, साहित्य खरेदी इ.</t>
  </si>
  <si>
    <t>पाळणाघर</t>
  </si>
  <si>
    <t>महिला व बाल कल्याण योजनेअंतर्गत विविध योजना राबविणेसाठी मानधन तत्वावरील सेवकांचा मानधन खर्च</t>
  </si>
  <si>
    <t>बालवाडी पोषण आहार</t>
  </si>
  <si>
    <t>अनैतिक व्यवसायात गुंतलेल्या महिलांसाठी व्यावसायिक प्रशिक्षण व स्वयंरोजगारासाठी अनुदान खर्च</t>
  </si>
  <si>
    <t>आधार केंद्र प्रशासकीय खर्च</t>
  </si>
  <si>
    <t>युवतींसाठी १५ केंद्रांवर स्वसंरक्षणाचे प्रशिक्षण देणे</t>
  </si>
  <si>
    <t>मुलगी दत्तक योजना</t>
  </si>
  <si>
    <t>राजमाता जिजाऊ संस्था,स्वारगेट व पुणे मनपा प्रकल्पांतर्गत मूलभुत सुविधा पुरविणे.</t>
  </si>
  <si>
    <t>मानसी व पुणे मनपा संयुक्त प्रकल्पांतर्गत पायाभूत सुविधा पुरविणे.</t>
  </si>
  <si>
    <t>स्माईल व पुणे मनपा संयुक्त प्रकल्पांतर्गत पायाभूत सुविधा पुरविणे.</t>
  </si>
  <si>
    <t>पुणे शहरातील बचत गटांसाठी बचत बाजार उभारणे</t>
  </si>
  <si>
    <t>बचत गटातील उत्पादित केलेल्या मालाचे प्रदर्शन आयोजित करणे</t>
  </si>
  <si>
    <t>मराठा चेंबर्स ऑफ कॉमर्स यांच्या संयुक्त विमाने इन्क्युबेशन सेंटर सुरू करणे</t>
  </si>
  <si>
    <t>अनैतिक व्यवसायात गुंतलेल्या महिलांच्या मुलांसाठी शैक्षणिक अर्थसहाय्य व समुपदेशक केंद्र खर्च</t>
  </si>
  <si>
    <t>प्र.क्र.५१ ब नवी पेठ भागात महिलांसाठी बचतगट हॉल बांधणे (शाळा नं.१७ मध्ये)</t>
  </si>
  <si>
    <t>जिजाऊ संस्थेस साहित्य पुरविणे</t>
  </si>
  <si>
    <t>४ब. महिलाबालकल्याण योजना निधी बेरीज</t>
  </si>
  <si>
    <t>४क. युवक कल्याणकारी योजना निधी (नागरवस्ती विकास योजना)</t>
  </si>
  <si>
    <t>शहरातील तरुणांसाठी स्वयंरोजगार व प्रशिक्षणासाठी अनुदान देणे</t>
  </si>
  <si>
    <t>लोकशाहीर अण्णाभाऊ साठे शैक्षणिक मदत योजना व मौ. अब्दुल कलाम आझाद शैक्षणिक मदत योजना</t>
  </si>
  <si>
    <t>ज्येष्ठ नागरिकांसाठी विरंगुळा केंद्र सुरू करणे</t>
  </si>
  <si>
    <t>प्रशिक्षण संस्थांतील शिक्षक व इतर कर्मचार्‍यांचे मानधन देणे</t>
  </si>
  <si>
    <t>युवक / युवतींसाठी ग्रंथालय सुरू करणे (सावित्रीबाई फुले ग्रंथालय)</t>
  </si>
  <si>
    <t>हॅलो माय फ्रेंड योजना राबविणे</t>
  </si>
  <si>
    <t>नागरवस्ती विकास योजना विभागाच्या ताब्यात असणार्‍या जागेपोटी पीएमपीएमएल प्रशासनास भाडे देणे</t>
  </si>
  <si>
    <t>स्थानिक तसेच परराज्यातील व इतर देशातील आलेल्या विार्थ्याचे सांस्कृतिक कार्यक्रम आयोजित करणे. (सांस्कृतिक देवाणघेवाण करणे व सद्‌भावना निर्माण करणे)</t>
  </si>
  <si>
    <t>४क. युवक कल्याणकारी योजना निधी बेरीज</t>
  </si>
  <si>
    <t>४ड. अपंग कल्याणकारी योजना निधी</t>
  </si>
  <si>
    <t>अपंग कल्याणकारी योजना</t>
  </si>
  <si>
    <t>शासकिय / निमशासकिय सेवेत नियुक्त निःसमर्थ कर्मचार्‍यांना सहाय्यक तंत्रज्ञान / उपकरणे उपलब्ध करून देणे</t>
  </si>
  <si>
    <t>४ड. अपंग कल्याणकारी योजना निधी बेरीज</t>
  </si>
  <si>
    <t>५. पुणे जिल्हा नियोजन व विकास मंडळ निधीतून करावयाची कामे</t>
  </si>
  <si>
    <t>५अ. मा. आमदारांनी सुचविल्याप्रमाणे करावयाची विकासाची कामे</t>
  </si>
  <si>
    <t>बोपोडी मतदार संघ क्र. २४६</t>
  </si>
  <si>
    <t>शिवाजीनगर मतदार संघ क्र. २४७</t>
  </si>
  <si>
    <t>पर्वती मतदार संघ क्र. २४८</t>
  </si>
  <si>
    <t>कसबा पेठ मतदार संघ क्र. २४९</t>
  </si>
  <si>
    <t>भवानी पेठ मतदार संघ क्र. २५०</t>
  </si>
  <si>
    <t>पुणे (कॅन्टोन्मेंट) मतदार संघ क्र. २५१</t>
  </si>
  <si>
    <t>विधान परिषद सदस्य</t>
  </si>
  <si>
    <t>५ब. मा. खासदारांनी सुचविल्याप्रमाणे करावयाची विकासाची कामे</t>
  </si>
  <si>
    <t>महानगरपालिका क्षेत्रात मुलभूत सोईसुविधांसाठी विशेष अनुदान</t>
  </si>
  <si>
    <t>मुळशी मतदार संघ</t>
  </si>
  <si>
    <t>कोथरूड विधानसभा मतदार संघ</t>
  </si>
  <si>
    <t>हडपसर विधानसभा मतदार संघ</t>
  </si>
  <si>
    <t>वडगांवशेरी विधानसभा मतदार संघ</t>
  </si>
  <si>
    <t>खडकवासला विधानसभा मतदार संघ</t>
  </si>
  <si>
    <t>सर्वसाधारण जिल्हा वार्षिक योजना १२-१३ अंतर्गत घनकचरा व्यवस्थापनास निधी</t>
  </si>
  <si>
    <t>५. पुणे जिल्हा नियोजन व विकास मंडळ निधीतून करावयाची कामे बेरीज</t>
  </si>
  <si>
    <t>७. यंत्रसामुग्री घसारा निधीतून विकत घ्याववयाची नवीन सामुग्री</t>
  </si>
  <si>
    <t>अग्निशामक दलासाठी यंत्रसामुग्री :-</t>
  </si>
  <si>
    <t>फायर इंजिन गाडी</t>
  </si>
  <si>
    <t>हायड्रोलिक प्लॅटफॉर्म</t>
  </si>
  <si>
    <t>रेस्क्यू इक्वीपमेंट व लाईट मास्ट</t>
  </si>
  <si>
    <t>अग्निशमन फवारके व स्थायी अग्निशमन यंत्रणा</t>
  </si>
  <si>
    <t>अल्ट्रा हायप्रेशर पिआर्सी मशीन</t>
  </si>
  <si>
    <t>पुणे शहरासाठी अयावत अ‍ॅम्ब्युलन्स खरेदी करणे</t>
  </si>
  <si>
    <t>आरोग्य विभागाकडील सरासरी आयुर्मान संपलेल्या आर्टीक्युलेटेड क्रेन निरस्त करून नवीन वाहने खरेदी करणे</t>
  </si>
  <si>
    <t>विुत विभाग :- हायड्रॉलिक प्लॅटफॉर्म</t>
  </si>
  <si>
    <t>बॅकहो लोडर खरेदी करणे</t>
  </si>
  <si>
    <t>पथ विभागासाठी ५ टिपर खरेदी करणे</t>
  </si>
  <si>
    <t>व्हेईकल डेपो मशिनरी</t>
  </si>
  <si>
    <t>मनपा पदाधिकारी व अधिकार्‍यांसाठी मोटारकार खरेदी करणे</t>
  </si>
  <si>
    <t>कंटेनर दुरुस्ती व रंगवणे</t>
  </si>
  <si>
    <t>कचरा निर्मूलन विषयक यंत्रसामुग्री</t>
  </si>
  <si>
    <t>क्षेत्रिय कार्यालय, पाणी पुरवठा, जकात इ. कार्यालयाकडे कार्यरत असलेली, सरासरी आयुर्मान संपलेली जीप संवर्गातील वाहने खरेदी करणे</t>
  </si>
  <si>
    <t>कचरा वाहतूक करण्यासाठी ३.८ चे कंटेनर खरेदी करणे</t>
  </si>
  <si>
    <t>पुणे शहरात आपत्ती व्यवस्थापन करणे व सुरक्षा व्यवस्थेसाठी आवश्यक यंत्र सामुग्री घेणे</t>
  </si>
  <si>
    <t>शहरातील प्रभागा करीता कॉम्पॅक्टर खरेदी करणे</t>
  </si>
  <si>
    <t>कचरा व्यवस्थापन अंतर्गत घंटा ट्रक, घंटा रिक्षा इ. घेणे</t>
  </si>
  <si>
    <t>क्षेत्रिय कार्यालयासाठी बॅकहो लोडर खरेदी करणे</t>
  </si>
  <si>
    <t>आरोग्य विभागासाठी मैला मोटारी खरेदी करणे</t>
  </si>
  <si>
    <t>आयुर्मान संपलेली जेटिंग मशिन निरस्त करून नवीन खरेदी करणे</t>
  </si>
  <si>
    <t>आयुर्मान संपलेले वॉटर टँकर निरस्त करून नवीन खरेदी करणे</t>
  </si>
  <si>
    <t>बल्क रिफ्युज कॅरीअर खरेदी करणे</t>
  </si>
  <si>
    <t>मोबाईल टॉयलेट टोईंग करून नेण्यासाठी ट्रॅक्टर खरेदी करणे</t>
  </si>
  <si>
    <t>एस.एन.डी.टी. कार्यालयाच्या परिसरात पाण्याचा पुरवठा कामे करणेसाठी जे.सी.बी. खरेंदी करणे</t>
  </si>
  <si>
    <t>पुणे मनपाच्या हद्दीमध्ये नव्याने समाविष्ट होणार्‍या गावांमध्ये कचरा वाहतूक करण्यासाठी ३.८ क्युमी क्षमतेचे कंटेनर खरेदी करणे</t>
  </si>
  <si>
    <t>उान विभागासाठी बॅटरी ऑपरेटेड नवीन वाहणे घेणे</t>
  </si>
  <si>
    <t>मोबाईल टॉयलेट</t>
  </si>
  <si>
    <t>वारजे कर्वेनगर व कोथरूड क्षेत्रीय कार्यालयाकडील विविध प्रभागात ४ व २ बकेटच्या ढकलगाड्या खरेदी करणे</t>
  </si>
  <si>
    <t>वारजे कर्वेनगर व कोथरूड क्षेत्रीय कार्यालयाकडील विविध प्रभागात कचरा वाहतुकीसाठी टाटा एस (छोटा टेम्पो) खरेदी करणे</t>
  </si>
  <si>
    <t>प्रभाग क्र. २६ मधील परिसरातील विविध ठिकाणचा कचरा गोळा करण्यासाठी व त्यांची वाहतुक करण्यासाठी २ अ‍ॅपे रिक्षा उपलब्ध करुन देणे.</t>
  </si>
  <si>
    <t>प्रभाग क्र.४१ ब मध्ये कचरा गोळा करण्यासाठी घंटागाडी खरेदी करणे</t>
  </si>
  <si>
    <t>प्रभाग क्र.४४ ब मध्ये कचरा गोळा करण्यासाठी घंटागाडी खरेदी करणे</t>
  </si>
  <si>
    <t>प्रभाग क्र.४५ ब मध्ये हेवनपार्क कचरा वर्गीकरणासाठी ७.५ लिटर बकेट व घंटागाडया घेणे.</t>
  </si>
  <si>
    <t>प्रभाग क्र.१८ ब मध्ये विविध ठिकाणी कचरा वेचण्यासाठी ढकलगाडी पुरविणे</t>
  </si>
  <si>
    <t>पुणे शहरातील मुख्य रस्ते यांत्रिकी पध्दतीने साफसफाई करण्यासाठी अत्याधुनिक सफाई मशिन खरेदी करणे</t>
  </si>
  <si>
    <t>क्षेत्रीय कार्यालय, अतिक्रमण कार्यालयाकडे कार्यरत असणारी सरासरी आयुर्मान संपलेली युटीलिटी संवर्गातील वाहने निरस्त करून नवीन वाहने खरेदी करणे</t>
  </si>
  <si>
    <t>प्र.क्र.५२ब मध्ये कचरा उचलण्यासाठी घंटा गाडी पुरविणे</t>
  </si>
  <si>
    <t>प्रभाग क्र ११ब, गोखलेनगर मधील मुतार्‍या स्वच्छ करण्यासाठी वॉटर प्रेशर व्हीईकल घेणे. (टाटा एसी गाडी घेऊन मशिनरी बसविणे)</t>
  </si>
  <si>
    <t>प्रभाग क्र.१६ ब मध्ये कचरा गोळा करणेसाठी (पॅगो टेम्पो) वाहन खरेदी करणे</t>
  </si>
  <si>
    <t>प्रभाग क्र.१७ ब मध्ये असणार्‍या मुतार्‍या व शौचालयाची स्वच्छता करणेसाठी प्रेशर व्हेईकलवर टाटा ईसीई गाडी मशिनसह खरेदी करणे</t>
  </si>
  <si>
    <t>प्रभाग क्र.२२ ब मध्ये होणारा कचरा गोळा करण्यासाठी वाहने खरेदी करणे</t>
  </si>
  <si>
    <t>प्र. क्र.३०ब, कचरा उचलण्यासाठी घंटागाडी मिळणे.</t>
  </si>
  <si>
    <t>प्र.क्र.३८ अ कसबा पेठ प्रभागातील ओला व सुका कचरा गोहा करण्यासाठी पॅगो (छोटा हत्ती) गाडी खरेदी करणे</t>
  </si>
  <si>
    <t>प्रभाग क्र.३९ ब, सोमवार पेठ रास्ता पेठ परिसरात ओला व सुका कचरा जमा करणे व बायोगॅस प्रकल्पापर्यंत नेणे याकरिता ४ छोटा हत्ती खरेदी करणे (प्र.क्र.३९ कंटेनर मुक्त करण्याकरिता) तद्‌नुषंगिक कामे करणे.</t>
  </si>
  <si>
    <t>प्रभाग क्र.४० ब मध्ये ओला व सुका कचरा वेगळा गोळा करणेसाठी २ पॅगो टेम्पो खरेदी करणे.</t>
  </si>
  <si>
    <t>प्रभाग क्र.४१ अ येथील कचरा गोळा करणेसाठी २ मिनी टेम्पो (छोटा हत्ती) पुरविणे</t>
  </si>
  <si>
    <t>प्रभाग क्र.४१ ब, मध्ये कचरा गोळा करण्यासाठी घंटागाडी खरेदी करणे.</t>
  </si>
  <si>
    <t>प्रभाग क्र.४३ अ, कचरा वाहतुकीसाठी घंडागाडी घेणे.</t>
  </si>
  <si>
    <t>प्रभाग क्र. ५४ ब, मध्ये कचरा वाहतुकीसाठी अ‍ॅपे पियाजिओ टेम्पो व टाटा एसी टेम्पो खरेदी करणे.</t>
  </si>
  <si>
    <t>प्रभाग क्र. ५७ ब मध्ये विविध ठिकाणी कचरा वाहतूक करण्यासाठी टाटा एसीई घंटागाडी २ नग खरेदी करणे</t>
  </si>
  <si>
    <t>प्रभाग क्र. ५७ ब येथील शौचालय साफसफाई करण्यासाठी जेटींग मशीन गाडी खरेदी करणे.</t>
  </si>
  <si>
    <t>प्रभाग क्र.६३ अ घंटा गाडी खरेदी करणे</t>
  </si>
  <si>
    <t>प्रभाग क्र.६३ ब मध्ये कचरा गोळा करण्यासाठी छोटया घंटा गाडया घेणे.</t>
  </si>
  <si>
    <t>७. यंत्रसामुग्री घसारा निधी बेरीज</t>
  </si>
  <si>
    <t>१०. वृक्ष संरक्षण व संवर्धन प्राधिकारी निधीतून (अ‍ॅथॉरिटी फंडातून) करावयाचा खर्च</t>
  </si>
  <si>
    <t>१०क. वृक्ष संवर्धन व संरक्षण कार्यालयाकडील खर्च :-</t>
  </si>
  <si>
    <t>२. हंगामी सेवकवर्ग</t>
  </si>
  <si>
    <t>१०क. बेरीज</t>
  </si>
  <si>
    <t>१०ग. संकीर्ण :-</t>
  </si>
  <si>
    <t>१. मुद्रण</t>
  </si>
  <si>
    <t>२. लेखन व साहित्य</t>
  </si>
  <si>
    <t>३. प्रकटन खर्च</t>
  </si>
  <si>
    <t>४. टपालखर्च व पावती तिकिटे</t>
  </si>
  <si>
    <t>५. गणवेष</t>
  </si>
  <si>
    <t>६. पुस्तके व शिलकी साहित्य</t>
  </si>
  <si>
    <t>७. मुलांसाठी मनोरंजन व इतर खर्च</t>
  </si>
  <si>
    <t>८. ट्री अ‍ॅथॉरिटी सभा चहापान खर्च (न.स.)</t>
  </si>
  <si>
    <t>१०ग. बेरीज</t>
  </si>
  <si>
    <t>नर्सरीच्या वाढीसाठी रोपे, उपकरणे, खते, साहित्य खरेदी व दुरुस्ती देखभाल</t>
  </si>
  <si>
    <t>पुणे शहरात शालेय विार्थ्यांसाठी पर्यावरणावर आधारित विविध उपक्रम राबविणे</t>
  </si>
  <si>
    <t>ड. मनपातर्फे फळाफुलांचे प्रदर्शन</t>
  </si>
  <si>
    <t>छ. वृक्ष लागवडीसाठी ३ ते ४ वर्षे वयाची व १० ते १५ फूट उंचीची रोपे, झाडांचे संरक्षणासाठी ट्री गार्ड खरेदी व जुने ट्री गार्ड दुरुस्ती</t>
  </si>
  <si>
    <t>ज. झाडांची हालवाहलव</t>
  </si>
  <si>
    <t>ञ. मनपा सार्वजनिक जागेवरील वृक्षारोपण, संरक्षण देखभाल व तद्‌नुषंगिक खर्च</t>
  </si>
  <si>
    <t>फ. ट्री अ‍ॅथॉरिटीस निरनिराळ्या ठिकाणी भेट देण्यासाठी खर्च</t>
  </si>
  <si>
    <t>१०ब. वृक्षारोपण उत्तेजनार्थ बक्षिसे</t>
  </si>
  <si>
    <t>१०भ. कामगार नुकसान भरपाई कायाखाली नुकसानभरपाई</t>
  </si>
  <si>
    <t>१०क्ष. वृक्षगणना व अनुषंगिक कामे</t>
  </si>
  <si>
    <t>झाडांना पाणी घालण्यासाठी टँकर खरेदी करणे</t>
  </si>
  <si>
    <t>टायर्स सुटे भाग व देखभाल</t>
  </si>
  <si>
    <t>वृक्ष संवर्धन समितीचे कामकाजासाठी वाहन खरेदी</t>
  </si>
  <si>
    <t>कार्यालय बांधणे व फर्निचर करणे</t>
  </si>
  <si>
    <t>शहरामध्ये वृक्षसंवर्धनाबाबत नागरिकांमध्ये जाणीव निर्माण करण्यासाठी वेगवेगळे उपक्रम राबविणे (स्लाईड शो, बॅनर्स, पोस्टर्स, माहितीपुस्तके इ.)</t>
  </si>
  <si>
    <t>वृक्षसंवर्धन व शहरी वनीकरण नागरिकांसाठी व मनपा सेवकांसाठी प्रशिक्षण वर्ग राबविणे</t>
  </si>
  <si>
    <t>वृक्ष छाटणीच्या कामासाठी वाहन खरेदी करणे</t>
  </si>
  <si>
    <t>पुणे शहरामध्ये हरित पट्ट्यामध्ये डोंगरउतार व इतर ठिकाणी वृक्षारोपणांची योजना राबविणे</t>
  </si>
  <si>
    <t>मनपा हद्दीमध्ये उपलब्ध जागेवर बायोडायव्हरसिटी पार्क विकसित करणे</t>
  </si>
  <si>
    <t>वृक्ष पुनर्रोपन व अन्य कामांसाठी २ जेसीबी व २ टिपर खरेदी करणे</t>
  </si>
  <si>
    <t>पुणे मनपाच्या कार्यक्षेत्रामध्ये अनधिकृत वृक्षतोड करणार्‍या व्यक्ती / संस्था यांचेवर कायदेशीर कारवाई करणेसाठी प्रोसेस फी, तद्‌नुषंगिक खर्च</t>
  </si>
  <si>
    <t>१०. वृक्ष संरक्षण व संवर्धन प्राधिकारी निधीतून (अ‍ॅथॉरिटी फंडातून) करावयाचा खर्च एकूण बेरीज</t>
  </si>
  <si>
    <t>१९. संकल्प निधी</t>
  </si>
  <si>
    <t>१९. संकल्प निधी बेरीज</t>
  </si>
  <si>
    <t>वॉटर टँकर पंपासह  (बाउझर)</t>
  </si>
  <si>
    <t>१०ग. विद्युत विभाग</t>
  </si>
  <si>
    <t>१०ग. विद्युत विभाग एकूण बेरीज</t>
  </si>
  <si>
    <t>हजरत सिद्दकी उद्यान येथील म्युजिक फाउंटेनची देखभाल दुरूस्ती व ऑपरेटींग करणे</t>
  </si>
  <si>
    <t>गणेशोत्सव काळात आवश्यकतेनुसार घाटांवर सुरेक्षेसाठी तात्पुरत्या स्वरुपात  अत्याधुनिक सीसीटीव्ही कॅमेरे यंत्रणा उभारणे</t>
  </si>
  <si>
    <t>उपआयुक्त कार्यालय क्र. १,२,३ व ४ चे कार्यक्षेत्रामध्ये येणार्‍या म.न.पा.मालकीच्या इमारतींसाठी अग्रिशामक विभागाकरीता झोनल ऑफिसेस उभारणे/अग्रिशामक यंत्रणेची कामे करणे</t>
  </si>
  <si>
    <t>जेंडर बजेट अंतर्गत मा. सभासदांना प्रशिक्षण देणे</t>
  </si>
  <si>
    <t>पथ</t>
  </si>
  <si>
    <t>विद्युत</t>
  </si>
  <si>
    <t>भवन</t>
  </si>
  <si>
    <t>गवनि</t>
  </si>
  <si>
    <t>पाणीपुरवठा</t>
  </si>
  <si>
    <t>मलनिःसारण</t>
  </si>
  <si>
    <t>(आकडे लाखात)</t>
  </si>
  <si>
    <t>Sr.</t>
  </si>
  <si>
    <t>Wards</t>
  </si>
  <si>
    <t>RE20A301/W2-</t>
  </si>
  <si>
    <t>RE20C301/W1-</t>
  </si>
  <si>
    <t>RE22C301/W4-</t>
  </si>
  <si>
    <t>RE14B301/W5-</t>
  </si>
  <si>
    <t>XE12B301/W6-</t>
  </si>
  <si>
    <t>XE23A301/W7-</t>
  </si>
  <si>
    <t>औंध क्षेत्रीय कार्यालय</t>
  </si>
  <si>
    <t>कोथरूड क्षेत्रीय कार्यालय</t>
  </si>
  <si>
    <t>घोले रोड क्षेत्रीय कार्यालय</t>
  </si>
  <si>
    <t>वारजे कर्वेनगर क्षेत्रीय कार्यालय</t>
  </si>
  <si>
    <t>ढोलेपाटील रोड क्षेत्रीय कार्यालय</t>
  </si>
  <si>
    <t>नगररोड क्षेत्रीय कार्यालय</t>
  </si>
  <si>
    <t>संगमवाडी क्षेत्रीय कार्यालय</t>
  </si>
  <si>
    <t>भवानी पेठ क्षेत्रीय कार्यालय</t>
  </si>
  <si>
    <t>कसबा विश्रामबाग वाडा क्षेत्रीय कार्यालय</t>
  </si>
  <si>
    <t>टिळक रोड क्षेत्रीय कार्यालय</t>
  </si>
  <si>
    <t>सहकारनगर क्षेत्रीय कार्यालय</t>
  </si>
  <si>
    <t>हडपसर क्षेत्रीय कार्यालय</t>
  </si>
  <si>
    <t>बिबवेवाडी क्षेत्रीय कार्यालय</t>
  </si>
  <si>
    <t>धनकवडी क्षेत्रीय कार्यालय</t>
  </si>
  <si>
    <t>कोंढवा वानवडी क्षेत्रीय कार्यालय</t>
  </si>
  <si>
    <t>CE20A176/W2-</t>
  </si>
  <si>
    <t>CE20C118/W1-</t>
  </si>
  <si>
    <t>CE22A114/W4-</t>
  </si>
  <si>
    <t>FE14A118/W5-</t>
  </si>
  <si>
    <t>ZE16A115/W6-</t>
  </si>
  <si>
    <t>ZE16B113/W7-</t>
  </si>
  <si>
    <t>RE20A302/C2-</t>
  </si>
  <si>
    <t>RE20C302/C1-</t>
  </si>
  <si>
    <t>RE22C302/C4-</t>
  </si>
  <si>
    <t>RE14B302/C5-</t>
  </si>
  <si>
    <t>XE12B302/C6-</t>
  </si>
  <si>
    <t>XE23A302/C7-</t>
  </si>
  <si>
    <t>CE20A1196/C2-</t>
  </si>
  <si>
    <t>CE20C406/C1-</t>
  </si>
  <si>
    <t>CE22A547/C4-</t>
  </si>
  <si>
    <t>FE14A121/C5-</t>
  </si>
  <si>
    <t>ZE16A117/C6-</t>
  </si>
  <si>
    <t>ZE16B130/C7-</t>
  </si>
  <si>
    <t>७. रुग्णालये, प्रसुतिगृहे, औषधालये इ.</t>
  </si>
  <si>
    <t>15 क्षेत्रीय कार्यालयासाठी छोटे जेटिंग मशिन खरेदी करणे</t>
  </si>
  <si>
    <t>या रकमेतून कोणत्या संस्थांना देणग्या द्यावयाच्या याचा निर्णय मा. स्थायी समितीने घ्यावयाचा आहे.</t>
  </si>
  <si>
    <t>जे.एन.एन.यु.आर.एम,अमृत व स्मार्ट सिटी आभियानांतर्गत प्रकल्पा संबधित केंद्रशासन व राज्यशासनाशी समन्वय साधणेसाठी पी आय यु सेल</t>
  </si>
  <si>
    <t>जे.एन.एन.यु.आर.एम.वाढीव कालावधी मध्ये मंजूर झालेले तसेच अमृत आभियांनामध्ये समावेश झालेल्या भामा आसखेड पाणी पुरवठा योजनेसाठीची तरतूद</t>
  </si>
  <si>
    <t>जे.एन.एन.यु.आर.एम.वाढीव कालावधी मध्ये मंजूर झालेले तसेच अमृत आभियांनामध्ये समावेश झालेल्या वडगाव बुद्रुक प्रकल्पासाठीची तरतूद</t>
  </si>
  <si>
    <t xml:space="preserve">अमृत अभियान अंतर्गत नव्याने सुरु होणाऱ्या प्रकल्पांसाठी तरतूद   </t>
  </si>
  <si>
    <t xml:space="preserve">स्मार्ट सिटी अभियान अंतर्गत नव्याने सुरु होणाऱ्या प्रकल्पांसाठी तरतूद (केंद्रशासन व राज्यशासन अनुदानासहित)     </t>
  </si>
  <si>
    <t xml:space="preserve">स्मार्ट सिटी अभियान अंतर्गत तज्ञ सालागारांची फी अदा करणेबाबत </t>
  </si>
  <si>
    <t>मुख्य समन्वयक कार्यालय (स्मार्ट सिटी व अमृत योजना)</t>
  </si>
  <si>
    <t>1. संकीर्ण</t>
  </si>
  <si>
    <t>मुख्य समन्वयक कार्यालय (स्मार्ट सिटी व अमृत योजना) कार्यालय बेरीज</t>
  </si>
  <si>
    <t>53. ज.ने.रा.श.पु.अ., अमृत व स्मार्ट सिटी आभियान अंतर्गत मनपाचा हिस्सा</t>
  </si>
  <si>
    <t>54. ज.ने.रा.श.पु.अ., अमृत व स्मार्ट सिटी आभियान अंतर्गत केंद्र व राज्य शासनाकडील अनुदानाचा हिस्सा</t>
  </si>
  <si>
    <t>ज.ने.रा.श.पु.अ., अमृत व स्मार्ट सिटी आभियान</t>
  </si>
  <si>
    <t>ज.ने.रा.श.पु.अ., अमृत व स्मार्ट सिटी आभियान - एकूण बेरीज</t>
  </si>
  <si>
    <t>घ. डॉ. बाबासाहेब आंबेडकर विद्यार्थी वसतिगृह, घोले रोड</t>
  </si>
  <si>
    <t>उरुळी देवाची व  फुरसुंगी गावामध्ये टॅकरने पाणीपुरवठा करणे</t>
  </si>
  <si>
    <t>१९. पुणे शहरातील ड्रेनेज लाईन जेटिंग मशिनच्या सहाय्याने साफ करणे (व्हे.डेपो.)</t>
  </si>
  <si>
    <t>२१. प्रमुख रस्त्यांवरील ड्रेनेज चेंबरमधील गाळ यांत्रिक पंपाच्या सहाय्याने साफ करणे (व्हे.डेपो.)</t>
  </si>
  <si>
    <t>२२. शहरातील मोठ्या ड्रेनेज लाईन साफसफाईसाठी यांत्रिकीकरणाने साफसफाई करणे (व्हे.डेपो.)</t>
  </si>
  <si>
    <t>पावसाळी नाले साफसफाईसाठी भाडेतत्वावर एस्कॅव्हेटर लोडर, हायड्रोलिक एस्कॅव्हेटर घेणे (व्हे.डेपो.)</t>
  </si>
  <si>
    <t>पावसाळी नाले साफसफाईसाठी भाडेतत्वावर टिपर घेणे (व्हे.डेपो.)</t>
  </si>
  <si>
    <t>वानवडी कोंढवा व धनकवडी क्षेत्रिय कार्यालयाअंतर्गत येणार्‍या प्रभागातील कचरा ट्रॅक्टरच्या सहाय्याने वाहून नेणे (व्हे.डेपो.)</t>
  </si>
  <si>
    <t>हडपसर रॅम्प वाहन देखभाल दुरूस्ती शेडमधील विद्युत विषयक कामे करणे (व्हे.डेपो.)</t>
  </si>
  <si>
    <t>ड्रेनेज विभागाकरिता हाय कपॅसिटी सक्शन कम जेटिंग मशिन / हायफलो (सुपर सकर) / आउट सोर्सिंगद्वारे भाड्याने घेणे (व्हे.डेपो.)</t>
  </si>
  <si>
    <t>अतिक्रमण, बांधकाम नियंत्रण, उघड्या पदार्थांवर कारवाई, गणेशोत्सवासाठी भाडेतत्वावर मालट्रक घेणे (व्हे.डेपो.)</t>
  </si>
  <si>
    <t>४३. पुणे जिल्हा नियोजन मंडळाकडून मिळणारे अनुदान निधीकडे वर्ग</t>
  </si>
  <si>
    <t>10. रस्त्यांवरील चेंबर्स समपातळीत करणे, आर.सी.सी. चेंबर्स करणे, क्षेत्रीय कार्यालयनिहाय चार मोबाईल मेंटेनन्स युनिटद्वारे देखभालदुरूस्तीची कामे करणे व तद्‌नुषंगिक इतर कामे करणे</t>
  </si>
  <si>
    <t>मौलाना अब्दुल कलाम आझाद जयंती व पुण्यतिथी साजरी करणे</t>
  </si>
  <si>
    <t>लहुजी वस्ताद  साळवे जयंती महोत्सव  गंज पेठ व संगमवाडी येथे साजरा करणे</t>
  </si>
  <si>
    <t>महात्मा फुले जयंती</t>
  </si>
  <si>
    <t>डॉ. बाबासाहेब आंबेडकर जयंती</t>
  </si>
  <si>
    <t>लोकशाहीर अण्णाभाऊ साठे जयंती</t>
  </si>
  <si>
    <t>ईद-ए-मिलाद (पैगंबर जयंती)</t>
  </si>
  <si>
    <t>शहरातील शिवजयंती साजरी करणे, रोषणाई करणे</t>
  </si>
  <si>
    <t>महानगरपालिका वर्धापन दिन / सुवर्ण महोत्सव साजरा करणे</t>
  </si>
  <si>
    <t>राजगड श्री शिवाजीमहाराज आग्र्‍याहून सुटून परत आले तो स्मृती दिन प्रतिवर्षी साजरा करणे</t>
  </si>
  <si>
    <t>शनिवारवाडा सांस्कृतिक महोत्सव</t>
  </si>
  <si>
    <t>भारतरत्न डॉ. बाबासाहेब आंबेडकर सांस्कृतिक महोत्सव साजरा करणे/ भिम फेस्टिवल (शनिवारवाडा पटांगण) / फुले आंबेडकर फेस्टिवल (समताभूमी)</t>
  </si>
  <si>
    <t>शिवमहोत्सव साजरा करणे (१४ ते २० फेब्रुवारी)</t>
  </si>
  <si>
    <t>अण्णाभाऊ साठे महोत्सव</t>
  </si>
  <si>
    <t>गणेशोत्सव प्रशस्तिपत्रके वितरण</t>
  </si>
  <si>
    <t>श्री. संत ज्ञानेश्वर व तुकाराम महाराज पालखी स्वागत व दिंडी प्रमुखांचा स्मृतीचिन्ह देऊन सत्कार</t>
  </si>
  <si>
    <t>प्रतिवर्षी पुणे शहरातील इयत्ता १० वी, १२ वी परिक्षेत गुणवत्ता यादीत येणार्‍या विद्यार्थ्यांचे अभिनंदन</t>
  </si>
  <si>
    <t>बालगंधर्व पुरस्कार प्रदानकरिता</t>
  </si>
  <si>
    <t>आचार्य अत्रे पुरस्कारकरिता</t>
  </si>
  <si>
    <t>पुणे आंतरराष्ट्रीय मॅरेथॉन स्पर्धेसाठी पारितोषिके</t>
  </si>
  <si>
    <t>महर्षि वाल्मिकी पुरस्कार</t>
  </si>
  <si>
    <t>सावित्रीबाई फुले पुरस्कार</t>
  </si>
  <si>
    <t>मौलाना अब्दुल कलाम आझाद पुरस्कार</t>
  </si>
  <si>
    <t>जयंतराव टिळक पुरस्कार</t>
  </si>
  <si>
    <t>कै.यशवंतराव चव्हाण यांचे स्मरणार्थ कोथरुड  पुणे येथे कै. यशवंत राव  चव्हाण पुरस्कार देणे.</t>
  </si>
  <si>
    <t>वैकुंठ स्मशानभूमी येथे सुधारणा कामे करणे</t>
  </si>
  <si>
    <t>शहरात विविध ठिकाणी मनपासाठी इमारती बांधणे व विकास कामे करणे</t>
  </si>
  <si>
    <t xml:space="preserve">प्राथमिक शाळेसाठी नवीन इमारत बांधणे </t>
  </si>
  <si>
    <t>प्राथमिक शाळेसाठी वर्गखोल्या बांधणे</t>
  </si>
  <si>
    <t>प्राथमिक शाळांची मैदाने विकसित करणे</t>
  </si>
  <si>
    <t>प्राथमिक शाळेमध्ये मुलभूत सोयी सुविधांसाठी विविध विकासकामे करणे</t>
  </si>
  <si>
    <t>माध्यमिक शाळांमध्ये मुलभूत सोयी सुविधांसाठी विविध विकासकामे करणे</t>
  </si>
  <si>
    <t>दवाखान्यातील मुलभूत सोयी सुविधांसाठी विविध विकासकामे करणे</t>
  </si>
  <si>
    <t>शहरामध्ये नव्याने प्रसुतिगृह / विविध सोयीसुविधा असलेले दवाखाने बांधणे</t>
  </si>
  <si>
    <t>प्राथमिक आरोग्य केंद्र उभारणे</t>
  </si>
  <si>
    <t>शहरातील दवाखान्यांसाठी विविध उपकरणे खरेदी करणे</t>
  </si>
  <si>
    <t>शहरातील विविध स्मशानभूमी / दफनभूमी साठी विविध विकासकामे करणे</t>
  </si>
  <si>
    <t>शहरातील दशक्रीया विधीसाठी घाट बांधणे, विविध विकास कामे करणे</t>
  </si>
  <si>
    <t>शहरामध्ये समाजमंदिर, ग्रंथालय, वाचनालय, अभ्यासिका, एमपीएसी/ युपीएससी केंद्रे उभारणे</t>
  </si>
  <si>
    <t>शहरामध्ये विरंगुळा केंद्रे, ध्यानकेंद्रे महिला बचत गट हॉल / आधारकेंद्रे उभारणे</t>
  </si>
  <si>
    <t>हेरीटेज अंतर्गत विविध कामे करणे</t>
  </si>
  <si>
    <t>शहरामध्ये क्रीडांगणे / मैदाने विकसित करणे</t>
  </si>
  <si>
    <t>शहरामध्ये पोहण्याचे तलाव बांधणे</t>
  </si>
  <si>
    <t>शहरामध्ये क्रीडासंकुल, स्टेडीयम उभारणे व विविध विकास कामे करणे</t>
  </si>
  <si>
    <t>शहरामध्ये कलादालन उभारणे</t>
  </si>
  <si>
    <t>शहरामध्ये स्मारके उभारणे</t>
  </si>
  <si>
    <t>शहरामध्ये सांस्कृतिक भवन, नाट्यगृह उभारणे व विविध विकास कामे करणे</t>
  </si>
  <si>
    <t>शहरामध्ये ओटा मार्केट बांधणे</t>
  </si>
  <si>
    <t>शहरामध्ये भाजी मंडई बांधणे</t>
  </si>
  <si>
    <t>शहरामध्ये मांस, मासळी बाजार व मटणमार्केट बांधणे</t>
  </si>
  <si>
    <t>शहरामध्ये पशुवधगृहे बांधणे</t>
  </si>
  <si>
    <t>शहरातील रस्ते कॉक्रीटने विकसित करणे</t>
  </si>
  <si>
    <t>शहरातील रस्ते डांबरीकरणाने विकसित करणे</t>
  </si>
  <si>
    <t>शहरातील रस्ते पुनर्डांबरीकरण करणे</t>
  </si>
  <si>
    <t>शहरामध्ये बी.आर.टी. मार्ग विकसित करणे</t>
  </si>
  <si>
    <t>शहरामध्ये सायकल ट्रॅक विकसित करणे</t>
  </si>
  <si>
    <t>CE20B108#</t>
  </si>
  <si>
    <t>शहरामधील चौकांची सुधारणा / विकासकामे करणे</t>
  </si>
  <si>
    <t>शहरातील वाहतुक सुधारण्यासाठी विविध विकास कामे करणे</t>
  </si>
  <si>
    <t>शहरातील वाहनतळांचा जागा विकसित करणे</t>
  </si>
  <si>
    <t>शहरातील नदी सुधारणाकामे करणे, तद्‌नुषंगिक कामे करणे</t>
  </si>
  <si>
    <t>शहरामध्ये भूमिगत केबल टाकणे</t>
  </si>
  <si>
    <t>शहरामधील विविध भवनांमध्ये विद्युतविषयक कामे करणे</t>
  </si>
  <si>
    <t>शहरामध्ये पाण्याच्या नवीन लाईन विकसित करणे</t>
  </si>
  <si>
    <t>शहरामधील विविध जलशुध्दीकरण केंद्रामध्ये विद्युत / यांत्रिकीविषयक कामे करणे</t>
  </si>
  <si>
    <t>शहरामध्ये पाण्याच्या टाक्या बांधणे / बोअरवेल घेणे</t>
  </si>
  <si>
    <t>शहरामध्ये पाणीपुरवठा प्रकल्प अंतर्गत कामे करणे</t>
  </si>
  <si>
    <t>शहरामध्ये नाला चॅनलायझेशन करणे / नाल्याला सिमाभिंत बांधणे व तद्नुषंगिक कामे करणे</t>
  </si>
  <si>
    <t>शहरामध्ये मैलापाणी शुध्दीकरण केंद्रामध्ये स्थापत्यविषयक कामे करणे</t>
  </si>
  <si>
    <t>शहरामध्ये मैलापाणी शुध्दीकरण केंद्रामध्ये विद्युत / यांत्रिकीविषयक कामे करणे</t>
  </si>
  <si>
    <t>ZE16B102#</t>
  </si>
  <si>
    <t>ZE16B103#</t>
  </si>
  <si>
    <t>शहरामध्ये लहान व्यासाच्या मलवाहिन्या विकसित करणे</t>
  </si>
  <si>
    <t>ZE16B103/D3-</t>
  </si>
  <si>
    <t>शहरामध्ये मोठ्या व्यासाच्या मलवाहिन्या विकसित करणे</t>
  </si>
  <si>
    <t>ZE16D102#</t>
  </si>
  <si>
    <t xml:space="preserve">थोर व्यक्तींच्या जयंती / पुण्यतिथी साजरी करणे </t>
  </si>
  <si>
    <t xml:space="preserve">सत्कार, अभिनंदन, पुरस्कार, बक्षिसे यासारखे कार्यक्रम साजरे करणे </t>
  </si>
  <si>
    <t>शहरातील विविध स्मशानभूमी/ दफनभूमीमध्ये देखभाल दुरुस्ती कामे करणे</t>
  </si>
  <si>
    <t>CE20A1262#</t>
  </si>
  <si>
    <t>CE20A1263#</t>
  </si>
  <si>
    <t>CE20A1264#</t>
  </si>
  <si>
    <t>यादी क्र. ए16</t>
  </si>
  <si>
    <t>CE20A1263/A16-</t>
  </si>
  <si>
    <t>यादी क्र. ए17</t>
  </si>
  <si>
    <t>CE20A1264/A17-</t>
  </si>
  <si>
    <t>CE20C550#</t>
  </si>
  <si>
    <t>CE20C551#</t>
  </si>
  <si>
    <t>यादी क्र. बी8</t>
  </si>
  <si>
    <t>CE20C551/B8-</t>
  </si>
  <si>
    <t>पूल व नदी सुधारणा विभागाकडील कामांच्या याद्या</t>
  </si>
  <si>
    <t>यादी क्र. एल्‌१</t>
  </si>
  <si>
    <t>CE20D170/L1-</t>
  </si>
  <si>
    <t>यादी क्र. एल्‌2</t>
  </si>
  <si>
    <t>CE20D219#</t>
  </si>
  <si>
    <t>CE20D219/L2-</t>
  </si>
  <si>
    <t>स्ट्रॉम वॉटर ड्रेन प्रकल्प विभागाकडील कामाच्या याद्या</t>
  </si>
  <si>
    <t>यादी क्र. एफ१</t>
  </si>
  <si>
    <t>यादी क्र. जे१</t>
  </si>
  <si>
    <t>CE11A129#</t>
  </si>
  <si>
    <t>CE11A129/J1-</t>
  </si>
  <si>
    <t>यादी क्र. जे2</t>
  </si>
  <si>
    <t>CE12A422#</t>
  </si>
  <si>
    <t>CE12A423#</t>
  </si>
  <si>
    <t>CE12A424#</t>
  </si>
  <si>
    <t>CE12A422/J2-</t>
  </si>
  <si>
    <t>यादी क्र. जे5</t>
  </si>
  <si>
    <t>CE13A128/J5-</t>
  </si>
  <si>
    <t>CE17A242#</t>
  </si>
  <si>
    <t>CE17A243#</t>
  </si>
  <si>
    <t>CE17A244#</t>
  </si>
  <si>
    <t>यादी क्र. जे6</t>
  </si>
  <si>
    <t>यादी क्र. जे7</t>
  </si>
  <si>
    <t>CE17A243/J7-</t>
  </si>
  <si>
    <t>CE17A242/J6-</t>
  </si>
  <si>
    <t>यादी क्र. जे8</t>
  </si>
  <si>
    <t>CE17A244/J8-</t>
  </si>
  <si>
    <t>CE22A704#</t>
  </si>
  <si>
    <t>CE22A704/J20-</t>
  </si>
  <si>
    <t>यादी क्र. जे20</t>
  </si>
  <si>
    <t>CE22A705#</t>
  </si>
  <si>
    <t>यादी क्र. जे21</t>
  </si>
  <si>
    <t>CE22A705/J21-</t>
  </si>
  <si>
    <t>CE27A240#</t>
  </si>
  <si>
    <t>यादी क्र. जे24</t>
  </si>
  <si>
    <t>CE27A241#</t>
  </si>
  <si>
    <t>यादी क्र. जे25</t>
  </si>
  <si>
    <t>यादी क्र. जे26</t>
  </si>
  <si>
    <t>CE28A225#</t>
  </si>
  <si>
    <t>CE28A226#</t>
  </si>
  <si>
    <t>यादी क्र. जे28</t>
  </si>
  <si>
    <t>CE29A243#</t>
  </si>
  <si>
    <t>यादी क्र. जे29</t>
  </si>
  <si>
    <t>CE29A244#</t>
  </si>
  <si>
    <t>यादी क्र. जे30</t>
  </si>
  <si>
    <t>CE29A245#</t>
  </si>
  <si>
    <t>यादी क्र. जे31</t>
  </si>
  <si>
    <t>CE29A246#</t>
  </si>
  <si>
    <t>यादी क्र. पी3</t>
  </si>
  <si>
    <t>यादी क्र. डी5</t>
  </si>
  <si>
    <t>ZE16B105#</t>
  </si>
  <si>
    <t>ZE16D102/MP2-</t>
  </si>
  <si>
    <t>CE17A246#</t>
  </si>
  <si>
    <t>CE20B104#</t>
  </si>
  <si>
    <t>CE20B107#</t>
  </si>
  <si>
    <t>पुणे शहरातील हेरिटेज्‌ स्ट्रक्चरबाबत अनुषंगिक कामे करणे</t>
  </si>
  <si>
    <t>RE23A107#</t>
  </si>
  <si>
    <t>हेरिटेज आणि विकास</t>
  </si>
  <si>
    <t>पुणे शहरातील हिरिटेज स्ट्रक्चरबाबत अनुषगिक कामे करणे</t>
  </si>
  <si>
    <t>RE23A107B</t>
  </si>
  <si>
    <t xml:space="preserve">लाल महाल येथील मास्टर प्लिनिंगनुसार विविधविकास व दुरूस्तीची कामे करणे  </t>
  </si>
  <si>
    <t>ऐतिहिसिक जुनी महात्मा फुले मंडई येथे मंडई दुरूस्ती करणे (गाळयांची डेव्हलपेमेंट +विदयुत व्यवस्था)</t>
  </si>
  <si>
    <t>पुणे शहरातील प्राचिन कालीन ऐतिहासिक वास्तुंची विदयुत व्यवस्था, दुरूस्ती व सुशोभिकरण इ. कामे करणे.</t>
  </si>
  <si>
    <t>पुणे शहरातील 245 ऐतिहासिक वास्तुंपैकी धोकादायक वास्तुंची अत्यावशयक डागडुजी, दुरूस्ती करणे.</t>
  </si>
  <si>
    <t xml:space="preserve">पुणे शहरात विविध प्रकारचे वॉक, ट्रेल, मिनी बस टुर विकसित करणे.  </t>
  </si>
  <si>
    <t>पर्यटकांसाठी विविध ठिकाणी माहिती फलक, दिशादशक साईनेज, होर्डिंग्ज, इ. उभारणे.</t>
  </si>
  <si>
    <t xml:space="preserve">विश्रामबागवाडा येथे दुरूस्ती, जतन व संवर्धनाची उर्वरित टप्प्यातील कामे करणे. </t>
  </si>
  <si>
    <t>नानावाडा येथे दुरूस्ती, जतन व संवर्धनाची उर्वरित टप्प्यातील कामे करणे. (दर्शनी व दगडी इमारत)</t>
  </si>
  <si>
    <t>पुणे शहरातील हेरिटेज स्ट्रक्चरल ऑडिट करणे</t>
  </si>
  <si>
    <t>शनिवारवाडा येथील देखभाल दुरूस्तीची कामे करणे</t>
  </si>
  <si>
    <t>आर्किटेक्ट फी अदा करणे</t>
  </si>
  <si>
    <t>भिडेवाडा येथे पहिली मुलांची शाळा/राषट्रीय स्मारक उभारणे.</t>
  </si>
  <si>
    <t>टुरिस्ट हब अंतर्गत खालील कामे करणे (पुणे टुरिझम) :-</t>
  </si>
  <si>
    <t>पर्यटनवाढीसाठी विविध ब्रॉशर्स, पोस्टर्स, नकाशे, हेरिटेज पुस्तिका इ. तयार करणे</t>
  </si>
  <si>
    <t>पर्वती पायथा येथे चित्रकला, शिल्पकला सराव व प्रात्यक्षिकासाठी बैठक व्यवस्था करणे</t>
  </si>
  <si>
    <t>पुणे टुरिस्ट डेस्टिनेशन करिता टुरिझम करीता मास्टर प्लॅन तयार करणे व त्या अनुषंगाने विकास कामे करणे</t>
  </si>
  <si>
    <t>हेरीटेजविषयक ट्रेनिंग कार्यशाळा इ. साठी</t>
  </si>
  <si>
    <t>CE24A141#</t>
  </si>
  <si>
    <t>शहरात अग्निशामक केंद्रे बांधणे व विविध विकास कामे करणे</t>
  </si>
  <si>
    <t>यादी क्र. जे33</t>
  </si>
  <si>
    <t>शहरामध्ये विविध कार्यक्रम, उत्सव, महोत्सव, संमेलन/ सहप्रायोजक तत्वावर कार्यक्रम साजरे करणे</t>
  </si>
  <si>
    <t>पथ विभागाचे कामासाठी दैनंदिन देखभाल दुरुस्तीकरीता कॅटेनिक इमल्शन पुरविणे.</t>
  </si>
  <si>
    <t>येरवडा हॉट मिक्‍स प्लॅन्ट डांबरी मिक्‍स मालाची वाहतुक करणेकरीता दैनंदिन कामासाठी हायवा डंपर व मशिनरी भाडेतत्वावर घेणे.</t>
  </si>
  <si>
    <t xml:space="preserve">पथ विभागाच्या खात्यामार्फत होणा-या दुरुस्ती कामाकरीता कुशल मनुष्यबळ पुरविणे. ( पेव्हर, रोलर इत्यादींसाठी ड्रायव्हर पुरविणे. ) </t>
  </si>
  <si>
    <t>कार्यकारी अभियंता पथ क्रमांक 2 विभागाकडील बिबवेवाडी, हडपसर व कोंढवा वानवडी क्षेत्रिय कार्यालयाचे कार्यक्षेत्रातील चौक व पुल येथे मास्टिक अस्फाल्टची कामे करणे.</t>
  </si>
  <si>
    <t>जुन्या पायलट व बी.आर.टी. मार्गाचे रस्त्यावरील दुरुस्ती, नवीन स्टेशन्स व इतर अनुषंगिक कामे करणे.</t>
  </si>
  <si>
    <t>CE20A102/A2-1427+</t>
  </si>
  <si>
    <t>CE20A102/A2-1546+</t>
  </si>
  <si>
    <t>CE20A819/S2-973+</t>
  </si>
  <si>
    <t>CE20A102/A2-1551+</t>
  </si>
  <si>
    <t>CE20A102/A2-1590+</t>
  </si>
  <si>
    <t>CE20A883/S8-24+</t>
  </si>
  <si>
    <t>मनपा मालकीच्या अस्तित्वातील विविध इमारतींमध्ये रेनवॉटर हार्वेस्टिंग करीता कामे करणे व स्वच्छता वापराविषयक करण्यात येणार्‍या पाण्याच्या वापरासाठी वेगवेगळया ठिकाणी बोअरवेल घेणे</t>
  </si>
  <si>
    <t>CE11A122+</t>
  </si>
  <si>
    <t>मनपा भवन येथे विस्तारित इमारत बांधणे व पुणे मनपा मिळकतीमध्ये क्षेत्रिय कार्यालय/ प्रशासकीय इमारतीचे विस्तारीकरण करणे</t>
  </si>
  <si>
    <t>CE22A548/S26-1156+</t>
  </si>
  <si>
    <t>हिराबाग कोठीच्या व्यापारी आरक्षित जागेवर  स्व. वसंतदादा पाटील यांचे नावे  ३०० आसन व्यवस्थेचा हॉल बांधणे.(मनपा सेवकांसाठी प्रशिक्षण केंद्राची इमारत बांधणे)</t>
  </si>
  <si>
    <t>CE22A548/S26-1167+</t>
  </si>
  <si>
    <t>नगररोड क्षेत्रिय कार्यालयाची  नविन इमारत बांधणे.</t>
  </si>
  <si>
    <t>CE22A647+</t>
  </si>
  <si>
    <t>CE22A657+</t>
  </si>
  <si>
    <t>CE22A660+</t>
  </si>
  <si>
    <t>महानगरपालिकेच्या मालकीच्या विविध इमारतींचे स्ट्रक्चरल ऑडिटचे काम करणे.</t>
  </si>
  <si>
    <t>CE22A688+</t>
  </si>
  <si>
    <t>CE22A689+</t>
  </si>
  <si>
    <t>CE22A690+</t>
  </si>
  <si>
    <t>पुणे मनपाच्या विविध खात्याकडील रेकॉर्ड जतन करण्यासाठी नायडु कोठी आवारात प्रशासकीय इमारत बांधणे</t>
  </si>
  <si>
    <t>प्रभाग क्र. २९ मध्ये बावधन खुर्द स.नं.२२/१ ते ४/४ या ठिकाणी माध्यमिक शाळेसाठी आरक्षित जागेवर शाळेचे बांधकाम करणे.</t>
  </si>
  <si>
    <t>प्रभाग क्र. ५५ स नं ३५ ते ४० पार्ट, वडगांव बु. येथे  शरदचंद्रजी   पवार अ‍ॅकेडमी  ऑफ ई लर्निंग  स्कुल  उभारणे</t>
  </si>
  <si>
    <t>CE12A381/S23-907+</t>
  </si>
  <si>
    <t>CE12A420+</t>
  </si>
  <si>
    <t>CE12A264+</t>
  </si>
  <si>
    <t>पुणे शहरातील प्राथमिक शाळांमध्ये वर्गखोल्या, सिमाभिंत, स्वच्छतागृह, वॉचमन क्वॉर्टर, वॉटर प्रुफिंग, पाण्याची व्यवस्था व इतर तद्‌नुषंगिक कामे व देखभाल दुरुस्तीची कामे करणे.</t>
  </si>
  <si>
    <t>प्र.क्र. ९ बालेवाडी  ई- लर्निंग  स्कुलच्या  इमारतीचे  उर्वरीत काम करणे.</t>
  </si>
  <si>
    <t>CE12A381/S23-885+</t>
  </si>
  <si>
    <t>प्रभाग क्र.५७ ब, मधील, डॉ.बाबासाहेब आंबेडकर प्राथमिक विालयाची धोकादायक झालेली इमारत दुरूस्ती करणे.</t>
  </si>
  <si>
    <t>CE12A414+</t>
  </si>
  <si>
    <t>प्र.क्र.३६अ एरंडवणा येथील मनपाच्या ताब्यात आलेल्या सन-ड्यु अपार्टमेंट या ठिकाणी इमारतीत प्राथमिक शाळेसाठी विविध विकासाची कामे करणे.</t>
  </si>
  <si>
    <t>CE12A417+</t>
  </si>
  <si>
    <t>मनपाच्या अस्तित्वात असलेल्या शाळा इमारतींमध्ये मुलींसाठी नवीन स्वच्छतागृहे बांधणे.</t>
  </si>
  <si>
    <t>CE13A215+</t>
  </si>
  <si>
    <t>प्रभाग क्र. ४५ अ कै. दशरथ  बळोबा  भानगिरे  आरोग्य केंद्र  येथे वाढीव  इमारत बांधणे</t>
  </si>
  <si>
    <t>प्रभाग क्र. ६० ब  मध्ये  सोनवणे हॉस्पिटल येथे  अत्याधुनिक  सुसज्ज  रूग्णालय बांधणे.</t>
  </si>
  <si>
    <t>प्रभाग क्र. ६, मध्ये संजय  गांधी हॉस्पिटल उभारणे</t>
  </si>
  <si>
    <t>प्रभाग क्र. ९, बाणेर  येथील मॅटर्निटी हॉस्पिटलचे उर्वरीत काम  करणे</t>
  </si>
  <si>
    <t>CE17A205+</t>
  </si>
  <si>
    <t>CE17A206+</t>
  </si>
  <si>
    <t>CE17A217+</t>
  </si>
  <si>
    <t>CE17A218+</t>
  </si>
  <si>
    <t>CE22A655+</t>
  </si>
  <si>
    <t>CE22A573+</t>
  </si>
  <si>
    <t>मनपाच्या ताब्यात आलेल्या व असलेल्या जमिनीवर कंपाऊंड करणे.</t>
  </si>
  <si>
    <t>721 शिवाजीनगर गावठाण येथे विविध विकास कामे करणे</t>
  </si>
  <si>
    <t>औंध रस्त्यावर रस्ता रूंदीकरणात येणार्‍या बॉडीगेट पोलिस चौकीचे स्थलांतर करणे</t>
  </si>
  <si>
    <t>CE22A630+</t>
  </si>
  <si>
    <t>प्रतापराव हुले कॉम्प्लेक्स येथे विविध विकासाची कामे करणे.</t>
  </si>
  <si>
    <t>CE22A700+</t>
  </si>
  <si>
    <t>मनपाचे विविध खात्यांमधील रेकॉर्ड जतन करण्यासाठी कॉम्पॅक्टर व फायर प्रुफ कपाट बसविणे</t>
  </si>
  <si>
    <t>CE24A130+</t>
  </si>
  <si>
    <t>पुणे महानगरपालिकेच्या मुख्य इमारतीच्या अग्रिशामक यंत्रणेचे काम करणे.</t>
  </si>
  <si>
    <t>CE22A386+</t>
  </si>
  <si>
    <t>CE28A160/S22-106+</t>
  </si>
  <si>
    <t>CE28A211+</t>
  </si>
  <si>
    <t>CE28A223+</t>
  </si>
  <si>
    <t>CE28A160/S22-115+</t>
  </si>
  <si>
    <t>जेष्ठ व्यंगचित्रकार आर.के.लक्ष्मण यांच्या नावाने कलादालन उभारणे.</t>
  </si>
  <si>
    <t>CE28A160/S22-116+</t>
  </si>
  <si>
    <t>CE28A203+</t>
  </si>
  <si>
    <t>CE28A213+</t>
  </si>
  <si>
    <t>CE22A694+</t>
  </si>
  <si>
    <t>CE29A229/S29-256+</t>
  </si>
  <si>
    <t>CE29A229/S29-406+</t>
  </si>
  <si>
    <t>CE29A229/S29-418+</t>
  </si>
  <si>
    <t>CE29A236+</t>
  </si>
  <si>
    <t>गणेश पेठ फिश मार्केट नुतनीकरण करणे.</t>
  </si>
  <si>
    <t>CE17A231+</t>
  </si>
  <si>
    <t>फळे, फुले व भाजीपाला प्रदर्शन  करीता हंगामी व शोभिवंत रोपे पुरविणे व किल्ले प्रदर्शनासाठी साहीत्य पुरविणे</t>
  </si>
  <si>
    <t>प्रभाग क्र.२१ मधील बंडगार्डन मध्ये विविध विकासाची कामे करणे</t>
  </si>
  <si>
    <t>CE26A114+</t>
  </si>
  <si>
    <t>CE26A178+</t>
  </si>
  <si>
    <t>CE26A399+</t>
  </si>
  <si>
    <t>CE26A389+</t>
  </si>
  <si>
    <t>CE26A375+</t>
  </si>
  <si>
    <t>CE26A336/S27-1257+</t>
  </si>
  <si>
    <t>CE26A381+</t>
  </si>
  <si>
    <t>CE26A400+</t>
  </si>
  <si>
    <t>शहरातील वाहतूक सुरक्षित व सुरळीत करणेसाठी वाहतूक पोलिस विभागामार्फत सुचविण्यात आलेल्या आणि वाहतूकीच्या दष्टीने आवश्यक अशा उपाययोजनांची अंमलबजावणी करणे</t>
  </si>
  <si>
    <t>वाहतूक नियंत्रक बेटे व सूचनात्मक फलक बसविणे</t>
  </si>
  <si>
    <t>वाहतूक सुरळीत होण्याच्या दष्टीने उपाययोजना करण्यासाठी मटेरियल पुरविणे व बसविणे</t>
  </si>
  <si>
    <t>पुणे मनपाचे विविध वाहनतळामध्ये देखभाल दुरूस्ती, विुत विषयक व शौचालय उभारणी इ. कामे करणे</t>
  </si>
  <si>
    <t>निरनिराळया ठिकाणी थर्मोप्लास्ट पेंटचे पट्‌टे मारणे</t>
  </si>
  <si>
    <t>वाहतूक नियोजन अंतर्गत देखभाल दुरूस्तीची व डांबरीकरणाचे काम करणे व तद्‌नुषंगिक विकास कामे करणे (वाहतूक नियोजन विभागामार्फत खात्यामार्फत करावयाची पेव्हरच्या कामासाठी व इतर कामे )</t>
  </si>
  <si>
    <t>पुणे मनपाचे फुटओव्हर ब्रीज, भूयारी मार्ग व वाहनतळ सबवे येथे देखभाल दुरूस्तीची कामे, सुरक्षा व्यवस्था करणे,  तसेच विविध प्रकारची कामे करणे, बीआरटीसाठी सुरक्षा व्यवस्था</t>
  </si>
  <si>
    <t>सावरकर भवन पार्किंग व इमारत सुधारणा करणे</t>
  </si>
  <si>
    <t>अलंकार थिएटरजवळ रेल्वे ओव्हरब्रीज बांधणे.</t>
  </si>
  <si>
    <t>मुंढवा स.नं.८९ व ७१ दरम्यानचे पुणे सोलापूर रेल्वे लाईनवर २४ मी. एच.सी.एम.टी.आर.साठी रेल्वे ओंलांडणी पूल बांधणे</t>
  </si>
  <si>
    <t>CE20D215+</t>
  </si>
  <si>
    <t>पुणे शहरातील नदीवरील व रस्त्यांवरील विविध पूलांची दुरूस्ती विषयक कामे करणे</t>
  </si>
  <si>
    <t>CE20D161+</t>
  </si>
  <si>
    <t>नदीकाठावरील समाधी, स्थळे, स्मारके, विविध घाटांची दुरूस्ती कामे करणे व नवीन घाट बांधणे, रेलिंग दुरूस्ती कामे करणे</t>
  </si>
  <si>
    <t>CE20D173+</t>
  </si>
  <si>
    <t>बंडगार्डन येथील बराजला लोखंडी गेट बांधणे</t>
  </si>
  <si>
    <t>CE20D214+</t>
  </si>
  <si>
    <t>CE20B107+</t>
  </si>
  <si>
    <t>CE20C510+</t>
  </si>
  <si>
    <t>येवलेवाडी येथील माळवाडी धांडेवस्ती, पाटीलवस्ती, पानसरेवस्ती, विणू मेहता सोसायटी परिसरामध्ये जलवाहिन्या विकसीत करणे.</t>
  </si>
  <si>
    <t>ZE16A104A/P2-312+</t>
  </si>
  <si>
    <t>लष्कर जलकेद्र वितरण व्यवस्थे मागिल बिले देण्यासाठी आवश्यक तरतुद</t>
  </si>
  <si>
    <t>ZE16A104A/S5-35+</t>
  </si>
  <si>
    <t>बाणेर बालेवाडी भागातील जलवितरण व्यवस्था तयार करणे.</t>
  </si>
  <si>
    <t>ZE16A104A/P2-339+</t>
  </si>
  <si>
    <t>ZE16A104A/P2-142+</t>
  </si>
  <si>
    <t>चतुःश्रृंगी टाकी येथे नविन टाकी बांधणे</t>
  </si>
  <si>
    <t>ZE16A104A/P2-344+</t>
  </si>
  <si>
    <t>पाषाण जलकेंद्र येथे पाण्याची टाकी बांधणे</t>
  </si>
  <si>
    <t>प्रभाग क्र. 33 मधील डहाणूकर कॉलनी कर्वे रस्त्यावरुन मुख्य मलवाहिनी टाकणे.</t>
  </si>
  <si>
    <t>प्रभाग क्र.50 बादशहा ते एस.पी. कॉलेज मोठ्या व्यासाची ड्रेनेज लाईन टाकणे</t>
  </si>
  <si>
    <t>प्रभाग क्र.51 दुर्वांकुर हॉटेल ते बादशाही ते एस.पी. कॉलेज मोठ्या व्यासाची ड्रेनेज लाईन टाकणे</t>
  </si>
  <si>
    <t>प्रभाग क्र.52 सिंहगड रोड वृंदावन नर्सरी ते जुना दत्तवाडी परिसरामध्ये रस्ता मोठ्या व्यासाची ड्रेनेज लाईन टाकणे</t>
  </si>
  <si>
    <t>प्रभाग क्र.55 वडगाव नाल्यामध्ये ,गंगा गोयल सोसायटी सिंहगड रोड त कॅनाल पर्यत, व वडगांव परीसरात मोठ्या व्यासाची ड्रेनेज लाईन टाकणे.</t>
  </si>
  <si>
    <t>एरंडवणा मैलापाणी शुध्दीकरण केंद्राकडे येणा-या कर्वेनगरकडून येणा-या मलवाहिनीची देखभाल दुरूस्ती करणे.</t>
  </si>
  <si>
    <t>वारजे शुध्दीकरण केंद्राजवळील नाल्या मधील मलवाहिनीची दुरूस्ती करणे.</t>
  </si>
  <si>
    <t>औंध क्षेत्रिय कार्यालयांतर्गत देखभाल दुरूस्तीची कामे करणे.</t>
  </si>
  <si>
    <t>घोले रोड  क्षेत्रिय कार्यालयांतर्गत देखभाल दुरूस्तीची कामे करणे.</t>
  </si>
  <si>
    <t>कोथरूड क्षेत्रिय कार्यालय अंतर्गत येणा-या मुख्य मलःवाहिन्यांची देखभाल दुरूस्ती करणे.</t>
  </si>
  <si>
    <t>वारजे कर्वेनगर क्षेत्रिय कार्यालय अंतर्गत येणा-या मुख्य मलःवाहिनीची देखभाल दुरूस्ती करणे.</t>
  </si>
  <si>
    <t>नगर रोड (वडगावशेरी) क्षे.कार्यालयचे कार्यक्षेत्रातील नाल्यातील मुळा मुठा नदीच्या तिरावरील व रस्त्यावरील मुख्य मलवाहिन्यांची देखभाल दुरूस्ती करणे व तदृनुषंगिक कामे करणे.</t>
  </si>
  <si>
    <t>येरवडा (जुने संगमवाडी) क्षे.कार्यालयाचे अखत्यारातील नाल्याच्या कडेच्या मुख्य मलवाहिन्यांची देखभाल दुरूस्ती करणे व तद्‌नुषंगिक कामे करणे.</t>
  </si>
  <si>
    <t>ढोले पाटिल  क्षे.कार्यालयाचे आखत्यारातील नाल्याच्या कडेच्या मुख्य मलवाहिन्यांची देखभाल दुरूस्ती करणे व तदृनुषंगिक कामे करणे.</t>
  </si>
  <si>
    <t>कसबा पंपिग स्टेशनकडे  येणा-या मलवाहिनीची देखभाल दुरूस्ती करणे.</t>
  </si>
  <si>
    <t>कसबा विश्रामबाग वाडा क्षेत्रिय कार्यालयाच्या अखत्यारित व नाल्यातील मुख्य मलवाहिनींची देखभाल दुरूस्ती करणे व तदनुषंगिक कामे करणे.</t>
  </si>
  <si>
    <t>भवानी पेठ क्षेत्रिय कार्यालयाचे आखत्यारीतील नाल्याच्या कडेच्या मुख्य मलवाहिन्यांची देखभाल दुरूस्ती करणे व तदनुषंगिक कामे करणे.</t>
  </si>
  <si>
    <t>टिळकरोड क्षेत्रिय कार्यालयातील कार्यक्षेत्रातील नाल्याच्या कडेचे व रस्त्यावरील व परिसरात मुख्य मलवाहिन्यांची देखभाल दुरूस्ती करणे,ड्रेनेज लाईन टाकणे व तद्‌नुषंगिक कामे करणे.</t>
  </si>
  <si>
    <t>सहकार नगर क्षे.कार्या.अंतर्गत नाल्यामधील व परिसरातील ड्रेनेज लाईन टाकणे व देखभाल दुरूस्ती करणे.</t>
  </si>
  <si>
    <t>धनकवडी क्षे.कार्या.अंतर्गत येणारे 600 मी.मी. व त्यापुढील व्यासाच्या नाल्यातील व मुख्य रस्त्यावरील मलवाहिन्यांची देखभाल दुरूस्ती करणे.</t>
  </si>
  <si>
    <t>बिबवेवाडी क्षे.कार्या.अंतर्गत येणारे 600 मी.मी. व त्यापुढील व्यासाच्या नाल्यातील व मुख्य रस्त्यावरील मलवाहिन्यांची देखभाल दुरूस्ती करणे.</t>
  </si>
  <si>
    <t>हडपसर क्षे.कार्या.अंतर्गत येणारे 600 मी.मी. व त्यापुढील व्यासाच्या नाल्यातील व मुख्य रस्त्यावरील मलवाहिन्यांची देखभाल दुरूस्ती करणे.</t>
  </si>
  <si>
    <t>कोंढवा - वानवडी क्षे.कार्या.अंतर्गत येणारे 600 मी.मी. व त्यापुढील व्यासाच्या नाल्यातील व मुख्य रस्त्यावरील मलवाहिन्यांची देखभाल दुरूस्ती करणे.</t>
  </si>
  <si>
    <t>पुणे शहराच्या अखत्यारातील मुख्य मलवाहिनी वरील आवश्यकतेनुसार गेट बांधणे,बसविणे,अस्तित्वातील गेटचे देखभाल दुररूस्ती करणे,कार्यान्वित करणे साफसफाई,ग्रिसिंग इ. कामे करणे.</t>
  </si>
  <si>
    <t>भैरोबा नाला ते एस.टी.पी.ते कोंढवा रेल्व कॉसिंग पर्यंत ड्रेनेज लाईन टाकणे</t>
  </si>
  <si>
    <t>बावधन रामनदीच्या कडेने मुख्य मलवाहिनी टाकणे</t>
  </si>
  <si>
    <t>पुणे शहरातील वडगाव बु., बाणेर, खराडी, वडगांवशेरी, बावधन या बेसिनमधील नदीनाला पात्राच्या कडेने असलेल्या मलवाहिन्या हलविणे</t>
  </si>
  <si>
    <t>ZE16D101/MP2-442+</t>
  </si>
  <si>
    <t>प्रभाग क्र.53 मध्ये पाटील हॉस्पिटल ते हिंगणे चौ दरम्यान मुख्य मलवाहिनी विकसित करणे.</t>
  </si>
  <si>
    <t>ZE16D101/MP2-443+</t>
  </si>
  <si>
    <t>प्रभाग क्र.53 मध्ये विठ्‌ठलवाडी विठ्‌ठल मंदिर ते वरद सोसायटी पर्यत मुख्य मलवाहिनी विकासित करणे</t>
  </si>
  <si>
    <t>ZE16D101/MP2-482+</t>
  </si>
  <si>
    <t>मलनिःसारण विभागाकडील मागील कामांची अंतिम बिले देणे</t>
  </si>
  <si>
    <t>ZE16D101/MP2-495+</t>
  </si>
  <si>
    <t>प्रभाग क्र.53 मध्ये मुठानदी ते हिंगणे खु.गावठाणा पर्यत मुख्य मलवाहिनी टाकणे.</t>
  </si>
  <si>
    <t>ZE16D101/MP2-503+</t>
  </si>
  <si>
    <t>पुणे म.न.पा. हद्‌दीत मैलपाणी वहन व्यवस्थेबाबतचा मास्टर प्लॅन तयार करणे व तद्‌नुषंगिक कामे करणे.</t>
  </si>
  <si>
    <t>ZE16D101/MP4-201+</t>
  </si>
  <si>
    <t>अर्बन कम्युनिटी मेंटल हेल्थसाठी अर्थसहाय्‌य देणे</t>
  </si>
  <si>
    <t>उदयोन्मुख खेळाडुंसाठी क्रीडा पुरस्कार देणे</t>
  </si>
  <si>
    <t>थ. आपत्ती व्यवस्थापन विभाग</t>
  </si>
  <si>
    <t>परिमंडळ क्र. १, २, ३ व ४ चे कायम सेवकवर्ग वेतन</t>
  </si>
  <si>
    <t>घ1. जिल्हा नियोजन व विकास समिती यांचे कार्यालय</t>
  </si>
  <si>
    <t>घ1. बेरीज</t>
  </si>
  <si>
    <t>निविदा विभाग कायम सेवकवर्ग वेतन</t>
  </si>
  <si>
    <t>बीओटी सेल कायम सेवकवर्ग वेतन</t>
  </si>
  <si>
    <t>2. संकीर्ण</t>
  </si>
  <si>
    <t>1. कायम सेवकवर्ग वेतन</t>
  </si>
  <si>
    <t>घ. मुख्य अभियंता प्रकल्प विभाग</t>
  </si>
  <si>
    <t>घ२अ. सेवाभरती व परीक्षा नियंत्रण विभाग</t>
  </si>
  <si>
    <t>१. कायम सेवकवर्ग वेतन</t>
  </si>
  <si>
    <t>3. विविध रिक्त पदे भरण्यासाठी आयोजित करण्यात येणार्‍या परीक्षांसाठी खर्च</t>
  </si>
  <si>
    <t>घ२अ. सेवाभरती व परीक्षा नियंत्रण विभाग बेरीज</t>
  </si>
  <si>
    <t>घ२ब. मागासवर्ग विभाग</t>
  </si>
  <si>
    <t>घ२ब. मागासवर्ग विभाग बेरीज</t>
  </si>
  <si>
    <t>घ१. + घ२. + घ२अ. + घ२ब. + घ३. एकूण बेरीज</t>
  </si>
  <si>
    <t>मनपा मुख्य भवन येथे विद्युती करणाची, नुतनीकरण, सुशोभिकरण, ट्रान्सफार्मर व तदनुषंगिक कामे करणे</t>
  </si>
  <si>
    <t>RE11A273</t>
  </si>
  <si>
    <t>RE11A274#</t>
  </si>
  <si>
    <t>RE11A275#</t>
  </si>
  <si>
    <t>RE11A276#</t>
  </si>
  <si>
    <t>RE17F169#</t>
  </si>
  <si>
    <t>RE31E#</t>
  </si>
  <si>
    <t>RE33D102</t>
  </si>
  <si>
    <t>RE33D103</t>
  </si>
  <si>
    <t>RE33D104#</t>
  </si>
  <si>
    <t>RE22D105</t>
  </si>
  <si>
    <t>RE22D106</t>
  </si>
  <si>
    <t>RE22D107</t>
  </si>
  <si>
    <t>RE22D108</t>
  </si>
  <si>
    <t>RE22D110</t>
  </si>
  <si>
    <t>RE22D112</t>
  </si>
  <si>
    <t>RE22D113</t>
  </si>
  <si>
    <t>RE22D114</t>
  </si>
  <si>
    <t>RE22D115</t>
  </si>
  <si>
    <t>RE22D102</t>
  </si>
  <si>
    <t>RI11B208</t>
  </si>
  <si>
    <t>प्लंबिंग लायसन फी, नळ कनेक्‍शन चालू करणे/ बंद करणे (थकबाकीपोटी) व इतर जमा</t>
  </si>
  <si>
    <t>जादा बांधकाम पाणीपुरवठा</t>
  </si>
  <si>
    <t>XI12V101A</t>
  </si>
  <si>
    <t>XI12V101B</t>
  </si>
  <si>
    <t>XI12V101C</t>
  </si>
  <si>
    <t>XI12V101D</t>
  </si>
  <si>
    <t>RE26A120#</t>
  </si>
  <si>
    <t>उद्यान विभागाकडील देखभाल दुरूस्तीची कामे</t>
  </si>
  <si>
    <t>प्राणी अनाथालय व सर्पोद्यान विभाग ठेका पद्धतिने चालविणे</t>
  </si>
  <si>
    <t>पुणे शहरातील पावसाळी पाण्याच्या व्यवस्थापनासाठी नाला सुधारणा कामे, कल्व्हर्टस व पावसाळी लाईन टाकणे</t>
  </si>
  <si>
    <t>CE20E101#</t>
  </si>
  <si>
    <t>CE20E101/F1-</t>
  </si>
  <si>
    <t>१.कोथरुड</t>
  </si>
  <si>
    <t>२. वारजे</t>
  </si>
  <si>
    <t>३. शिवाजी नगर परीसर</t>
  </si>
  <si>
    <t>४. औंध परीसर</t>
  </si>
  <si>
    <t>५. बावधन परीसर</t>
  </si>
  <si>
    <t>६. कळस परीसर</t>
  </si>
  <si>
    <t>७. विश्रांतवाडी परीसर</t>
  </si>
  <si>
    <t>८. मेंटल हॉस्पीटल परीसर</t>
  </si>
  <si>
    <t>९. येरवडा परीसर</t>
  </si>
  <si>
    <t>१०. विमाननगर</t>
  </si>
  <si>
    <t>११. हडपसर</t>
  </si>
  <si>
    <t>१२. कोढवा परीसर</t>
  </si>
  <si>
    <t>१३. वाडीया कॉलेज</t>
  </si>
  <si>
    <t>१४. मंगळवार पेठ परीसर</t>
  </si>
  <si>
    <t>१५. शनिवार पेठ परीसर</t>
  </si>
  <si>
    <t>१६. दत्तवाडी, पर्वती परीसर</t>
  </si>
  <si>
    <t xml:space="preserve">१७. हिंगणे खुर्द </t>
  </si>
  <si>
    <t>शहरामधील रस्ते विकसित करणे</t>
  </si>
  <si>
    <t>प्रभाग क्र.१७ मध्ये विुत विषयक कामे करणे.</t>
  </si>
  <si>
    <t>प्रभाग क्र.१८ मध्ये विुत विषयक कामे करणे.</t>
  </si>
  <si>
    <t>प्रभाग क्र.१९ मध्ये विुत विषयक कामे करणे.</t>
  </si>
  <si>
    <t>मलनिःस्सारण विभागाकडील देखभाल दुरूस्तीची कामे</t>
  </si>
  <si>
    <t>यादी क्र. एक्स१</t>
  </si>
  <si>
    <t>XE23A111</t>
  </si>
  <si>
    <t>XE23A112</t>
  </si>
  <si>
    <t>XE23A113</t>
  </si>
  <si>
    <t>XE23A114</t>
  </si>
  <si>
    <t>XE23A115</t>
  </si>
  <si>
    <t>XE23A116</t>
  </si>
  <si>
    <t>XE23A117#</t>
  </si>
  <si>
    <t>पर्वती जलकेंद्र प्रयोगशाळा येथे पाणी नमुने गोळा करणे व तपासणे यासाठी ठेकेदारी पध्दतीने असिस्टंट केमिस्ट व बिगारी सेवकवर्ग नेमणे</t>
  </si>
  <si>
    <t>पर्वती जलकेंद्र प्रयोगशाळा येथे काच सामान व तद्‌नुषंगिक साहित्य खरेदी करणे</t>
  </si>
  <si>
    <t>पर्वती जलकेंद्र प्रयोगशाळा येथे रसायने व तद्‌नुषंगिक साहित्य खरेदी करणे</t>
  </si>
  <si>
    <t>पर्वती जलकेंद्र प्रयोगशाळा येथे पाणी तपासणीसाठी लागणारी विविध उपकरणे व तद्‌नुषंगिक साहित्य खरेदी करणे</t>
  </si>
  <si>
    <t>नॉन मोटोराईज्ड ट्रान्सपोर्ट सेल. ( आस्थापना )</t>
  </si>
  <si>
    <t>नगर रस्ता - शादल बाबा दर्गा चौक ते खराडी बायपास.</t>
  </si>
  <si>
    <t>टिंबर मार्केट रस्ता / नेहरु रस्ता - जहांगीर हॉस्पिटल ते रास्ता पेठ पॉवर हाउस ते भवानी पेठ ते सेव्हन लव्हज्‌ चौक ते गंगाधाम चौक.</t>
  </si>
  <si>
    <t>जंगली महाराज रस्ता - गरवारे चौक ते सुभाषचंद्र बोस चौक.</t>
  </si>
  <si>
    <t>महर्षी कर्वे रस्ता - वारजे पुल ते कर्वे पुतळा.</t>
  </si>
  <si>
    <t>पौड रस्ता - पौड फाटा ते कोथरुड डेपो.</t>
  </si>
  <si>
    <t>त्रयस्थ संस्थांची सल्ला फी अदा करणेसाठी. (गुणवत्ता तपासणी)</t>
  </si>
  <si>
    <t>शहरातील फूटपाथ विकसित करणे</t>
  </si>
  <si>
    <t>३५. पुणे मनपाचा शिक्षण उपकर, करपात्र रकमेच्या १.७५% (कआकसंप्र)</t>
  </si>
  <si>
    <t>अ१. मनपा सभासदांसाठी औषधे, उपकरणी व साहित्य वगैरे</t>
  </si>
  <si>
    <t>अ२. मनपा सेवकांसाठी औषधे, उपकरणी व साहित्य वगैरे</t>
  </si>
  <si>
    <t>५. विद्युत दाहिनी, गॅस / डिझेल शवदाहिनी दुरूस्ती व इतर खर्च</t>
  </si>
  <si>
    <t>ज.ने.रा.श.पु.अ., अमृत व स्मार्ट सिटी आभियान अंतर्गत केंद्र व राज्य शासनाकडील अनुदानाचा हिस्सा</t>
  </si>
  <si>
    <t>34. ज.ने.रा.श.पु.अ., अमृत व स्मार्ट सिटी आभियान अंतर्गत केंद्र व राज्य शासनाकडील अनुदानाचा हिस्सा</t>
  </si>
  <si>
    <t>पुणे शहरात तंत्रशुध्द पध्दतीने पाणीपुरवठा करण्याची योजना (24x7)</t>
  </si>
  <si>
    <t>राष्ट्रीय नदीसुधारणा प्रकल्पातंर्गत (जायका) केंद्र सरकारकडून अनुदान</t>
  </si>
  <si>
    <t>जागतिक बँक, एशियन डेव्हलपमेंट बँक, जपान बँकेकडून अथवा अन्य बँका व वित्त संस्था यांचेकडून दिर्घ व लघु मुदतीसाठी कर्ज</t>
  </si>
  <si>
    <t>पुणे ब्रँडिंग, मार्केटिंगच्या अनुषंगाने विविध कामे करणे</t>
  </si>
  <si>
    <t>ZE16C102#</t>
  </si>
  <si>
    <t>ZE16C103#</t>
  </si>
  <si>
    <t>राष्ट्रीय नदी सुधारणा योजना (जायका)</t>
  </si>
  <si>
    <t>ZE16C102/PR2-</t>
  </si>
  <si>
    <t>ZE16C103/PR3-</t>
  </si>
  <si>
    <t>१. मनपा भवन व मनपा इमारती</t>
  </si>
  <si>
    <t>१. मनपा भवन व मनपा इमारती एकूण बेरीज</t>
  </si>
  <si>
    <t>नाला विकसित करणे</t>
  </si>
  <si>
    <t>कल्व्हर्ट बांधणे</t>
  </si>
  <si>
    <t>प्रकल्प व्यवस्थापन करणे, सल्लागार फी व तद्‌नुषंगिक कामे</t>
  </si>
  <si>
    <t>CE28A196+</t>
  </si>
  <si>
    <t>प्रभाग क्र.५३ मधील मनपा च्या शाळेची सुधारणा कामे करणे</t>
  </si>
  <si>
    <t>प्रभाग क्र.५३ मधील सार्वजनिक शौचालय  व मुतार्‍याची सुधारणा कामे करणे</t>
  </si>
  <si>
    <t>प्रभाग क्र.५३ मधील आनंद विहार परिसरात ड्रेनेज लाईन टाकणे</t>
  </si>
  <si>
    <t>प्रभाग क्र.५३ विठ्ठलवाडी यात्रेनिमीत्त मांडव व्यवस्था करणे व विविध सुधारणा कामे करणे.</t>
  </si>
  <si>
    <t>प्रभाग क्र.५४ पोकळे शाळा येथे विविध सुधारणा कामे करणे.</t>
  </si>
  <si>
    <t>पथ विभागामधील कर्मचारी / अभियंत्यांसाठी प्रशिक्षण शिबीरे आयोजित करणे, प्रशिक्षण शिबिरे/ कार्यशाळेस उपस्थित राहणे, ग्रंथालय उभारणे व तद्. कामे करणे</t>
  </si>
  <si>
    <t xml:space="preserve">पभाग क्र. 11 मध्ये विविध ठिकाणी शौचालयाची दुरुस्ती विषयक कामे करणे </t>
  </si>
  <si>
    <t>पभाग क्र 11 जनवाडी वैदुवाडी परिसरात शौचालयाची दुरुस्ती विषयक कामे करणे</t>
  </si>
  <si>
    <t>पभाग् क्र. 11 मध्ये नाला साफ सफाई करणे</t>
  </si>
  <si>
    <t>पभाग क्र. 11 मध्ये पावसाळी लाईन व चेंबर साफ सफाई करणे</t>
  </si>
  <si>
    <t>प्रभाग क्र. 11 मध्ये विविध ठिकाणी फुटपाथ दुरुस्ती विषयक कामे करणे</t>
  </si>
  <si>
    <t>प्रभाग क्र. 11 मध्ये झाडणकामासाठी सेवक पुरविणे</t>
  </si>
  <si>
    <t>प्र.क्र.११ मध्ये विविध  वस्त्यांमध्ये सर्व्हिस वायर बदलणे व पोलला अर्थिंग करणे.</t>
  </si>
  <si>
    <t xml:space="preserve">प्रभाग क्र. 12 मध्ये विविध ठिकाणी डांबरीकरण करणे </t>
  </si>
  <si>
    <t>प्रभाग क्र. 12 मध्ये विविध ठिकाणचे नाले साफ सफाई करणे</t>
  </si>
  <si>
    <t>प्रभाग क्र. 12 मध्ये झाडणकामासाठी सेवक पुरविणे</t>
  </si>
  <si>
    <t xml:space="preserve">प्रभाग क्र. 13 मधिल मनपा शाळा दुरुस्तीची कामे करणे </t>
  </si>
  <si>
    <t xml:space="preserve">पभाग क्र. 13 मधिल संगमवाडी येथील शौचालय दुरुस्ती करणे </t>
  </si>
  <si>
    <t>प्रभाग क्र. 13 मध्ये झाडणकामासाठी सेवक पुरविणे</t>
  </si>
  <si>
    <t>पभाग क्र. 24 मधिल विविध ठिकाणी रस्ते ग्राऊट करणे</t>
  </si>
  <si>
    <t>प्रभाग क्र. 24 मधिल पावसाळी लाईन व चेंबर साफ सफाई व दुरुस्ती करणे</t>
  </si>
  <si>
    <t>प्रभाग क्र. 24 मध्ये झाडणकामासाठी सेवक पुरविणे</t>
  </si>
  <si>
    <t xml:space="preserve">प्रभाग क्र. 25 मध्ये विविध ठिकाणी फुटपाथ दुरुस्ती करणे </t>
  </si>
  <si>
    <t xml:space="preserve">प्रभाग क्र. 25 मधिल विविध ठिकाणी पावसाळी लाईन टाकणे व साफ सफाई करणे </t>
  </si>
  <si>
    <t xml:space="preserve">प्रभाग क्र. 36 मधिल मनपा शाळा व दवाखाना दुरुस्तीची कामे करणे </t>
  </si>
  <si>
    <t xml:space="preserve">प्रभाग क्र. 36 मधिल विविध ठिकाणी पावसाळी लाईन टाकणे </t>
  </si>
  <si>
    <t>महागाई भत्ता</t>
  </si>
  <si>
    <t>नवीन वेतनश्रेणीनुसार द्यावयाच्या वेतनापोटी हप्ता</t>
  </si>
  <si>
    <t>सानुग्रह अनुदान</t>
  </si>
  <si>
    <t>मनपा सेवकांना प्रवासभत्ता सवलतीसाठी द्यावयाची रक्कम</t>
  </si>
  <si>
    <t>XE12A141</t>
  </si>
  <si>
    <t>XE12A143</t>
  </si>
  <si>
    <t>XE12A144</t>
  </si>
  <si>
    <t>XE12A145</t>
  </si>
  <si>
    <t>XE12A146</t>
  </si>
  <si>
    <t>CI40A101</t>
  </si>
  <si>
    <t>CI40A101B</t>
  </si>
  <si>
    <t>CI44A101</t>
  </si>
  <si>
    <t>CI20A110</t>
  </si>
  <si>
    <t>CI42A101</t>
  </si>
  <si>
    <t>CI53A101</t>
  </si>
  <si>
    <t>CI55A101</t>
  </si>
  <si>
    <t>CI63A101</t>
  </si>
  <si>
    <t>CI64A101</t>
  </si>
  <si>
    <t>CI66A101</t>
  </si>
  <si>
    <t>ZI12A101</t>
  </si>
  <si>
    <t>ZI12A102</t>
  </si>
  <si>
    <t>ZI12A103</t>
  </si>
  <si>
    <t>RI27A112</t>
  </si>
  <si>
    <t>RI27A113</t>
  </si>
  <si>
    <t>RE11D111</t>
  </si>
  <si>
    <t>RE11D151</t>
  </si>
  <si>
    <t>RE11D153</t>
  </si>
  <si>
    <t>RE11D161</t>
  </si>
  <si>
    <t>RE11J110</t>
  </si>
  <si>
    <t>RE11J111</t>
  </si>
  <si>
    <t>RE11J112</t>
  </si>
  <si>
    <t>RE11R102</t>
  </si>
  <si>
    <t>RE11R103</t>
  </si>
  <si>
    <t>RE11R104</t>
  </si>
  <si>
    <t>RE11W###F</t>
  </si>
  <si>
    <t>RE14D101B</t>
  </si>
  <si>
    <t>RE14D111A</t>
  </si>
  <si>
    <t>RE17F194</t>
  </si>
  <si>
    <t>RE17F195</t>
  </si>
  <si>
    <t>RE17F196</t>
  </si>
  <si>
    <t>RE17F197</t>
  </si>
  <si>
    <t>RE17F198</t>
  </si>
  <si>
    <t>RE17F199</t>
  </si>
  <si>
    <t>RE17F200</t>
  </si>
  <si>
    <t>RE19A147</t>
  </si>
  <si>
    <t>RE19A148</t>
  </si>
  <si>
    <t>RE19A149</t>
  </si>
  <si>
    <t>RE19A150</t>
  </si>
  <si>
    <t>RE19A151</t>
  </si>
  <si>
    <t>RE19A152</t>
  </si>
  <si>
    <t>RE20C101B</t>
  </si>
  <si>
    <t>RE20C101C</t>
  </si>
  <si>
    <t>RE20E101A</t>
  </si>
  <si>
    <t>RE22A112</t>
  </si>
  <si>
    <t>RE22B112</t>
  </si>
  <si>
    <t>RE23A130</t>
  </si>
  <si>
    <t>RE23A131</t>
  </si>
  <si>
    <t>RE23A132</t>
  </si>
  <si>
    <t>RE23A133</t>
  </si>
  <si>
    <t>RE25B112</t>
  </si>
  <si>
    <t>RE25B113</t>
  </si>
  <si>
    <t>RE25B114</t>
  </si>
  <si>
    <t>RE26B114</t>
  </si>
  <si>
    <t>RE27D115</t>
  </si>
  <si>
    <t>RE28B115</t>
  </si>
  <si>
    <t>ZE16A104#</t>
  </si>
  <si>
    <t>ZE16A104/P2-</t>
  </si>
  <si>
    <t>RE11A274/R1-</t>
  </si>
  <si>
    <t>RE11A275/R2-</t>
  </si>
  <si>
    <t>RE11A276/R3-</t>
  </si>
  <si>
    <t>RE17F169/R4-</t>
  </si>
  <si>
    <t>RE23A107/R7-</t>
  </si>
  <si>
    <t>RE26A120/R8-</t>
  </si>
  <si>
    <t>ड्रेनेज लाईन व चेंबर साफसफाई करणे</t>
  </si>
  <si>
    <t>४. खातेनिहाय परीक्षेकरीता द्यावयाच्या बक्षीसांची रक्कम</t>
  </si>
  <si>
    <t>२२. १५ ऑगस्ट व २६ जानेवारी रोजी माध्यमिक शाळेकडील विद्यार्थ्यांना खाऊ वाटप करणे</t>
  </si>
  <si>
    <t>२४. स्नेहसंमेलन व इ. १०वी, १२वी विद्यार्थ्यांना निरोप समारंभ</t>
  </si>
  <si>
    <t>२६. मनपा माध्यमिक शाळामधील विद्यार्थी विद्यार्थीनींना मोफत गणवेश देणे</t>
  </si>
  <si>
    <t>पुणे मनपाच्या शाळेत शिकणार्‍या  इ. १० व इ. १२ वीच्या शालांत परीक्षेत ८५% पेक्षा जास्त गुण मिळविणार्‍या विद्यार्थ्यांना प्रत्येकी र.रु. ५१ हजार श्रीमती शारदाबाई पवार शिष्यवृत्ती देणे</t>
  </si>
  <si>
    <t>मनपाच्या मालकीच्या विविध इमारतींचे स्ट्रक्चरल ऑडिटचे काम करणे</t>
  </si>
  <si>
    <t>वॉ.क्रं.९३ साधना  विद्यालय येथे शाळा बांधणे</t>
  </si>
  <si>
    <t>येरवडा, मातोश्री इग्लीश स्कुल मध्ये वर्ग खोल्या बांधणे.</t>
  </si>
  <si>
    <t>सन २०१३-१४ मधील अपूर्ण कामांसाठी सन २०१४-१५ मध्ये उपलब्ध केलेली तरतूद</t>
  </si>
  <si>
    <t>सन २०१४-१५ मधील अपूर्ण कामांसाठी सन २०१५-१६ मध्ये उपलब्ध केलेली तरतूद</t>
  </si>
  <si>
    <t>बाणेर स.नं. १६४ मधील आरक्षित जागेमध्ये अद्ययावत सार्वजनिक रुग्णालयासह आरोग्य सुविधा उभारणे</t>
  </si>
  <si>
    <t>स्मशानभूमि मध्ये वुड सक्शन मशीन बसविणे, प्रत्येक क्षेत्रिय कार्यालयाअंतर्गत एक</t>
  </si>
  <si>
    <t>शहरात विविध ठिकाणी व हद्दवाढीतील रस्त्यांवर प्रकाश व्यवस्था करणे, सोडियम व्हेपर दिवे बसविणे व विद्युत विषयक इतर कामे करणे</t>
  </si>
  <si>
    <t>पुणे मनपाचे सांस्कृतिक भवनात विद्युत विषयक कामे करणे</t>
  </si>
  <si>
    <t>वैकुंठ स्मशान भुमि येथील विुत दाहिनींची दुरूस्ती विषयक कामे करणे व तद्‌. विद्युत विषयक कामे करणे.(जनरेटर बसविणे, केबल्स बदलने इ.)</t>
  </si>
  <si>
    <t>पुणे शहरातील विविध इमारतीसाठी लाईटिंग अरेस्टर यंत्रणा बसविणे</t>
  </si>
  <si>
    <t>मनपा भवनातील जूने वायरिंग काढून नविन वायरिंग, केबलींग व तद्‌. विद्युत विषयक कामे करणे.</t>
  </si>
  <si>
    <t>मनपाच्या मुख्य इमारतीमध्ये मागणी नुसार तातडीचे साहित्य पुरविणे व विविध विद्युत विषयक कामे करणे.</t>
  </si>
  <si>
    <t>खराडी येथे विद्युत दाहिनी उभारणे</t>
  </si>
  <si>
    <t>मनपा मुख्य भवन व इतर इमारतींवर आउटडोअर टाईप विशिष्ट प्रकराची आर्किटेक्चरल विद्युत लाईटींग करणे.</t>
  </si>
  <si>
    <t>सावरकर भवन येथील जून्या लिफ्ट काढून नविन अ‍ॅटोडोअर लिफ्ट पुरविणे, बसविणे</t>
  </si>
  <si>
    <t>सोमेश्वरवाडी ग्रामसंस्क्रुती उान व नदी शुशोभिकरन उर्वरीत विद्युत कामे करणे.</t>
  </si>
  <si>
    <t>प्रभाग क्र. ६०, स.नं.९१६/१७, परिसरात विद्युत व्यवस्था करणे</t>
  </si>
  <si>
    <t>वसंतराव बागुल उद्यान येथे आधुनिक तंत्रज्ञानाचा वापर करुन संगीत कारंजे मध्ये सुधारणा करणे.</t>
  </si>
  <si>
    <t>कात्रज व पाषाण  तलावात विविध प्रकारची सुधारणा करणे</t>
  </si>
  <si>
    <t>प्र.क्र.७१ मधिल स नं.६८२/६८३ पार्ट  बिबवेवाडी - क्षेत्रीय कार्यालय इमारत बांधकाम करणे.</t>
  </si>
  <si>
    <t>वॉ.क्र.७३ (टिळक आयुर्वेद महाविालय) दारुवाला पूल या ठिकाणी महिला बचतगटासाठी उद्योग केंद्र बांधणे.</t>
  </si>
  <si>
    <t>कात्रज येथे नवीन अद्ययावत प्राणीसंग्रहालय विकसित करणे</t>
  </si>
  <si>
    <t>नव्याने समाविष्ट झालेल्या गावांत उद्याने विकसित करणे</t>
  </si>
  <si>
    <t>शहरातील विविध उद्यानांमध्ये विकास कामे करणे</t>
  </si>
  <si>
    <t>हडपसर स.नं. १६४ येथील नियोजित ज्येष्ठ समाजवादी नेते ग. प्र. प्रधान उद्यान विकसित करणे</t>
  </si>
  <si>
    <t>उद्यान विभागासाठी प्रशासकीय इमारत बांधणे</t>
  </si>
  <si>
    <t>प्रभाग क्र.७६ मधील वारदेकर उद्यान सुशोभिकरण करणे</t>
  </si>
  <si>
    <t>स.नं.२८ वानवडी येथे उद्यान विकसनाची कामे करणे</t>
  </si>
  <si>
    <t>स.नं.२५६ (पार्ट) हडपसर येथे शुटींग रेंजची प्रशासकीय इमारत व लॅण्डस्केपींगची कामे करणे</t>
  </si>
  <si>
    <t>पु.ल. देशपांडे उद्यान येथील मास्टर प्लॅन कलाग्राम व उर्वरित विविध विकासाची कामे करणे</t>
  </si>
  <si>
    <t>पु.ल. देशपांडे उद्यान येथे मत्सालय तयार करणे.</t>
  </si>
  <si>
    <t>CE19A168</t>
  </si>
  <si>
    <t>CE19A169</t>
  </si>
  <si>
    <t>FE14D129</t>
  </si>
  <si>
    <t>FE14E114</t>
  </si>
  <si>
    <t>FE14E115</t>
  </si>
  <si>
    <t>अपंगांचे सर्व्हेक्षण करणे</t>
  </si>
  <si>
    <t>मौ. अबुल कलाम आझाद शैक्षणिक मदत योजना</t>
  </si>
  <si>
    <t>मागासवर्गीय विद्यार्थ्यांना स्पर्धा परिक्षा मार्गदर्शन केंद्र चालविणे</t>
  </si>
  <si>
    <t>नागरवस्तीच्या वापरातील समाजमंदिरे / इतर वास्तूंच्या विद्युत बिलांसाठी</t>
  </si>
  <si>
    <t>शेजार समुहगट व इतर महिलांसाठी  विविध कल्याणकारी योजना, बाल विकास केंद्र, स्वच्छ झोपडपट्टी स्पर्धा, आरोग्य विषयक शिबीरे, झोपडपट्टीत उत्कृष्ट काम करणार्‍या व्यक्ती व संस्था याना पारितोषिक देणे महिला व बालके यांचेसाठी स्पर्धा घेणे इ.</t>
  </si>
  <si>
    <t>प्रभाग क्र.५७ अ मधील महिला बचत गटांच्यासाठी महिला उद्योग केंद्र व प्रशिक्षण वर्गासाठी हॉल बांधणे</t>
  </si>
  <si>
    <t>पुणे मनपाच्या सर्व कार्यालयांमध्ये अपंग व्यक्तींसाठी कार्यालयीन कर्मचार्‍यांसाठी ये-जा करणेसाठी कायमस्वरूपी रॅम्प करणे व व्हील चेअरची व्यवस्था करणे</t>
  </si>
  <si>
    <t>विकलांग विद्यार्थ्यांच्या स्पर्धा आयोजित करणे व  त्यांना प्रोत्साहनपर कार्यक्रम आयोजित करणे.</t>
  </si>
  <si>
    <t>FE17A103-31</t>
  </si>
  <si>
    <t>FE17A275</t>
  </si>
  <si>
    <t>FE17A276</t>
  </si>
  <si>
    <t>FE20P117</t>
  </si>
  <si>
    <t>क्र.</t>
  </si>
  <si>
    <t>पथ विभागाकडील योजनेतर (नॉन प्लॅन) कामे</t>
  </si>
  <si>
    <t>वाहतूक नियंत्रण विभागाकडील योजनेतर (नॉन प्लॅन) कामे</t>
  </si>
  <si>
    <t>यादी क्र. ए२</t>
  </si>
  <si>
    <t>यादी क्र. ए६</t>
  </si>
  <si>
    <t>यादी क्र. ए९</t>
  </si>
  <si>
    <t>यादी क्र. ए१३</t>
  </si>
  <si>
    <t>यादी क्र. टी१</t>
  </si>
  <si>
    <t>यादी क्र. टी२</t>
  </si>
  <si>
    <t>यादी क्र. टी७</t>
  </si>
  <si>
    <t>यादी क्र. बी५</t>
  </si>
  <si>
    <t>विद्युत विभागाकडील याद्या</t>
  </si>
  <si>
    <t>भवन विभागाकडील कामाच्या याद्या</t>
  </si>
  <si>
    <t>यादी क्र. जे११</t>
  </si>
  <si>
    <t>यादी क्र. जे१३</t>
  </si>
  <si>
    <t>यादी क्र. जे१०</t>
  </si>
  <si>
    <t>यादी क्र. जे९</t>
  </si>
  <si>
    <t>यादी क्र. जे१६</t>
  </si>
  <si>
    <t>यादी क्र. जे१४</t>
  </si>
  <si>
    <t>उद्यान विभागाकडील याद्या</t>
  </si>
  <si>
    <t>यादी क्र. पी२</t>
  </si>
  <si>
    <t>यादी क्र. पी८</t>
  </si>
  <si>
    <t>पाणीपुरवठा प्रकल्प टप्पा क्र. १ - प्रकल्पांतर्गत कामे</t>
  </si>
  <si>
    <t>यादी क्र. पीआर१</t>
  </si>
  <si>
    <t>यादी क्र. पीआर२</t>
  </si>
  <si>
    <t>यादी क्र. पीआर३</t>
  </si>
  <si>
    <t>जलोत्सारण विभागाकडील कामाच्या याद्या</t>
  </si>
  <si>
    <t>यादी क्र. डी३</t>
  </si>
  <si>
    <t>मलनिःसारण प्रकल्प टप्पा क्र. १ - प्रकल्पांतर्गत कामे</t>
  </si>
  <si>
    <t>यादी क्र. एमपी२</t>
  </si>
  <si>
    <t>RE11A274/R1-1</t>
  </si>
  <si>
    <t>RE23A107/R7-1</t>
  </si>
  <si>
    <t>RE11A274/R1-2</t>
  </si>
  <si>
    <t>RE11A274/R1-3</t>
  </si>
  <si>
    <t>RE11A274/R1-4</t>
  </si>
  <si>
    <t>RE11A274/R1-5</t>
  </si>
  <si>
    <t>RE11A274/R1-6</t>
  </si>
  <si>
    <t>RE11A274/R1-7</t>
  </si>
  <si>
    <t>RE11A274/R1-8</t>
  </si>
  <si>
    <t>RE11A274/R1-9</t>
  </si>
  <si>
    <t>RE11A274/R1-10</t>
  </si>
  <si>
    <t>RE11A274/R1-11</t>
  </si>
  <si>
    <t>RE11A275/R2-1</t>
  </si>
  <si>
    <t>RE11A275/R2-2</t>
  </si>
  <si>
    <t>RE11A275/R2-3</t>
  </si>
  <si>
    <t>RE11A275/R2-4</t>
  </si>
  <si>
    <t>RE11A275/R2-5</t>
  </si>
  <si>
    <t>RE11A275/R2-6</t>
  </si>
  <si>
    <t>RE11A275/R2-7</t>
  </si>
  <si>
    <t>RE11A276/R3-1</t>
  </si>
  <si>
    <t>RE11A276/R3-2</t>
  </si>
  <si>
    <t>RE11A276/R3-3</t>
  </si>
  <si>
    <t>RE11A276/R3-4</t>
  </si>
  <si>
    <t>RE11A276/R3-5</t>
  </si>
  <si>
    <t>RE11A276/R3-6</t>
  </si>
  <si>
    <t>RE11A276/R3-7</t>
  </si>
  <si>
    <t>RE11A276/R3-8</t>
  </si>
  <si>
    <t>RE11A276/R3-9</t>
  </si>
  <si>
    <t>RE11A276/R3-10</t>
  </si>
  <si>
    <t>RE11A276/R3-11</t>
  </si>
  <si>
    <t>RE11A276/R3-12</t>
  </si>
  <si>
    <t>RE11A276/R3-13</t>
  </si>
  <si>
    <t>RE11A276/R3-14</t>
  </si>
  <si>
    <t>RE11A276/R3-15</t>
  </si>
  <si>
    <t>RE11A276/R3-16</t>
  </si>
  <si>
    <t>RE11A276/R3-17</t>
  </si>
  <si>
    <t>RE17F169/R4-1</t>
  </si>
  <si>
    <t>RE17F169/R4-2</t>
  </si>
  <si>
    <t>RE17F169/R4-3</t>
  </si>
  <si>
    <t>RE17F169/R4-4</t>
  </si>
  <si>
    <t>RE17F169/R4-5</t>
  </si>
  <si>
    <t>RE17F169/R4-6</t>
  </si>
  <si>
    <t>RE23A107/R7-2</t>
  </si>
  <si>
    <t>RE23A107/R7-3</t>
  </si>
  <si>
    <t>RE23A107/R7-4</t>
  </si>
  <si>
    <t>RE23A107/R7-5</t>
  </si>
  <si>
    <t>RE23A107/R7-7</t>
  </si>
  <si>
    <t>RE23A107/R7-8</t>
  </si>
  <si>
    <t>RE23A107/R7-9</t>
  </si>
  <si>
    <t>RE23A107/R7-10</t>
  </si>
  <si>
    <t>RE23A107/R7-11</t>
  </si>
  <si>
    <t>RE23A107/R7-12</t>
  </si>
  <si>
    <t>RE23A107/R7-13</t>
  </si>
  <si>
    <t>RE23A107/R7-14</t>
  </si>
  <si>
    <t>RE23A107/R7-15</t>
  </si>
  <si>
    <t>RE23A107/R7-16</t>
  </si>
  <si>
    <t>RE23A107/R7-17</t>
  </si>
  <si>
    <t>RE23A107/R7-18</t>
  </si>
  <si>
    <t>RE23A107/R7-19</t>
  </si>
  <si>
    <t>पथ विभागाकडील कामाच्या याद्या</t>
  </si>
  <si>
    <t xml:space="preserve"> CE26A336/U1-163+</t>
  </si>
  <si>
    <t>ZE16A104A/P2-297+</t>
  </si>
  <si>
    <t>ZE16A104A/P2-1286+</t>
  </si>
  <si>
    <t>ZE16A104A/S5-1638+</t>
  </si>
  <si>
    <t>ZE16A104A/S5-1640+</t>
  </si>
  <si>
    <t>ZE16A104A/P2-1199+</t>
  </si>
  <si>
    <t>ZE16A104A/P2-1233+</t>
  </si>
  <si>
    <t>ZE16A104A/P2-1244+</t>
  </si>
  <si>
    <t>ZE16A104A/P2-1227+</t>
  </si>
  <si>
    <t>ZE16A104A/P2-1243+</t>
  </si>
  <si>
    <t>CE20A1263/A16-5</t>
  </si>
  <si>
    <t>CE20A1264/A17-1</t>
  </si>
  <si>
    <t>CE20E101/F1-2</t>
  </si>
  <si>
    <t>CE20E101/F1-3</t>
  </si>
  <si>
    <t>CE20E101/F1-4</t>
  </si>
  <si>
    <t>CE20E101/F1-5</t>
  </si>
  <si>
    <t>CE11A129/J1-1</t>
  </si>
  <si>
    <t>CE22A548/J10-1</t>
  </si>
  <si>
    <t>CE22A548/J10-3</t>
  </si>
  <si>
    <t>CE22A705/J21-1</t>
  </si>
  <si>
    <t>CE22A705/J21-2</t>
  </si>
  <si>
    <t>CE22A705/J21-3</t>
  </si>
  <si>
    <t>CE22A705/J21-4</t>
  </si>
  <si>
    <t>CE22A705/J21-7</t>
  </si>
  <si>
    <t>CE24A141/J33-</t>
  </si>
  <si>
    <t>CE24A141/J33-1</t>
  </si>
  <si>
    <t>CE24A141/J33-2</t>
  </si>
  <si>
    <t>CE24A141/J33-3</t>
  </si>
  <si>
    <t>CE24A141/J33-4</t>
  </si>
  <si>
    <t>CE27A241/J24-</t>
  </si>
  <si>
    <t>CE27A241/J24-1</t>
  </si>
  <si>
    <t>CE28A160/J16-1</t>
  </si>
  <si>
    <t>CE29A245/J30-</t>
  </si>
  <si>
    <t>CE29A246/J31-</t>
  </si>
  <si>
    <t>ZE16A104/P2-1</t>
  </si>
  <si>
    <t>ZE16A104/P2-2</t>
  </si>
  <si>
    <t>ZE16A104/P2-3</t>
  </si>
  <si>
    <t>ZE16A104/P2-6</t>
  </si>
  <si>
    <t>ZE16A106/P3-</t>
  </si>
  <si>
    <t>ZE16C102/PR2-1</t>
  </si>
  <si>
    <t>ZE16C103/PR3-1</t>
  </si>
  <si>
    <t>ZE16C103/PR3-2</t>
  </si>
  <si>
    <t>ZE16D102/MP2-1</t>
  </si>
  <si>
    <t>ZE16D102/MP2-3</t>
  </si>
  <si>
    <t>ZE16D102/MP2-4</t>
  </si>
  <si>
    <t>ZE16D102/MP2-5</t>
  </si>
  <si>
    <t>ZE16D102/MP2-6</t>
  </si>
  <si>
    <t>ZE16D102/MP2-7</t>
  </si>
  <si>
    <t>ZE16D102/MP2-8</t>
  </si>
  <si>
    <t>ZE16D102/MP2-9</t>
  </si>
  <si>
    <t>CE28A225/J25-</t>
  </si>
  <si>
    <t>प्रभाग क्र.७६ मधील स.नं.१८ कात्रज कोंढवा रोड येथील अ‍ॅमेनिटी स्पेसच्या जागेवर इंग्रजी माध्यमाची शाळा चालू करणे.</t>
  </si>
  <si>
    <t>प्रभाग क्र.२४ ब मध्ये संभाजी उद्यान येथे आधुनिक पदधतीने मत्स्यालय बांधणे.</t>
  </si>
  <si>
    <t>पुणे मनपा वर्धापन दिनानिमित्त संभाजी उद्यान येथे भरविण्यात येणार्‍या फळे, फुले व भाजीपाला प्रदर्शनासाठी व किल्ले स्पर्धांसाठी मंडप व्यवस्था करणे.</t>
  </si>
  <si>
    <t>प्रभाग क्र.५७ पेशवेपार्क येथे स्थापत्यविषयक उर्वरीत कामे करणे (तलावाचे सौंदर्यीकरण व इतर बाबी मास्टर प्लॅननुसार)</t>
  </si>
  <si>
    <t>प्र. क्र. २० मधील हडपसर स.नं. १६४ येथील नियोजित ज्येष्ठ समाजवादी नेते ग. प्र. प्रधान उद्यान विकसित करणे</t>
  </si>
  <si>
    <t>प्रभाग क्र.५३ हिंगणे खुर्द विश्रांतीनगर येथील दोन्ही कॅनॉलच्या मधील मोकळ्या जागेमध्ये उद्यान विकसीत करणे</t>
  </si>
  <si>
    <t>पाणीपुरवठा एकूण</t>
  </si>
  <si>
    <t>पाणीपुरवठा प्रकल्प एकूण</t>
  </si>
  <si>
    <t>मलनिःसारण प्रकल्प टप्पा क्र. १</t>
  </si>
  <si>
    <t>मलनिःसारण प्रकल्प एकूण</t>
  </si>
  <si>
    <t>क्षेत्रिय कार्यालय : पाणीपुरवठा विभागाने करावयाची कामे</t>
  </si>
  <si>
    <t>क्षेत्रिय कार्यालय : नागरिकांच्या सहभाग योजनेतून पाणीपुरवठा विभागाने करावयाची कामे</t>
  </si>
  <si>
    <t>क्षेत्रिय कार्यालय : मलनिःसारण विभागाने करावयाची कामे</t>
  </si>
  <si>
    <t>क्षेत्रिय कार्यालय : नागरिकांच्या सहभाग योजनेतून मलनिःसारण विभागाने करावयाची कामे</t>
  </si>
  <si>
    <t>पाणीपुरवठा + गटारे व नाले + 
पाणीपुरवठा प्रकल्प + मलनिःसारण प्रकल्प एकूण बेरीज</t>
  </si>
  <si>
    <t>१४. पाणीपुरवठा केंद्राच्या भवनातील दिवाबत्ती (वि.अ.)</t>
  </si>
  <si>
    <t>पाणीपुरवठा विभागाकडील कामाच्या याद्या</t>
  </si>
  <si>
    <t>प्रभाग क्र.67 पद्‌मावती पूल ते बासरी हॉटेल पर्यंत ड्रेनेज लाईन टाकणे.</t>
  </si>
  <si>
    <t>FE50A103</t>
  </si>
  <si>
    <t>FE50A104</t>
  </si>
  <si>
    <t>FE50A105</t>
  </si>
  <si>
    <t>पुणे मेट्रो रेल्वे प्रकल्प</t>
  </si>
  <si>
    <t>हांडेवाडी (ससाने नगर) येथे रेल्वे उड्डाणपूल बांधणे</t>
  </si>
  <si>
    <t>स्वारगेट चौकात उड्डाणपूल बांधणे</t>
  </si>
  <si>
    <t>बालेवाडी स.नं. ४२ ते ४७ ते वाकड रस्ता येथे मुळा नदीवर पुल बांधणे</t>
  </si>
  <si>
    <t>मुठा नदीवर डेंगळे पुलानजीक नवीन पूल बांधणे</t>
  </si>
  <si>
    <t>बंडगार्डन येथे बंधार्‍यासाठी लोखंडी गेट बसविणेकरिता सिव्हील व विुत विषयक कामे करणे</t>
  </si>
  <si>
    <t>मुंबई-पुणे महामार्गावर सुतारवाडी येथे ३० मीटर रुंद अंडरपास करणे (नॅशनल हायवे अ‍ॅथॉरिटीज अंडरपास वाढीव रुंदीकरण कामासाठी निधी उपलब्ध करणे)</t>
  </si>
  <si>
    <t>लूल्ला नगर, कोंढवा रोड चौकात उड्डाणपूल बांधणे.</t>
  </si>
  <si>
    <t>कमिन्स कॉलेज जंक्शन, वारजे रोड येथे उड्डाणपूल बांधणे</t>
  </si>
  <si>
    <t>रामवाडी भूयारी मार्गाचे उर्वरीत काम पूर्ण करणे</t>
  </si>
  <si>
    <t>हॅरिस पूलालगत नवीन पूल बांधणे</t>
  </si>
  <si>
    <t>स्वारगेट चौकात उड्‌डाणपूलाचे कामाकरिता सेवा वाहिन्या हलविणे व अनुषंगिक कामे करणे</t>
  </si>
  <si>
    <t>खराडी गावठाणापासून मुंढवा येथे मुळामुठा नदीवर पूल बांधणे व येरवडा येथील जुन्या पुलाची देखभाल दुरूस्ती कामे करणे व नवीन पूल बांधणे</t>
  </si>
  <si>
    <t>शहरी गरिबांसाठी मुलभूत सुविधा (बीएसयूपी) : एकूण</t>
  </si>
  <si>
    <t>यादी क्र. यु1</t>
  </si>
  <si>
    <t>1. पाणीपुरवठा</t>
  </si>
  <si>
    <t xml:space="preserve">2. मलनिःसारण </t>
  </si>
  <si>
    <t>मलनिःसारण एकूण</t>
  </si>
  <si>
    <t>3. पाणीपुरवठा प्रकल्प</t>
  </si>
  <si>
    <t>4. मलनिःसारण प्रकल्प</t>
  </si>
  <si>
    <t>सुधारित मंजूर तरतूद</t>
  </si>
  <si>
    <t>शहरी गरिबांसाठी मुलभूत सुविधा (बीएसयूपी) :</t>
  </si>
  <si>
    <t>शहरी गरिब व आर्थिक मागासांसाठी एकात्मिक पुनर्वसन योजना तयार करून हडपसर येथे ६००० घरे बांधून करणे</t>
  </si>
  <si>
    <t>शहरी गरिब व आर्थिक मागासांसाठी एकात्मिक पुनर्वसन योजना तयार करून वारजे येथे २५७६ घरे बांधून करणे</t>
  </si>
  <si>
    <t>इन सिटू रिहॅबीलीटेशन</t>
  </si>
  <si>
    <t>ZE16B102/D2-</t>
  </si>
  <si>
    <t>यादी क्र. डी2</t>
  </si>
  <si>
    <t>CE29A244/J29-</t>
  </si>
  <si>
    <t>CE29A243/J28-</t>
  </si>
  <si>
    <t>महिलाबालकल्याण योजना विभागाकडील याद्या</t>
  </si>
  <si>
    <t>यंत्रसामुग्री घसारा निधीतून विकत घ्याववयाची नवीन सामुग्री यादी</t>
  </si>
  <si>
    <t>महिला कर्मचार्‍यांसाठी विविध योजना, सांस्कृतिक कार्यक्रम, प्रशिक्षण शिबिरे आयोजित करणे</t>
  </si>
  <si>
    <t>३. नैसर्गिक व मानव निर्मित आपत्ती आणि मोठे अपघात यांमध्ये प्रतिसाद, शोध, बचाव कार्य व नियंत्रण कक्ष संचलन इ. तातडीने करावयाच्या खर्चासाठी</t>
  </si>
  <si>
    <t>माध्यमिक शाळांमधील विद्यार्थ्यांना शाळेत जाण्यासाठी मोफत सायकल वाटप योजना (मनपा शाळेतील)</t>
  </si>
  <si>
    <t>ग१. समाज विकास विभाग</t>
  </si>
  <si>
    <t>ग२. समाज विकास विभाग (वि.का.)</t>
  </si>
  <si>
    <t>६. पुणे मनपाचे वैद्यकीय आस्थापनामध्ये दैनंदिन निर्माण होणार्‍या जैववैकीय कचर्‍याचे विल्हेवाट लावण्याकरिता</t>
  </si>
  <si>
    <t>४. साहित्य</t>
  </si>
  <si>
    <t>७. गाद्या व उशा</t>
  </si>
  <si>
    <t>रूग्णालयाकडील पाण्याच्या पंपांची, सोलर सिस्टिम इ. मशिनरीची दुरूस्ती विषयक व इतर देखभाल कामे (विद्युत)</t>
  </si>
  <si>
    <t>कमला नेहरू रुग्णालय, सोनवणे हॉस्पिटल, राजीव गांधी हॉस्पिटल, नायडू हॉस्पिटल व इतर दवाखान्यांकरिता लिफ्टची देखभाल व दुरूस्ती व इतर तद्नुषंगिक कामे करणे</t>
  </si>
  <si>
    <t>कमला नेहरू रुग्णालय, सोनवणे हॉस्पिटल, राजीव गांधी हॉस्पिटल, नायडू हॉस्पिटल व इतर दवाखान्यांकरिता लिफ्टस्मनचे वेतनापोटी (ठेकेदारी पध्दतीने)</t>
  </si>
  <si>
    <t>पीसीपीएनडीटी विभागाकडील डिकॉय/माहिती देणारास बक्षिस रक्कम आदा करणे</t>
  </si>
  <si>
    <t>१३. विविध प्रकारची जंतुनाशके व पावडर</t>
  </si>
  <si>
    <t>साफसफाई व स्वच्छतागृह स्वच्छ करणे</t>
  </si>
  <si>
    <t>३. विना परवाना लावलेले जाहिरात फलक आउटसोर्सिंगने काढणे व तद्‌नुषंगिक कामे करणे</t>
  </si>
  <si>
    <t>हॉकर्स पुनर्वसन (शहर फेरीवाला समिती) बैठका व तद्‌नुषंगिक खर्च</t>
  </si>
  <si>
    <t>इंद्रधनुष्य येथे व इतर ठिकाणी पर्यावरणासंबंधी नागरिकांसाठी व शाळांसाठी जनजागृतीपर विविध कार्यक्रम करणे</t>
  </si>
  <si>
    <t>१३. महापौर चषक विविध क्रीडा स्पर्धा</t>
  </si>
  <si>
    <t>प्रभाग क्र. १ ब (धानोरी) मधील  विविध ठिकाणी ड्रेनेज लाईन टाकणे</t>
  </si>
  <si>
    <t xml:space="preserve">प्रभाग क्र. २ ब मध्ये यशवंतनगर,  तुकाराम नगर व चंदननगर येथे ड्रेनेज लाईन टाकणे </t>
  </si>
  <si>
    <t xml:space="preserve">प्रभाग क्र. ३ अ  मध्ये विविध ठिकाणी ड्रेनेज लाईन नव्याने टाकणे </t>
  </si>
  <si>
    <t xml:space="preserve">प्रभाग क्र. ८ अ  मध्ये विविध ठिकाणी ड्रेनेज लाईनची कामे करणे </t>
  </si>
  <si>
    <t xml:space="preserve">प्रभाग क्र. ९ अ मध्ये विविध ठिकाणी ड्रेनेज व्यवस्था करणे </t>
  </si>
  <si>
    <t xml:space="preserve">प्रभाग क्र. १० ब मध्ये पाषाण येथे विविध ठिकाणी जुन्या ड्रेनेज लाईन बदलून मोठया व्यासाची लाईन टाकणे </t>
  </si>
  <si>
    <t>प्रभाग क्र. १० ब मध्ये सुतारवाडी येथे विविध ठिकाणी जुन्या ड्रेनेज लाईन बदलून मोठया व्यासाची लाईन टाकणे</t>
  </si>
  <si>
    <t xml:space="preserve">प्रभाग क्र.१६ ब मध्ये  विविध ठिकाणी मोठया व्यासाच्या ड्रेनेज लाईन टाकणे </t>
  </si>
  <si>
    <t>प्रभाग क्र.२२ ब मध्ये नदी किनारी ३६ एम एम व्यासाची ड्रेनेज लाईन टाकणे मॅन होल बांधणे</t>
  </si>
  <si>
    <t xml:space="preserve">प्रभाग क्र. ३३ ब मध्ये लक्ष्मीनगर डाहणुकर कॉलनी येथी प्रिकास्ट ड्रेनेज चेंबर करणे. आणि ड्रेनेज लाईल करणे. </t>
  </si>
  <si>
    <t>प्रभाग क्र.४० ब मध्ये विल्सन गार्डन परिसरातील ड्रेनेज लाईन मोठया व्यासाच्या टाकणे.</t>
  </si>
  <si>
    <t>प्रभाग क्र.४१ अ भिमनगर, शिर्के कंपनी, भारत फोर्ज ते देवकी पॅलेस मुख्य रस्त्यालगत मोठया व्यासाची ड्रेनेज लाईन टाकणे</t>
  </si>
  <si>
    <t xml:space="preserve">प्रभाग क्र. ४२ अ  मध्ये हडपसर गाव मार्केट ते कॅनॉल पर्यंत १८ इंची ड्रेनेज लाईन टाकणे </t>
  </si>
  <si>
    <t xml:space="preserve">प्रभाग क्र. ४२ अ  मध्ये हडपसर गाव विविध ठिकाणी ड्रेनेज लाईन टाकणे </t>
  </si>
  <si>
    <t>प्रभाग क्र. ५२ ब मधील वृंदावन नर्सरी ते आगरवाल शाळेपर्यंत मोठया व्यासाची ड्रेनेज लाईन टाकणे</t>
  </si>
  <si>
    <t xml:space="preserve">प्रभाग क्र. ५३ ब मधील विविध ठिकाणी ड्रेनेज लाईन टाकणे </t>
  </si>
  <si>
    <t xml:space="preserve">प्रभाग क्र. ५५ अ मधील कमलादेवी हॉस्पिटल वडगाव फाटा ते अमरज्योत मित्रमंडळापर्यंत १० इंची ड्रेनेज लाईनची अर्धवट काम पुर्ण करणे </t>
  </si>
  <si>
    <t xml:space="preserve">प्रभाग क्र. ५५ अ मधील यादव नगर परिसरामध्ये विविध ठिकाणी १२ इंची ड्रेनेज लाईन टाकणे </t>
  </si>
  <si>
    <t>प्रभाग क्र. ५५ अ मधील गावठाण परिसरात विविध ठिकाणी ड्रेनेज लाईन टाकणे</t>
  </si>
  <si>
    <t>प्रभाग क्र. ५५ ब  मध्ये वडगाव बुद्रुक येथील सिंहगड रोड ते पोस्ट ऑफिस गल्ली नाल्याच्या कडेने मुख्य मलवाहिनी टाकणे</t>
  </si>
  <si>
    <t>प्रभाग क्र. ५५ ब  मध्ये वडगाव बुद्रुक येथील पाऊंजाई मंदिर ते रेनुकानगरी पर्यंत मुख्य मलवाहिनी टाकणे</t>
  </si>
  <si>
    <t>प्रभाग क्र.19 ब विडी कामगार पासून टाकलेली नदीपर्यंतची ड्रेनेज लार्इन व नाले विषयक कामे करणे</t>
  </si>
  <si>
    <t>प्रभाग क्र.67 ब गजानन महाराज मठ ते स्वामी विवेकानंद पुतळा मोठया व्यासाची ड्रेनेज लार्इन टाकणे</t>
  </si>
  <si>
    <t xml:space="preserve">प्रभाग क्र. ५ ब  मध्ये कळस ओढयाच्या कडेने माळवाडी येथे सिमाभिंत बांधणे </t>
  </si>
  <si>
    <t>प्रभाग क्र. ७ ब  मध्ये चंद्रमणी संघ नाल्याच्या कडेने रिटेनिंग वॉल बांधणे</t>
  </si>
  <si>
    <t xml:space="preserve">प्रभाग क्र. ३६ अ  मध्ये म्हात्रे पूल येथील नाल्यालगत उर्वरित सिमाभिंतीचे काम करणे </t>
  </si>
  <si>
    <t>स.नं.24 धानोरी- गिनीज बॅले सिमो सोसायटी कपाऊंड पासून 155 मीटर नाल्याच्या कडेने सिमाभिंत बांधणे</t>
  </si>
  <si>
    <t>पर्यटन स्थळाच्या ठिकाणी विविध कला प्रदर्शन भरविणे</t>
  </si>
  <si>
    <t xml:space="preserve">प्रभाग क्र. ५३ ब मधील विविध ठिकाणी पाण्याची लाईन टाकणे </t>
  </si>
  <si>
    <t xml:space="preserve">प्रभाग क्र. ५३ ब मधील खोरड वस्ती, साईनगर, आनंदविहार, हिंगणे खुर्द परिसरातील शुध्द पाण्याची नविन लाईन टाकणे </t>
  </si>
  <si>
    <t xml:space="preserve">प्रभाग क्र. ५३ ब मधील सरिता नगरी, गणेशमळा परिसरातील विविध ठिकाणच्या जुन्या पाण्याच्या लाईन काढून नविन मोठ्या व्यासाच्या पाईप लाईन टाकणे </t>
  </si>
  <si>
    <t>प्र.क्र.५४ ब मध्ये वडगाव खुर्द परिसरातील विविध ठिकाणचे अर्धवट नेटवर्क पुर्ण करणे.</t>
  </si>
  <si>
    <t xml:space="preserve">प्रभाग क्र. ५५ अ मधील जाधवनगर येथील पवार यांचे घर ते रायकर यांचे घर पाण्याची लाईन शिफ्ट करणे </t>
  </si>
  <si>
    <t xml:space="preserve">प्रभाग क्र. ५५ अ मधील चावडी हॉटेल ते पारेकर वांजळे यांचे घरापर्यत युटीडब्ल्युटी पध्दतीने होणाऱ्या रस्त्यातील पाण्याची लाईन शिफ्ट करणे </t>
  </si>
  <si>
    <t>प्रभाग क्र. ५५ ब  मध्ये वडगाव बुद्रुक येथील जाधवनगर, राजगार्डन गल्ली आणि वास्तुशिल्प याठिकाणी युटीडब्ल्यूटी पध्दतीने होणाऱ्या रस्त्यातील पाण्याची पाईपलाईन शिफ्ट  करणे</t>
  </si>
  <si>
    <t>प्रभाग क्र.62 ब कोंढवा बु. परिसरामध्ये विविध ठिकाणी पिण्याच्या पाण्याच्या जुन्या लार्इन बदलुन नवीन टाकणे</t>
  </si>
  <si>
    <t>प्रभाग क्र.62 ब गोकुळनगर, महागणेश कॉलनी परिसरात पाणी पुरवठा वितरण व्यवस्था करणे</t>
  </si>
  <si>
    <t xml:space="preserve">प्रभाग क्र. ७३ अ मध्ये अहिल्यादेवी चौक ते खुशबू हॉटेल जलवाहिनी टाकणे  </t>
  </si>
  <si>
    <t xml:space="preserve">प्रभाग क्र. ७३ अ मध्ये बालाजीनगर मधील जुन व नादुरूस्त व्हॉल्व्ह बदलणे व रस्ते खोदाईतील लाईन जिरविणे </t>
  </si>
  <si>
    <t xml:space="preserve">प्रभाग क्र. ७३ अ मध्ये बालाजीनगर मधील एलोरा पॅलेस, काशीनाथ पाटीलनगर, तुळजाभवानी मंदिर , हेमी स्टील , निवारा सोसायटी, श्रीराम मंदिर परिसरातील रस्ते खोदाईतील लाईन जिरविणे </t>
  </si>
  <si>
    <t>प्रभाग क्र.७४ अ आंबेगांव पठार ते त्रिमुर्ती चौक पाण्याची लाईन जिरवणे, वितरण व्यवस्थेत सुधारणा करणे व लाईन टाकणे</t>
  </si>
  <si>
    <t>प्रभाग क्र.७५ ब मधील विविध ठिकाणच्या जलवाहिनी टाकणे व तदनुषंगिक कामे करणे.</t>
  </si>
  <si>
    <t xml:space="preserve">प्रभाग क्र.७५ ब मध्ये विविध ठिकाणी जलवाहिनीचे अर्धवट नेटवर्क पूर्ण करणे व तदनुषंगिक कामे करणे. </t>
  </si>
  <si>
    <t xml:space="preserve">प्रभाग क्र.६२ ब कोंढवा बु. मधील विविध ठिकाणी पिण्याच्या पाण्याच्या जुन्या लाईन बदलून नवीन लाईन टाकणे  </t>
  </si>
  <si>
    <t xml:space="preserve">प्रभाग क्र.६२ ब गोकुळनगर महागणेश कॉलनी परिसरात पाणी पुरवठा वितरण व्यवस्था करणे  </t>
  </si>
  <si>
    <t>संतोषनगर, आंबेगाव परिसरात विविध ठिकाणी पाण्याच्या लार्इन टाकणे</t>
  </si>
  <si>
    <t>प्रभाग क्र.69 ब मध्ये विविध ठिकाणी पिण्याच्या पाण्याची लार्इन टाकणे</t>
  </si>
  <si>
    <t>केंद्र शासनाच्या स्पेसिफिकेशननुसार युरो ४ सी.एन.जी. बसेस घेणे</t>
  </si>
  <si>
    <t>ZE16B106/D5-</t>
  </si>
  <si>
    <t>FE11A111</t>
  </si>
  <si>
    <t>पुणे पेठ पर्वती, स.नं.50+52+53 अ, प्लॉ. नं.98 येथील मिळकतीचे भूसंपादन करणे</t>
  </si>
  <si>
    <t>माता जिजाऊ स्वावलंबी जीवन योजने अंतर्गत गवनि घोषीत व शहरी गरीब योजनेअंतर्गत ज्येष्ठ महिलांना दरमहा 1000/- अर्थसहाय्य देणे</t>
  </si>
  <si>
    <t>FE17A277#</t>
  </si>
  <si>
    <t>यंत्रसामुग्री घसारा निधीतून विकत घ्याववयाची सामुग्री</t>
  </si>
  <si>
    <t>मुद्रणमहर्षि मामाराव दाते मुद्रणालय येथे अत्याधुनिक छपाई मशिनरी खरेदी करणे</t>
  </si>
  <si>
    <t>FE14B127</t>
  </si>
  <si>
    <t>डॉ.बाबासाहेब आंबेडकर यांच्या 125 व्या जयंती निमित्त माता रमार्इ भिमराव आंबेडकर योजनेअंतर्गत गवनि घोषीत व शहरी गरीब योजनेतील पात्र ठरणाऱ्या विधवा, निराधार महिलांसाठी दरमहा रू.1000/- अर्थसहाय्य करणे (मागासवर्गीय कल्याणकारी योजना)</t>
  </si>
  <si>
    <t>FE14D133</t>
  </si>
  <si>
    <t>शरद स्वावलंबी जीवन योजनेअंतर्गत गवनि घोषित व शहरी गरीब योजनेअंतर्गत ज्येष्ठ नागरिकांना (पुरुष) दरमहा र.रु. 1,000 अर्थसहाय्‌य देणे</t>
  </si>
  <si>
    <t>RE17F147Q</t>
  </si>
  <si>
    <t>१५ क्षेत्रिय कार्यालयाअंतर्गत स्वच्छता आरोग्य विषयक जनजागृती करणे</t>
  </si>
  <si>
    <t xml:space="preserve">१५ क्षेत्रिय कार्यालयाअंतर्गत आपत्ती व्यवस्थापनेच्या दृष्टीने जनजागृती करणे </t>
  </si>
  <si>
    <t>RE11R105</t>
  </si>
  <si>
    <t>विविध क्षेत्रात प्राविण्य मिळविलेल्या व्यक्तींची माहिती व्हिडीयो व इतर माध्यमातून मराठी शाळांमध्ये दाखविणे</t>
  </si>
  <si>
    <t>RE13#140</t>
  </si>
  <si>
    <t>RE11D130A</t>
  </si>
  <si>
    <t xml:space="preserve">प्रभाग क्र. २३ अ मध्ये ठेकेदार पध्दतीने सुरक्षा रक्षक पुरविणे </t>
  </si>
  <si>
    <t>मुख्य लेखापाल कार्यालयाकडील कागदपत्रे स्कॅन करून जतन करणे व इतर तद्‌नुषंगिक कामे करणे</t>
  </si>
  <si>
    <t>RE11F110</t>
  </si>
  <si>
    <t>प्रभाग क्र. १५ अ मध्ये झोपडी/घरांचे बोयमेट्रीक लक्ष्मीनगर, अशोकनगर व इतर सर्व्हे झालेल्या घरावर नाव व नंबर प्लेट व इतर बोर्ड लावणे</t>
  </si>
  <si>
    <t>RE11M109</t>
  </si>
  <si>
    <t>१५ क्षेत्रिय कार्यालयाअंतर्गत मनपाच्या विविध योजना नागरिकांपर्यंत पाहोचविणे</t>
  </si>
  <si>
    <t>RE11N122#</t>
  </si>
  <si>
    <t>संगणक व संगणक तंत्रज्ञान याकरिता विविध कामे करणे</t>
  </si>
  <si>
    <t>RE14A116</t>
  </si>
  <si>
    <t>RE14B103#</t>
  </si>
  <si>
    <t>सार्वजनिक स्वच्छतागृहात संडास, बाथरूम, ओपन गटारे साहित्य व दुरुस्त्या करणे</t>
  </si>
  <si>
    <t>महापौर निधी अंतर्गत आरोग्यासाठी विशेष अर्थसहाय्‌य :- 1. किडनी रोपन (प्रत्येकी 25 हजार),  2. कॅन्सर (प्रत्येकी 50 हजार),  3. हृदय विकार (बायपास) (प्रत्येकी 30 हजार),  4. एन्जोप्लास्टीक (प्रत्येकी 15 हजार),  5. दृष्टीपटल दोष निवारणासाठी (रिटेनल डिटॅचमेंट) (प्रत्येकी 50 हजार)</t>
  </si>
  <si>
    <t>RE17F153G</t>
  </si>
  <si>
    <t>RE19A153#</t>
  </si>
  <si>
    <t>घनकचरा संदर्भात करावयाची स्वच्छता व देखभाल दुरूस्ती कामे</t>
  </si>
  <si>
    <t>RE20B120/R12-</t>
  </si>
  <si>
    <t>RE20B120/R12-102</t>
  </si>
  <si>
    <t>RE20B120/R12-103</t>
  </si>
  <si>
    <t>RE20B120/R12-104</t>
  </si>
  <si>
    <t>RE20B120/R12-108</t>
  </si>
  <si>
    <t>RE20B120/R12-111</t>
  </si>
  <si>
    <t>RE20B120/R12-112</t>
  </si>
  <si>
    <t>RE20B120/R12-113</t>
  </si>
  <si>
    <t>RE20B120/R12-116</t>
  </si>
  <si>
    <t>RE20B120/R12-117</t>
  </si>
  <si>
    <t>RE20B120/R12-118</t>
  </si>
  <si>
    <t>RE20B120/R12-101</t>
  </si>
  <si>
    <t>RE20B121/R13-</t>
  </si>
  <si>
    <t>RE20B121/R13-104</t>
  </si>
  <si>
    <t>RE20B121/R13-105</t>
  </si>
  <si>
    <t>RE20B121/R13-106</t>
  </si>
  <si>
    <t>RE20B121/R13-107</t>
  </si>
  <si>
    <t>RE20B121/R13-108</t>
  </si>
  <si>
    <t>RE20B121/R13-109</t>
  </si>
  <si>
    <t>RE20B121/R13-110</t>
  </si>
  <si>
    <t>RE20B121/R13-112</t>
  </si>
  <si>
    <t>RE20B121/R13-101</t>
  </si>
  <si>
    <t>RE22A113#</t>
  </si>
  <si>
    <t>भवन विभागाकडील शाळा, दवाखाने, मार्केट, मनपा इमारती, कोठ्या, समाजमंदिरे, घाट, स्मशानभूमी, विसर्जन हौद इ. बाबत देखभाल दुरूस्तीची कामे करणे</t>
  </si>
  <si>
    <t>यादी क्र. एक्स2</t>
  </si>
  <si>
    <t>XE23A117/X2-</t>
  </si>
  <si>
    <t>XE12B115#</t>
  </si>
  <si>
    <t>XE12B115/X1-</t>
  </si>
  <si>
    <t>पाणीपुरवठा विभागाकडील देखभाल दुरूस्तीची कामे</t>
  </si>
  <si>
    <t>CE28A226/J26-</t>
  </si>
  <si>
    <t>7व्या वेतनआयोगानुसार द्यावयाचा सहा महिन्याचा फरक</t>
  </si>
  <si>
    <t>RE17F159</t>
  </si>
  <si>
    <t>राजीव गांधी रूग्णालयात महिलांसाठी मोफत नर्सिंग कोर्स सुरू करणे</t>
  </si>
  <si>
    <t>RE13#141</t>
  </si>
  <si>
    <t>चाळी व वसाहतींमध्ये लहान मुलांना विविध कला प्रशिक्षणाचे इंद्रधनुष्य कलाविष्कार वर्ग सुरु करणे</t>
  </si>
  <si>
    <t>फोनिक्स/अॅमल/अॅबॅकस विषय शाळांमधून राबविणे</t>
  </si>
  <si>
    <t>RE13#142</t>
  </si>
  <si>
    <t>शरद वायफाय योजनेअंतर्गत पुणे शहर वायफाय करणे</t>
  </si>
  <si>
    <t>RE11N123</t>
  </si>
  <si>
    <t xml:space="preserve">प्रेक्षणीय स्थळांसाठीचे नियोजन पार्कींगसह </t>
  </si>
  <si>
    <t>RE23A107/R7-21</t>
  </si>
  <si>
    <t>RE11L122</t>
  </si>
  <si>
    <t>मराठी भाषा संवर्धन अंतर्गत पुणे मनपा व जिल्हा परिषद शिक्षण विभाग यांच्या सहकार्याने ग्रंथ महोत्सव व ग्रंथ दिंडीचे आयोजन करणे</t>
  </si>
  <si>
    <t>डॉ. बाबा आमटे विकलांग योजनेअंतर्गत विकलांग मुलांच्या मुलभुत गरजांच्या पुर्ततेसाठी दरमहा 2,000 रूपये आर्थिक सहाय्य करणे</t>
  </si>
  <si>
    <t>FE14E116</t>
  </si>
  <si>
    <t>सेवा शुल्क थकबाकी</t>
  </si>
  <si>
    <t>कमला नेहरू रुग्णालय व इतर रुग्णालये येथे यांत्रिक पध्दतीने साफसफाई करणे, विविध सेवकवर्ग ठेकेदार पध्दतीने नेमणे</t>
  </si>
  <si>
    <t>आर्थिक दुर्बल गटांसाठी आरोग्य सहाय्य योजने अंतर्गत औषधे खरेदी करणे</t>
  </si>
  <si>
    <t>RE11A276/R3-18</t>
  </si>
  <si>
    <t>पुणे शहरात सी.एम.पी. आराखड्यानुसार (PPP / Development TDR / Deffered payment / Premium charges) अन्वये प्रशासकीय मुल्यमापनानुसार प्रत्यक्ष अंमलबजावणी करून कामे करणे</t>
  </si>
  <si>
    <t>किरकोळ जमा, रद्दी विक्री</t>
  </si>
  <si>
    <t>शाळांच्या भवन दुरूस्तीपोटी आलेले अनुदान</t>
  </si>
  <si>
    <t>प्राथमिक शिक्षण मंडळ – किरकोळ जमा</t>
  </si>
  <si>
    <t>RI12A107</t>
  </si>
  <si>
    <t>RI12A108</t>
  </si>
  <si>
    <t>ZE16A104/SP2-1</t>
  </si>
  <si>
    <t>ZE16A104/SP2-12</t>
  </si>
  <si>
    <t>ZE16A104/SP2-21</t>
  </si>
  <si>
    <t>ZE16A104/SP2-28</t>
  </si>
  <si>
    <t>ZE16A104/SP2-115</t>
  </si>
  <si>
    <t>ZE16A104/SP2-116</t>
  </si>
  <si>
    <t>ZE16A104/SP2-231</t>
  </si>
  <si>
    <t>ZE16A104/SP2-232</t>
  </si>
  <si>
    <t>ZE16A104/SP2-233</t>
  </si>
  <si>
    <t>ZE16A104/SP2-234</t>
  </si>
  <si>
    <t>ZE16A104/SP2-240</t>
  </si>
  <si>
    <t>ZE16A104/SP2-241</t>
  </si>
  <si>
    <t>ZE16A104/SP2-242</t>
  </si>
  <si>
    <t>ZE16A104/SP2-243</t>
  </si>
  <si>
    <t>ZE16A104/SP2-277</t>
  </si>
  <si>
    <t>ZE16A104/SP2-278</t>
  </si>
  <si>
    <t>ZE16A104/SP2-317</t>
  </si>
  <si>
    <t>ZE16A104/SP2-321</t>
  </si>
  <si>
    <t>ZE16A104/SP2-322</t>
  </si>
  <si>
    <t>ZE16A104/SP2-323</t>
  </si>
  <si>
    <t>ZE16A104/SP2-324</t>
  </si>
  <si>
    <t>ZE16A104/SP2-325</t>
  </si>
  <si>
    <t>ZE16A104/SP2-327</t>
  </si>
  <si>
    <t>ZE16A104/SP2-328</t>
  </si>
  <si>
    <t>ZE16A104/SP2-329</t>
  </si>
  <si>
    <t>ZE16A104/SP2-330</t>
  </si>
  <si>
    <t>ZE16A104/SP2-335</t>
  </si>
  <si>
    <t>ZE16A104/SP2-336</t>
  </si>
  <si>
    <t>ZE16A104/SP2-340</t>
  </si>
  <si>
    <t>ZE16A104/SP2-341</t>
  </si>
  <si>
    <t>ZE16A104/SP2-343</t>
  </si>
  <si>
    <t>ZE16A104/SP2-345</t>
  </si>
  <si>
    <t>ZE16A106/SP3-1</t>
  </si>
  <si>
    <t>ZE16A106/SP3-4</t>
  </si>
  <si>
    <t>ZE16A106/SP3-5</t>
  </si>
  <si>
    <t>ZE16A106/SP3-13</t>
  </si>
  <si>
    <t>ZE16A106/SP3-29</t>
  </si>
  <si>
    <t>ZE16A107/SP8-3</t>
  </si>
  <si>
    <t>ZE16B102/SD2-1</t>
  </si>
  <si>
    <t>ZE16B102/SD2-4</t>
  </si>
  <si>
    <t>ZE16B102/SD2-5</t>
  </si>
  <si>
    <t>ZE16B102/SD2-21</t>
  </si>
  <si>
    <t>ZE16B102/SD2-22</t>
  </si>
  <si>
    <t>ZE16B102/SD2-31</t>
  </si>
  <si>
    <t>ZE16B102/SD2-32</t>
  </si>
  <si>
    <t>ZE16B102/SD2-50</t>
  </si>
  <si>
    <t>ZE16B102/SD2-66</t>
  </si>
  <si>
    <t>ZE16B102/SD2-100</t>
  </si>
  <si>
    <t>ZE16B102/SD2-128</t>
  </si>
  <si>
    <t>ZE16B102/SD2-135</t>
  </si>
  <si>
    <t>ZE16B102/SD2-136</t>
  </si>
  <si>
    <t>ZE16B102/SD2-137</t>
  </si>
  <si>
    <t>ZE16B102/SD2-183</t>
  </si>
  <si>
    <t>ZE16B102/SD2-184</t>
  </si>
  <si>
    <t>ZE16B102/SD2-197</t>
  </si>
  <si>
    <t>ZE16B102/SD2-198</t>
  </si>
  <si>
    <t>ZE16B102/SD2-199</t>
  </si>
  <si>
    <t>ZE16B102/SD2-200</t>
  </si>
  <si>
    <t>ZE16B102/SD2-201</t>
  </si>
  <si>
    <t>ZE16B102/SD2-311</t>
  </si>
  <si>
    <t>ZE16B102/SD2-313</t>
  </si>
  <si>
    <t>ZE16B103/SD3-2</t>
  </si>
  <si>
    <t>ZE16B103/SD3-4</t>
  </si>
  <si>
    <t>ZE16B103/SD3-17</t>
  </si>
  <si>
    <t>ZE16B103/SD3-38</t>
  </si>
  <si>
    <t>CE12A422/SJ2-1</t>
  </si>
  <si>
    <t>CE22A705/SJ21-1</t>
  </si>
  <si>
    <t>CE20A102/SA2-296</t>
  </si>
  <si>
    <t>CE20A1249/SA6-171</t>
  </si>
  <si>
    <t>CE20A1249/SA6-175</t>
  </si>
  <si>
    <t>CE20B102/ST2-18</t>
  </si>
  <si>
    <t>CE20B102/ST2-43</t>
  </si>
  <si>
    <t>CE20B108/ST7-3</t>
  </si>
  <si>
    <t>CE20D170/SL1-2</t>
  </si>
  <si>
    <t>CE20D170/SL1-12</t>
  </si>
  <si>
    <t>CE20D170/SL1-19</t>
  </si>
  <si>
    <t>CE17A192/SJ13-10</t>
  </si>
  <si>
    <t>CE17A242/SJ6-5</t>
  </si>
  <si>
    <t>CE17A242/SJ6-14</t>
  </si>
  <si>
    <t>CE22A705/SJ21-3</t>
  </si>
  <si>
    <t>CE22A705/SJ21-4</t>
  </si>
  <si>
    <t>CE27A241/SJ24-31</t>
  </si>
  <si>
    <t>CE28A160/SJ16-14</t>
  </si>
  <si>
    <t>CE28A160/SJ16-15</t>
  </si>
  <si>
    <t>CE28A160/SJ16-16</t>
  </si>
  <si>
    <t>CE28A160/SJ16-17</t>
  </si>
  <si>
    <t>CE28A160/SJ16-18</t>
  </si>
  <si>
    <t>CE28A226/SJ26-4</t>
  </si>
  <si>
    <t>CE29A244/SJ29-3</t>
  </si>
  <si>
    <t>CE29A244/SJ29-7</t>
  </si>
  <si>
    <t>FE14C125/SM1-26</t>
  </si>
  <si>
    <t>FE17A277/SY1-30</t>
  </si>
  <si>
    <t>आऊटसोर्सिंगने कचरा संदर्भात कामे करून घेणे</t>
  </si>
  <si>
    <t>सार्वजनिक वाहतूक सुधारणा व विशेष प्रकल्प विभागामार्फत करावयाची कामे :</t>
  </si>
  <si>
    <t>बोपोडी सांगवी नदिवर पुल बांधणे.</t>
  </si>
  <si>
    <t>FE14A134</t>
  </si>
  <si>
    <t>FE17A278</t>
  </si>
  <si>
    <t>FE17A279</t>
  </si>
  <si>
    <t>FE17A280</t>
  </si>
  <si>
    <t>FE17A281</t>
  </si>
  <si>
    <t>FE17A282</t>
  </si>
  <si>
    <t>FE17A283</t>
  </si>
  <si>
    <t>FE17A284</t>
  </si>
  <si>
    <t>FE17A285</t>
  </si>
  <si>
    <t>FE17A286</t>
  </si>
  <si>
    <t>प्र.क.६७ अ मधील कचरा उचलण्यासाठी ४ मिनी टेम्पो (टाटा एस छोटा हत्ती) खरेदी करणेसाठी</t>
  </si>
  <si>
    <t>प्र.क.२ अ मधील विविध भागातील कचरा संकलीत करणेसाठी ५( पाच) छोटी वाहणे खरेदी करणे.</t>
  </si>
  <si>
    <t>प्र.क.४० अ मधील कचरा उचलण्यासाठी २ मिनी टॅम्पो टाटा एस छोटा हत्ती खरेदीकरणे.</t>
  </si>
  <si>
    <t>प्र.क.४० अ मधील सार्वजनिक मुता-या स्वच्छ करणेसाठी हायप्रेशर जेटींग मशिन १ नग खरेदी करणे.</t>
  </si>
  <si>
    <t>प्र.क.१२ ब मध्ये टाटा एसीई तांत्रिक पध्दतीने मुतारी व शौचालय साफ करणे व यंत्रणेसह वाहन खरेदी करणे.</t>
  </si>
  <si>
    <t>प्र.क.१२ ब मध्ये फोर्स मोटर कंपनीमधील नॉन एसी अ‍ॅबुलन्स खरेदी करणे.</t>
  </si>
  <si>
    <t>प्र.क.१२ ब मध्ये टाटा एस खरेदी करून ओला व सुका कचरा तांत्रिक पध्दतीने गोळा करणे.</t>
  </si>
  <si>
    <t>प्र.क.६१ ब मध्ये विविध ठिकाणी कचरा गोळा करणे कामी २ घंटागाडी टेम्पो खरेदी करणे.</t>
  </si>
  <si>
    <t>प्र.क.४९ ब मध्ये घनकचरा व्यवस्थापनांतर्गत घंटा टिपर बांधणे साठी भारत आय.व्ही.मानांकन असलेली तीन चासीज खरेदी करणे.</t>
  </si>
  <si>
    <t>FE17A298</t>
  </si>
  <si>
    <t>प्र.क.५० ब मध्ये घनकचरा व्यवस्थापनासाठी छोटे वाहन खरेदी करणे.</t>
  </si>
  <si>
    <t>RE12A132</t>
  </si>
  <si>
    <t>प्राथमिक शिक्षण मंडळाची मागील बिले अदा करणेसाठी तरतुद</t>
  </si>
  <si>
    <t>RE27A162</t>
  </si>
  <si>
    <t>RE27A163</t>
  </si>
  <si>
    <t>RE27A164</t>
  </si>
  <si>
    <t>महापौर चषक बुध्दीबळ स्पर्धा</t>
  </si>
  <si>
    <t>CE26A404</t>
  </si>
  <si>
    <t>सन २०१४-१५ या आर्थिक वर्षातील अपूर्ण कामाच्या बिलासाठी सन १५-१६ च्या अंदाजपत्रकीय तरतुदीमधून ५% वजावट करून प्राप्त झालेली रक्कम</t>
  </si>
  <si>
    <t>पुणे महापौर चषक राष्ट्रीय रोलर स्केटींग स्पर्धा आयोजित करण्यास व सदर स्पर्धा भरविण्यासाठी आवश्यक खर्च करणे</t>
  </si>
  <si>
    <t>पुणे महापौर चषक शरीर सौष्ठ स्पर्धा सन२०१५-१६ आयोजित करणेसाठी व आवश्यक खर्च करणे</t>
  </si>
  <si>
    <t>गणेश कला क्रिडा केंद्र येथे डिस्ट्रीब्युशन ट्रान्स्फॉर्मर व तद्‌नुषंगिक सर्व कामे करणे</t>
  </si>
  <si>
    <t>प्र. क्र.१७ ब रॅगपिकर्स साठी बंदिस्त कचरा गाड्या घेणे</t>
  </si>
  <si>
    <t>प्र.क्र.४८ अ, कचरा वर्गीकरण होणेकामी घंटा गाडी पुरविणे</t>
  </si>
  <si>
    <t>प्रभाग क्र.२६ब, संपूर्ण प्रभागात निर्माण झालेला कचरा गोळा करणे व तो वाहून नेण्यासाठी ३ अ‍ॅपे रिक्षा  उपलब्ध करून देणे</t>
  </si>
  <si>
    <t>प्र.क्र.३१ ब मध्ये सोसायटी कॉलनी मधील कचरा उचलण्याकरिता नवीन कचरा घंटागाडी (टाटा एआयएस) घेणे</t>
  </si>
  <si>
    <t>प्र.क्र.५६ अ मध्ये कचरा गोळा करणेसाठी टेम्पो खरेदी करणे</t>
  </si>
  <si>
    <t>RI19A108</t>
  </si>
  <si>
    <t>स्वच्छ महाराष्ट्र अभियान अंतर्गत अनुदान</t>
  </si>
  <si>
    <t>XI12E102</t>
  </si>
  <si>
    <t>ऊर्जा बचत कक्षामार्फत पाणीपुरवठा योजनेसंदर्भात ऊर्जा संवर्धन पथदर्शी प्रकल्पासाठी मेढाकडून अनुदान</t>
  </si>
  <si>
    <t>CE22A706</t>
  </si>
  <si>
    <t>CE20C552</t>
  </si>
  <si>
    <t>CE20C553</t>
  </si>
  <si>
    <t>पुणे शहरातील पुलांचे विद्युत सुशोभीकरण करणे</t>
  </si>
  <si>
    <t>इंटेलिजेन्ट ट्रान्सपोर्ट सिस्टीम (आयटीएमएस)</t>
  </si>
  <si>
    <t>CE20A1265</t>
  </si>
  <si>
    <t>सन २०१३-१४ मधील अपूर्ण कामांसाठी सन १४-१५ मध्ये उपलब्ध केलेली तरतूद</t>
  </si>
  <si>
    <t>सन २०१४-१५ मधील अपूर्ण कामांसाठी सन १५-१६ मध्ये उपलब्ध केलेली तरतूद</t>
  </si>
  <si>
    <t>1718 आयुक्‍त</t>
  </si>
  <si>
    <t xml:space="preserve">The balance at the outset of the year Including the cash maintained as per provisions of the Act- to maintain minimum cash balance </t>
  </si>
  <si>
    <t xml:space="preserve">1. General Tax, Indirect Tax and other receipts </t>
  </si>
  <si>
    <t>c. General Tax</t>
  </si>
  <si>
    <t>1. From citizens (Assessor and collector of taxes)</t>
  </si>
  <si>
    <t>2. From State Government (Assessor and collector of taxes)</t>
  </si>
  <si>
    <t>3. From Central Government (aid received for taxes) (Assessor and collector of taxes)</t>
  </si>
  <si>
    <t>4. The tax on properties of Pune Vehicle Depot (Assessor and collector of taxes)</t>
  </si>
  <si>
    <t>c. Total of General Tax</t>
  </si>
  <si>
    <t>Octroi</t>
  </si>
  <si>
    <t>1. Assured receipts (Octroi head)</t>
  </si>
  <si>
    <t>2. 10% share of the exit refunds (Octroi head)</t>
  </si>
  <si>
    <t>3. Income from pending tax hike</t>
  </si>
  <si>
    <t>Minus- Refund (Octroi head)</t>
  </si>
  <si>
    <t>Net receipts</t>
  </si>
  <si>
    <t>Transit Fee (Octroi head)</t>
  </si>
  <si>
    <t>Grand total of Octroi only</t>
  </si>
  <si>
    <t>Local Body Tax</t>
  </si>
  <si>
    <t>Local Body Tax Registration Fee</t>
  </si>
  <si>
    <t>Tax on purchase till Rs. 10 lakh</t>
  </si>
  <si>
    <t>Tax as per square meter construction</t>
  </si>
  <si>
    <t>Tax on contractors- 0.25% of total turnover</t>
  </si>
  <si>
    <t>10% Tax on exported goods</t>
  </si>
  <si>
    <t>Other receipts- Local Body Tax</t>
  </si>
  <si>
    <t>Interest on Local Body Tax</t>
  </si>
  <si>
    <t>Fine for Local Body Tax</t>
  </si>
  <si>
    <t>Local Body Tax- recovered amount</t>
  </si>
  <si>
    <t>Amount received from State Government on account of Stamp Duty surcharge (1%)</t>
  </si>
  <si>
    <t>LBT recovered from PMC contractor bills</t>
  </si>
  <si>
    <t>Grant from State Government for LBT</t>
  </si>
  <si>
    <t>Total of Local Body Tax</t>
  </si>
  <si>
    <t>Minus- Local Body tax Refund</t>
  </si>
  <si>
    <t>Grand total of Local Body Tax</t>
  </si>
  <si>
    <t>Other Taxes</t>
  </si>
  <si>
    <t>1. Entertainment Tax (Assessor and collector of taxes)</t>
  </si>
  <si>
    <t>2. Compensation received from Government on account of Profession Tax (Assessor and collector of taxes)</t>
  </si>
  <si>
    <t>3. Share received from State Government of Entertainment Tax charged by State Government (Assessor and collector of taxes)</t>
  </si>
  <si>
    <t>Government Aid for penalty under Corporation Act (Legal Adviser)</t>
  </si>
  <si>
    <t>Interest on invested amounts (chief accountant)</t>
  </si>
  <si>
    <t>Recovery from the audit reports of various departments</t>
  </si>
  <si>
    <t>Amounts received by PMC as awards</t>
  </si>
  <si>
    <t>Service-book fee for Staff</t>
  </si>
  <si>
    <t>Other receipts</t>
  </si>
  <si>
    <t>1. Sale of scrap (Assistant Municipal commissioner, Estate and Housing)</t>
  </si>
  <si>
    <t>a. Drafting charges (legal advisor)</t>
  </si>
  <si>
    <t>b. Expenses for Claims and Process fees (legal advisor)</t>
  </si>
  <si>
    <t>c. Copy charges (Assistant Municipal commissioner, Estate and Housing)</t>
  </si>
  <si>
    <t>d. Warrant fee (Assessor and collector of taxes)</t>
  </si>
  <si>
    <t>e. Notice fee (Assessor and collector of taxes)</t>
  </si>
  <si>
    <t>f. Fee for ownership of properties (Assessor and collector of taxes)</t>
  </si>
  <si>
    <t>g. Penalty for property tax outstanding (2%) (Assessor and collector of taxes)</t>
  </si>
  <si>
    <t>3. Miscellaneous receipts</t>
  </si>
  <si>
    <t>a. Receipts due to uncollected and recovered receipt amounts (chief accountant)</t>
  </si>
  <si>
    <t>b. Rent for weighing machine (Octroi head)</t>
  </si>
  <si>
    <t>c1. Sale of voters' list (Assistant Municipal Commissioner)</t>
  </si>
  <si>
    <t>2. Other miscellaneous receipts</t>
  </si>
  <si>
    <t>Books, manuals, maps etc with other departments (Assistant Municipal Commissioner- estates and housing)</t>
  </si>
  <si>
    <t>Old material sale from repository department (Assistant Municipal Commissioner)</t>
  </si>
  <si>
    <t>Expenses for record keeping of returned goods (Octroi head)</t>
  </si>
  <si>
    <t>Donation form sale receipts (deputy commissioner- general)</t>
  </si>
  <si>
    <t>Housing loan form sale (Assistant Municipal Commissioner- estates and housing)</t>
  </si>
  <si>
    <t xml:space="preserve">Amount received from government for census (Estate and housing) </t>
  </si>
  <si>
    <t>Workers department other receipts</t>
  </si>
  <si>
    <t>Security department other receipts</t>
  </si>
  <si>
    <t>Octroi form sell (Octroi head)</t>
  </si>
  <si>
    <t>Maharashtra Right to Information Act</t>
  </si>
  <si>
    <t>Amount received under CFC</t>
  </si>
  <si>
    <t>Revenue through advertisements in kiosks and e-services</t>
  </si>
  <si>
    <t>Receipts at canteens at Octroi booths</t>
  </si>
  <si>
    <t xml:space="preserve">Total </t>
  </si>
  <si>
    <t xml:space="preserve">Grand total of Other receipts </t>
  </si>
  <si>
    <t>1. Grand total of General Tax, Indirect Tax and other receipts</t>
  </si>
  <si>
    <t>2. Primary Education</t>
  </si>
  <si>
    <t>Government Grant (chief accountant)</t>
  </si>
  <si>
    <t>Grant received for repair of school buildings</t>
  </si>
  <si>
    <t>Primary Education Board- miscellaneous receipts</t>
  </si>
  <si>
    <t>Fine, witness allowance, etc</t>
  </si>
  <si>
    <t>Kinder-Garden fee</t>
  </si>
  <si>
    <t>External examination fee</t>
  </si>
  <si>
    <t>English medium fee</t>
  </si>
  <si>
    <t>Miscellaneous receipts, scrap sale</t>
  </si>
  <si>
    <t>2. Grand total of Primary Education</t>
  </si>
  <si>
    <t>3. Secondary education</t>
  </si>
  <si>
    <t>1. Class fee</t>
  </si>
  <si>
    <t>2. Semester fee</t>
  </si>
  <si>
    <t>3. Admission fee</t>
  </si>
  <si>
    <t>4. Other receipts- Secondary education</t>
  </si>
  <si>
    <t>5. Government grant</t>
  </si>
  <si>
    <t>3. Grand total of Secondary education</t>
  </si>
  <si>
    <t>4. Slum eradication and rehabilitation department</t>
  </si>
  <si>
    <t>1. Slum identity receipt/certificate fee</t>
  </si>
  <si>
    <t>2. License fee for various slum businesses</t>
  </si>
  <si>
    <t>3. Service charges from slum dwellers</t>
  </si>
  <si>
    <t>4. Maintenance and recovery fee of shops built under Slum eradication and rehabilitation scheme</t>
  </si>
  <si>
    <t>6. Government grant for Slum eradication and rehabilitation works</t>
  </si>
  <si>
    <t>9. Other receipts, Slum eradication and rehabilitation</t>
  </si>
  <si>
    <t>10. Other receipts, Urban community</t>
  </si>
  <si>
    <t>11. Photo pass receipts</t>
  </si>
  <si>
    <t>16. Housing scheme for scheduled castes and new converts to Buddhism</t>
  </si>
  <si>
    <t>Citizens share- Girl child adoption scheme</t>
  </si>
  <si>
    <t>4. Grand total of Slum eradication and rehabilitation department</t>
  </si>
  <si>
    <t>5. Public health</t>
  </si>
  <si>
    <t>Malaria eradication scheme- government grant, other receipts (Medical officer)</t>
  </si>
  <si>
    <t>Income of Vaikunth crematory (Medical officer)</t>
  </si>
  <si>
    <t>Anti-adulteration restriction- Restaurant fee (Medical officer)</t>
  </si>
  <si>
    <t>License fee for other businesses (Medical officer)</t>
  </si>
  <si>
    <t>Other receipts (medicine sale, vaccines etc) (Medical officer)</t>
  </si>
  <si>
    <t>Aid for birth control (Medical officer)</t>
  </si>
  <si>
    <t>Government grant for remedial measures on stray dogs (Medical officer)</t>
  </si>
  <si>
    <t>Sale of forms (Medical officer)</t>
  </si>
  <si>
    <t>Birth and death department (Medical officer)</t>
  </si>
  <si>
    <t>License for other business- Dhobi Ghat (Assistant Municipal commissioner, Estate and Housing)</t>
  </si>
  <si>
    <t>Marriage registration form sale</t>
  </si>
  <si>
    <t>Fee received at 15 Ward offices for fines imposed</t>
  </si>
  <si>
    <t>Fee received from doctors for home delivery of certificates</t>
  </si>
  <si>
    <t>5. Grand total of Public health</t>
  </si>
  <si>
    <t>7. Hospitals, maternity homes, medicines etc</t>
  </si>
  <si>
    <t>Hospital for Communicative diseases, share of other hospital (Medical officer)</t>
  </si>
  <si>
    <t>Drug store fee (Medical officer)</t>
  </si>
  <si>
    <t>Laboratory fee (Medical officer)</t>
  </si>
  <si>
    <t>Other receipts (Medical officer)</t>
  </si>
  <si>
    <t>Primary health care center (Medical officer)</t>
  </si>
  <si>
    <t>Radiology (Medical Officer)</t>
  </si>
  <si>
    <t>7. Grand total of Hospitals, maternity homes, medicines etc</t>
  </si>
  <si>
    <t>8. Health aid scheme for hon. Members and workers</t>
  </si>
  <si>
    <t>a. Health aid scheme for hon. Members and workers (Medical Officer)</t>
  </si>
  <si>
    <t>b. Health aid scheme for PMPML workers (Medical Officer)</t>
  </si>
  <si>
    <t>c. Health aid scheme for education board workers (Medical Officer)</t>
  </si>
  <si>
    <t>8. Grand total of Health aid scheme for hon. Members and workers</t>
  </si>
  <si>
    <t xml:space="preserve">9. Road sweeping, garbage transportation, arrangment for sludge and sewage transportation </t>
  </si>
  <si>
    <t>c. Sweeping tax and special sweeping tax</t>
  </si>
  <si>
    <t>2. From government (Assessor and collector of taxes)</t>
  </si>
  <si>
    <t>3. On the properties of PMC (Assessor and collector of taxes)</t>
  </si>
  <si>
    <t>4. Special sweeping tax (Assessor and collector of taxes)</t>
  </si>
  <si>
    <t>6. Receipts for accepting the solid waste of Mauje Manjari village</t>
  </si>
  <si>
    <t>2. Miscellaneous Collection (Medical Officer)</t>
  </si>
  <si>
    <t>3. Sweeping Fee (Medical Officer)</t>
  </si>
  <si>
    <t>B. Total</t>
  </si>
  <si>
    <t>9.  Grand total of Road Sweeping</t>
  </si>
  <si>
    <t>10. Road Development</t>
  </si>
  <si>
    <t>Road Department</t>
  </si>
  <si>
    <t>1. Street Tax (Assessor and collector of taxes)</t>
  </si>
  <si>
    <t>2. Government Aid for vehicle tax (Assessor and collector of taxes)</t>
  </si>
  <si>
    <t>3. Miscellaneous Collection (Tender Form Sales, Maintenance expenditure)</t>
  </si>
  <si>
    <t>7.Card, Step Fee (encroachment)</t>
  </si>
  <si>
    <t>8. receipt amount for road excavation (Road)</t>
  </si>
  <si>
    <t>8-A. Receipts on account of Demand Note for Laying down Optical Fiber Cable  (Road)</t>
  </si>
  <si>
    <t>9.Parking fee/ Collection through I.T.S medium (traffic management)</t>
  </si>
  <si>
    <t>10.Grant for Road Construction and Road Maintenance (Assessor and collector of taxes)</t>
  </si>
  <si>
    <t>11. According to B.P.M.C. Act Section 79 K one time duct cable rent/ receipte as royalty (with dues)</t>
  </si>
  <si>
    <t xml:space="preserve">12. receipt for rented electrical ladders for I.T.S.B.R.T </t>
  </si>
  <si>
    <t>13. Action on Vehicles parked in No Parking Zone</t>
  </si>
  <si>
    <t xml:space="preserve">10. Grand totalRoad Development </t>
  </si>
  <si>
    <t>11. Mechanical Department - Municipal Corporation Workshop</t>
  </si>
  <si>
    <t>Miscellaneous Collection</t>
  </si>
  <si>
    <t xml:space="preserve">11. Grand Total Mechanical Sum </t>
  </si>
  <si>
    <t xml:space="preserve">12. Management of Buildings, Land and Municipal Corporation quarters </t>
  </si>
  <si>
    <t>A. Land, Building Rent and Land Sell</t>
  </si>
  <si>
    <t>1. Land Rent (Assistant Municipal Commissioner- Special)</t>
  </si>
  <si>
    <t>2. Land Sell (Assistant Municipal Commissioner- Special)</t>
  </si>
  <si>
    <t>3. Building Rent (Assistant Municipal Commissioner- Special)</t>
  </si>
  <si>
    <t>4. Other Collection (Assistant Municipal Commissioner- Special)</t>
  </si>
  <si>
    <t>5. S. Savarkar Industrial Building service charges for cleanliness and maintenance (Assistant Municipal Commissioner- Special)</t>
  </si>
  <si>
    <t>B. Municipal Corporation Quarters Rent (Assistant Municipal Commissioner- Special)</t>
  </si>
  <si>
    <t>1. Municipal Corporation Quarters Rent</t>
  </si>
  <si>
    <t>2. Service Charges</t>
  </si>
  <si>
    <t>C. Hostel for Socio-economically Backward students - Rent and Other Collections (Education officer- secondary)</t>
  </si>
  <si>
    <t>D. Mandap pass, other land and equipments rent (encroachment)</t>
  </si>
  <si>
    <t>12. Grand Total of Buildings, Land and Chawls</t>
  </si>
  <si>
    <t>13. Construction Planning, Town Planning and Development Planning</t>
  </si>
  <si>
    <t>Fee</t>
  </si>
  <si>
    <t>1. License Fee (Construction Planning)</t>
  </si>
  <si>
    <t>2. Map Fee  (Construction Planning)</t>
  </si>
  <si>
    <t>3. Construction material land rent (encroachment)</t>
  </si>
  <si>
    <t>4. Betterment Charges (City Engineer)</t>
  </si>
  <si>
    <t>8. Amount collected for Waterline Peripheral</t>
  </si>
  <si>
    <t>11. Contractor Registration Fee</t>
  </si>
  <si>
    <t>13. Nalla/Stram area development Charges</t>
  </si>
  <si>
    <t>14. Administrative Charges for Mobile Tower</t>
  </si>
  <si>
    <t>B. Other receipts (Tender Form Sell, Monitoring expenditure, and commission related to store) (City engineer)</t>
  </si>
  <si>
    <t>13. Grand Total of Construction Management</t>
  </si>
  <si>
    <t xml:space="preserve">14. Fire Brigade </t>
  </si>
  <si>
    <t>Ambulance rent (Fire Brigade)</t>
  </si>
  <si>
    <t>Other collections including Fire premium 15-40 meter high buildings in Municipal Corporation Boundary (Fire Brigade)</t>
  </si>
  <si>
    <t>Other collections including Fire premium 15-40 meter high buildings outside Municipal Corporation Boundary (Fire Brigade)</t>
  </si>
  <si>
    <t>C. Additional general Tax for expenditure on Fire Brigade Maintenance Service (Assessor and collector of taxes)</t>
  </si>
  <si>
    <t>Fire Infrastructure charges for Buildings those are taller than 40 Meter in Municipal Corporation Boundary (Fire Brigade)</t>
  </si>
  <si>
    <t>Fire Infrastructure charges for Buildings those are taller than 40 Meter outside Municipal Corporation Boundary (Fire Brigade)</t>
  </si>
  <si>
    <t>Fire Protection Fund, Fire Brigade Fee and Yearly Fee in Municipal Corporation Boundary (Fire Brigade)</t>
  </si>
  <si>
    <t>Fire Protection Fund, Fire Brigade Fee and Yearly Fee outside Municipal Corporation Boundary (Fire Brigade)</t>
  </si>
  <si>
    <t>14. Grand Total Fire Brigade</t>
  </si>
  <si>
    <t>15.License and hoardings, eradication of encroachment on roads and animal sheters</t>
  </si>
  <si>
    <t>A. License and Hoardings</t>
  </si>
  <si>
    <t>1. Vendor License Fee (encroachment)</t>
  </si>
  <si>
    <t>2. Hoardings License Fee (License)</t>
  </si>
  <si>
    <t>3. Other License Fee (License)</t>
  </si>
  <si>
    <t>4. Flaps (Protection from sun and rain) License Fee (encroachment)</t>
  </si>
  <si>
    <t>5. Animal Shelter (Assistant Municipal Commissioner- Estates and housing)</t>
  </si>
  <si>
    <t>6.Sell of Forms (License Department)</t>
  </si>
  <si>
    <t>7.Hawkers and commercial Fee (Encroachment)</t>
  </si>
  <si>
    <t>9.Sale of Forms (Encroachment)</t>
  </si>
  <si>
    <t>B.Eradicating Encroachments (Assistant Municipal Commissioner- Special)</t>
  </si>
  <si>
    <t>15. Grand Total of License and Hoardings</t>
  </si>
  <si>
    <t>16. Gardens, Zoos, Aquarium</t>
  </si>
  <si>
    <t>Gardens</t>
  </si>
  <si>
    <t>1. Fruits, Flowers, saplings and Fertilizers sales, shooting fee, pots rent etc.</t>
  </si>
  <si>
    <t>2.License Fee</t>
  </si>
  <si>
    <t>5.Entry Fee for Garden</t>
  </si>
  <si>
    <t>Zoo</t>
  </si>
  <si>
    <t>1. Phulrani (Toy train for children)</t>
  </si>
  <si>
    <t>2. Other receipts</t>
  </si>
  <si>
    <t>a. Retail sale/sale of animals</t>
  </si>
  <si>
    <t>b. License Fee</t>
  </si>
  <si>
    <t>Aquarium</t>
  </si>
  <si>
    <t>1. Aquarium, Entry Fee (departmental office)</t>
  </si>
  <si>
    <t>Rajiv Gandhi Zoo, Katraj</t>
  </si>
  <si>
    <t>1. Rajiv Gandhi Zoo, Entry Fee</t>
  </si>
  <si>
    <t>2. Ban on use of Plastic/ Animal Adoption Scheme/ other collection</t>
  </si>
  <si>
    <t>3. Battery Operator Vehicle</t>
  </si>
  <si>
    <t>16. Grand Total of Gardens, Zoos and Aquariums</t>
  </si>
  <si>
    <t>17. Sport and Playgrounds</t>
  </si>
  <si>
    <t>A. Pandit Jawaharlal Nehru Stadium (Assistant Municipal Commissioner- special)</t>
  </si>
  <si>
    <t>1. Ground Rent</t>
  </si>
  <si>
    <t>3. Stadium Rent</t>
  </si>
  <si>
    <t xml:space="preserve">4. Late Gen. ArunKumar Vaidya Stadium Rent </t>
  </si>
  <si>
    <t>5. Lake Fee (Garden)</t>
  </si>
  <si>
    <t>6. Sanas Ground Badminton Hall Rent</t>
  </si>
  <si>
    <t>7. Late Baburao Sanas Ground Rent</t>
  </si>
  <si>
    <t>8. Late Baburao Sanas Ground rent for practice</t>
  </si>
  <si>
    <t>9. Late Baburao Sanas Ground Sport Hostel Rent</t>
  </si>
  <si>
    <t>10. Late Gen. Arunkumar Vaidya Stadium Boxing ring Rent</t>
  </si>
  <si>
    <t>11. Hadapsar Handball Ground Rent</t>
  </si>
  <si>
    <t>Dr. Babasaheb Ambedkar Swimming Pool, Sahakarnagar Rent</t>
  </si>
  <si>
    <t>Fee for ground cleaning</t>
  </si>
  <si>
    <t>17. Grand Total of Sport and Playgrounds</t>
  </si>
  <si>
    <t>18. Cultural Centers</t>
  </si>
  <si>
    <t>A. Balgandharva Rangmandir</t>
  </si>
  <si>
    <t>1. Rangmandir Rent</t>
  </si>
  <si>
    <t>2. Door keeping and Board</t>
  </si>
  <si>
    <t>3. Art Gallery Rent</t>
  </si>
  <si>
    <t>4. Canteen Rent</t>
  </si>
  <si>
    <t>5. Residence Rent</t>
  </si>
  <si>
    <t>6. Facility for display of photos</t>
  </si>
  <si>
    <t>7. Other Collection</t>
  </si>
  <si>
    <t>8. Bicycle, Scooter and Car parking stand rent</t>
  </si>
  <si>
    <t>A. Balagandharv Rangmandir Total</t>
  </si>
  <si>
    <t>B. Ganesh Kalakrida Mandir</t>
  </si>
  <si>
    <t>1. Auditorium Rent</t>
  </si>
  <si>
    <t>2. Exhibition Hall Rent</t>
  </si>
  <si>
    <t>4. Parking Stand Rent</t>
  </si>
  <si>
    <t>5. Other Collection</t>
  </si>
  <si>
    <t>B. Ganesh Kalakrida Mandir Total</t>
  </si>
  <si>
    <t>C. Yashavantrao Chanvan Theater</t>
  </si>
  <si>
    <t>1. Theater rent</t>
  </si>
  <si>
    <t>2. Door keeping and board rent</t>
  </si>
  <si>
    <t>6. Parking Stand Rent</t>
  </si>
  <si>
    <t>7. Other receipts</t>
  </si>
  <si>
    <t>C. Yashavantrao Chanvan Theater Total</t>
  </si>
  <si>
    <t>D. Dr. Babasaheb Ambedkar Cultural Center</t>
  </si>
  <si>
    <t>1. Theater Rent</t>
  </si>
  <si>
    <t>2. Conference Hall Rent</t>
  </si>
  <si>
    <t>6. Other receipts</t>
  </si>
  <si>
    <t>7. Computer Room</t>
  </si>
  <si>
    <t>D.Dr. Babasaheb Ambedkar Cultural Center Total</t>
  </si>
  <si>
    <t>E. Maulana Abul Kalam Azad Memorial</t>
  </si>
  <si>
    <t>1. Multipurpose Hall Rent</t>
  </si>
  <si>
    <t>3. Other receipts</t>
  </si>
  <si>
    <t>E. Maulana Abul Kalam Azad Memorial Total</t>
  </si>
  <si>
    <t>F. Raja Ravivarma Art Gallery and Pandit Jawaharlal Nehru Cultural Center (Ghole Road Art Gallery)</t>
  </si>
  <si>
    <t>2. Door Keeping and Board Rent</t>
  </si>
  <si>
    <t>3. Exhibition Rent</t>
  </si>
  <si>
    <t>5. Other receipts</t>
  </si>
  <si>
    <t>6. Canteen Rent</t>
  </si>
  <si>
    <t>F. Raja Ravivarma Art Gallery and Pandit Jawaharlal Nehru Cultural Center Total</t>
  </si>
  <si>
    <t>G. Pandit Bhimsen Joshi Art Gallery, Sahakarnagar</t>
  </si>
  <si>
    <t>2. Art Gallery Rent</t>
  </si>
  <si>
    <t>3. Music Library Rent</t>
  </si>
  <si>
    <t>4. Canteen and Cafeteria Rent</t>
  </si>
  <si>
    <t>G. Pandit Bhimsen Joshi Art Gallery, Sahakarnagar Total</t>
  </si>
  <si>
    <t>H. Pandit Bhimsen Joshi Kalamandir, Aundh</t>
  </si>
  <si>
    <t>H. Pandit Bhimsen Joshi Kalamandir, Aundh Total</t>
  </si>
  <si>
    <t>Lokshahir Annabhau Sathe Memorial (Theater), Bibwewadi</t>
  </si>
  <si>
    <t>2. Multipurpose Hall Rent</t>
  </si>
  <si>
    <t>3. Rehearsal Hall Rent</t>
  </si>
  <si>
    <t>4. Door Keeping and Board Rent</t>
  </si>
  <si>
    <t>5. Canteen Rent</t>
  </si>
  <si>
    <t>Lokshahir Annabhau Sathe Memorial (Theater), Bibwewadi Total</t>
  </si>
  <si>
    <t>Vijay Tendulkar Theater in Rajiv Gandhi E-Learning School</t>
  </si>
  <si>
    <t>3. Canteen Rent</t>
  </si>
  <si>
    <t>Vijay Tendulkar Theater in Rajiv Gandhi E-Learning School Total</t>
  </si>
  <si>
    <t>Sadhwi Savitribai Phule Cultural Center, Bhawani Peth</t>
  </si>
  <si>
    <t>5. Parking Stand Rent</t>
  </si>
  <si>
    <t>6. Residence Rent</t>
  </si>
  <si>
    <t>Sadhwi Savitribai Phule Cultural Center, Bhawani Peth  Total</t>
  </si>
  <si>
    <t>Mahatma Phule Cultural Centre, Vanwadi</t>
  </si>
  <si>
    <t>Mahatma Phule Cultural Centre, Vanwadi Total</t>
  </si>
  <si>
    <t>18. Grand Total of Cultural centers</t>
  </si>
  <si>
    <t>19. Vegetable Markets</t>
  </si>
  <si>
    <t>Collection from Vegetable Markets</t>
  </si>
  <si>
    <t>Daily Rent of the land (Departmental Office)(encroachment)</t>
  </si>
  <si>
    <t>19. Grand Total of Vegetable Markets</t>
  </si>
  <si>
    <t>20. Slaughter house, Meat and Fish Market</t>
  </si>
  <si>
    <t>A. Rent of shops in Meat Market (Medical officer)</t>
  </si>
  <si>
    <t>B. Kondhwa Slaughterhouse Fee (Medical officer)</t>
  </si>
  <si>
    <t>C. Rent of Shops in Fish Market (Medical officer)</t>
  </si>
  <si>
    <t>D. Rent of Shops in Beef Market (Medical officer)</t>
  </si>
  <si>
    <t>E. Miscellaneous Collections (Medical officer)</t>
  </si>
  <si>
    <t>20. Grand Total of Slaughter house, Meat and Fish Market</t>
  </si>
  <si>
    <t>23. Rebate in collection of education tax from Government (Assessor and collector of taxes)</t>
  </si>
  <si>
    <t>25.Rebate in tax collection of residential lands (Assessor and collector of taxes)</t>
  </si>
  <si>
    <t>26. Rebate for Employment Guarantee tax Collection (Assessor and collector of taxes)</t>
  </si>
  <si>
    <t>27. Development Charges collected from Development Fund</t>
  </si>
  <si>
    <t>30.Funds from Local Development Projects on District Planning and development council (MLAs, M.P. Fund)</t>
  </si>
  <si>
    <t>30.1 - Charges Collection for D.P.D.C. Works</t>
  </si>
  <si>
    <t>Basic Infrastructure - Government's Special Grant</t>
  </si>
  <si>
    <t xml:space="preserve">Long term and short term loans taken from World Bank, Asian Development Bank, Japan Bank and other financial institutions </t>
  </si>
  <si>
    <t xml:space="preserve">34. Share of Government Grant underJNNURM, AMRUT and Smart City Mission </t>
  </si>
  <si>
    <t>35. Pune Municipal Corporation's Education Cess, 1.75% of taxable income (Assessor and collector of taxes)</t>
  </si>
  <si>
    <t>38. Special Grant for development of Basic Infrastructure</t>
  </si>
  <si>
    <t>39. Grant for creating Electrical Facility  Near Kasaba Ganapati Temple</t>
  </si>
  <si>
    <t>41. Rebate on account of favor</t>
  </si>
  <si>
    <t>43. Received Fund for Construction of Compound wall at Onkareshwar Temple, Installing solar lamps, laying water pipeline and constructing parking stand</t>
  </si>
  <si>
    <t xml:space="preserve">44. Funds Received for Solid waste management under General District Annual Scheme 2012-13 </t>
  </si>
  <si>
    <t>45. Funds received Under the General District Annual Scheme 2012-13, M. Phule museum MPSC/UPSC Study Rooms to be started</t>
  </si>
  <si>
    <t>Regional Tourism Development Scheme - Development of Shaniwar wada and surrounding area</t>
  </si>
  <si>
    <t>Grand receipts Budget 'A'</t>
  </si>
  <si>
    <t>Grand receipts Budget 'C'</t>
  </si>
  <si>
    <t>Grand receipts Budget 'A'+'C'</t>
  </si>
  <si>
    <t>Subtraction : Transfer towards budget 'C'</t>
  </si>
  <si>
    <t>Grand receipts Budget 'A' +'C'</t>
  </si>
  <si>
    <r>
      <t>1. Water Supply (</t>
    </r>
    <r>
      <rPr>
        <sz val="8"/>
        <color rgb="FFFF0000"/>
        <rFont val="Arial"/>
        <family val="2"/>
      </rPr>
      <t>ADD. City Engg.)</t>
    </r>
  </si>
  <si>
    <t>General Water Tariff (Assessor and collector of taxes)</t>
  </si>
  <si>
    <t>From Government (Assessor and collector of taxes)</t>
  </si>
  <si>
    <t>Water tariff for the PMPML properties (Assessor and collector of taxes)</t>
  </si>
  <si>
    <t>Water benefit Tax (3% of the taxable amount) (Assessor and collector of taxes)</t>
  </si>
  <si>
    <r>
      <t xml:space="preserve">Water tariff as per Water meter </t>
    </r>
    <r>
      <rPr>
        <sz val="8"/>
        <color rgb="FFFF0000"/>
        <rFont val="Arial"/>
        <family val="2"/>
      </rPr>
      <t>(ADD. City Engg.)</t>
    </r>
  </si>
  <si>
    <t>Water meter tariff receipts for outstanding</t>
  </si>
  <si>
    <t>Water meter tariff receipts under Slum Improvement Department</t>
  </si>
  <si>
    <t xml:space="preserve">For authorizing unauthorized connections </t>
  </si>
  <si>
    <t>Water meter rent</t>
  </si>
  <si>
    <t>New connection charges, tap repair and cleaning (reimbursement received)</t>
  </si>
  <si>
    <t xml:space="preserve">Supervision scrutiny fee and other charges for laying pipeline on colony road </t>
  </si>
  <si>
    <t>Deductions for water usage by contractors</t>
  </si>
  <si>
    <t>On account of water supply to various departments of PMC</t>
  </si>
  <si>
    <t>Plumbing license fee, new tap connection/cancelling existing connection (for outstanding) and other deposits</t>
  </si>
  <si>
    <t>Tanker challan</t>
  </si>
  <si>
    <t>Tanker challan for PMC</t>
  </si>
  <si>
    <t>Water supply for additional construction</t>
  </si>
  <si>
    <t>Transfers from Budget 'A'</t>
  </si>
  <si>
    <t>1. Pune Cantonment Water Supply receipt amount</t>
  </si>
  <si>
    <t>Water tariff as per water meter</t>
  </si>
  <si>
    <t xml:space="preserve">Amount received from HE factory </t>
  </si>
  <si>
    <t xml:space="preserve">Long term and short term loans from World Bank, Asian Development Bank, Japan Bank or other banks and financial institutions </t>
  </si>
  <si>
    <t>Grant from Central Government under National River Development Project (JAYAKA)</t>
  </si>
  <si>
    <t xml:space="preserve">Part of Central and State Government Grant for JNNURM, AMRUT and Smart City Mission </t>
  </si>
  <si>
    <t>Total sum</t>
  </si>
  <si>
    <t>2. Gutter and Nalla Improvement  (ADD.City Eng.)</t>
  </si>
  <si>
    <t>Cleaning tax (14% of taxable amount)</t>
  </si>
  <si>
    <t>Sewerage benefit tax (6% of taxable amount of Drainage benefit tax)</t>
  </si>
  <si>
    <t>Drainage/Sludge connection and Service extension charges- Rs. 11 per sq km of the planned construction</t>
  </si>
  <si>
    <t>3.receipt from Development Fund</t>
  </si>
  <si>
    <t xml:space="preserve">Total of 1+2+3 </t>
  </si>
  <si>
    <t>Total deposits including balance at the beginning of the year</t>
  </si>
  <si>
    <t>Total deposits Budget 'C'</t>
  </si>
  <si>
    <t>1. Main monitoring recovery etc.</t>
  </si>
  <si>
    <t>c. Municipal Corporation and Standing Committee</t>
  </si>
  <si>
    <t>1. Office of Urban Secretary</t>
  </si>
  <si>
    <t>1. Salary of Urban Secretary (Municipal Secretary) (as per MAHARASHTRA MUNICIPAL act, section 45(3))</t>
  </si>
  <si>
    <t xml:space="preserve">2. Salary of permanent staff </t>
  </si>
  <si>
    <t>3. Miscellaneous (Municipal Secretary)</t>
  </si>
  <si>
    <t>3A. For payment of pending bills (Municipal secretary)</t>
  </si>
  <si>
    <t>4. Travelling expenses (Municipal Secretary)</t>
  </si>
  <si>
    <t>5. Library and reading room</t>
  </si>
  <si>
    <t>6. Expenses of functions (Municipal secretary and development officer)</t>
  </si>
  <si>
    <t>10. All India/Maharashtra Mayors' conference and All India Urban Local Body Representatives' Session</t>
  </si>
  <si>
    <t>11. Expenses of refreshmant for retired corporation and government servants</t>
  </si>
  <si>
    <t>13. Expenses for Maharashtra State Municipal Corporation Standing Committee Chairmen Conference and associated works</t>
  </si>
  <si>
    <t>14. Samptuary of Hon. Mayor</t>
  </si>
  <si>
    <t>15. Discretionary expenditure of Hon. Mayor</t>
  </si>
  <si>
    <t>16. Discretionary expenditure of Hon. Dy. Mayor</t>
  </si>
  <si>
    <t>17. Yearly contribution of All India Mayor Association</t>
  </si>
  <si>
    <t>18. Discretionary expenditure of Hon. Chairman, Standing Committee</t>
  </si>
  <si>
    <t>19. Honorarium and allowances to Hon. Members</t>
  </si>
  <si>
    <t>20. Expenses of refreshmant for Standing Committee</t>
  </si>
  <si>
    <t>21. Expenses of refreshmant for Special Committee</t>
  </si>
  <si>
    <t>22. Expenses of refreshmant for Hon. Opposition parrty leader of Corporation</t>
  </si>
  <si>
    <t>23. Expenses of refreshmant for Assembly leader</t>
  </si>
  <si>
    <t>23-B. Expenses of refreshmant for party leader Nationalist Congress Party</t>
  </si>
  <si>
    <t>23-C. Expenses of refreshmant for party leader Nationalist Congress Party</t>
  </si>
  <si>
    <t>23-A. Arrangement for photo and garland etc. management</t>
  </si>
  <si>
    <t>24-A. Expenses of refreshmant for chairman, legal committee</t>
  </si>
  <si>
    <t>24-D. Expenses of refreshmant for chairman, city improvement committee</t>
  </si>
  <si>
    <t>24-U. Expenses of refreshmant for chairman, sports  committee</t>
  </si>
  <si>
    <t>24-F. Expenses of refreshmant for chairman, women and child welfare committee</t>
  </si>
  <si>
    <t xml:space="preserve">25. Expenses made for meeting called by Hon. Mayor </t>
  </si>
  <si>
    <t>26. Corporation History Encyclopedia Committee</t>
  </si>
  <si>
    <t>27. Regional Military Force Welcome ceremony and refreshment expenses</t>
  </si>
  <si>
    <t xml:space="preserve">28. Furniture and other facilities at Urban Secretary office in Corporation extended building </t>
  </si>
  <si>
    <t>39. International Union of Local Authorities Asian Pacific Section</t>
  </si>
  <si>
    <t xml:space="preserve">42. Study tours and training camp for Corporators </t>
  </si>
  <si>
    <t>43. Expenses for Mayors' Conference</t>
  </si>
  <si>
    <t xml:space="preserve">69. Expenses of welcome ceremony, food and accommodation of national and international level chief guests visiting Municipal Corporation </t>
  </si>
  <si>
    <t>Yearly contribution of Maharashtra Mayor Association</t>
  </si>
  <si>
    <t>Erecting Mandap for Municipal Corporation functions</t>
  </si>
  <si>
    <t>Mechanized cleaning of Shri Chhatrapati Shivaji Maharaj Assembly Hall, Pune Municipal Corporation</t>
  </si>
  <si>
    <t xml:space="preserve">Operating, maintenance and recording (electrical) of Standing committee, General body and other meetings </t>
  </si>
  <si>
    <t xml:space="preserve">Training for Hon. Members under Gender budget </t>
  </si>
  <si>
    <t>Celebrating birth/death anniversaries of Noble personalities (List R1)</t>
  </si>
  <si>
    <t>Celebrating various programs, festivels, gatherings in the city on sposorship basis (List R2)</t>
  </si>
  <si>
    <t>Celebrating functions like felicitation, complement, award, prizes etc. (List R3)</t>
  </si>
  <si>
    <t>C. Total of Municipal Corporation and Standing Committee</t>
  </si>
  <si>
    <t>D. Office of Municipal Chief Account Officer</t>
  </si>
  <si>
    <t>1. Salary of Municipal Chief Auditor (as per MAHARASHTRA MUNICIPAL Act, section 45(3))</t>
  </si>
  <si>
    <t>3. Miscellaneous</t>
  </si>
  <si>
    <t>D.Total of Office of Municipal Chief Account Officer</t>
  </si>
  <si>
    <t>G1. Office of Municipal Commissioner</t>
  </si>
  <si>
    <t>1. Salary of Municipal Commissioner (as per MAHARASHTRA MUNICIPAL Act, section 37(1))</t>
  </si>
  <si>
    <t>2. Salary of Deputy Municipal Commissioner (General) (as per MAHARASHTRA MUNICIPAL Act, section 45(3))</t>
  </si>
  <si>
    <t xml:space="preserve">3. Salary of permanent staff </t>
  </si>
  <si>
    <t>4. Miscellaneous</t>
  </si>
  <si>
    <t>6. Voluntary expenses of Municipal Commissioner (Assistant Municipal Commissioner)</t>
  </si>
  <si>
    <t>G1. Total of Office of Municipal Commissioner</t>
  </si>
  <si>
    <t>G2. Office of Additional Municipal Commissioner (special)</t>
  </si>
  <si>
    <t>1. Salary of Additional Municipal Commissioner (Special)</t>
  </si>
  <si>
    <t xml:space="preserve">4. Expenses of municipal staff for attending various seminars, conferences, trainings, etc </t>
  </si>
  <si>
    <t xml:space="preserve">5. Expenses incurred for hospitality of guests at Municipal Corporation officers </t>
  </si>
  <si>
    <t>G2. Total of Office of Additional Municipal Commissioner (special)</t>
  </si>
  <si>
    <t>G3. Office of Additional Municipal Commissioner (general)</t>
  </si>
  <si>
    <t>1. Salary of Additional Municipal Commissioner (general)</t>
  </si>
  <si>
    <t>4. Expenses for hospitality of guests at Additional Municipal Commissioner (general)</t>
  </si>
  <si>
    <t>5. Expenses of municipal staff/officers on account of travel to attend workshops, workshop fee, training fee etc.</t>
  </si>
  <si>
    <t>G3. Total of Office of Additional Municipal Commissioner (general)</t>
  </si>
  <si>
    <t>G4. Office of Additional Municipal Commissioner (estate)</t>
  </si>
  <si>
    <t>1. Salary of Additional Municipal Commissioner (estate)</t>
  </si>
  <si>
    <t>4. Expenses for hospitality of guests at Additional Municipal Commissioner (estate)</t>
  </si>
  <si>
    <t>G4.Total of Office of Additional Municipal Commissioner (estate)</t>
  </si>
  <si>
    <t>G5.Vigilance Department</t>
  </si>
  <si>
    <t>G5.Total of Vigilance Department</t>
  </si>
  <si>
    <t>Total of (G1+G2+G3+G4+G5)</t>
  </si>
  <si>
    <t>E1. Office of Deputy Commissioner (special)</t>
  </si>
  <si>
    <t>1. Salary of Deputy Municipal Commissioner (special) (as per MAHARASHTRA MUNICIPAL Act, section 45(3))</t>
  </si>
  <si>
    <t>E1. Total of Office of Deputy Commissioner (special)</t>
  </si>
  <si>
    <t>Main Co-ordination Office (Smart City and AMRUT scheme)</t>
  </si>
  <si>
    <t>1. Miscellaneous</t>
  </si>
  <si>
    <t>Total of Main Co-ordination Office (Smart City and AMRUT scheme)</t>
  </si>
  <si>
    <t>E2. Service staff Department</t>
  </si>
  <si>
    <t xml:space="preserve">1. Salary of permanent staff </t>
  </si>
  <si>
    <t>2.. Miscellaneous</t>
  </si>
  <si>
    <t xml:space="preserve">4. Expenses for conducting examinations to fill the vacant positions </t>
  </si>
  <si>
    <t>5. Furniture, associated works and purchasing material for training material</t>
  </si>
  <si>
    <t>6. Expenses for organization of training for officials/staff</t>
  </si>
  <si>
    <t>7. Implementation of bio-metric attendence system in Pune Municipal Corporation</t>
  </si>
  <si>
    <t>8. Furniture for Service staff department</t>
  </si>
  <si>
    <t>E2. Total of Service staff Department</t>
  </si>
  <si>
    <t>E2-A. Recruitment and examination control department</t>
  </si>
  <si>
    <t xml:space="preserve">3. Expenses for conducting examinations to fill the vacant positions </t>
  </si>
  <si>
    <t>E2-A. Total of Recruitment and examination control department</t>
  </si>
  <si>
    <t>E2-B. Backward class department</t>
  </si>
  <si>
    <t>E2-B. Total of Backward class department</t>
  </si>
  <si>
    <t>E3. Security department</t>
  </si>
  <si>
    <t>3. Providing private security guards</t>
  </si>
  <si>
    <t>Providing security guards on contract basis in the Prabhag No. 23</t>
  </si>
  <si>
    <t>4. Uniforms for security guards</t>
  </si>
  <si>
    <t>5. Installing bag scanning system and purchasing other materials at PMC building</t>
  </si>
  <si>
    <t>E3. Total of Security department</t>
  </si>
  <si>
    <t>Total of (E1+E2+E2-A+E2-B+E3)</t>
  </si>
  <si>
    <t xml:space="preserve">D1. Office of Deputy Commissioner (Establishment and Housing) </t>
  </si>
  <si>
    <t xml:space="preserve">1. Salary of Deputy Commissioner (Establishment and Housing) (As per MAHARASHTRA MUNICIPAL Act, section 45(3)) </t>
  </si>
  <si>
    <t>Total of D1</t>
  </si>
  <si>
    <t>D2. Telephone department</t>
  </si>
  <si>
    <t>1. P.A.B.X. boards of telephone department and rent of extension, calls/telephone bills</t>
  </si>
  <si>
    <t>2. Expenses of maintenance of telephone</t>
  </si>
  <si>
    <t>3. For improvement in telephone service and for mobile phone bills</t>
  </si>
  <si>
    <t>D2. Total of Telephone department</t>
  </si>
  <si>
    <t xml:space="preserve">D. Total of Office of Deputy Commissioner (Establishment and Housing) </t>
  </si>
  <si>
    <t>F. Office of Chief Accountant</t>
  </si>
  <si>
    <t>2. Miscellaneous</t>
  </si>
  <si>
    <t>3. Expenses for deficit (Chief Accountant)</t>
  </si>
  <si>
    <t>4. Publishing the Loan outstanding statement in the Gazette as per Bombay Provincial Municipal Corporation Act 1949 (Chief Accountant)</t>
  </si>
  <si>
    <t>5. Bank commission charges</t>
  </si>
  <si>
    <t>6. Printing yearly report</t>
  </si>
  <si>
    <t>7. Municipal Corporation's share under Defined Contributary Pension Scheme</t>
  </si>
  <si>
    <t xml:space="preserve">8. Furniture and seating arrangement for office of chief accountant </t>
  </si>
  <si>
    <t>9. Provision for salary reserve fund</t>
  </si>
  <si>
    <t>Scanning and preserving the documents at chief accountant's office and other associated works</t>
  </si>
  <si>
    <t>Dearness allowance</t>
  </si>
  <si>
    <t>Installment of salary as per new payment category</t>
  </si>
  <si>
    <t>Variance to be given paid as per Seventh Pay Commission</t>
  </si>
  <si>
    <t>Ex-gratia payment</t>
  </si>
  <si>
    <t>Amount to be paid to PMC staff for travelling concessions</t>
  </si>
  <si>
    <t>F. Total of Office of Chief Accountant</t>
  </si>
  <si>
    <t>H. Expenses to raise loans, installments of loans and interest (chief accountant)</t>
  </si>
  <si>
    <t>I. Depreciation</t>
  </si>
  <si>
    <t>J. Office of Assessor and collector of taxes</t>
  </si>
  <si>
    <t>4. Expenses of warrant recovery (Assessor and collector of taxes)</t>
  </si>
  <si>
    <t>5. Expenses of Hon. Arbitrator (recovery)</t>
  </si>
  <si>
    <t>6. Expenses of honorarium for making computer form and associated expenses</t>
  </si>
  <si>
    <t>7. Numbering the properties</t>
  </si>
  <si>
    <t>Paying honorarium to people or organizations informing about untaxed properties in the PMC limits</t>
  </si>
  <si>
    <t>Expenses of legal advisors, valuer, administrative officers for taxation on capital value</t>
  </si>
  <si>
    <t>Establishing advanced record room for preserving taxation records</t>
  </si>
  <si>
    <t>GIS tagging of properties in PMC limits</t>
  </si>
  <si>
    <t>J. Total of Office of Assessor and collector of taxes</t>
  </si>
  <si>
    <t>K. Octroi Office</t>
  </si>
  <si>
    <t>2. Pension and gratuity (chief accountant)</t>
  </si>
  <si>
    <t>4. Repairing of Octroi centers and buildings</t>
  </si>
  <si>
    <t>8. Lighting arrangement at Octroi centers (electrical)</t>
  </si>
  <si>
    <t>9. Land rent ay Kharadi octroi center, construction charges and associated works</t>
  </si>
  <si>
    <t>Expenses for establishing new or on rent octroi centers required due to creation of many sub-roads at the Municipal boundary (other than existing centers)</t>
  </si>
  <si>
    <t xml:space="preserve">All the expenses for court cases at Octroi office </t>
  </si>
  <si>
    <t>K. Total of Octroi Office</t>
  </si>
  <si>
    <t>Grand Total after subtraction</t>
  </si>
  <si>
    <t>Local BodyTax office</t>
  </si>
  <si>
    <t xml:space="preserve">4. All the expenses for court cases at Local Body Tax  office </t>
  </si>
  <si>
    <t xml:space="preserve">5. Furniture for Local Body Tax Office </t>
  </si>
  <si>
    <t>6. Expenses for scruitiny of Annual Statement</t>
  </si>
  <si>
    <t>Total of Local BodyTax Office</t>
  </si>
  <si>
    <t>L. Repairing of main office building</t>
  </si>
  <si>
    <t>1. Lighting (Electrical)</t>
  </si>
  <si>
    <t>a. Electricity bill (electrical)</t>
  </si>
  <si>
    <t>c. Elevators (electrical)</t>
  </si>
  <si>
    <t>2. Repairing residences of Hon. Municipal Commissioner and Hon, Additional Municipal Commissioner (building)</t>
  </si>
  <si>
    <t>3. Repair of buildings (building)</t>
  </si>
  <si>
    <t>4. Repairing residence of Hon. Mayor (building)</t>
  </si>
  <si>
    <t>Maintenance of Elevator (electrical), transformer,, generator and UPS</t>
  </si>
  <si>
    <t>Maintenance of CCTV and LED (electrical)</t>
  </si>
  <si>
    <t>For maintenance of elevators, AC, generators, pumps, transformers, etc in the various PMC buildings (electrical)</t>
  </si>
  <si>
    <t>Electrical maintenance in the PMC main building (electrical)</t>
  </si>
  <si>
    <t xml:space="preserve">Provision for arrangement of various functions at hon. Mayor's and hon. Municipal Commissioner's residence </t>
  </si>
  <si>
    <t>Electrical works, renovation, beautification, transformer and associated works at municipal corporation main building</t>
  </si>
  <si>
    <t>Supplying power factor system, control panels and associated works at various buildings of PMC</t>
  </si>
  <si>
    <t>L. Total of Repairing of main office building</t>
  </si>
  <si>
    <t>M. Repository Department</t>
  </si>
  <si>
    <t>1. Salary of permanent staff (Asssistant Municipal commissioner)</t>
  </si>
  <si>
    <t>2. Miscellaneous (Asssistant Municipal commissioner)</t>
  </si>
  <si>
    <t>3. Insurance installment (Asssistant Municipal commissioner)</t>
  </si>
  <si>
    <t>4. Amount to be paid to department on account of sales tax/VAT</t>
  </si>
  <si>
    <t>5. Honorarium to be paid to tax consultant</t>
  </si>
  <si>
    <t>M. Total of Repository Department</t>
  </si>
  <si>
    <t>N. Advisor (Labor)</t>
  </si>
  <si>
    <t>1. Salary of permanent staff (Assistant Municipal Commissioner- General)</t>
  </si>
  <si>
    <t>3. Expenses of labor education classes</t>
  </si>
  <si>
    <t xml:space="preserve">4. Prize amount for department-wise exams </t>
  </si>
  <si>
    <t>5. Retirement functions</t>
  </si>
  <si>
    <t>6. Labor welfare- Municipal corporation contribution</t>
  </si>
  <si>
    <t>7. Financial aid to the relatives of expired labor</t>
  </si>
  <si>
    <t>8. Emergency fund for labor</t>
  </si>
  <si>
    <t>13. Compensation to be paid under Labor Compensation Act 1923</t>
  </si>
  <si>
    <t>14. PMC officials/staff cultural platform</t>
  </si>
  <si>
    <t>15. Zonal women complaint resolution committee</t>
  </si>
  <si>
    <t>Construction of rest room in the Municipal Corporation main building for women officials/staff</t>
  </si>
  <si>
    <t>Conservation of Marathi langauge</t>
  </si>
  <si>
    <t>Training classes for Corporators for resolving citizens' problems</t>
  </si>
  <si>
    <t>To pay 2 additional incremants to PMC staff who have done family planning operation after birth of 1 child</t>
  </si>
  <si>
    <t xml:space="preserve">Organizing various schemes, cultural programs, training camps for women staff </t>
  </si>
  <si>
    <t>Organizing book festivel and Granth dindi with the collaboration of PMC and education department of district council under Marathi langauge conservation</t>
  </si>
  <si>
    <t>N. Grand Total of Advisor (Labor)</t>
  </si>
  <si>
    <t>O. Public Relations office</t>
  </si>
  <si>
    <t>O1. Public Relations office</t>
  </si>
  <si>
    <t>1. Salary of permanent staff (Assistant Municipal Commissioner)</t>
  </si>
  <si>
    <t>2. Miscellaneous (Assistant Municipal Commissioner)</t>
  </si>
  <si>
    <t>3. Subscription charges of Dailies, Weeklies, magazines and book purchase (Assistant Municipal Commissioner)</t>
  </si>
  <si>
    <t>4. Communication, publicity (Assistant Municipal Commissioner)</t>
  </si>
  <si>
    <t>5. Advertizing charges</t>
  </si>
  <si>
    <t>6. Publicity of Municipal Corporation's programs</t>
  </si>
  <si>
    <t>Publicity of development works undertaken by PMC</t>
  </si>
  <si>
    <t xml:space="preserve">Outreach of municipal corporations various schemes under the areas of 15 ward offices   </t>
  </si>
  <si>
    <t>O. Total of Public Relations office</t>
  </si>
  <si>
    <t>P. Statistics and Computer department</t>
  </si>
  <si>
    <t>3. Performing special type statistics works with the help of computer, implementation of ERP, software development, data entry, training expenses for staff, GIS, works management system, Kiosk and associated works</t>
  </si>
  <si>
    <t>Purchasing and repairing computers in Prabhag no. 6 A</t>
  </si>
  <si>
    <t>Providing computer sets in the Municipal Corporation Schools in Prabhag No. 14 A</t>
  </si>
  <si>
    <t>Purchasing computers for various schools in Prabhag no. 25 B</t>
  </si>
  <si>
    <t>Providing computer sets and color television sets to all the government recognized primary/secondary schools in the Prabhag no. 26</t>
  </si>
  <si>
    <t>Providing computers to government recognized schools and initiating computer classes in Prabhag no. 38 B</t>
  </si>
  <si>
    <t>Implementing computer scheme in Prabhag no.50 A</t>
  </si>
  <si>
    <t>Providing computers to various PMC schools in Prabhag no. 15 B</t>
  </si>
  <si>
    <t>Purchasing new computers, running computer classes and computer repairs in Prabhag no. 17 B</t>
  </si>
  <si>
    <t>Various works for computer and computer technology</t>
  </si>
  <si>
    <t>Making Pune wi-fi city under Sharad wi-fi scheme</t>
  </si>
  <si>
    <t>P. Total of Statistics and Computer department</t>
  </si>
  <si>
    <t>Q. Office expenses of special judge and amount to be paid to government (legal advisor)</t>
  </si>
  <si>
    <t xml:space="preserve">Q. Total </t>
  </si>
  <si>
    <t>R. Legal Advisor's office</t>
  </si>
  <si>
    <t>3. Claims, cases, court fee</t>
  </si>
  <si>
    <t>4. For furniture at legal advisor's office</t>
  </si>
  <si>
    <t>R. Total of Legal Advisor's office</t>
  </si>
  <si>
    <t>S. Disaster Management Department</t>
  </si>
  <si>
    <t xml:space="preserve">S1. Aid for people affected by natural calamities/accidents </t>
  </si>
  <si>
    <t xml:space="preserve">3. Expenses during natural and man-made calamities and accidents for responding, search operations, rescue operations and control room management etc </t>
  </si>
  <si>
    <t>Awareness campaigns for disaster management under 15 ward offices</t>
  </si>
  <si>
    <t>Total of Disaster management scheme</t>
  </si>
  <si>
    <t>Salary of temporary staff (Assistant Municipal Commissioner)</t>
  </si>
  <si>
    <t>Stipend and associated expenses to be paid to trainees as per The Apprentice Act, 1961 (Assistant Municipal Commissioner- Special)</t>
  </si>
  <si>
    <t xml:space="preserve">Grand Total </t>
  </si>
  <si>
    <t>Election expenses</t>
  </si>
  <si>
    <t>1. Elections and associated expenses</t>
  </si>
  <si>
    <t>Total of Election expenses</t>
  </si>
  <si>
    <t>Expenditure on census (Assistant Municipal Commissioner- Estate and Housing)</t>
  </si>
  <si>
    <t>Total of Expenditure on census</t>
  </si>
  <si>
    <t>Zonal offices</t>
  </si>
  <si>
    <t>1. Salary of Zonal Commissioner</t>
  </si>
  <si>
    <t>Salary of permanent staff at Zone 1, 2, 3 and 4</t>
  </si>
  <si>
    <t>2. Zonal Commissoner- Miscellaneous</t>
  </si>
  <si>
    <t>3. Zonal Offices- salary of permanent staff</t>
  </si>
  <si>
    <t>4. Zonal Offices- miscallenious</t>
  </si>
  <si>
    <t>5. Refreshmant expenses of Ward Committee meetings</t>
  </si>
  <si>
    <t>Total of Zonal offices</t>
  </si>
  <si>
    <t xml:space="preserve">Water supply expenses for Municipal Corporation </t>
  </si>
  <si>
    <t>Minus- General Administration</t>
  </si>
  <si>
    <t>Minus- Total</t>
  </si>
  <si>
    <t>1. Total of Main monitoring recovery etc.</t>
  </si>
  <si>
    <t>2. Primary education</t>
  </si>
  <si>
    <t>c. Amount to be paid to education board</t>
  </si>
  <si>
    <t>1. Salary of permanent staff (Primary education)</t>
  </si>
  <si>
    <t>2. Dearness allownace (Primaryy education)</t>
  </si>
  <si>
    <t>3. Installment of salary as per new payment category (non-teaching staff) (primary education)</t>
  </si>
  <si>
    <t>4. Ex-gratia payment (primary education)</t>
  </si>
  <si>
    <t>5. Pension and graduaty (primary education)</t>
  </si>
  <si>
    <t>6. Municipal Corporation's share under Defined Contributary Pension Scheme (Primary Education)</t>
  </si>
  <si>
    <t>7. Honororium and meeing allowance for education board members</t>
  </si>
  <si>
    <t>8. Miscellaneos</t>
  </si>
  <si>
    <t>9. Expenses of Education board office</t>
  </si>
  <si>
    <t>a. Expenses for internal telephone</t>
  </si>
  <si>
    <t>b. Lawyer fee</t>
  </si>
  <si>
    <t>10. Petrol, diesel and associated works</t>
  </si>
  <si>
    <t>11. Parachute goods</t>
  </si>
  <si>
    <t>12. Building rent</t>
  </si>
  <si>
    <t>13. Building expenses of primary school</t>
  </si>
  <si>
    <t>a. Repair of school building</t>
  </si>
  <si>
    <t>b. Purchase of material and school building cleaning</t>
  </si>
  <si>
    <t>c. Office electricity expenses and School building</t>
  </si>
  <si>
    <t>d. Electrical repairs in the school building</t>
  </si>
  <si>
    <t>e. Furniture and other material for schools and offices and repairs</t>
  </si>
  <si>
    <t>14. Purchase of school material</t>
  </si>
  <si>
    <t>a. Uniforms</t>
  </si>
  <si>
    <t>b. Uniform for security gaurds and peons</t>
  </si>
  <si>
    <t>c. Shoes and socks</t>
  </si>
  <si>
    <t>d. School bags</t>
  </si>
  <si>
    <t>15. Educational material</t>
  </si>
  <si>
    <t>a. Note-books</t>
  </si>
  <si>
    <t>b. Drawing materials</t>
  </si>
  <si>
    <t>c. Purchasing writing material and slates</t>
  </si>
  <si>
    <t>d. Science laboratory</t>
  </si>
  <si>
    <t>e. Library books</t>
  </si>
  <si>
    <t>f. Material for physical education</t>
  </si>
  <si>
    <t>16. Educational Academy School</t>
  </si>
  <si>
    <t>a. Bus-pass fare</t>
  </si>
  <si>
    <t>b. Banian and peticoat</t>
  </si>
  <si>
    <t>c. Stationary</t>
  </si>
  <si>
    <t>17. Sports Academy School</t>
  </si>
  <si>
    <t>a. Student selection process and participation in various sports</t>
  </si>
  <si>
    <t>b. Sports material, for installation on playground</t>
  </si>
  <si>
    <t>c. Track-suit and shoes for students</t>
  </si>
  <si>
    <t>d. Honororium for coach (10 months)</t>
  </si>
  <si>
    <t>e. Refrechment, meal (220 days)</t>
  </si>
  <si>
    <t>f. Transport system for students</t>
  </si>
  <si>
    <t>g. Maitenance of play ground</t>
  </si>
  <si>
    <t>18. English medium school</t>
  </si>
  <si>
    <t>b. Purchasing CBSC books</t>
  </si>
  <si>
    <t>d. Camps, seminars, meetings and refreshment</t>
  </si>
  <si>
    <t>19. Transport for students</t>
  </si>
  <si>
    <t>20. Forms and other printing</t>
  </si>
  <si>
    <t>21. Scholarship exams and scholarships</t>
  </si>
  <si>
    <t>22. Educational initiatives</t>
  </si>
  <si>
    <t>23. Functions, national festivals, Anniversary, educational awards, birth anniversary and gathering</t>
  </si>
  <si>
    <t>24. Various competitions</t>
  </si>
  <si>
    <t>25. Tours</t>
  </si>
  <si>
    <t xml:space="preserve">26. Audio-visual education, equipments and material on the occasion of Sharadabai Pawar 100th bith anniversary </t>
  </si>
  <si>
    <t>27. School improvement campaign</t>
  </si>
  <si>
    <t>28. School for special students</t>
  </si>
  <si>
    <t>30. Medical reimbursement</t>
  </si>
  <si>
    <t xml:space="preserve">Provision for Cambridge English examination, English speech exam </t>
  </si>
  <si>
    <t xml:space="preserve">C. Total </t>
  </si>
  <si>
    <t>2. Grand Total of Primary education</t>
  </si>
  <si>
    <t xml:space="preserve">c. Office of Education officer (secondary) </t>
  </si>
  <si>
    <t>2. Installment of salary as per new payment category (non-teaching staff) (primary education)</t>
  </si>
  <si>
    <t>3. Ex-gratia payment</t>
  </si>
  <si>
    <t>4. Pension and graduaty</t>
  </si>
  <si>
    <t>5. Miscellaneous</t>
  </si>
  <si>
    <t>6. Educational magazine</t>
  </si>
  <si>
    <t>7. Educational conferences</t>
  </si>
  <si>
    <t>8. Education material and residual material</t>
  </si>
  <si>
    <t>9. Electricity bills, electric equipments (electrical)</t>
  </si>
  <si>
    <t>10. Sports equipments</t>
  </si>
  <si>
    <t>11. Building rent</t>
  </si>
  <si>
    <t>13. Laboratory</t>
  </si>
  <si>
    <t>14. Membership fee for educational institutions</t>
  </si>
  <si>
    <t>15. Scout etc</t>
  </si>
  <si>
    <t>17. Interschool Sports competitions</t>
  </si>
  <si>
    <t>18. Science exploratory</t>
  </si>
  <si>
    <t>19. Computer class project</t>
  </si>
  <si>
    <t>21. To increase ITI intake</t>
  </si>
  <si>
    <t>22. Refreshment for secondary school students on 15th August and 26 January</t>
  </si>
  <si>
    <t xml:space="preserve">23. For organizing tour/trip within PMPML limits for PMC school students via PMPML bus </t>
  </si>
  <si>
    <t>24. Gathering and farewell function for 10th and 12th standard students</t>
  </si>
  <si>
    <t>25. Environment Education Initiative</t>
  </si>
  <si>
    <t>26. Providing free uniforms to students of PMC secondary schools</t>
  </si>
  <si>
    <t>27. Free PMPML bus service for students of PMC school from standard 5th to 10th</t>
  </si>
  <si>
    <t>Water proofing, drinking water facility ad other repair works in the secondary schools in the Pune city</t>
  </si>
  <si>
    <t>Free cycle distribution scheme for students in the secondary schools (PMC school students)</t>
  </si>
  <si>
    <t>Rajeev Gandhi Academy of e-learning English school</t>
  </si>
  <si>
    <t>Shrimati. Sharadabai Pawar Scholarship of Rs. 51 thousand to PMC school students scoring more than 85% marks in 10th and 12th board exam</t>
  </si>
  <si>
    <t>Health check-up, nutritious food and vaccination for Primary and secondary school students in PMC school</t>
  </si>
  <si>
    <t>MESC training to 500 talented 8th standard PMC school students</t>
  </si>
  <si>
    <t>Providing sanitary napkins to girls in the PMC secondary schools</t>
  </si>
  <si>
    <t>Scholarship of Rs. 1 lakh to PMC school students selected for IIT, AIEEE and NDA courses</t>
  </si>
  <si>
    <t>Showing information through video and other mediums in Marathi schools about people who have achieved success in various fields</t>
  </si>
  <si>
    <t>To start art traning classes- 'Indradhanushya Kalavishkar Varg' for children living in slums and chawls.</t>
  </si>
  <si>
    <t>Teaching subjects like Phonix/Amal/Abacus in various schools</t>
  </si>
  <si>
    <t>c. Total</t>
  </si>
  <si>
    <t>3. Grand Total of Secondary education</t>
  </si>
  <si>
    <t>c1. Deputy commissioner (Slum clearance) Office</t>
  </si>
  <si>
    <t>1. Salary of deputy commissioner (Slum Clearance) (as per MAHARASHTRA MUNICIPAL Act, section 45(3))</t>
  </si>
  <si>
    <t>2. Salary of paermanent staff</t>
  </si>
  <si>
    <t>7. Electricity expenses of Sulabh Toilets (electrical)</t>
  </si>
  <si>
    <t>9. Emergency aid to slum dwellers</t>
  </si>
  <si>
    <t>Installing number plate, name plates and other boards on the bio-metric surveyed slums/houses in the Laxmi-nagar, Ashok nagar and other areas.</t>
  </si>
  <si>
    <t>Sub-engineer (Health)</t>
  </si>
  <si>
    <t>1. Salary of paermanent staff</t>
  </si>
  <si>
    <t>Material and repairing of open gutters, public toilets, latrines</t>
  </si>
  <si>
    <t>Sub-engineer (Health) (Departmental Office)</t>
  </si>
  <si>
    <t>Repairing public/sulabh toilets, urinals</t>
  </si>
  <si>
    <t xml:space="preserve">Comcreting and paving, maintenance works </t>
  </si>
  <si>
    <t>Relacing old drainage lines and repair works</t>
  </si>
  <si>
    <t>Cleaning drainage lines and chambers</t>
  </si>
  <si>
    <t xml:space="preserve">Material purchase and supply for maitenance works, installation </t>
  </si>
  <si>
    <t>Non-planned works to be donne by ward offices</t>
  </si>
  <si>
    <t>Non-planned works to be donne by ward offices with citizen participation</t>
  </si>
  <si>
    <t>Social Development Department</t>
  </si>
  <si>
    <t>1. Salary of permanent staff</t>
  </si>
  <si>
    <t>4. Maintenance of kinder-gardens</t>
  </si>
  <si>
    <t>5. Maintenance of day-care centers</t>
  </si>
  <si>
    <t>7. Implementation of 'swarn jayanti shahari rozgar yojana'</t>
  </si>
  <si>
    <t>8. Honorarium for community mobilizors</t>
  </si>
  <si>
    <t>Social Development Department (Officer on special duty)</t>
  </si>
  <si>
    <t>Office of depury commissioner (Social Development)</t>
  </si>
  <si>
    <t>1. Salary of depury commissioner (Social Development)</t>
  </si>
  <si>
    <t>Salary of permanent staff</t>
  </si>
  <si>
    <t>District Planning and Development Committee office</t>
  </si>
  <si>
    <t>4. Grand Total of Slum eradication and rehabilitation department</t>
  </si>
  <si>
    <t>7. Health Department</t>
  </si>
  <si>
    <t>a. Preventive</t>
  </si>
  <si>
    <t>1. Staff salary</t>
  </si>
  <si>
    <t>3. Outreach and educational programs, exhibition, promotional prizes etc</t>
  </si>
  <si>
    <t>4. Family Planning Bureau: Staff salary</t>
  </si>
  <si>
    <t>5. Post martem: Staff salary</t>
  </si>
  <si>
    <t>ICDS Scheme</t>
  </si>
  <si>
    <t>Health check-up and providing nutritious food to children</t>
  </si>
  <si>
    <t>3. Providing nutritious food to paitients in Naidu and Kamala Nehru Hospital</t>
  </si>
  <si>
    <t>4. Joint project of PMC and Niramaya for Slum children vaccination projecct</t>
  </si>
  <si>
    <t>Remedial measures for stray dogs</t>
  </si>
  <si>
    <t>Remedial measures for nuisance creating animals</t>
  </si>
  <si>
    <t>World Health Day</t>
  </si>
  <si>
    <t>Various national health program</t>
  </si>
  <si>
    <t>For various improvements in the Tarachand Ramnath Hospital providing treatment in minimum charges</t>
  </si>
  <si>
    <t>b. Non-contagious diseases (pramotive)</t>
  </si>
  <si>
    <t>1. Reproduction and child health program- Municipal Corporation's share for salary of contracted labor</t>
  </si>
  <si>
    <t>4. Asha- AIDS Control Program</t>
  </si>
  <si>
    <t>5. Necessary works for implementation of PCPNDT Act</t>
  </si>
  <si>
    <t xml:space="preserve">6. For disposal of bio-medical waste generated in PMC Health Facilities </t>
  </si>
  <si>
    <t>c. Curative</t>
  </si>
  <si>
    <t>Public Health</t>
  </si>
  <si>
    <t>3. Store and other material</t>
  </si>
  <si>
    <t>4. Electricity bill (electrical)</t>
  </si>
  <si>
    <t xml:space="preserve">5. Maintenance and other expenses of electric operated corpse-incinerator, gas/diesel operated corpse-incinerator </t>
  </si>
  <si>
    <t xml:space="preserve">5. Maintenance gas/diesel operated corpse-incinerator </t>
  </si>
  <si>
    <t>6. Laboratory fee</t>
  </si>
  <si>
    <t>7. Repair and other expenses</t>
  </si>
  <si>
    <t>8. Providing free facility for creamation and burial for people died in Pune city</t>
  </si>
  <si>
    <t>9. Providing gas cylinder for gas operated corpse-incinerator (electrical)</t>
  </si>
  <si>
    <t xml:space="preserve">Prevention of Epidemics </t>
  </si>
  <si>
    <t>1. Salary of permanent staff (disinfectant)</t>
  </si>
  <si>
    <t>2. Miscellaneous (pesticide)</t>
  </si>
  <si>
    <t>4. Material</t>
  </si>
  <si>
    <t>5. Disinfectant and poisons</t>
  </si>
  <si>
    <t>6. National scheme for Maleria Eradication</t>
  </si>
  <si>
    <t>a. Staff salary</t>
  </si>
  <si>
    <t>b. Miscellaneous</t>
  </si>
  <si>
    <t>c. Chemicals</t>
  </si>
  <si>
    <t>7. National scheme for Maleria Eradication (salary of staff)</t>
  </si>
  <si>
    <t>8. To take out unwanted weeds from Mula-Mutha river and other places</t>
  </si>
  <si>
    <t>9. Public awareness material</t>
  </si>
  <si>
    <t>10. Salary of staff appointed on contract basis (mosquito free city)</t>
  </si>
  <si>
    <t>11. Palakhi, Chaturshrungi Yatra and Ganesh Visarjan Miravnuk etc</t>
  </si>
  <si>
    <t>1. To set up Mandap etc(building)</t>
  </si>
  <si>
    <t>2. Palakhi management expenses (building)</t>
  </si>
  <si>
    <t>Hospitals, Maternity Homes and drugstore</t>
  </si>
  <si>
    <t>4. Medicines and equipments</t>
  </si>
  <si>
    <t>5. Linon and clothing for patients</t>
  </si>
  <si>
    <t>6.Lighting and electrical appliances (electrical)</t>
  </si>
  <si>
    <t>7. Beds and pillows</t>
  </si>
  <si>
    <t>8.Other material</t>
  </si>
  <si>
    <t>9. Cloth washing</t>
  </si>
  <si>
    <t>10. Machinery in Hospitals and other maintenance</t>
  </si>
  <si>
    <t>11. Anesthetic- Honorarium to be given to expert doctors called as per requirement</t>
  </si>
  <si>
    <t>Mechanized cleaning at Kamla Nehru Hospital and other hospitals, appointing various staff on contract basis</t>
  </si>
  <si>
    <t>Purchasing medicines under Health Aid Scheme for economically backward groups</t>
  </si>
  <si>
    <t>Maintenance and repair works of pump, solar system etc. of hospitals</t>
  </si>
  <si>
    <t>Various development works at Hospitals, maternity homes and drugstores</t>
  </si>
  <si>
    <t>Elevetor and associated works at Dr. Kotnis Health center</t>
  </si>
  <si>
    <t>Various development works of maternity home at Dr. Kotnis Health center (Gadikhana)</t>
  </si>
  <si>
    <t>Municipal Corpoarion's share in the salary of contract basis staff at existing hospitals and new hospitals established in the villages merged in the city</t>
  </si>
  <si>
    <t>Providing private security guards at Hospitals and crematories in the Pune city</t>
  </si>
  <si>
    <t xml:space="preserve">For conducting health check-up camp and treatment for senior women citizen </t>
  </si>
  <si>
    <t>Various equipments under Janani-Shishu Suraksha (Mother-child Security)</t>
  </si>
  <si>
    <t>Elevator maintenance and associated works at Kamla Nehru Hospital, Sonawane Hospital, Rajeev Gandhi Hospital, Naidu Hospital and other hospitals</t>
  </si>
  <si>
    <t>For salary of liftmen at Kamla Nehru Hospital, Sonawane Hospital, Rajeev Gandhi Hospital, Naidu Hospital and other hospitals (contact basis)</t>
  </si>
  <si>
    <t>Furniture for various departments at Central Health Department</t>
  </si>
  <si>
    <t>Maintenance of cold storage equipments</t>
  </si>
  <si>
    <t>Free medicines, health check-up, nutritious food and vehicle arrangement under 'Janani-Shishu Suraksha program'</t>
  </si>
  <si>
    <t>Building dog ponds and veterinery clinic by tender method</t>
  </si>
  <si>
    <t>Health and cleanliness awareness drivres under 15 ward offices</t>
  </si>
  <si>
    <t>State labor insurance scheme</t>
  </si>
  <si>
    <t>Health aid scheme for staff</t>
  </si>
  <si>
    <t>3. Medicines, equipments and material etc.</t>
  </si>
  <si>
    <t>a1. Medicines, equipments and material for Corporators</t>
  </si>
  <si>
    <t>a2. Medicines, equipments and material for PMC staff</t>
  </si>
  <si>
    <t>b1. Reimbursement for Corporators</t>
  </si>
  <si>
    <t>b1. Reimbursement for PMC staff</t>
  </si>
  <si>
    <t>Health aid scheme for ex-corporators</t>
  </si>
  <si>
    <t>Reimbursement for Education board staff</t>
  </si>
  <si>
    <t>Special financial aid for health under Mayor's Fund: 1. Kidney transplant (Rs. 25 thousand each), 2. Cancer (Rs. 50 thousand each), 3. Heart disorders (bypass) (Rs. 30 thousand each), 4. Angioplasty (Rs. 15 thousand each), 5. Retinal Detatchment (Rs. 50 thousand)</t>
  </si>
  <si>
    <t>Health aid scheme from Pune Municipal Corporation for citizens with annual income upto Rs. 1 lakh/yellow ration card holders/slum dwellers</t>
  </si>
  <si>
    <t xml:space="preserve">Maintenance of Carcus Utilization Project </t>
  </si>
  <si>
    <t xml:space="preserve">Reimbursement of expenses of disposal on death </t>
  </si>
  <si>
    <t xml:space="preserve">For various remedies for epidemic control </t>
  </si>
  <si>
    <t>To start free nursing course at Rajeev Gandhi Hospital for women</t>
  </si>
  <si>
    <t>Meat, fish market and slaughter houses</t>
  </si>
  <si>
    <t>3. Disinfectants</t>
  </si>
  <si>
    <t>4. Lighting and maintenance of electrical appliances (electrical)</t>
  </si>
  <si>
    <t>5. Running ETP plant and other development works at Kondhwa slaughter house</t>
  </si>
  <si>
    <t>Computeriation of birth and death records, database, scanning and digitization</t>
  </si>
  <si>
    <t>Supplying papers with PMC watermark logo</t>
  </si>
  <si>
    <t>Maintenance works in various crematories and cemeteries in the city (list R4)</t>
  </si>
  <si>
    <t>Repairing of slaughters, matton and fish market under supervision of health department</t>
  </si>
  <si>
    <t>Running laboratory at Kondhwa slaughter house</t>
  </si>
  <si>
    <t>Running incinerator at Mundhwa, Keshavnagar</t>
  </si>
  <si>
    <t>Installing scanner and computer system at PMC's birth and death center</t>
  </si>
  <si>
    <t>Establish generic medicine shop</t>
  </si>
  <si>
    <t xml:space="preserve">Purchasing medicines and other required consumable items for ICU department at Kamla Nehru Hospital </t>
  </si>
  <si>
    <t>For consolidated salary of bonded doctors (specialist and super specialists) at Kamla Nehru Hospital</t>
  </si>
  <si>
    <t>Providing technical staff for electrical related works at Kamla Nehru Hospital (electrical)</t>
  </si>
  <si>
    <t>Financial aid for urban community mental health</t>
  </si>
  <si>
    <t xml:space="preserve">Purchasing anti-rabies vaccine and immunoglobulin </t>
  </si>
  <si>
    <t>Maintenance of digital x-ray, sonography machine and ventilator at PMC Hospitals</t>
  </si>
  <si>
    <t>Purchasing medicines and associated things for abruptly immerged diseases in emergency conditions</t>
  </si>
  <si>
    <t>To pay reward to person providing information at PCPNDT department</t>
  </si>
  <si>
    <t>Operation and maintenance at Kondhwa slaughter house</t>
  </si>
  <si>
    <t xml:space="preserve">Financial aid for leprosy patients </t>
  </si>
  <si>
    <t>Public Health (Departmental Office)</t>
  </si>
  <si>
    <t>Total of Public Health</t>
  </si>
  <si>
    <t>7. Grand Total of Hospitals, Maternity Homes and drugstore</t>
  </si>
  <si>
    <t>9. Road sweeping, garbage transportation and sewage transportation</t>
  </si>
  <si>
    <t>c1. Road sweeping</t>
  </si>
  <si>
    <t>3. Public Awareness drive by sanitation committee</t>
  </si>
  <si>
    <t xml:space="preserve">4. Allowance for store and other material, broom </t>
  </si>
  <si>
    <t>6. Insurance for rag-pickers and financial aid for their children</t>
  </si>
  <si>
    <t>7. Provision for garbage transportation vehicles on rental basis required for Urali dumping ground</t>
  </si>
  <si>
    <t>9. Internal cleaning of PMC buildings, auditorium, ward offices etc</t>
  </si>
  <si>
    <t>13. Disinfectants and powder of verious types</t>
  </si>
  <si>
    <t>14. Masks, gumboots, hand-gloves etc</t>
  </si>
  <si>
    <t>16. Aid and associated expenses for Central rag-pickers' society and other organizations</t>
  </si>
  <si>
    <t>18. Disinfectant spraying in the area of Urali-Devachi, Phursangi dumping ground</t>
  </si>
  <si>
    <t xml:space="preserve">19. Maintenance and associated works of Vermi-compost/ biogas and mechanical composting/ shredder machine project </t>
  </si>
  <si>
    <t xml:space="preserve">Paying tipping fee for solid waste processing at Waste to energy project established on BOT basis </t>
  </si>
  <si>
    <t>20. Water supply through tanker to Urali-Devachi and Phursangi villages</t>
  </si>
  <si>
    <t>21. Electricity bills of gas plants installed at various places in the city (electrical)</t>
  </si>
  <si>
    <t>Implementing 'Sant Gadbebaba Nagari Swachchhata Abhiyan'</t>
  </si>
  <si>
    <t>Door to door garbage collection, making city container free</t>
  </si>
  <si>
    <t>Purchasing pots for Ganesh festival, providing toilet facility for ganesh festival and toilet facility for Palakhi</t>
  </si>
  <si>
    <t>Purchasing uniforms for elegible staff at solid waste management department</t>
  </si>
  <si>
    <t>First winner of 'Loknete Yashwantrao Chavan Swachchha Sunder Prabhag' competition (Year 2015-16)</t>
  </si>
  <si>
    <t>Second winner of 'Loknete Yashwantrao Chavan Swachchha Sunder Prabhag' competition (Year 2015-16)</t>
  </si>
  <si>
    <t>Third winner of 'Loknete Yashwantrao Chavan Swachchha Sunder Prabhag' competition (Year 2015-16)</t>
  </si>
  <si>
    <t>Forth winner of 'Loknete Yashwantrao Chavan Swachchha Sunder Prabhag' competition (Year 2015-16)</t>
  </si>
  <si>
    <t>Municipal Corparation's share for works to be done for slum sanitation under EU</t>
  </si>
  <si>
    <t>Implementing zero garbage process plant under 'Loknete Yashwantrao Chavan Shahar Swachchhta Abhiyan'</t>
  </si>
  <si>
    <t xml:space="preserve">Purchasing required material (powder, chemicals and associated things) for cleaning public toilets and urinals in the city </t>
  </si>
  <si>
    <t>Providing bio-logical ador controller and waste degradator</t>
  </si>
  <si>
    <t>Mechanized cleaning of public toilets in the Pune city (Part A and Part B)</t>
  </si>
  <si>
    <t xml:space="preserve">Amount to be paid for scientific confinement of reject genetared from projects established with support of central government greant for Devachi Urali/ Phursangi </t>
  </si>
  <si>
    <t>Swach Bharat Mission and arrangement for delegation visiting Pune city</t>
  </si>
  <si>
    <t>Providing safety equipments and insurance coverage etc to rag-pickers</t>
  </si>
  <si>
    <t>Organizing and attending seminars, conference and trainings related to solid waste management</t>
  </si>
  <si>
    <t>Mechanized road sweeping</t>
  </si>
  <si>
    <t xml:space="preserve">Providing material to solid waste management staff and other organization's staff </t>
  </si>
  <si>
    <t>Maintenance of projects set up under solid waste management, payment of tipping fee for projects established on BOT/ BOOT basis and related works</t>
  </si>
  <si>
    <t>Outsourcing vehicles for primary and secondary transportation for solid waste management</t>
  </si>
  <si>
    <t>Appointing drivers on contract basis for garbage transportation under solid waste management</t>
  </si>
  <si>
    <t>Transportation of solid waste through tractors, generated in Prabhags under Kondhwa-Vanwadi and Dhankawadi ward offices (vehicle depot)</t>
  </si>
  <si>
    <t>Electrical works at Hadapsar ramp vehicle maintenance shed (vehicle depot)</t>
  </si>
  <si>
    <t>Maintenance and cleaning related to solid waste management</t>
  </si>
  <si>
    <t>22. Managing solid waste in Pune city at Prabhag level</t>
  </si>
  <si>
    <t>c1. Total</t>
  </si>
  <si>
    <t>c2. Road Sweeping (Departmental office)</t>
  </si>
  <si>
    <t>Providing Ghantagadis, cycle rickshaws, procurring buckets, repairing Arogya Kothis</t>
  </si>
  <si>
    <t>Outsourcing Solid waste management related works</t>
  </si>
  <si>
    <t xml:space="preserve">Required works related to biogas, vermicompost project </t>
  </si>
  <si>
    <t>c2. Total</t>
  </si>
  <si>
    <t>Grand Total</t>
  </si>
  <si>
    <t>Garbage Transportation</t>
  </si>
  <si>
    <t>Garbage Transportation (Departmental Office)</t>
  </si>
  <si>
    <t>Sludge and sewage transportation under Solid Waste Department</t>
  </si>
  <si>
    <t>Sludge and sewage transportation under Solid Waste Department (Departmental Office)</t>
  </si>
  <si>
    <t>Cleaning of underground gutters, chambers under Solid Waste Department (Departmental Office)</t>
  </si>
  <si>
    <t>Slum cleaning and sweeping (Departmental Office)</t>
  </si>
  <si>
    <t>9. Total of Road sweeping, garbage transportation and sewage transportation</t>
  </si>
  <si>
    <t>10. Road Improvement (Special Officer)</t>
  </si>
  <si>
    <t>c1. Road Improvement (Special Officer)</t>
  </si>
  <si>
    <t>2. Salary of temporary workers (daily wage workers)</t>
  </si>
  <si>
    <t>2. Miscellaneous (1) Road department</t>
  </si>
  <si>
    <t>c2. Road Improvement (Special Officer) (Departmental office)</t>
  </si>
  <si>
    <t>Non-planned works to be done by ward office</t>
  </si>
  <si>
    <t>Non-planned works to be done by ward office with citizen participation</t>
  </si>
  <si>
    <t>Road Repair (Road Department)</t>
  </si>
  <si>
    <t>1. Road Repairs</t>
  </si>
  <si>
    <t>Repairing potholes on various roads (mobile party)</t>
  </si>
  <si>
    <t>2. Tools, baricades and material</t>
  </si>
  <si>
    <t>3. Store improvement and lighting at Aundh and Yerwada Central Stores (electrical)</t>
  </si>
  <si>
    <t>4. Machine repairs, hot mix plant material and other works, procurement of tar</t>
  </si>
  <si>
    <t>5. Maintenance of existing bridges, nallas and culverts on nallas</t>
  </si>
  <si>
    <t xml:space="preserve">9. Repairing rollers, mixers, paver and other machinery in the store and procurring new machinery </t>
  </si>
  <si>
    <t>10. Leveling chambers on the road, building RCC chambers, maintenance works with 4 ward office-wise mobile units and associated works</t>
  </si>
  <si>
    <t>11. For expenses of traffic wardens</t>
  </si>
  <si>
    <t>Non-planned works at Road Department (List A11)</t>
  </si>
  <si>
    <t>Non-planned works at Traffic Control Department (List A12)</t>
  </si>
  <si>
    <t>Road Repairs (Departmental office)</t>
  </si>
  <si>
    <t>Removing debris on the roads</t>
  </si>
  <si>
    <t>Repairing potholes on various roads</t>
  </si>
  <si>
    <t>Reinstatement works</t>
  </si>
  <si>
    <t>Repair and cleaning of statues in the roads</t>
  </si>
  <si>
    <t>Painting sign boards, painting, railing works and works related to dividers</t>
  </si>
  <si>
    <t>Repairing footpaths</t>
  </si>
  <si>
    <t>Repair works of paver blocks</t>
  </si>
  <si>
    <t>To pay Mobile party and  recoupment bills</t>
  </si>
  <si>
    <t>To procure and supply required material for stores</t>
  </si>
  <si>
    <t>Minor repair works with the help of labors</t>
  </si>
  <si>
    <t>Storm water drainage lines- laying/repairing pipes upto 600 mm diameter and other associated works</t>
  </si>
  <si>
    <t>To supply, install and repair nets for rainy season</t>
  </si>
  <si>
    <t>Concretisation/ paving and repair works</t>
  </si>
  <si>
    <t>Road repairing and providing filling material</t>
  </si>
  <si>
    <t>Street lighting (electrical)</t>
  </si>
  <si>
    <t>Salary of permanent staff (Tender department)</t>
  </si>
  <si>
    <t>Salary of permanent staff (BOT Cell)</t>
  </si>
  <si>
    <t>To procure sodium vapor lamps and material</t>
  </si>
  <si>
    <t>4. Electricity bills of merged villages</t>
  </si>
  <si>
    <t>5. Lighting expenses of electrical stores and provision for sound system on the occasion of various functions</t>
  </si>
  <si>
    <t>Electricity expenses for hot-mix plant at Yerwada</t>
  </si>
  <si>
    <t>7. Lighting provision at Shaniwar-wada</t>
  </si>
  <si>
    <t>8. Maintenance of various types of machinery, elevators, AC etc</t>
  </si>
  <si>
    <t xml:space="preserve">9. Temparory lighting arrangement at Shanivar-wada and whole city for various programs during Ganesh festival </t>
  </si>
  <si>
    <t xml:space="preserve">Operation and maitenance of fountains and 3D theater </t>
  </si>
  <si>
    <t>Maintenance of elevators in various PMC buildings</t>
  </si>
  <si>
    <t>Providing jeep mounted ladders for daily maintenance for electrical department</t>
  </si>
  <si>
    <t>Operation and maintenance of music fountain at Hajarat Siddiki Garden</t>
  </si>
  <si>
    <t>To set up advanced CCTV system on river bank as per requirement during Ganesh festival</t>
  </si>
  <si>
    <t>Street lighting (departmental office)</t>
  </si>
  <si>
    <t>Street lights, maintenance and necessary electical works</t>
  </si>
  <si>
    <t>Chief Engineer- Projects department</t>
  </si>
  <si>
    <t xml:space="preserve">3. In-situ dormatories build under BSUP project, providing security for buildings build at Warje and Hadapsar, maintenance, electricity bills, repairing and associted works </t>
  </si>
  <si>
    <t>JNNURM Koregaon Park (project 1)</t>
  </si>
  <si>
    <t>Special Officer (additional city engineer)- Metro project</t>
  </si>
  <si>
    <t>3. Expenses of metro cell department</t>
  </si>
  <si>
    <t>10. Grand Total of Road Improvement</t>
  </si>
  <si>
    <t>11. Mechanical</t>
  </si>
  <si>
    <t xml:space="preserve">c. Office of Mechanical installation officer </t>
  </si>
  <si>
    <t>2. Expenses for petrol, diesel, oil and CNG</t>
  </si>
  <si>
    <t>2a. Expenses for accessories</t>
  </si>
  <si>
    <t>3. To pay toll for vehicles at Phursangi and other toll booths</t>
  </si>
  <si>
    <t>4. To hire vehicles on rent</t>
  </si>
  <si>
    <t>5. RTO passing</t>
  </si>
  <si>
    <t>6. Reimbursement to Hon. Officials for travelling on own expenses</t>
  </si>
  <si>
    <t>Workshop (sanitation labor)</t>
  </si>
  <si>
    <t>1a. Salary of permanent staff (As per employee provident fund act)</t>
  </si>
  <si>
    <t>1b. Salary of permanent staff (workers at petty cash account)</t>
  </si>
  <si>
    <t>3. Tools and machines</t>
  </si>
  <si>
    <t>4. Repairs and electricity expenses for machines (electrical)</t>
  </si>
  <si>
    <t>5. Providing kerosene etc to labors</t>
  </si>
  <si>
    <t>6. Machine maintenance</t>
  </si>
  <si>
    <t>7. License renewal fee</t>
  </si>
  <si>
    <t>8. Material expenses</t>
  </si>
  <si>
    <t>10. Providing shoes, uniforms and sweaters to workers</t>
  </si>
  <si>
    <t>11. Repairing push-carts, wheel barro, steel container</t>
  </si>
  <si>
    <t>Motor department (Executive officer, vehicle depot)</t>
  </si>
  <si>
    <t>2. Salary of permanent staff at vehicle depot (as per employees provident fund act)</t>
  </si>
  <si>
    <t>3. Salary of permanent staff (drivers)</t>
  </si>
  <si>
    <t>4a. Salary of temporary staff (drivers section at vehicle depot and other temporary staff)</t>
  </si>
  <si>
    <t>4c. Salary of staff appointed on contract basis as drivers/mechanics</t>
  </si>
  <si>
    <t>6. Repair and cleaning</t>
  </si>
  <si>
    <t>7. Electricity bills (electrical)</t>
  </si>
  <si>
    <t>8. Power driven tools</t>
  </si>
  <si>
    <t>9. Expenses for workers education scheme material, first-aid course and associated works</t>
  </si>
  <si>
    <t>10. Tea allowance</t>
  </si>
  <si>
    <t>11. Registration fee</t>
  </si>
  <si>
    <t>12. Insurance</t>
  </si>
  <si>
    <t>13. Maintenance of Gul-tekadi vehicle depot</t>
  </si>
  <si>
    <t>14. Accident compensation</t>
  </si>
  <si>
    <t>15. Vehicle and machinery maintenance</t>
  </si>
  <si>
    <t>16. License renewal fee</t>
  </si>
  <si>
    <t>17. RTO related works</t>
  </si>
  <si>
    <t>18. Hydraulic system repair of vehicles with hydraulic system</t>
  </si>
  <si>
    <t>19. Cleaning drainage lines in the Pune city with jetting machine</t>
  </si>
  <si>
    <t>20. Engine repair and recon</t>
  </si>
  <si>
    <t xml:space="preserve">21. Removing sludge from the drainage chambers on the main road with the help of mechanized pump </t>
  </si>
  <si>
    <t>22. Mechanized cleaning of larger drainage lines in the city</t>
  </si>
  <si>
    <t>23. Main road sweeping with mechanized sweeping machine (including merged villages)</t>
  </si>
  <si>
    <t>Maintenance of machinery at Sarasbaug store</t>
  </si>
  <si>
    <t>Operation and maintenance of Dog vehicles, electrical vehicles and sludge vehicles through privatization</t>
  </si>
  <si>
    <t>Operation and maintenance of BRC and other solid waste related vehicles through privatization</t>
  </si>
  <si>
    <t>Operation at various ramps and solid waste transportation through privatization</t>
  </si>
  <si>
    <t xml:space="preserve">To hire on rent excavator loader, hydraulic excavator for storm water nalla cleaning </t>
  </si>
  <si>
    <t>To hire on rent tipper for storm water nalla cleaning</t>
  </si>
  <si>
    <t>To hire on rent goods carrier truck for action on encroachment, constuction control, unhygenic eateries, for ganesh festivals (vehicle depot)</t>
  </si>
  <si>
    <t xml:space="preserve">Transporation of garbage generated in the Prabhags under Kondhwa-Vanvadi and Dhankawadi ward office with tractor </t>
  </si>
  <si>
    <t xml:space="preserve">Provision at transfer stations for washing of the solid waste transportation vehicles </t>
  </si>
  <si>
    <t>Maintenance of weighing machines at transfer stations</t>
  </si>
  <si>
    <t>To install and maintain PA system on the vehicles at Solid Waste Management, Ward Offices, Health Department etc.</t>
  </si>
  <si>
    <t>To install GPRS system on vehicles at Solid waste management department</t>
  </si>
  <si>
    <t xml:space="preserve">To hire on rent crain, truck and trailor </t>
  </si>
  <si>
    <t>11. Grand Total of Mechanical</t>
  </si>
  <si>
    <t xml:space="preserve">12. Management of Building, land and Municipal Corporation's quarters </t>
  </si>
  <si>
    <t>c. Building and land department (Assistant Municipal Commissioner- Special)</t>
  </si>
  <si>
    <t>Essential expenses for PMC properties</t>
  </si>
  <si>
    <t>4. Rent and tax</t>
  </si>
  <si>
    <t xml:space="preserve">a) Tax on PMC's immovable properties </t>
  </si>
  <si>
    <t>b) Land rent</t>
  </si>
  <si>
    <t>6. Maintenance of PMC quarters and other buildings (building)</t>
  </si>
  <si>
    <t>a) Lighting at PMC quarters and other buildings (electrical)</t>
  </si>
  <si>
    <t xml:space="preserve">b) Elevators at commercial buildings (electrical </t>
  </si>
  <si>
    <t>c) Pump repair, improvements in household wiring and lighting at PMC quarters</t>
  </si>
  <si>
    <t>7. Cleaning and maintenance facilities at Swatantryaveer Savarkar Audyogik Bhavan (Assistant Municipal Commissioner- Special)</t>
  </si>
  <si>
    <t>8. Maintenance of commercial buildings (building)</t>
  </si>
  <si>
    <t>Providing private security guards for PMC's all buildings</t>
  </si>
  <si>
    <t>Outstanding of Service tax</t>
  </si>
  <si>
    <t>Outsourcing for recording PMC's right on title papers on acquisition of properties</t>
  </si>
  <si>
    <t xml:space="preserve">Maintenance of schools, hospitals, markets, pmc buildings, stores, community centers, ghats, crematories, etc. </t>
  </si>
  <si>
    <t>Municipal Corporation buildings</t>
  </si>
  <si>
    <t>1. Providing electricity connection to PMC buildings (electrical)</t>
  </si>
  <si>
    <t>2. Maintenance of Vishrambaugwada, Lalmahal and Moledina Hall and other buildings</t>
  </si>
  <si>
    <t>Building repairs and building ramps at Aundh, Ghole Road, Kothrud, Warje-Karvenagar, Dhole Patil, Samgamwadi, Bhawani Peth, Sahakarnagar, Kasba Vishrambaug wada, Tilak Road,Hadapsar, Bibwewadi, Nagar Road (Vadgaon Sheri) ward offices (Building)</t>
  </si>
  <si>
    <t>Various repair works at PMC quarters</t>
  </si>
  <si>
    <t>Building advanced ladies toilets at Municipal Corporation building and offices</t>
  </si>
  <si>
    <t>Maintenance of Mahatma Phule National Memorial at Mahatma Phule Peth abd development of Savitribai Phule Memorial and Mahatma Phule Wada area</t>
  </si>
  <si>
    <t xml:space="preserve">To repair various plinths of statues in the Pune city </t>
  </si>
  <si>
    <t>Various electrical related maintenance works at P.D. Hule Market, Yerwada (electrical)</t>
  </si>
  <si>
    <t>Third Party Inspection of construction of proposed buildings of Building department being constructed by PMC</t>
  </si>
  <si>
    <t>Municipal Cororation Quarters</t>
  </si>
  <si>
    <t>1. Salary of permanent staff (Assistant Municipal Commissioner- Special)</t>
  </si>
  <si>
    <t>Municipal Cororation Quarters (departmental office)</t>
  </si>
  <si>
    <t>2. Maintenance of municipal coraporation quarters</t>
  </si>
  <si>
    <t>Building repairs (schools, hospitals, market, ward offices, quarters, etc)</t>
  </si>
  <si>
    <t>To repair other buildings (Ghat, crematories, visargan haud, etc)</t>
  </si>
  <si>
    <t>To erect Mandap for festivals ( like birth anniversary, ganesh festival, etc.) and associated works</t>
  </si>
  <si>
    <t>Providing material for minor repairs to stores</t>
  </si>
  <si>
    <t>Dr. Babasaheb Ambedkar Students' Hostel, Ghole Road</t>
  </si>
  <si>
    <t>Miscellaneous</t>
  </si>
  <si>
    <t>Works related to electrical wiring, tube, fan, CCTV cameras, sound system in the hostel</t>
  </si>
  <si>
    <t>To procure cot, tables, chairs, tiffin boxes and other daily consumables for students</t>
  </si>
  <si>
    <t>To set up solar system on the hostel bulding and repairing old system</t>
  </si>
  <si>
    <t>Sweeping and toilet cleaning</t>
  </si>
  <si>
    <t>Maintenance of hostel</t>
  </si>
  <si>
    <t>Providing private security guards</t>
  </si>
  <si>
    <t>Library and to procure books for Dr. Babasaheb Ambedkar Hostel</t>
  </si>
  <si>
    <t>To procure tables, chairs for mess at Dr. Babasaheb Ambedkar hostel</t>
  </si>
  <si>
    <t>Appointing librararian and data entry operator at Dr. Babasaheb Ambedkar hostel</t>
  </si>
  <si>
    <t xml:space="preserve">12. Grand Total of Management of Building, land and Municipal Corporation's quarters </t>
  </si>
  <si>
    <t>13. Construction planning, Urban Planning and Urban Planning Scheme</t>
  </si>
  <si>
    <t>c. Head office of city engineer</t>
  </si>
  <si>
    <t>1. City engineer salary (as per MAHARASHTRA MUNICIPAL Act, section 45(3))</t>
  </si>
  <si>
    <t>2a. Office of city engineer- Salary of permanent staff (city engineer)</t>
  </si>
  <si>
    <t>4. Expenses for court matters (city engineer)</t>
  </si>
  <si>
    <t>5. To deposit registration charges as per Contract Labor Act</t>
  </si>
  <si>
    <t>6. Travel expenses</t>
  </si>
  <si>
    <t>Establishing Pune Arts committee and developing vision plan for Pune Tourism</t>
  </si>
  <si>
    <t xml:space="preserve">9. Advisor fee for third party quality aasurance </t>
  </si>
  <si>
    <t>13. Advertising expenses for TDR search</t>
  </si>
  <si>
    <t>14. Lawyer fee for TDR search title</t>
  </si>
  <si>
    <t>15. TP scheme in city and merged villages</t>
  </si>
  <si>
    <t>Appointing consultant for quality inspection of development works at ward offices</t>
  </si>
  <si>
    <t>Development plan and micro-film</t>
  </si>
  <si>
    <t>DP marking, integrated scheme, implementing town planning schemes.development plann for residential zone in old limits, city survey in pmc limits</t>
  </si>
  <si>
    <t>To hire/ to procure the machinery required for action on illegal/ dangerous constructions</t>
  </si>
  <si>
    <t>Developing system for updating software and hardware in relation to Auto DCR</t>
  </si>
  <si>
    <t>Microfilming and scanning for document preservation</t>
  </si>
  <si>
    <t>Regularization of mobile towers and taxation</t>
  </si>
  <si>
    <t>Survey of illegal constructions in Pune city</t>
  </si>
  <si>
    <t>Geological survey of land for protection of residents living besides hills in the Pune city</t>
  </si>
  <si>
    <t>Collecting information and developing GIS system for Municipal Corporation</t>
  </si>
  <si>
    <t>Providing copies of documents, maps to citizens under RTI</t>
  </si>
  <si>
    <t xml:space="preserve">Aerial survey of area under Pune Municipal Corporation </t>
  </si>
  <si>
    <t xml:space="preserve">Organizing competitions and awards for building Architecture and green buildings in the city </t>
  </si>
  <si>
    <t>Building permission</t>
  </si>
  <si>
    <t>Control of construction of private buildings</t>
  </si>
  <si>
    <t>1a. Salary of permanent staff (city engineer)</t>
  </si>
  <si>
    <t>3. Tools and other material (city engineer)</t>
  </si>
  <si>
    <t>4. Travel expenses</t>
  </si>
  <si>
    <t>5. Demolishing condemned households, honorarium to be paid for additional works</t>
  </si>
  <si>
    <t>6. Installment to be paid for group insurance scheme</t>
  </si>
  <si>
    <t>Urban Development Department</t>
  </si>
  <si>
    <t>Urban Development Scheme</t>
  </si>
  <si>
    <t xml:space="preserve">3. Compensation for loss to be paid to concerned people under recognized Town Planning schemes in Pune city </t>
  </si>
  <si>
    <t>4. Providing stones and marking for roads as per development plan of 23 villages</t>
  </si>
  <si>
    <t>5. Printing and making copies of Development plan of 23 villages</t>
  </si>
  <si>
    <t>Land Acquisition</t>
  </si>
  <si>
    <t>1a. Salary of permanent staff</t>
  </si>
  <si>
    <t>Development Engineer (project)</t>
  </si>
  <si>
    <t>Building department</t>
  </si>
  <si>
    <t>Building department (departmental office)</t>
  </si>
  <si>
    <t>Heritage and development</t>
  </si>
  <si>
    <t>Associated works for heritage structures in the Pune city (List R7)</t>
  </si>
  <si>
    <t>13. Grand Total of Construction planning, Urban Planning and Urban Planning Scheme</t>
  </si>
  <si>
    <t>14. Fire Brigade</t>
  </si>
  <si>
    <t xml:space="preserve">c. Fire extinguishing vehicle </t>
  </si>
  <si>
    <t>2. Miscellaneous/Uniform</t>
  </si>
  <si>
    <t>3. Repair and cleaning:</t>
  </si>
  <si>
    <t>a) Machines and equipments (city engineer)</t>
  </si>
  <si>
    <t>4. Material: canvas pipes and mouths (city engineer)</t>
  </si>
  <si>
    <t>5. Awards (city engineer)</t>
  </si>
  <si>
    <t>6. Installment of compulsary insurance under personal injuries scheme</t>
  </si>
  <si>
    <t>7. vehicle depot: vehicle repairing and expenses of other material (city engineer)</t>
  </si>
  <si>
    <t xml:space="preserve">9. Grant for fire station staff training center at Kole Kalyan  </t>
  </si>
  <si>
    <t>10. Electricity expenses (electrical)</t>
  </si>
  <si>
    <t>Requirements for water pumps and other machinery at fire station (electrical)</t>
  </si>
  <si>
    <t>14. Total of Fire Brigade</t>
  </si>
  <si>
    <t>15. License and Hoardings, eliminating encroachments on roads, animal shelter</t>
  </si>
  <si>
    <t>c. License and hoarding department</t>
  </si>
  <si>
    <t>1a. Salary of permanent staff (Assistant Municipal Commissioner- Special)</t>
  </si>
  <si>
    <t>3. Removing unauthorized advertizing boards and associated works</t>
  </si>
  <si>
    <t>Eradication of encroachments on roads</t>
  </si>
  <si>
    <t>2. Police expenses</t>
  </si>
  <si>
    <t>4. Compensation/ insurance scheme for encroachment eradication staff</t>
  </si>
  <si>
    <t xml:space="preserve">5. Providing labor on contract basis, Anti-encroachment squad </t>
  </si>
  <si>
    <t>Hawkers survey and encroachment eradication cell</t>
  </si>
  <si>
    <t>Hawkers' rehabilitation (Town Vending Committee) meetings and associated expenses</t>
  </si>
  <si>
    <t>Implementation as per new Street Vendors' policy</t>
  </si>
  <si>
    <t>Meeing arrangement, new building and furniture</t>
  </si>
  <si>
    <t>To hire vehicles for encroachment department</t>
  </si>
  <si>
    <t>Appointing workers, machinery, vehicles, etc for action of encroachment department</t>
  </si>
  <si>
    <t>Encroachment, building control, action on unhygenic food, hiring goods carrier truck for ganesh festival (vehicle depot)</t>
  </si>
  <si>
    <t>Minor repair works (departmental office)</t>
  </si>
  <si>
    <t>Providing video shooting camera, gas cutter, breakers etc for Hoardings, Building control, encroachment department (departmental office)</t>
  </si>
  <si>
    <t>Animal shelter</t>
  </si>
  <si>
    <t>1. Salary of permanent staff (Assistant Municipal Commissioner- Estate and housing)</t>
  </si>
  <si>
    <t>3. Fodder expenses</t>
  </si>
  <si>
    <t xml:space="preserve">15. Grand Total of License and Hoardings, eliminating encroachments on roads, animal shelter </t>
  </si>
  <si>
    <t>16. Gardens, Zoos, Aquarium and snake park</t>
  </si>
  <si>
    <t>c. Gardens</t>
  </si>
  <si>
    <t>3. To pay electricity bill of all gardens to electricity distribution board (electricity)</t>
  </si>
  <si>
    <t xml:space="preserve">4. To procure soil, fertilizers, tools, saplings, brooms, food for animals, medicines, fish for aquarium etc </t>
  </si>
  <si>
    <t>5. Maintenance and architectural repairs of all gardens</t>
  </si>
  <si>
    <t>6. Maintenance of toys in all gardens</t>
  </si>
  <si>
    <t>7. Electrical maintenance of PMC gardens</t>
  </si>
  <si>
    <t>8. Payment of bills of expenses of maintenance and development of PMC gardens on contract basis</t>
  </si>
  <si>
    <t>9. Band and drums</t>
  </si>
  <si>
    <t xml:space="preserve">Installing dustbins in the gardens in the operational area of Hon. Deputy Commissioner no. 1 to 4 </t>
  </si>
  <si>
    <t>Providing private security guards for gardens in Pune city</t>
  </si>
  <si>
    <t>Maintenance works at Garden Department (List R8)</t>
  </si>
  <si>
    <t>Zoos</t>
  </si>
  <si>
    <t>3. To procure and transport new animals, fish, snakes</t>
  </si>
  <si>
    <t>4. Food for animals</t>
  </si>
  <si>
    <t>5. Medicines, tools etc</t>
  </si>
  <si>
    <t>6. Cage repair, equipment procurement and cleaning in the zoo</t>
  </si>
  <si>
    <t>8. Repair of Fulrani, tools and material procurement</t>
  </si>
  <si>
    <t>9. Educational initiatives for schools etc</t>
  </si>
  <si>
    <t>Infrastructure for parents under Animal Adoption Scheme</t>
  </si>
  <si>
    <t>Maintenance of battery operated vehicles</t>
  </si>
  <si>
    <t>Annual membership, attendance for meeting and visits to zoos in foreign countries</t>
  </si>
  <si>
    <t xml:space="preserve">Running Animal orphanage and snake park department on contract </t>
  </si>
  <si>
    <t>Environment office</t>
  </si>
  <si>
    <t>Miscallaneous</t>
  </si>
  <si>
    <t>To put boards of 'Silence zone' n various palces in the city (Phase-2)</t>
  </si>
  <si>
    <t>Operation and maintenance of Indradhanushya Environment Center</t>
  </si>
  <si>
    <t>Operating environment laboratory and preparing environment report</t>
  </si>
  <si>
    <t>Pollution measuring machines required for environment laboratory</t>
  </si>
  <si>
    <t>Arranging various environment related awareness programs for citizens and schools at Indradhanushya and other places</t>
  </si>
  <si>
    <t>Maintaining and enhancing bio-diversity</t>
  </si>
  <si>
    <t>Works related bio-diversity register and report making</t>
  </si>
  <si>
    <t>Committee visits and programs related to bio-diversity awareness</t>
  </si>
  <si>
    <t>Total of Environment office</t>
  </si>
  <si>
    <t>16. Grand Total of Gardens, Zoos, Aquarium and snake park</t>
  </si>
  <si>
    <t>17. Sports and playgrounds</t>
  </si>
  <si>
    <t>c. Pandit Jawaharlal Nehru Stadium</t>
  </si>
  <si>
    <t>1. Salary of permanent staff (Assessor and collector of taxes)</t>
  </si>
  <si>
    <t xml:space="preserve">3. Rent </t>
  </si>
  <si>
    <t>4. Government and semi-government tax (</t>
  </si>
  <si>
    <t>5. General repairs (building)</t>
  </si>
  <si>
    <t>6. Electricity bills (electricity)</t>
  </si>
  <si>
    <t>7. Maintenance of playground for national, international and other matches</t>
  </si>
  <si>
    <t>10. Furniture repair and other developments in the room of the stadium</t>
  </si>
  <si>
    <t xml:space="preserve">11. Travel and other expenses of players for interstate municipal corporation sports competition </t>
  </si>
  <si>
    <t xml:space="preserve">12. Compensation for loss amount to be paid to club of maharashtra for </t>
  </si>
  <si>
    <t>13. Mahapaur (Mayor) Cup various sports competitions</t>
  </si>
  <si>
    <t>15. Mahapaur (Mayor) Cup kho-kho competition</t>
  </si>
  <si>
    <t>17. Maintenance of Lt Baburao Sanas Ground</t>
  </si>
  <si>
    <t>19. Mahapaur (Mayor) Cup Kabaddi Competition</t>
  </si>
  <si>
    <t>20. National and International level Mahapaur Kesari wrestling competition</t>
  </si>
  <si>
    <t xml:space="preserve">21. Organizing Interoffice competitions </t>
  </si>
  <si>
    <t>25. Mahapaur Cup Malla-khamb Competition</t>
  </si>
  <si>
    <t xml:space="preserve">Felicitation and awarding PMC Sports Award to talented players in the city on the establishment day of PMC (Rs. 50 thousand each and momento) on the grounds of Shiv-Chhatrapati Award </t>
  </si>
  <si>
    <t>Player adoption scheme</t>
  </si>
  <si>
    <t>Organizing camps and competitions as incentive for native sports</t>
  </si>
  <si>
    <t xml:space="preserve">Daily maintenance of sports hostel at Lt. Baburao Sanas Ground </t>
  </si>
  <si>
    <t xml:space="preserve">To procure new machinery for repair of Pandit Nehru Stadium </t>
  </si>
  <si>
    <t>c1. Pandit Jawaharlal Nehru Stadium (as per sports policy)</t>
  </si>
  <si>
    <t>Providing new machinery, furniture, tools and maintenance</t>
  </si>
  <si>
    <t>To give awards as per Sports Award Policy</t>
  </si>
  <si>
    <t>Establishing sports nursery and honororium</t>
  </si>
  <si>
    <t>Providing facilities for sports nursery</t>
  </si>
  <si>
    <t>Non-residential Sports Academy</t>
  </si>
  <si>
    <t>Preparing playground for sports academy</t>
  </si>
  <si>
    <t xml:space="preserve">Conducting traning camps for sports coaching </t>
  </si>
  <si>
    <t>Grant for sports equipments</t>
  </si>
  <si>
    <t>Development of coaching and sports centers</t>
  </si>
  <si>
    <t>Incentive scholarships for players in PMC scchools</t>
  </si>
  <si>
    <t>To repair sports complexes</t>
  </si>
  <si>
    <t>Sports Awards for emerging players</t>
  </si>
  <si>
    <t>Swimming tanks</t>
  </si>
  <si>
    <t>1. Cleaning and building repair (building)</t>
  </si>
  <si>
    <t>Lt. General Arunkumar Vaidya Stadium and other playgrounds</t>
  </si>
  <si>
    <t xml:space="preserve">1. Miscellaneous </t>
  </si>
  <si>
    <t>2. Electricity expenses (electrical)</t>
  </si>
  <si>
    <t>3. Cleaning and building repairs (building)</t>
  </si>
  <si>
    <t>Operation and maintenance of Boxing ring, LED Video wall and other electrical works at Lt. General Arunkumar Vaidya Stadium (electrical)</t>
  </si>
  <si>
    <t>17. Grand Total of Sports and playgrounds</t>
  </si>
  <si>
    <t>c. Balgandharv Rangmandir</t>
  </si>
  <si>
    <t>3. Equipments and material required for cultural center (electrical)</t>
  </si>
  <si>
    <t xml:space="preserve">4. Door-keeping and provision for boards </t>
  </si>
  <si>
    <t>5. Contract for cleaning</t>
  </si>
  <si>
    <t>6. General maintenance (building)</t>
  </si>
  <si>
    <t>7. Lighting (electrical)</t>
  </si>
  <si>
    <t>8. Operation and maintenance of Air-conditioning plant (electrical)</t>
  </si>
  <si>
    <t>9. Fire fighting equipments and maintenance</t>
  </si>
  <si>
    <t>10. Fee to be paid for police licenses, electrical inspection etc</t>
  </si>
  <si>
    <t>11. Chair cushioning and repairing in the theater</t>
  </si>
  <si>
    <t>12. Transformer maintenance and oil replacement (electrical)</t>
  </si>
  <si>
    <t>13. Generator repair and diesel expenses (electrical)</t>
  </si>
  <si>
    <t>14. Light, sound repair and contract (electrical)</t>
  </si>
  <si>
    <t>15. Balgandharv Art Gallery improvement and repair</t>
  </si>
  <si>
    <t>16. Balgandharv Award</t>
  </si>
  <si>
    <t xml:space="preserve">18. Cultural platform for PMC officers/staff </t>
  </si>
  <si>
    <t>Maintenance of Balgandharv Rangmandir, Ganesh Kala-Krida Kendra, Yashvantrao Chavan Theater, Dr. Ambedkar Cultural Center, Maulana Azad Auditorium, PMC press commercial building (building)</t>
  </si>
  <si>
    <t>Providing security guards for PMC cultural centers</t>
  </si>
  <si>
    <t>Ganesh Kala-krida mandir</t>
  </si>
  <si>
    <t>2. Miscellaneous and other works</t>
  </si>
  <si>
    <t>3. Stage equipments and materials (electrical)</t>
  </si>
  <si>
    <t>5. General maintenance (building)</t>
  </si>
  <si>
    <t>6. Lighting (electrical)</t>
  </si>
  <si>
    <t>7. Fee for police license and electrical inspection</t>
  </si>
  <si>
    <t>8. Light, sound operating (electrical)</t>
  </si>
  <si>
    <t>9. Chair repairing</t>
  </si>
  <si>
    <t>10. Generator repair and diesel expenses (electrical)</t>
  </si>
  <si>
    <t>11. Cleaning contract</t>
  </si>
  <si>
    <t>12. Operation and maintenance of air conditioning plant (electrical)</t>
  </si>
  <si>
    <t>13. Transformer maintenance and oil replacement (electrical)</t>
  </si>
  <si>
    <t>Repairing of Dolby sound system and associated works (electrical)</t>
  </si>
  <si>
    <t>Yashvantrao Chavan Theater</t>
  </si>
  <si>
    <t>3. Equipments and material (electrical)</t>
  </si>
  <si>
    <t>4. Door-keeping and boards arrangement</t>
  </si>
  <si>
    <t>5. General maintenance (electrical)</t>
  </si>
  <si>
    <t>7. Transformer and maintenance (electrical)</t>
  </si>
  <si>
    <t>8. Generator repair and maintenance (electrical)</t>
  </si>
  <si>
    <t xml:space="preserve">9. Art gallery improvements </t>
  </si>
  <si>
    <t xml:space="preserve">10. Cleaning contract </t>
  </si>
  <si>
    <t>11. Operation and maintenance of air conditioning plant (electrical)</t>
  </si>
  <si>
    <t>12. Light, sound repair and operating (electrical)</t>
  </si>
  <si>
    <t>13. Theater chair repairing</t>
  </si>
  <si>
    <t>Dr. Babasaheb Ambedkar Cultural Center</t>
  </si>
  <si>
    <t>9. Dr. Babasaheb Ambedkar Award</t>
  </si>
  <si>
    <t>16. To procure books for library</t>
  </si>
  <si>
    <t xml:space="preserve">Maulana Abdul Kalam Azad Memorial </t>
  </si>
  <si>
    <t>4. General maintenance (electrical)</t>
  </si>
  <si>
    <t>5. Lighting (electrical)</t>
  </si>
  <si>
    <t>6. Transformer and maintenance (electrical)</t>
  </si>
  <si>
    <t>7. Generator repair and maintenance (electrical)</t>
  </si>
  <si>
    <t xml:space="preserve">8. Cleaning contract </t>
  </si>
  <si>
    <t>9. Operation and maintenance of air conditioning plant (electrical)</t>
  </si>
  <si>
    <t>10. Light, sound repair and operating (electrical)</t>
  </si>
  <si>
    <t>11. Theater chair repairing</t>
  </si>
  <si>
    <t>Raja Ravivarma Art Gallery and Pandit Jawaharlal Nehru Cultural Center (Ghole Road Art Gallery)</t>
  </si>
  <si>
    <t>Lighting (electrical)</t>
  </si>
  <si>
    <t>Transformer (electrical)</t>
  </si>
  <si>
    <t>Generator repair and maintenance (electrical)</t>
  </si>
  <si>
    <t>Operation and maintenance of air conditioning plant (electrical)</t>
  </si>
  <si>
    <t>Light, sound repair and operating (electrical)</t>
  </si>
  <si>
    <t xml:space="preserve">Cleaning contract </t>
  </si>
  <si>
    <t>Door-keeping and boad arrangment</t>
  </si>
  <si>
    <t>Equipments and material (electrical)</t>
  </si>
  <si>
    <t>Pandit Bhimsen Joshi Art Gallery, Sahakarnagar</t>
  </si>
  <si>
    <t>General maintenance (building)</t>
  </si>
  <si>
    <t>Transformer and maintenance (electrical)</t>
  </si>
  <si>
    <t>Art Gallery improvements</t>
  </si>
  <si>
    <t xml:space="preserve">Contract of exhibition hall </t>
  </si>
  <si>
    <t>Maintenance of Music library</t>
  </si>
  <si>
    <t>Pandit Bhimsen Joshi Kalamandir, Aundh</t>
  </si>
  <si>
    <t>Theater chair repairing</t>
  </si>
  <si>
    <t>Vijay Tendulkar Theater at Rajeev Gandhi e-learning school</t>
  </si>
  <si>
    <t>Sadhvi Savitribai Phule Cultural Center, Bhavani Peth</t>
  </si>
  <si>
    <t>Mahatma Phule Cultural Center, Vanvadi</t>
  </si>
  <si>
    <t>18. Total of Cultural Centers</t>
  </si>
  <si>
    <t>19. Vegetable markets</t>
  </si>
  <si>
    <t>c1. Vegetable markets</t>
  </si>
  <si>
    <t>1. Salary of permanent staff (Assistant Municipal Commissioner- estate and housing)</t>
  </si>
  <si>
    <t>3. Lighting- Mahatma Phule Market and other markets (electrical)</t>
  </si>
  <si>
    <t>4. Other materials</t>
  </si>
  <si>
    <t>7. Cleaning contract for vegetable market</t>
  </si>
  <si>
    <t>19. Total of Vegetable markets</t>
  </si>
  <si>
    <t>21. Development works to be done at ward level (list R5)</t>
  </si>
  <si>
    <t xml:space="preserve">22. Pension and gratuity of workers under Provident Fund Act </t>
  </si>
  <si>
    <t>c. Fund and gratuity</t>
  </si>
  <si>
    <t>1. Provident Fund (chief accountant)</t>
  </si>
  <si>
    <t>2. Gratuity (chief accountant)</t>
  </si>
  <si>
    <t xml:space="preserve">3. Expenses for variance for interest on provident fund </t>
  </si>
  <si>
    <t>Donation to pension and gratuity fund (chief accountant)</t>
  </si>
  <si>
    <t xml:space="preserve">22. Total of Pension and gratuity of workers under Provident Fund Act </t>
  </si>
  <si>
    <t>23. Donations to public organizations</t>
  </si>
  <si>
    <t>C. Compulsary donations</t>
  </si>
  <si>
    <t>c1. Hospitals</t>
  </si>
  <si>
    <t>Expenses for maintenance of lepers (medical officer)</t>
  </si>
  <si>
    <t>Expenses for maintenance of mental hospital (medical officer)</t>
  </si>
  <si>
    <t>Amount to be paid to the government for the expenses of the implementation of The Bombay Beggers' Act, 1945 in the municipal limits</t>
  </si>
  <si>
    <t>Sheth Tarachand Ramnath Ayurvedic Hospital</t>
  </si>
  <si>
    <t>Ayurved Education Board</t>
  </si>
  <si>
    <t>c2. Educational</t>
  </si>
  <si>
    <t>Mahatma Phule Museum (Assistant Municipal Commissioner)</t>
  </si>
  <si>
    <t>Raja Dinkar Kelkar Museum</t>
  </si>
  <si>
    <t>D. Optional</t>
  </si>
  <si>
    <t>Anandvan Leprosy Home (medical officer)</t>
  </si>
  <si>
    <t>Grant for treatment on burned patients at Sasoon Hospital, Pune</t>
  </si>
  <si>
    <t>D. Total</t>
  </si>
  <si>
    <t>Total of (23C+23D)</t>
  </si>
  <si>
    <t>Donations to other organizations</t>
  </si>
  <si>
    <t>Pune Municipal Corporation Sports Association (assistant municipal commissioner)</t>
  </si>
  <si>
    <t>101 Infantry Battalion</t>
  </si>
  <si>
    <t>Janseva Foundation</t>
  </si>
  <si>
    <t>The decision of which organizations will get donation from this fund is to be taken by Hon. Standing Committee</t>
  </si>
  <si>
    <t>Total of Donations to other organizations</t>
  </si>
  <si>
    <t>23. Total of Donations to public organizations</t>
  </si>
  <si>
    <t>28. Transfer to land acquisition fund</t>
  </si>
  <si>
    <t>32. Transfer to Backward class welfare scheme fund</t>
  </si>
  <si>
    <t>33. Transfer to Women and child welfare fund</t>
  </si>
  <si>
    <t>35. Transfer to capital fund from revenue fund</t>
  </si>
  <si>
    <t>36. Transfer to Tree coservation and protection authority</t>
  </si>
  <si>
    <t>41. Installment to machinery, depreciation fund</t>
  </si>
  <si>
    <t>43. Grant from Pune District Planning Association transfer to fund</t>
  </si>
  <si>
    <t>48. Advance to PMPML department</t>
  </si>
  <si>
    <t>48-A. Share on account of loss in the PMPML operation</t>
  </si>
  <si>
    <t>48-B. Amount to be paid on account of various passes of PMPML</t>
  </si>
  <si>
    <t xml:space="preserve">48-C. Differnace of second phase pay scale, to be paid to Transport Corporation workers and officers </t>
  </si>
  <si>
    <t>52. Transfer to youth welfare scheme fund</t>
  </si>
  <si>
    <t>53. Municipal Corporation's share under JNNRUM, AMRUT and Smart City Mission</t>
  </si>
  <si>
    <t>54. Share of Center and State government's grant under JNNRUM, AMRUT and Smart City Mission</t>
  </si>
  <si>
    <t xml:space="preserve">55. Transfer for Public Transport Improvement and Special Project Company </t>
  </si>
  <si>
    <t>57. Differently abled welfare scheme fund</t>
  </si>
  <si>
    <t>58. Transfer to Budget 'C'</t>
  </si>
  <si>
    <t>Total of expenses from 1. Main monitoring recovery etc. to 58. Transfer to Budget 'C'</t>
  </si>
  <si>
    <t>The balance at the end of the year Including the cash of minimum Rs. 1 lakh to be maintained as per provisions of the Act</t>
  </si>
  <si>
    <t>Total receipts- Budget 'A'</t>
  </si>
  <si>
    <t>Total expenditure Budget 'C'</t>
  </si>
  <si>
    <t>Total Expenditure Budget 'A' + 'C'</t>
  </si>
  <si>
    <t>Minus: Transfer to Budget 'C'</t>
  </si>
  <si>
    <t>Main office, permanent staff salary</t>
  </si>
  <si>
    <t>Salary of Permanent staff</t>
  </si>
  <si>
    <t>Salary of Permanent staff (Departmental office)</t>
  </si>
  <si>
    <t>Water Charges (Parvati Pumping Station)</t>
  </si>
  <si>
    <t>Water purification and related works</t>
  </si>
  <si>
    <t>Laboratory maintenance expenses</t>
  </si>
  <si>
    <t>Pumping- electricity expenses</t>
  </si>
  <si>
    <t>Store- other outfits expenses</t>
  </si>
  <si>
    <t>Depreciation on machinery at Parvati Water Station (Chief Accountant)</t>
  </si>
  <si>
    <t>Water pollution prevention expenses</t>
  </si>
  <si>
    <t>Lights and telephone facilities at the water Stations</t>
  </si>
  <si>
    <t>For emergency works to be done at the Parvati Water Station</t>
  </si>
  <si>
    <t xml:space="preserve">Implementing schemes for awareness about water usage </t>
  </si>
  <si>
    <t>Providing security guards for water supply department</t>
  </si>
  <si>
    <t>Annual maintenance of transformers, pumps, motors, valve panels, cable and other equipments at Parvati, Vadgaon, Holkar Water Stations</t>
  </si>
  <si>
    <t xml:space="preserve">The amount to be spend until the PMC and State Government grant as per M.J.P. report is received </t>
  </si>
  <si>
    <t>Arranging staff on contract basis</t>
  </si>
  <si>
    <t>Development works at the laboratory</t>
  </si>
  <si>
    <t>Annual maintenance of chlorifier and chlori-flocculator at Parvati Water Station</t>
  </si>
  <si>
    <t xml:space="preserve">PCC and Construction at yard in front of Chlorine cylinder Storage shade </t>
  </si>
  <si>
    <t>Supply and fitting of spares for LLR and MLR pumps at Parvati Pump-house</t>
  </si>
  <si>
    <t>Supply and fitting of square and round spares for Parvati HCR Zone pump</t>
  </si>
  <si>
    <t>Purchasing turbidity meter and other equipments for laboratory at Parvati Water Station</t>
  </si>
  <si>
    <t>To operate pumping system and performing maintenance works at Vadgaon Water Station Kedareshwar Agam Mandir</t>
  </si>
  <si>
    <t>Performing filter bed related works at Parvati water station</t>
  </si>
  <si>
    <t xml:space="preserve">Performing civil works at super indiranagar tank </t>
  </si>
  <si>
    <t>Supplying water through tankers to Urali Devachi and Phursungi</t>
  </si>
  <si>
    <t>Appointing assistant chemist and bigari staff on contract basis for collecting water samples and testing at Parvati Water Center</t>
  </si>
  <si>
    <t>Purchasing glass apparatus and related material at Parvati Water Station laboratory</t>
  </si>
  <si>
    <t>Purchasing chemicals and related material at Parvati Water Station laboratory</t>
  </si>
  <si>
    <t>Purchasing various equipments and related material for water testing at Parvati Water Station Laboratory</t>
  </si>
  <si>
    <t>Water Department (Swargate)</t>
  </si>
  <si>
    <t>Salary of Permanent Staff</t>
  </si>
  <si>
    <t>Operating all valves in the city/newly included villages</t>
  </si>
  <si>
    <t>Supplying water via tanker</t>
  </si>
  <si>
    <t>Godown and other material purchase</t>
  </si>
  <si>
    <t>Maintenance: Tap repair and cleaning, emergency chamber repairs, laying RCC covers and related works</t>
  </si>
  <si>
    <t>Repair works of water tanks</t>
  </si>
  <si>
    <t>Maintenance works at Water Supply department</t>
  </si>
  <si>
    <t>Water Supply Department (Departmental office)</t>
  </si>
  <si>
    <t>Non-planned works to be done by Ward Offices</t>
  </si>
  <si>
    <t>Non-planned works to be done by Ward Offices with citizens' participation</t>
  </si>
  <si>
    <t>Water Meters</t>
  </si>
  <si>
    <t>Repairing of Water Meters</t>
  </si>
  <si>
    <t>Draft of form for computer</t>
  </si>
  <si>
    <t>Issuing water meter bills</t>
  </si>
  <si>
    <t>Dearness allowance to PMC staff</t>
  </si>
  <si>
    <t>Pension and graduity</t>
  </si>
  <si>
    <t>Petrol, diesel, tyres, accessories, maintenance</t>
  </si>
  <si>
    <t xml:space="preserve">Expense of loan establishment, loan installment and interest </t>
  </si>
  <si>
    <t>Water supply total</t>
  </si>
  <si>
    <t xml:space="preserve">Pune Lashkar and Khadki Water Supply </t>
  </si>
  <si>
    <t>Lashkar Water Supply</t>
  </si>
  <si>
    <t>Cost of water</t>
  </si>
  <si>
    <t>Water purification, associated works</t>
  </si>
  <si>
    <t>Expenses incurred for laboratory sample testing</t>
  </si>
  <si>
    <t>Pumping- Electricity charges</t>
  </si>
  <si>
    <t>Godown and other material expenses</t>
  </si>
  <si>
    <t>Oil required for diesel engine of pump and other engines</t>
  </si>
  <si>
    <t>Water Supply Station's maintenance</t>
  </si>
  <si>
    <t>Lightening in the Water Supply Station building</t>
  </si>
  <si>
    <t>Operating valves in the Lashkar Water Supply Station jurisdiction</t>
  </si>
  <si>
    <t>Water Supply through tankers</t>
  </si>
  <si>
    <t>Maintenance (Machinery accessories, transformer oil, circuit breakers, maintenance of electrical equipments, gardening, maintenance of buildings, lightening, tap repairs and other repair works)</t>
  </si>
  <si>
    <t>Repairing Water tanks</t>
  </si>
  <si>
    <t>Property tax charged by the Pune Cantonment Board on properties of Lashkar Water Supply Station</t>
  </si>
  <si>
    <t>Running old Lashkar Water Station and associated pumping station (supplying staff, contract basis)</t>
  </si>
  <si>
    <t>Total of Lashkar Water Supply station</t>
  </si>
  <si>
    <t>Lashkar Water Supply (Departmental office)</t>
  </si>
  <si>
    <t xml:space="preserve">Khadki and SNDT Chaturshrungi water supply </t>
  </si>
  <si>
    <t>Pumping-electricity charges</t>
  </si>
  <si>
    <t>Water supply station building maintenance</t>
  </si>
  <si>
    <t>Water tank repairing</t>
  </si>
  <si>
    <t>Maintenance: Valve repairing and emergency repairs etc</t>
  </si>
  <si>
    <t>Valve operation</t>
  </si>
  <si>
    <t>Water supply through tanker</t>
  </si>
  <si>
    <t>Khadki and SNDT Chaturshrungi water supply (Departmental Office)</t>
  </si>
  <si>
    <t>Pension and graduity (Chief Accountant)</t>
  </si>
  <si>
    <t>Total of Pune Lashkar, Khadki and SNDT Chaturshrungi Water Supply scheme</t>
  </si>
  <si>
    <t>Wagholi regional water supply scheme</t>
  </si>
  <si>
    <t>Salary of Permanent/Contract basis Staff</t>
  </si>
  <si>
    <t>Emergency repairs</t>
  </si>
  <si>
    <t>Maintenance: Operating water supply Station on contract basis</t>
  </si>
  <si>
    <t>Repair of water tanks</t>
  </si>
  <si>
    <t xml:space="preserve">Total of Wagholi regional water supply scheme </t>
  </si>
  <si>
    <t>Warje Water Supply Scheme</t>
  </si>
  <si>
    <t>Warje Regional Water Supply scheme</t>
  </si>
  <si>
    <t>Total of Warje Regional water supply scheme</t>
  </si>
  <si>
    <t>Warje Central water Supply Scheme</t>
  </si>
  <si>
    <t>Maintenance</t>
  </si>
  <si>
    <t>Oil required for diesel generator set and other engines</t>
  </si>
  <si>
    <t>Total of Warje Central Water Supply Scheme</t>
  </si>
  <si>
    <t>Vadgaon Water Station</t>
  </si>
  <si>
    <t>Emergency repairs (Contract basis)</t>
  </si>
  <si>
    <t>Total of Vadgaon Water Station</t>
  </si>
  <si>
    <t>New Holkar Water Station</t>
  </si>
  <si>
    <t>Running New Holkar Water Station and pumping station (supplying staff, contract basis)</t>
  </si>
  <si>
    <t>Total of New Holkar Water Station</t>
  </si>
  <si>
    <t>New Lashkar Water Station</t>
  </si>
  <si>
    <t>Running New Lashkar Water Station and pumping station (supplying staff, contract basis)</t>
  </si>
  <si>
    <t>Total of New Lashkar Water Station</t>
  </si>
  <si>
    <t>SNDT Pumping Station</t>
  </si>
  <si>
    <t>Maintenance and other related works</t>
  </si>
  <si>
    <t>Emergency repairs (Electrical and Civil related)</t>
  </si>
  <si>
    <t>Booster Chlorine related works</t>
  </si>
  <si>
    <t>Maintenance of transformers of all pumping stations under SNDT and Chaturshrungi Pumping station</t>
  </si>
  <si>
    <t>Total of SNDT Pumping Station</t>
  </si>
  <si>
    <t>Pashan Pumping Station</t>
  </si>
  <si>
    <t>Total of Pashan Pumping Station</t>
  </si>
  <si>
    <t>Transfer towards Water Supply Funds</t>
  </si>
  <si>
    <t>Total of Water Supply</t>
  </si>
  <si>
    <t>Gutter and Nalla Development</t>
  </si>
  <si>
    <t>Expenses towards City Engineer's Department</t>
  </si>
  <si>
    <t>Salary of permanent staff (Maintenance department)</t>
  </si>
  <si>
    <t>Salary of Staff (Cleaning Gutters)</t>
  </si>
  <si>
    <t>Maintenance, cleaning and removing sludge from sewage line and chamber</t>
  </si>
  <si>
    <t>Maintenance, cleaning and removing sludge from Storm Water drainage line and chamber</t>
  </si>
  <si>
    <t>Repair and Replacement of drainage lines up to 450 mm diameter</t>
  </si>
  <si>
    <t>Cleaning of Nalla/Box culvert/Compounded Nalla</t>
  </si>
  <si>
    <t>Supplying material to godown for minor repairs</t>
  </si>
  <si>
    <t>Minor works to be get done from labors</t>
  </si>
  <si>
    <t>Non-planned works to be done by the Ward Office</t>
  </si>
  <si>
    <t>Non-planned works to be done by the Ward Office with Citizen Participation</t>
  </si>
  <si>
    <t xml:space="preserve">Cleaning sewer lines and manholes with high capacity suction cum jetting with water recycling machinery </t>
  </si>
  <si>
    <t>Cleaning drainage lines in Pune city with the help of Jetting Machine (Vehicle depot)</t>
  </si>
  <si>
    <t>Removing sludge in the drainage chambers on the main roads with the help of mechanical pump (vehicle depot)</t>
  </si>
  <si>
    <t>Cleaning larger drainage lines in the city with machines (vehicle depot)</t>
  </si>
  <si>
    <t>Hiring excavator loader, hydraulic excavator for cleaning storm water drainage nalla (vehicle depot)</t>
  </si>
  <si>
    <t>Hiring tipper for cleaning storm water drainage nalla (vehicle depot)</t>
  </si>
  <si>
    <t>Hiring through outsourcing high capacity suction cum jetting machine/high flow (super sucker) for drainage department (vehicle depot)</t>
  </si>
  <si>
    <t>Maintenance work of sewage department</t>
  </si>
  <si>
    <t>Expenses of City Engineer Department</t>
  </si>
  <si>
    <t>Salary of permanent staff (cleaning and repairing gutters)</t>
  </si>
  <si>
    <t>Place for pumping out water in the underground gutters</t>
  </si>
  <si>
    <t>Salary of permanent staff (Place for pumping out water in the underground gutters)</t>
  </si>
  <si>
    <t xml:space="preserve">Electricity expenses for pumping out sewage water </t>
  </si>
  <si>
    <t>Maintenance of screening, penstock and other equipments at various pumping stations</t>
  </si>
  <si>
    <t>Expenses for Godown and other material</t>
  </si>
  <si>
    <t xml:space="preserve">Machinery, accessories and repairing </t>
  </si>
  <si>
    <t>Repair of buildings</t>
  </si>
  <si>
    <t>Maintenance and related works of transformer circuit breakers and other electrical equipments</t>
  </si>
  <si>
    <t>Oil and lubricants required for pumping station</t>
  </si>
  <si>
    <t>Sewage Treatment Plant (Dr. Naidu Hospital Campus)</t>
  </si>
  <si>
    <t>Electricity expenses for sewage treatment</t>
  </si>
  <si>
    <t>Expenses for chemicals and related material required for sewage treatment</t>
  </si>
  <si>
    <t>Oils required for machinery at the plant</t>
  </si>
  <si>
    <t>Laboratory and maintenance expenses</t>
  </si>
  <si>
    <t>Expenses for godown and other materials</t>
  </si>
  <si>
    <t>Expenses for machinery, accessories and maintenance of machines</t>
  </si>
  <si>
    <t>Maintenance and related works of equipments like clarifiers aeration tanks, thickener, digester in sewage treatment plant</t>
  </si>
  <si>
    <t>Screening, carrying great material and transporting sludge</t>
  </si>
  <si>
    <t>Gardening, minor repair works, cleaning etc in the premises of plant</t>
  </si>
  <si>
    <t>Providing chlorine, maintenance of chlorinate</t>
  </si>
  <si>
    <t>Bahiroba Pumping Station</t>
  </si>
  <si>
    <t>Oil and lubricants required for machinery at pumping station</t>
  </si>
  <si>
    <t>Expenses for godown and other material</t>
  </si>
  <si>
    <t xml:space="preserve">Expenses required for machinery, accessories and machine repairs </t>
  </si>
  <si>
    <t>Developing garden in the premises of pumping station</t>
  </si>
  <si>
    <t xml:space="preserve">Maintenance of various sewage and effluent pumps </t>
  </si>
  <si>
    <t>Maintenance of rising mains of effluent pumping station</t>
  </si>
  <si>
    <t>Maintenance of internal premises (roads, lighting)</t>
  </si>
  <si>
    <t>Water treatment, maintenance of new sewage treatment plant, electricity bills etc</t>
  </si>
  <si>
    <t>Tanajiwadi Sewage Treatment Plant</t>
  </si>
  <si>
    <t>Bopodi Sewage Treatment Plant</t>
  </si>
  <si>
    <t>Bhairoba/Kalyaninagar Sewage Treatment Plant</t>
  </si>
  <si>
    <t>Erandwana Sewage Treatment Plant</t>
  </si>
  <si>
    <t>Mental Hospital Pumping Station</t>
  </si>
  <si>
    <t>Botanical Garden pumping station</t>
  </si>
  <si>
    <t>Vitthalwadi Sewage Treatment Plant</t>
  </si>
  <si>
    <t>Naidu Sewage Treatment Plant</t>
  </si>
  <si>
    <t>Mundhwa Sewage Treatment Plant</t>
  </si>
  <si>
    <t>Kasba Sewage water sump and pump house</t>
  </si>
  <si>
    <t>Tofkhana Sewage water sump and pump house</t>
  </si>
  <si>
    <t>Baner Sewage Treatment Plant</t>
  </si>
  <si>
    <t>Kharadi Sewage Treatment Plant</t>
  </si>
  <si>
    <t>Water recycle scheme at Mundhwa</t>
  </si>
  <si>
    <t>Total of Gutters and Nalla Development</t>
  </si>
  <si>
    <t>Transfer towards drainage fund</t>
  </si>
  <si>
    <t>Transfer towards Water Supply Project Fund</t>
  </si>
  <si>
    <t>Transfer towards Drainage Project Fund</t>
  </si>
  <si>
    <t>Total (1+2+3+4+5)</t>
  </si>
  <si>
    <t>Total receipts Budget 'A'</t>
  </si>
  <si>
    <t>PMC establishments and PMC buildings</t>
  </si>
  <si>
    <t>Building extended building at PMC Building and expanding ward office buildings</t>
  </si>
  <si>
    <t>Constructing buildings for PMC at various places and various development works</t>
  </si>
  <si>
    <t>Total of PMC establishments and PMC buildings</t>
  </si>
  <si>
    <t>Maintenance and other works like building classrooms, compound wall, watchmen quarter, water proofing, drinking water etc. in the primary schools in the Pune city</t>
  </si>
  <si>
    <t>Various development works for basic amenities in Primary Schools</t>
  </si>
  <si>
    <t>Building 6 new classrooms on the second floor of V.S. Khandekar School</t>
  </si>
  <si>
    <t>Completing the remaining work at Rajiv Gandhi Primary School in the Ward No. 116, final plot no. 478</t>
  </si>
  <si>
    <t>Building class rooms and school hall and renovation works at School No. 168 Hingane Khurd in ward no. 127</t>
  </si>
  <si>
    <t>Constructing school at Sadhana Vidyalay in Ward No. 93</t>
  </si>
  <si>
    <t xml:space="preserve">Various development works at Sun-dew Apartment for PMC Primary school at Erandwane </t>
  </si>
  <si>
    <t>Repair works as per structural stability report, water proofing, painting at Balveer Shirishkumar Vidyalay in Prabhag No. 12 A</t>
  </si>
  <si>
    <t>Building new toilets for girls in the existing PMC school buildings</t>
  </si>
  <si>
    <t>Building class-rooms at Matoshri English School, Yerwada</t>
  </si>
  <si>
    <t>Building school at Prabhag No. 62 Kondhwa</t>
  </si>
  <si>
    <t>Various repair and development works in the PMC schools in the Pune city central region</t>
  </si>
  <si>
    <t>Constructing new building for primary school</t>
  </si>
  <si>
    <t>Constructing class-rooms for primary schools</t>
  </si>
  <si>
    <t>Developing play grounds for primary schools</t>
  </si>
  <si>
    <t>Provision made in the year 2014-15 for the incomplete works of the year 2013-14</t>
  </si>
  <si>
    <t>Provision made in the year 2015-16 for the incomplete works of the year 2014-15</t>
  </si>
  <si>
    <t>Total of Primary Education</t>
  </si>
  <si>
    <t>Various development works for basic amenities in the secondary schools</t>
  </si>
  <si>
    <t>Building toilets for girls in the PMC schools</t>
  </si>
  <si>
    <t>Total of Secondary Education</t>
  </si>
  <si>
    <t>Health Department</t>
  </si>
  <si>
    <t>Establishing I.E.C. center on the grounds of Maharashtra State Government</t>
  </si>
  <si>
    <t>Various development works for basic amenities in the hospitals</t>
  </si>
  <si>
    <t>Expansion and providing other facilities at Sutar Hospital (Kothrud)</t>
  </si>
  <si>
    <t>Purchasing various equipments and related works under Kamla Nehru Hospital Project</t>
  </si>
  <si>
    <t>Purchasing various tools and equipments for Hospitals, maternity homes and OPDs in the city</t>
  </si>
  <si>
    <t>Dr. Naidu Hospital Project</t>
  </si>
  <si>
    <t xml:space="preserve">Various development works at the crematory/cemetery in the city </t>
  </si>
  <si>
    <t>Developing laboratory for Kamla Nehru Hospital</t>
  </si>
  <si>
    <t>Establishing slaughter house waste treatment plant on the space at the Kondhwa Slaughter house</t>
  </si>
  <si>
    <t xml:space="preserve">Arranging water-scrubber, flame etc and various related works for the PMC crematories at various places </t>
  </si>
  <si>
    <t>Establishing corpse-incinerator operating on wood gasifier and associated works</t>
  </si>
  <si>
    <t>Establishing advanced public health center and health facilities at the reserved space at the survey no. 164 Baner</t>
  </si>
  <si>
    <t>Building compound wall to the Muslim cemetery in Yerwada</t>
  </si>
  <si>
    <t>Purchasing various machinery at Lt. Malati Kachi Maternity home</t>
  </si>
  <si>
    <t xml:space="preserve">Separate plinth and shed arrangement corpse-incinerator for Jain people </t>
  </si>
  <si>
    <t>Establishing wood suction machine in crematories, one under each ward office</t>
  </si>
  <si>
    <t>Various development works and quality improvement at PMC's Babu Genu Health Center (Raviwar Peth), Anandibai Narhari Gadgil Health Center, Kalavati Mavale Health Center</t>
  </si>
  <si>
    <t>Various development works in the various PMC schools in Vadgaon Sheri Prabhag No. 18 B</t>
  </si>
  <si>
    <t>Constructing new maternity homes/health clinics with various facilities in the city</t>
  </si>
  <si>
    <t>Establishing primary health center</t>
  </si>
  <si>
    <t>Purchasing various equipments for health centers in the city</t>
  </si>
  <si>
    <t>Various development works, building bund for cremation rituals in the city</t>
  </si>
  <si>
    <t xml:space="preserve">Provision made in the year 2014-15 for incomplete works of year 2013-14 </t>
  </si>
  <si>
    <t>Provision made in the year 2015-16 for incomplete works of year 2014-15</t>
  </si>
  <si>
    <t>Total of Health Department</t>
  </si>
  <si>
    <t>Road sweeping/Solid waste management department</t>
  </si>
  <si>
    <t xml:space="preserve">Purchasing wheel baron/cycle rickshaw/plastic buckets as per ISO 9001-2000 </t>
  </si>
  <si>
    <t>Collecting garbage from door to door, to make city container free</t>
  </si>
  <si>
    <t xml:space="preserve">Special fund for capping the remaining garbage and associated works on the dumping ground at Urali Devachi/Phursangi </t>
  </si>
  <si>
    <t>Building compound-wall around dumping ground at Urali Devachi/Phursangi</t>
  </si>
  <si>
    <t>Establishing vermi compost processing plants</t>
  </si>
  <si>
    <t>Establishing decentralized solid waste processing plants and associated works</t>
  </si>
  <si>
    <t>Acquiring land for solid waste processing plant, building compound wall, constructing roads and associated works</t>
  </si>
  <si>
    <t>Establishing processing plants on the acquired land, development works for various facilities required</t>
  </si>
  <si>
    <t>Various development works in the villages- Urali Devachi/Phursangi</t>
  </si>
  <si>
    <t>Purchasing Ghantagadis for garbage collection</t>
  </si>
  <si>
    <t>Compounding garbage vans, concreting and compounding ramps</t>
  </si>
  <si>
    <t>Establishing decentralized biogas plants/mechanical composting plants at various places</t>
  </si>
  <si>
    <t>Establishing shredding machines for garden waste at various places in PMC limits</t>
  </si>
  <si>
    <t>Establishing biogas plants at survey no. 114, 115 in ward no. 4</t>
  </si>
  <si>
    <t>Purchasing vehicles for garbage collection</t>
  </si>
  <si>
    <t>Building shed for segregating plastic and electronic materials</t>
  </si>
  <si>
    <t>Various development works related to solid waste management in the city</t>
  </si>
  <si>
    <t>Collecting and processing e-waste</t>
  </si>
  <si>
    <t>Building new ramps and associated development works in the suburbs for waste transportation</t>
  </si>
  <si>
    <t xml:space="preserve">Development and maintenance of new scientific landfill for inert/reject material at Urali Devachi/Phursangi </t>
  </si>
  <si>
    <t>Solid Waste Management related works in the villages to be merged in the PMC</t>
  </si>
  <si>
    <t>Purchasing 6 compactor vans</t>
  </si>
  <si>
    <t>As per government order, depositing 10% citizens' contribution for water supply scheme for Phursangi/Devachi Urali villages</t>
  </si>
  <si>
    <t>Development and maintenance of  scientific land filling on the land acquired for solid waste management</t>
  </si>
  <si>
    <t>Establishing decentralized solid waste processing plants in wards and Prabhags and associated works</t>
  </si>
  <si>
    <t>Providing buckets for garbage collection at Vadgaon Sheri in Prabhag no. 18 B</t>
  </si>
  <si>
    <t>Providing various facilities at transfer stations, various projects for staff and maintenance of buildings</t>
  </si>
  <si>
    <t>PMC's share under Swach Bharat Mission</t>
  </si>
  <si>
    <t>Total of Road sweeping/Solid waste management department</t>
  </si>
  <si>
    <t>Road Development</t>
  </si>
  <si>
    <t>Developing tar roads in the city</t>
  </si>
  <si>
    <t>Developing footpaths in the city</t>
  </si>
  <si>
    <t>Making tar roads and associated works at various places in the city</t>
  </si>
  <si>
    <t>Making concrete roads in the lanes at various places in the city</t>
  </si>
  <si>
    <t>Various development works in the city</t>
  </si>
  <si>
    <t>Laying storm water drainage lines</t>
  </si>
  <si>
    <t>Constructing 24 meter HCMTR crossing bridge on the Pune-Solapur railway line between survey no. 89 and 71 in Mundhwa</t>
  </si>
  <si>
    <t>Developing road at the boundary of Lohgaon Dhanori village in ward no.1</t>
  </si>
  <si>
    <t>Developing roads in the city</t>
  </si>
  <si>
    <t>Actual implementation as per CMP Scheme (PPP/ Development TDR/ Deferred payment/ Premium charges) as per administrative evaluation</t>
  </si>
  <si>
    <t>Acquiring HCMTR land and building road</t>
  </si>
  <si>
    <t xml:space="preserve">Cencretization of the existing main roads in the Pune city as per overlay method and by deferred payment </t>
  </si>
  <si>
    <t>Re-tarring of the roads in the city</t>
  </si>
  <si>
    <t>Works in the city under BRTS and ITMS</t>
  </si>
  <si>
    <t>Intelligent Transport System (ITMS)</t>
  </si>
  <si>
    <t>Developing concrete roads in the city</t>
  </si>
  <si>
    <t xml:space="preserve">Developing BRT routes in the city </t>
  </si>
  <si>
    <t>Developing cycle tracks in the city</t>
  </si>
  <si>
    <t>Total of Road Development</t>
  </si>
  <si>
    <t>Traffic Management</t>
  </si>
  <si>
    <t>Improvement/development of road junctions in the city</t>
  </si>
  <si>
    <t>Various development works in the city for traffic improvement</t>
  </si>
  <si>
    <t>To set up new traffic signals and repairing old signals</t>
  </si>
  <si>
    <t>Development and improvement of T-junctions on the roads and creating parking spaces</t>
  </si>
  <si>
    <t>Development of parking spaces in the city</t>
  </si>
  <si>
    <t>Various development works for improvement in the traffic system in the city</t>
  </si>
  <si>
    <t>Subsidy to set up CNG kit to auto-rickshaws in the city</t>
  </si>
  <si>
    <t>Completion of unfinished work of slab at Shri. Chhatrapati Shahu Bus stand at swargate and decoration of front space</t>
  </si>
  <si>
    <t>Building compound wall at PMPML depot in front of Lt. Rajeev Gandhi Zoo</t>
  </si>
  <si>
    <t>Basic amenities at various PMPML bus depots and bus stands in the PMC limits</t>
  </si>
  <si>
    <t>To set up traffic signals at 1. Ganpati temple, in front of Orian Complex, near Khadki Station 2. At the main road in front of Siddharthnagar Cooperative Housing Society, Aundh and other places</t>
  </si>
  <si>
    <t>Total of Traffic Management</t>
  </si>
  <si>
    <t>Electrical Department</t>
  </si>
  <si>
    <t>Rewiring at Corporation building</t>
  </si>
  <si>
    <t>Providing street lighting, to set up sodium vapor lamps and other electrical related works at various places in the city and the area merged in the city</t>
  </si>
  <si>
    <t>Distribution transformer and associated works at Ganesh Kala-Krida Center</t>
  </si>
  <si>
    <t>To set up street lights at various places in the city</t>
  </si>
  <si>
    <t>Electrical works at Pune Corporation's cultural center</t>
  </si>
  <si>
    <t>To provide and set up GIS system and material inventorying system for street lights in the city</t>
  </si>
  <si>
    <t>Electrical works, renovation, decoration, transformer and associated works at Corporation's main building</t>
  </si>
  <si>
    <t>To provide and set up air-conditioning system in various corporation's buildings</t>
  </si>
  <si>
    <t xml:space="preserve">To provide and set up generator and associated electrical works at corporation's main building </t>
  </si>
  <si>
    <t xml:space="preserve">To set up CCTVs at Pune Corporation's main building, Assistant Municipal Commissioners' offices </t>
  </si>
  <si>
    <t>Maintenance and electrical works at electric corpse-incinerator at Vaikunth Crematory</t>
  </si>
  <si>
    <t>To provide and set up motor-pump set and associated works for various Pune corporation's buildings</t>
  </si>
  <si>
    <t>To set up lightening arrester system for various Pune Corporation's buildings</t>
  </si>
  <si>
    <t>Replacing old wiring with new, cabling and associated electrical works in the Corporation building</t>
  </si>
  <si>
    <t>Providing emergency materials as per demand and various electrical works in the corporation's main building</t>
  </si>
  <si>
    <t>To set up solar system for various Pune corporation's hospitals</t>
  </si>
  <si>
    <t>To set up musical fountains and laser show at Chhatrapati Shivaji Maharaj statue at Katraj Lake, to complete remaining works</t>
  </si>
  <si>
    <t>To set up elevators in various Pune corporation's buildings</t>
  </si>
  <si>
    <t>To set up GPS system for street lights</t>
  </si>
  <si>
    <t>Establishing electric corpse-incinerator at Kharadi</t>
  </si>
  <si>
    <t>To provide and set up advanced equipments for power saving</t>
  </si>
  <si>
    <t>To provide power factor system, control panels and associated works for various Pune corporation's buildings</t>
  </si>
  <si>
    <t>To set up special outdoor type architectural electrical lighting on corporation's main building and other buildings</t>
  </si>
  <si>
    <t>Replacing old elevators and installing new auto-door elevators at Savarkar Bhavan</t>
  </si>
  <si>
    <t xml:space="preserve">To install advanced stage lighting system and associated works for Balgandharv Auditorium stage </t>
  </si>
  <si>
    <t xml:space="preserve">To provide lights at Hadapsar shooting range </t>
  </si>
  <si>
    <t>To complete the electrical works at Someshwarwadi Gramsanskriti Garden and river beautification</t>
  </si>
  <si>
    <t>To install filtration unit for fountain at Vasantrao Bagul garden</t>
  </si>
  <si>
    <t>To install new elevator at Pashan Women's center</t>
  </si>
  <si>
    <t>To provide lights at survey no. 916/17 in Prabhag no. 60</t>
  </si>
  <si>
    <t>To set up electric pole and LED fitting at Abdul Rehman Chawk, Kashiwadi in Prabhag No. 60</t>
  </si>
  <si>
    <t>Advanced lighting system at city pride road, Prabhag No. 34</t>
  </si>
  <si>
    <t>Improving musical fountains by using advanced technology at Vasantrao Bagul garden</t>
  </si>
  <si>
    <t xml:space="preserve">Installing LED lights at various places at Vadgaon Sheri and in Prabhag no.18 </t>
  </si>
  <si>
    <t>To lay underground cable in the city</t>
  </si>
  <si>
    <t>Electrical works at various establishments in the city</t>
  </si>
  <si>
    <t>Total of Electrical Department</t>
  </si>
  <si>
    <t>Bridge and River Improvement (Development Scheme)</t>
  </si>
  <si>
    <t xml:space="preserve">Repairing Ghats, Samadhis, memorials at river bank and building new Ghats, repairing railing </t>
  </si>
  <si>
    <t>Repairing of channelization works</t>
  </si>
  <si>
    <t>Building bridges, flyovers and subways at the various places in the city</t>
  </si>
  <si>
    <t>To install steel gate at Band garden barrage</t>
  </si>
  <si>
    <t>To build retaining wall on river bank at Tadiwala road</t>
  </si>
  <si>
    <t>To build safety wall from Band garden to City point</t>
  </si>
  <si>
    <t>To build wall from Tadiwala road to Koregaon park, band garden</t>
  </si>
  <si>
    <t>To build retaining wall behind St. Philips School, Band garden</t>
  </si>
  <si>
    <t>Various development works at Katraj and Pashan Lake</t>
  </si>
  <si>
    <t>Implementation of River Improvement project</t>
  </si>
  <si>
    <t>Repair works of various bridges on the river and road in the Pune city</t>
  </si>
  <si>
    <t>To build bridge at Mahale market in Prabhag No. 12</t>
  </si>
  <si>
    <t>River development and related works in the city</t>
  </si>
  <si>
    <t>Total of Bridge and River Improvement (Development Scheme)</t>
  </si>
  <si>
    <t xml:space="preserve">Storm Water Drainage Project </t>
  </si>
  <si>
    <t>Nalla improvement works, culverts and laying storm water drainage lines in Pune city</t>
  </si>
  <si>
    <t xml:space="preserve">Total of Storm Water Drainage Project </t>
  </si>
  <si>
    <t xml:space="preserve">System of Buildings, Land and Corporation Quarters </t>
  </si>
  <si>
    <t>Provision of pending bills at Building Department</t>
  </si>
  <si>
    <t>Fees of architects and advisors appointed for various works at Building Department</t>
  </si>
  <si>
    <t>Provision for inauguration function and other functions of Building Department</t>
  </si>
  <si>
    <t>Constructing Gyms at various places in the city</t>
  </si>
  <si>
    <t>To set up an Art Gallery at Ghole Road</t>
  </si>
  <si>
    <t>Establishing Community Centers, Library, Study center, MPSC/UPSC Centers in the city</t>
  </si>
  <si>
    <t>Various development works under Building Department</t>
  </si>
  <si>
    <t>Building compound wall to the land acquired and to the land in possession of corporation</t>
  </si>
  <si>
    <t>Constructing Bibwewadi Ward Office building at survey no. 682/683 part in Prabhag no. 71</t>
  </si>
  <si>
    <t>To set up Shivsrushti at Kothrud</t>
  </si>
  <si>
    <t xml:space="preserve">Various development works at Prataprao Hule Complex </t>
  </si>
  <si>
    <t xml:space="preserve">Constructing Dhankawadi Ward Office building on the land of Katraj Ramp </t>
  </si>
  <si>
    <t>Establishing multi-purpose center in ward no. 126</t>
  </si>
  <si>
    <t>Remaining work of swimming pool on the land behind the Bharatmata study center in ward no. 115</t>
  </si>
  <si>
    <t>Building compound wall at various places in the city</t>
  </si>
  <si>
    <t>Establishing workers' welfare center in Pune city</t>
  </si>
  <si>
    <t>Various development and repair works at Shaniwarwada and Lal-mahal</t>
  </si>
  <si>
    <t>Various development works and repairing ceiling at Corporation press at Ghole road</t>
  </si>
  <si>
    <t xml:space="preserve">Building Women's Center at survey no. 137/1 at Pashan </t>
  </si>
  <si>
    <t>Repairing toilet and improving building condition at Sawarkar Bhavan</t>
  </si>
  <si>
    <t>Structural Audit of various corporation's buildings</t>
  </si>
  <si>
    <t>To set up industrial center for women self help group at Daruwala Bridge in ward no. 73 (Tilak Ayurved College)</t>
  </si>
  <si>
    <t>Various beautification works at General Arunkumar Vaidya Stadium, Bhawani Peth Ward Office</t>
  </si>
  <si>
    <t>Constructing open air theater in Prabhag no. 9</t>
  </si>
  <si>
    <t>Development related works at Shivajinagar house no. 721</t>
  </si>
  <si>
    <t>Establishing support center for women at survey no. 19, behind Shankar Maharaj Math, Dhankawadi</t>
  </si>
  <si>
    <t>RCC Main gate and Arch for the playground in Prabhag No. 63 A</t>
  </si>
  <si>
    <t>Installing craft and developing area at Narveer Tanaji Malusare Memorial on Sinhgad fort</t>
  </si>
  <si>
    <t>Redevelopment of remaining quarters of Pune Corporation</t>
  </si>
  <si>
    <t>Constructing Ghole Road ward office building</t>
  </si>
  <si>
    <t>Various works about Pune branding</t>
  </si>
  <si>
    <t xml:space="preserve">Documentation works, running various heritage walk/ tours </t>
  </si>
  <si>
    <t xml:space="preserve">Various development works in the gym at Pune Corporation School No. 90 at Gokhalenagar </t>
  </si>
  <si>
    <t>Various development works at Bibwewadi Corporation colony</t>
  </si>
  <si>
    <t>Building community center and associated works at 217 and 226, Mangalwar Peth in the Prabhag no. 23</t>
  </si>
  <si>
    <t>Establishing recreation centers, meditation centers, women self-help group hall/ support centers in the city</t>
  </si>
  <si>
    <t xml:space="preserve">Various works under Heritage </t>
  </si>
  <si>
    <t xml:space="preserve">Total of System of Buildings, Land and Corporation Quarters </t>
  </si>
  <si>
    <t xml:space="preserve">Fire Brigade </t>
  </si>
  <si>
    <t>Fire extinguishing system works for PMC's main building</t>
  </si>
  <si>
    <t>Building partly build fire station at survey no. 15, Kondhwa Budruk in Prabhag No. 62</t>
  </si>
  <si>
    <t xml:space="preserve">Establishing zonal offices/ fire extinguishing system works for Fire Brigade department for Corporation owned buildings under jurisdiction of Assistant Commissioner's office no. 1,2,3, and 4 </t>
  </si>
  <si>
    <t>Construction of first floor at fire station in Prabhag no.36 A</t>
  </si>
  <si>
    <t>Provision of fire station at Janata Chawk in Prabhag 56 A</t>
  </si>
  <si>
    <t>Building fire stations in the city and various development works</t>
  </si>
  <si>
    <t xml:space="preserve">Total of Fire Brigade </t>
  </si>
  <si>
    <t>Gardens and Zoos</t>
  </si>
  <si>
    <t xml:space="preserve">Developing advanced zoo at Katraj </t>
  </si>
  <si>
    <t>Jogging track repairing at various places in Pune city</t>
  </si>
  <si>
    <t>City beautification scheme</t>
  </si>
  <si>
    <t>Developing gardens in the villages recently merged in the city</t>
  </si>
  <si>
    <t>Development works at various gardens in the city</t>
  </si>
  <si>
    <t>City beautification scheme, Green Pune, development of public and tourist spots, biodiversity parks, beautification of roads etc</t>
  </si>
  <si>
    <t>Village Park</t>
  </si>
  <si>
    <t>New landscaping and renovation of Shahu Garden in Prabhag no. 46</t>
  </si>
  <si>
    <t>Building watchmen quarter and completing remaining work of skating ring built at survey no. 199, 204 to 206 (part) 208(part), Lohgaon Vimannagar, ward no.7</t>
  </si>
  <si>
    <t>Developing planned 'Senior Socialist Leader G.P. Pradhan Garden' at survey no. 164, Hadapsar</t>
  </si>
  <si>
    <t>Building administrative building for Garden department</t>
  </si>
  <si>
    <t>Palm park at Yerwada</t>
  </si>
  <si>
    <t>Work related to internal bridge on the nalla and club house for Lohgaon Airport Skating Ring, Prabhag no. 3</t>
  </si>
  <si>
    <t>Developing Lumbini garden, Prabhag no. 4</t>
  </si>
  <si>
    <t>Beautification of Vardekar Garden, Prabhag no. 76</t>
  </si>
  <si>
    <t>Various development works for garden development at both canals in Vadgaon Budruk</t>
  </si>
  <si>
    <t>Developing playground at survey no. 70 Ghorapdi</t>
  </si>
  <si>
    <t>Garden development at survey no. 28 Vanvadi</t>
  </si>
  <si>
    <t>Administrative building and landscaping works at survey no. 256 (part), Hadapsar</t>
  </si>
  <si>
    <t>Master plan Artist village and remaining development works at P.L. Deshpande Garden</t>
  </si>
  <si>
    <t>To set up aquarium at P.L. Deshpande Garden</t>
  </si>
  <si>
    <t>Removing mud by scientific methods from Lakaki lake, Prabhag no. 12</t>
  </si>
  <si>
    <t>Total of Gardens and Zoos</t>
  </si>
  <si>
    <t>Sports and Playgrounds</t>
  </si>
  <si>
    <t>Developing playgrounds in the city</t>
  </si>
  <si>
    <t>Building hostel at Sanas Sorts Ground</t>
  </si>
  <si>
    <t>Developing planned 'Lt.MP Vitthalrao Tupe Sports Complex' at survey no. 164, Hadapsar</t>
  </si>
  <si>
    <t>Building planetarium at Sahakarnagar</t>
  </si>
  <si>
    <t>Various development works at Swami Ramdev Sports Complex, Taljai, Prabhag no. 68</t>
  </si>
  <si>
    <t>Various development works in badminton hall at Shivajirao Dhume Sports Complex, Prabhag no. 68</t>
  </si>
  <si>
    <t>Building swimming tanks in city</t>
  </si>
  <si>
    <t>Various development works, establishing stadiums, sports complexes in the city</t>
  </si>
  <si>
    <t>Total of Sports and Playgrounds</t>
  </si>
  <si>
    <t>Cultural Centers</t>
  </si>
  <si>
    <t>Various development works, building auditoriums, theaters in the city</t>
  </si>
  <si>
    <t>Building commercial complex, auditorium in Aundh</t>
  </si>
  <si>
    <t>Various development works at Ganesh Kala-Krida Center</t>
  </si>
  <si>
    <t>Building Savitribai Phule memorial</t>
  </si>
  <si>
    <t>Establishing Lokshahir Annabhau Sathe memorial at Bibwewadi</t>
  </si>
  <si>
    <t>Establishing Veer Baji Pasalkar memorial at Sinhgad Road</t>
  </si>
  <si>
    <t>Building Rajarshi Shahu Maharaj Memorial Hall at Hadapsar</t>
  </si>
  <si>
    <t>Development of Savitribai Phule memorial and Phule Wada area</t>
  </si>
  <si>
    <t>Various repair and development works at Yashvantrao Chavan Theater, Kothrud</t>
  </si>
  <si>
    <t>Completing remaining work of Lokshahir Annabhau Sathe Cultural center at survey no. 4, Yerwada</t>
  </si>
  <si>
    <t>Completing remaining work and associated works at 'Vyangchitrakar Lt. Balasaheb Thakare Art Gallery</t>
  </si>
  <si>
    <t>Renovation of light and laser show at Shanivarwada</t>
  </si>
  <si>
    <t>Works related to replacement of  seating arrangement at Ganesh Kala-Krida Mandir</t>
  </si>
  <si>
    <t>Making monument at Sinhgad fort</t>
  </si>
  <si>
    <t>Establishing art gallery in the city</t>
  </si>
  <si>
    <t>Establishing monuments in the city</t>
  </si>
  <si>
    <t>Total of Cultural Centers</t>
  </si>
  <si>
    <t>Vegetable markets and Slaughter houses</t>
  </si>
  <si>
    <t>Development works at various vegetable markets in the city</t>
  </si>
  <si>
    <t>Renovation of Ganesh Peth fish market</t>
  </si>
  <si>
    <t xml:space="preserve">Establishing laboratory at Kondhwa slaughter house for meat testing and diagnosis of diseases occurred due to meat </t>
  </si>
  <si>
    <t xml:space="preserve">Developing vegetable market at Sutarwadi, Pashan </t>
  </si>
  <si>
    <t>Establishing vegetable market on the amenity space at survey no. 2, Hagawane nagar, Kondhwa Budruk, Prabhag no.62</t>
  </si>
  <si>
    <t>Operation and maintenance works at slaughter house at Kondhwa</t>
  </si>
  <si>
    <t>Building plinth market in the city</t>
  </si>
  <si>
    <t>Constructing vegetable market in the city</t>
  </si>
  <si>
    <t>Constructing  meat, fish and mutton market in the city</t>
  </si>
  <si>
    <t>Constructing slaughter houses in the city</t>
  </si>
  <si>
    <t>Total of Vegetable markets and Slaughter houses</t>
  </si>
  <si>
    <t xml:space="preserve">Works to be done by ward office </t>
  </si>
  <si>
    <t>Ward office: To make tar roads</t>
  </si>
  <si>
    <t>Ward office: To make tar roads under citizen participation scheme</t>
  </si>
  <si>
    <t>Ward office: Street lighting</t>
  </si>
  <si>
    <t>Ward office: Street lighting under citizen participation scheme</t>
  </si>
  <si>
    <t>Ward office: Works to be done by Building department</t>
  </si>
  <si>
    <t>Ward office: Works to be done by Building department under citizen participation scheme</t>
  </si>
  <si>
    <t xml:space="preserve">Total of Works to be done by ward office </t>
  </si>
  <si>
    <t xml:space="preserve">Total of Capital Expenses Budget </t>
  </si>
  <si>
    <t>Expenses to be done from Land Acquisition Fund</t>
  </si>
  <si>
    <t>Administrative expenses of Land Acquisition Special Officer</t>
  </si>
  <si>
    <t>Expenses towards escalated compensation for loss, court fee, advocate fee, joint judge etc</t>
  </si>
  <si>
    <t>Expenses towards additional amount to be given on account of amendment made in the Land Acquisition Act</t>
  </si>
  <si>
    <t>Provision for purchase notices to be send for land acquisition schemes</t>
  </si>
  <si>
    <t>Demolishing acquired properties, shifting and reconnecting drainage, water, electrical, telephone connections and other related works</t>
  </si>
  <si>
    <t>Expenses for materials for official works, purchasing dead stock goods, purchasing tools, repairing offices and stores, printing charges, travel charges etc</t>
  </si>
  <si>
    <t>The amount to be delivered on account of land taken in the possession for road widening as per section 213 of the Bombay Provincial Corporation Act 1949</t>
  </si>
  <si>
    <t>Measurement fee and other related charges of other schemes</t>
  </si>
  <si>
    <t>Amount for the following land awards declared by Land Acquisition officer</t>
  </si>
  <si>
    <t>Computer repairing and other required outfits</t>
  </si>
  <si>
    <t>List of lands for Land Acquisition</t>
  </si>
  <si>
    <t>Roads under C.Y.G. :</t>
  </si>
  <si>
    <t>Baner Main Road 261 to 105</t>
  </si>
  <si>
    <t xml:space="preserve">Baner Survey Number 133 to Balewadi Survey Number 10 Main Road going towards Balewadi (Balewadi) </t>
  </si>
  <si>
    <t>Balewadi Survey Number 34, 35G1 reservation for Garden</t>
  </si>
  <si>
    <t>Baner Survey Number 28,290 G2 reservation for Garden and Baner Survey Number 35 G3 Reservation for Baner</t>
  </si>
  <si>
    <t>From Kalyani Nagar Junction to Alandi Road</t>
  </si>
  <si>
    <t>Baner Survey Number 105,106,110,111 PMT1</t>
  </si>
  <si>
    <t>Baner Survey Number 33 P.3</t>
  </si>
  <si>
    <t>Baner Survey Number 100 P.4</t>
  </si>
  <si>
    <t>Baner Survey Number 174 P.4</t>
  </si>
  <si>
    <t>Baner Survey Number 79P.6</t>
  </si>
  <si>
    <t>Balewadi Survey Number 105,106 P.7 reservation for Parking</t>
  </si>
  <si>
    <t>Balewadi Survey Number 28P.1</t>
  </si>
  <si>
    <t>Balewadi Survey Number 28P.2 reservation for Parking</t>
  </si>
  <si>
    <t>Hingne Khurd city survey no.19,20 Vadgaon Budruk survey no.1,2,8,9,13 From Vitthal temple to Varje Bridge Road</t>
  </si>
  <si>
    <t>From Airport to Ramvadi Octroi booth</t>
  </si>
  <si>
    <t>From Airport Junction to Vishrantvadi</t>
  </si>
  <si>
    <t>From Airport Road to Deccan Collage via Hot mix Plant</t>
  </si>
  <si>
    <t xml:space="preserve">Road under JNNURM/BRT </t>
  </si>
  <si>
    <t>18 meter road passing through Baner Survey Number 107,108 and 110</t>
  </si>
  <si>
    <t xml:space="preserve">Mouje Kharadi tehsil Haweli, Sangamwadi to Kharadi 24 meter riverside D.P. Road </t>
  </si>
  <si>
    <t>Mouje Wadgaon Sheri Tehsil Haweli, Sangamwadi to Kharadi 24 meter riverside D.P. Road</t>
  </si>
  <si>
    <t>to develop the Sinhgad road up to PMC limits as per planning (Vadgaon Budruk)</t>
  </si>
  <si>
    <t>to develop the Sinhgad road up to PMC limits as per planning (Vadgaon Khurd)</t>
  </si>
  <si>
    <t>Vishrantwadi to dhanori</t>
  </si>
  <si>
    <t>Sancheti Hospital to Government Poultry farm</t>
  </si>
  <si>
    <t>Pune Station to Municipal Corporation Road (Connaught Road)</t>
  </si>
  <si>
    <t>Roadways under RRDP</t>
  </si>
  <si>
    <t xml:space="preserve">acquisition of the road on the Bridge connecting Mula River to Pimpale Nilakh </t>
  </si>
  <si>
    <t xml:space="preserve">Sutarwadi Road 24 meter(old) </t>
  </si>
  <si>
    <t>Main road from Kothrud Eklavya Collage to Highway (15 meter new)</t>
  </si>
  <si>
    <t xml:space="preserve">D.P.Roads(15M)and (18M) within the area of Kothrud Mahatma Society Eklavya Collage to highway </t>
  </si>
  <si>
    <t>From Balbharati to Paud Phata road</t>
  </si>
  <si>
    <t>From Varje Octroi Booth to new Ahire boundary, from N.D.A. road Old Octroi booth to Highway and up to Varje Malwadi</t>
  </si>
  <si>
    <t>From J.P. Naik society to Gananjay Society</t>
  </si>
  <si>
    <t xml:space="preserve">From Alanakar Police Station Girija Shankar Society Paschimanagari to Naik Bridge D.P. Road </t>
  </si>
  <si>
    <t>Chandani Chawk to Sus Chawk</t>
  </si>
  <si>
    <t>Sinhgad Road including bridge on both the proposed canals (Wadgaon Budruk)</t>
  </si>
  <si>
    <t>Sus Road to Baner Road Ramnadi riverside road (Baner)</t>
  </si>
  <si>
    <t>to develop the Sinhgad road up to PMC limits as per planning (Dhayari)</t>
  </si>
  <si>
    <t>Sus Road to Baner Road, about acquisition  of Ramnadi riverside road (Pashan)</t>
  </si>
  <si>
    <t>Other cases of land acquisition:</t>
  </si>
  <si>
    <t>From Pune-Mumbai Highway Harris Bridge to Khadki Cantonment</t>
  </si>
  <si>
    <t>Hadapsar Survey Number 226,224,266,210,209,208,207  18M road adjacent Post Office</t>
  </si>
  <si>
    <t>Hadapsar Survey Number 87,89,92,93,106,312,314,31 amongst these for D.P. Road</t>
  </si>
  <si>
    <t xml:space="preserve">About acquisition of land in Hadapsar Survey Number 25 amongst EWS </t>
  </si>
  <si>
    <t>From Ghorpadi Gaon Anant Talkies to Srivasti Nagar 12M D.P road</t>
  </si>
  <si>
    <t>Kondwa Khurd Survey Number 5A, 5B acquisition for High school</t>
  </si>
  <si>
    <t>Kondwa Khurd Survey Number 17 for Playground</t>
  </si>
  <si>
    <t>Pune, Peth Pashan Survey Number 110 acquisition for Garden</t>
  </si>
  <si>
    <t>Hadapsar  Survey Number 84 acquisition for playground</t>
  </si>
  <si>
    <t>Vanvadi  Survey Number 49,58,59</t>
  </si>
  <si>
    <t>Reserved Land Acquisition for Garden, Nana Peth City Survey Number 405</t>
  </si>
  <si>
    <t>Nana Peth City Survey Number 400,402 land acquisition for Fire Brigade</t>
  </si>
  <si>
    <t>Nana Peth City Survey Number 594,604 Land Acquisition for Primary School</t>
  </si>
  <si>
    <t>Narayan Peth 437 C about parking space Land Reference Section 18 about additional compensation</t>
  </si>
  <si>
    <t>Narayan Peth 436 B about parking space Land Reference Section 18 about additional compensation</t>
  </si>
  <si>
    <t>Narayan Peth 577 A about road widening Land Reference Section 18 about additional compensation</t>
  </si>
  <si>
    <t>Erandavna Survey Number 76 A - Playground</t>
  </si>
  <si>
    <t>Kothrud  Survey Number 31 Garden</t>
  </si>
  <si>
    <t>Kothrud  Survey Number 145 PMT parking</t>
  </si>
  <si>
    <t>Sadashiv Peth, House number 65,94 Ganjvewadi, garden</t>
  </si>
  <si>
    <t>Bibwewadi  Survey Number 673,676 to 678, 417 Primary School, Playground Economically deprived sections</t>
  </si>
  <si>
    <t>Bibwewadi  Survey Number 672/11</t>
  </si>
  <si>
    <t>Bibwewadi Survey Number 578/1, 497</t>
  </si>
  <si>
    <t>Pune Peth Shivajinagar acquisition for Parking Lot adjacent to Pune Municipality</t>
  </si>
  <si>
    <t xml:space="preserve">Pune Peth Shivajinagar phata plot no. 304 to 307 acquisition for 80 M D.P. Road </t>
  </si>
  <si>
    <t>Hingane/Karvenagar Survey Number 40 for High school</t>
  </si>
  <si>
    <t>amount to be paid as per judgment</t>
  </si>
  <si>
    <t>amount to be paid as per judgment of widening of Karve Road</t>
  </si>
  <si>
    <t>acquisition of Sadashiv Peth House Number 468 for Parking</t>
  </si>
  <si>
    <t>Land Procurement Department</t>
  </si>
  <si>
    <t>Kelkar Road (Mandar Collage to Narayan Peth Police Station)</t>
  </si>
  <si>
    <t xml:space="preserve">100 M D.P. Riverside Road from Mhatre Bridge to Chhatrapati Rajaram bridge </t>
  </si>
  <si>
    <t>Satara Road</t>
  </si>
  <si>
    <t>Sinhgad Road</t>
  </si>
  <si>
    <t>Jangali Maharaj Road</t>
  </si>
  <si>
    <t>Pavitra Mangal Karyalay, Parvati (Satara Road)</t>
  </si>
  <si>
    <t>Nehru Road, Rasta Peth Power house to Lakshmi Road</t>
  </si>
  <si>
    <t>Karve Road (Khandujibaba Chawk to S.N.D.T.</t>
  </si>
  <si>
    <t>Shankarsheth Road</t>
  </si>
  <si>
    <t>Senapati Bapat Road</t>
  </si>
  <si>
    <t>Umbarya Ganapati Chawk to Khunya Muralidhar Road</t>
  </si>
  <si>
    <t>Bhau Maharaj lane</t>
  </si>
  <si>
    <t>Nagar Road</t>
  </si>
  <si>
    <t>Garden in Survey Number 31 (Dahanukar Colony)</t>
  </si>
  <si>
    <t>N.S. Fadke road to Tilak Road</t>
  </si>
  <si>
    <t xml:space="preserve">60 M D.P. Road at Survey Number 83/15 B Kothrud </t>
  </si>
  <si>
    <t>Erandavana phata plot number 76 and 77 (purchase notice)</t>
  </si>
  <si>
    <t>Ramvadi Octroi Booth to Lohgad Airport</t>
  </si>
  <si>
    <t>Octroi Booth</t>
  </si>
  <si>
    <t xml:space="preserve">Shindewadi Survey Number 100 to 106 </t>
  </si>
  <si>
    <t xml:space="preserve">Phursungi, Survey Number 175 </t>
  </si>
  <si>
    <t>Vagholi, group number 2378,2379</t>
  </si>
  <si>
    <t>Bawdhan Khurd, Survey Number 64</t>
  </si>
  <si>
    <t>Hadapsar, Survey Number 63</t>
  </si>
  <si>
    <t xml:space="preserve">Undri, Survey Number 54 </t>
  </si>
  <si>
    <t>Lohgaon, Survey Number  134 and Wagholi, Survey Number 2330</t>
  </si>
  <si>
    <t>Garden Department</t>
  </si>
  <si>
    <t>Someshwarwadi, Pashan (Non D.P.)</t>
  </si>
  <si>
    <t>Taljai Survey Number 64</t>
  </si>
  <si>
    <t>For Katraj Zoo</t>
  </si>
  <si>
    <t>Fire-brigade Department</t>
  </si>
  <si>
    <t>Kondhwa, Survey Number 43 A</t>
  </si>
  <si>
    <t>Sinhgad Road, Survey Number 114</t>
  </si>
  <si>
    <t>Uruli Devachi for dumping ground</t>
  </si>
  <si>
    <t>Uruli Devachi Survey Number 43,44 and for Phursungi Survey Number 158 road</t>
  </si>
  <si>
    <t>Widening Paud Road</t>
  </si>
  <si>
    <t>Kanyashala to Appa Balawant Road widening</t>
  </si>
  <si>
    <t>Purchase notice for Parvati 64/5 garden</t>
  </si>
  <si>
    <t>Survey Number 43, Hingane share no. 15 DP road purchase notice</t>
  </si>
  <si>
    <t>Purchase notice for 18 Hingane, survey no. 61/1 A/1 garden and DP road</t>
  </si>
  <si>
    <t>Nana Peth, House Number 593A,593B,604,605 etc. Alpana Talkies to Tarachand Hospital Road</t>
  </si>
  <si>
    <t xml:space="preserve">Widening of Burudi Bridge Road at Ganesh Peth Govind Halwai Chawk </t>
  </si>
  <si>
    <t>For expansion of hospital Shukrawar peth city survey no. 760 (Purchase notice)</t>
  </si>
  <si>
    <t>Widening of Ganeshkhind Road</t>
  </si>
  <si>
    <t>Kondhwa Survey Number 40 octroi booths</t>
  </si>
  <si>
    <t>Paudroad to Balbharati road widening</t>
  </si>
  <si>
    <t>For school plot no. 478B, parvati (to be done on priority)</t>
  </si>
  <si>
    <t>For playground plot no. 4/3 Parvati phata</t>
  </si>
  <si>
    <t xml:space="preserve">land acquisition for road joining Sangamwadi bridge </t>
  </si>
  <si>
    <t>Hadapsar to Mundhwa magarpatta road</t>
  </si>
  <si>
    <t>Bibwewadi to Kondhwa road widening</t>
  </si>
  <si>
    <t>Pashan City Survey Number 106 to 109, 119, 129, 146, 147, 166 to 169, 172, 173, 181, 186 to 189 Survey number 1, section number 19 to 31 for road widening</t>
  </si>
  <si>
    <t xml:space="preserve">land acquisition for road from Wanwadi Survey Number 66 to 67, 72 to Netajinagar </t>
  </si>
  <si>
    <t>Kelkar Road (Kanyashala to Kelkar Statue)</t>
  </si>
  <si>
    <t>Rastrbhasha Bhavan road (a chawk where Paghayamaruti Chawk connects Kelkar Road)</t>
  </si>
  <si>
    <t>Krantivir Vasudev Fadke Road (Tilak Road Vagholikar Building to Nagnath par)</t>
  </si>
  <si>
    <t>Shivaji Road to Shaniwar Vada to Jedhe Chawk</t>
  </si>
  <si>
    <t>Maharana Pratapsinh Road(Gorpade Police Station to Hamehekhan Road)</t>
  </si>
  <si>
    <t>Gurunanak Road(Hamejkhan Chawk to Dewjibaba Chawk)</t>
  </si>
  <si>
    <t>Shahu Chawk to Devlachi Talim Chawk (Shahu Chawk Shivaji Road) to Devlachi Talim (Maharana Pratapsinh)</t>
  </si>
  <si>
    <t>Shahu Chawk to Maharana Pratap Garden(Shahu Chawk Shivaji Road to Chinchechi Talim to Maharana Pratap Garden)</t>
  </si>
  <si>
    <t>Quarter Gate Chawk to Police Colony</t>
  </si>
  <si>
    <t>Gyani Vastad Aadhav Chawk to Ahilyadevi Holkar Chawk</t>
  </si>
  <si>
    <t>Station Road to Maulana Abdul Kalam Road</t>
  </si>
  <si>
    <t>Panchmukhi Temple to Shivaji Road (Panchmukhi Maruti Temple Chawk to Parshwanath Mandir Chawk to Gadikhana Hospital Shivaji Road)</t>
  </si>
  <si>
    <t xml:space="preserve">From Jayakar path to Vidyapith Chawk 80ft. in Ward Number 5 </t>
  </si>
  <si>
    <t xml:space="preserve">80 ft. D.P. road  on the boundary of Aundh Survey Number 157 to 158 </t>
  </si>
  <si>
    <t xml:space="preserve">Pashan Shivaji Chawk to Baner Boundary D.P. road going through survey Number 2 to 13  </t>
  </si>
  <si>
    <t xml:space="preserve">40 ft. D.P. road from Pashan Sus road to Baner road Boundary </t>
  </si>
  <si>
    <t>Pashan Sus Road to Highway D.P. Road 80ft.</t>
  </si>
  <si>
    <t>Pashan Sus Road to Sutarwadi 80Ft. D.P. road</t>
  </si>
  <si>
    <t>Archana Bridge to Naik Bridge 60ft. D.P. road</t>
  </si>
  <si>
    <t>Kothrud Dahanukar colony 100ft. D.P. road</t>
  </si>
  <si>
    <t>Paud road Hotel Kinara to Shikshak nagar 60 ft. D.P. road</t>
  </si>
  <si>
    <t xml:space="preserve">60 ft. D.P. road connecting Vitthalwadi bridge and Karvenagar </t>
  </si>
  <si>
    <t xml:space="preserve">100 ft. D.P. road from Karve Road to Kothrud Malwadi passing from school for visually impaired </t>
  </si>
  <si>
    <t xml:space="preserve">60 ft. D.P. road from Kothrud Malwadi to Paud road </t>
  </si>
  <si>
    <t>Kothrud Malwadi (Sagar Colony to Municipality Boundary) 100 ft. D.P. road</t>
  </si>
  <si>
    <t>40 ft. D.P. road from Kothrud karve statue to Mayur D.P. road</t>
  </si>
  <si>
    <t>Katraj Kondhwa Bypass (Satara Road to Rajas Society)</t>
  </si>
  <si>
    <t>Kondhwa Bibwewadi road to Market Yard (Nehru road)</t>
  </si>
  <si>
    <t>Bhagwan T. Kawde road to Ciporex to Magarpatta Road</t>
  </si>
  <si>
    <t>Kirloskar Flyover (from Petrol Pump) road going towards Railway line</t>
  </si>
  <si>
    <t>Satara road to Bibwewadi road (with Culverts in Gururaj Society)</t>
  </si>
  <si>
    <t>Padmawati Bridge to Bibwewadi road (Near Bibwewadi Ota scheme)</t>
  </si>
  <si>
    <t>NIBM road up to Konark puram (60' DP road) (bypass road) (with culvert)</t>
  </si>
  <si>
    <t>Road going towards Taljai water tank</t>
  </si>
  <si>
    <t>M.C.M.T.R road Netajinagar to Solapur Road</t>
  </si>
  <si>
    <t>Satara road Vivekanand Statue to Lower Indiranagar</t>
  </si>
  <si>
    <t>Road from Chaitrban to PMC boundary (Bibwewadi 100' DP road)</t>
  </si>
  <si>
    <t>100' DP road passing from Sahakarnagar, Laxminagar boundary</t>
  </si>
  <si>
    <t>100' DP road from Ramwadi Octroi booth to Sanjay Park survey no. 204, 182, 233, 235 Lohgaon</t>
  </si>
  <si>
    <t xml:space="preserve">Survey no. 204, 211, 210, 234- 60' DP road parallel to  Lohgaon-Nagar road </t>
  </si>
  <si>
    <t>Survey no. 195 and 142- 60' DP road joining nagar road (towards Khulewadi) passing from Lohgaon boundary</t>
  </si>
  <si>
    <t xml:space="preserve">Survey no. 25, 26 Vadgaonsheri- 60' DP road joining Nagar road </t>
  </si>
  <si>
    <t>survey no. 191- 100' DP road from Nagpur chawl via Lohgaon joining Lohgaon Road</t>
  </si>
  <si>
    <t xml:space="preserve">Chawk on D.V. Gokhale road on the west side of Ramanbaug School </t>
  </si>
  <si>
    <t>Chawk at the junction of Kelkar road and road from Ahilyadevi Holkar chawk to Adhav chawk</t>
  </si>
  <si>
    <t>Chawk at the junction of Bhalkar Bhopatkar road and Rashtrabhasha Bhavan Road</t>
  </si>
  <si>
    <t>Patwardhan Chawk(4)</t>
  </si>
  <si>
    <t>Satatoti Chawk(4)</t>
  </si>
  <si>
    <t>Ganapati Chawk(4)</t>
  </si>
  <si>
    <t>A Chawk Near Raja Dhanraj Giriji High school(5)</t>
  </si>
  <si>
    <t>Chawk Near Milk Dairy</t>
  </si>
  <si>
    <t>Dinbandhu Chawk</t>
  </si>
  <si>
    <t>Rasta Peth Powerhouse Chawk</t>
  </si>
  <si>
    <t>(Employment Office) near Police quarters (5)</t>
  </si>
  <si>
    <t>Chawk connecting Nehru road and Lakari Maruti Chawk</t>
  </si>
  <si>
    <t>Chawk at Kumthekar road meeting Modi Ganapati Road</t>
  </si>
  <si>
    <t>Anna Shastri Pandharpure Chawk</t>
  </si>
  <si>
    <t>Chawk where Vasudev Phadke Road meets Maruti Road</t>
  </si>
  <si>
    <t>Limbraj Maharaj Chawk on Bajirao Road</t>
  </si>
  <si>
    <t>Shahu Chawk</t>
  </si>
  <si>
    <t>Shitaladevi Chawk</t>
  </si>
  <si>
    <t>Panchmukhi Maruti Chawk</t>
  </si>
  <si>
    <t>Lalbahadur Shastri Chawk</t>
  </si>
  <si>
    <t>Krishnhatti Chawk</t>
  </si>
  <si>
    <t>Devlachi Talim Chawk</t>
  </si>
  <si>
    <t>Govind Halwai Chawk</t>
  </si>
  <si>
    <t>Burud Aali Chawk</t>
  </si>
  <si>
    <t>both Chawk at Gadikhana Hospital(8)</t>
  </si>
  <si>
    <t>Ashok Chawk(8)</t>
  </si>
  <si>
    <t>Nana Chawadi Chawk (9)</t>
  </si>
  <si>
    <t>Hindmata Chawk(9)</t>
  </si>
  <si>
    <t>Shama Prasad Mukharji Chawk(9)</t>
  </si>
  <si>
    <t>Chawk in front of Chhaya Talkies(9)</t>
  </si>
  <si>
    <t>Padmaji Chawk</t>
  </si>
  <si>
    <t>Devram Khandare Chawk</t>
  </si>
  <si>
    <t>Mahatma Gandhi Chawk</t>
  </si>
  <si>
    <t>Sant Kabir Chawk</t>
  </si>
  <si>
    <t>Parvati Flyover Chawk</t>
  </si>
  <si>
    <t>Bopodi Octroi booth Chawk</t>
  </si>
  <si>
    <t>A Chawk near Police Workshop, Aundh</t>
  </si>
  <si>
    <t>A Chawk connecting Jayakar Path and Bhau Patil Road</t>
  </si>
  <si>
    <t>A chawk connecting Vivekananda road from Satara Road</t>
  </si>
  <si>
    <t>Upper Indiranagar Bus stop Chawk</t>
  </si>
  <si>
    <t>Parvati Payatha Chawk</t>
  </si>
  <si>
    <t>Modern High school Chawk</t>
  </si>
  <si>
    <t>Chawk at Dattawadi near Mhatre bridge</t>
  </si>
  <si>
    <t>S.G. Barwe Chawk</t>
  </si>
  <si>
    <t>Shivaji Statue Chawk</t>
  </si>
  <si>
    <t>Shastri Statue Chawk</t>
  </si>
  <si>
    <t>Umbarya Ganapati Chawk</t>
  </si>
  <si>
    <t>Model colony lake</t>
  </si>
  <si>
    <t>Acquisition of Land near Pune station departmental office</t>
  </si>
  <si>
    <t>Acquiring land at Bavdhan survey no. 23/24 for public purpose</t>
  </si>
  <si>
    <t xml:space="preserve">Land acquisition for shifting Kothrud dumping ground </t>
  </si>
  <si>
    <t>Survey Number 92/2 to 5 Kothrud (Water supply scheme and approach road)</t>
  </si>
  <si>
    <t>Survey Number 35/1+2 Kothrud (water supply non D.P. proposal)</t>
  </si>
  <si>
    <t>Survey Number 5/A, 5B Shivane (water supply non D.P. scheme)</t>
  </si>
  <si>
    <t>Survey Number 3 and 4 Erandvana Pumping Station</t>
  </si>
  <si>
    <t>Katraj Survey Number 28 (water supply)</t>
  </si>
  <si>
    <t>Narhe Gaon Survey Number 33 (water supply)</t>
  </si>
  <si>
    <t>Bibwewadi survey number 625,626 (water supply)</t>
  </si>
  <si>
    <t>wadgaon survey number 45 (water supply)</t>
  </si>
  <si>
    <t>Nanded survey number 33 (water supply)</t>
  </si>
  <si>
    <t>Ambegaon survey number 63 (water supply)</t>
  </si>
  <si>
    <t>T.P. Scheme Sangamwadi phata plot number 56 acquiring land for pumping station</t>
  </si>
  <si>
    <t>Survey Number 2B, 2C, 2D, 2E and 6 acquiring land for drainage treatment plant, Bopodi Pune</t>
  </si>
  <si>
    <t xml:space="preserve">120 Acre land for dumping ground and waste treatment plant out of properties at Phursangi survey no, 159 etc </t>
  </si>
  <si>
    <t xml:space="preserve">Shivajinagar phata plot no. 823 to 828 for boating </t>
  </si>
  <si>
    <t>Shivajinagar phata plot no. 501/2, 502 (for lake garden)</t>
  </si>
  <si>
    <t>Aundh house no. 95 city survey no. 756 to 760, 767, 870 to 876</t>
  </si>
  <si>
    <t xml:space="preserve">Pashan Someshwarwadi city survey no. 795- for Shivaji Maharaj Statue and garden </t>
  </si>
  <si>
    <t>Bibwewadi Survey number 672/11 (E.W.S.)</t>
  </si>
  <si>
    <t>F.C. Road</t>
  </si>
  <si>
    <t xml:space="preserve">Shastri Road, Ganjawe Road to Thosarpaga crematory </t>
  </si>
  <si>
    <t xml:space="preserve">Budhwar Peth city survey no. 112 to 114- Land acquisition for super market and road widening </t>
  </si>
  <si>
    <t>Budhwar Peth city survey no. 1110 and 1111- Land acquisition for road widening</t>
  </si>
  <si>
    <t>Phadgate police station (Vitthal Mandir) road joining Shivaji Road to Bajirao Road, Potnis road</t>
  </si>
  <si>
    <t>Land out of Kondhwa Khurd city survey no. 1 acquisition for playground</t>
  </si>
  <si>
    <t>Vadgaon Sheri survey no. 5 to 15, acquisition for 60 feet RP road</t>
  </si>
  <si>
    <t xml:space="preserve">Bopodi survey no. 36 part, 69, 73 part, land reserved for EWS </t>
  </si>
  <si>
    <t xml:space="preserve">Survey no. 74 part Bopodi- acquiring land reserved for playground </t>
  </si>
  <si>
    <t xml:space="preserve">Survey no. 74 Bopodi- acquiring land reserved for primary school </t>
  </si>
  <si>
    <t>Land acquisition for widening of road from Sonya Maruti Chawk to Moti Chawk</t>
  </si>
  <si>
    <t>Land acquisition for housing for PMC differently abled staff housing organization</t>
  </si>
  <si>
    <t>Survey no. 578/1 and 577/1 DP road on the south of Bibwewadi- Kondhwa road to be acquired by compromise</t>
  </si>
  <si>
    <t xml:space="preserve">Prabhag no. 45 Reserving playground lands in possession </t>
  </si>
  <si>
    <t xml:space="preserve">Land acquisition if funds are available </t>
  </si>
  <si>
    <t>129 Survey Number for Panmala Primary School Final Plot 571 and 572 TPS</t>
  </si>
  <si>
    <t>Parvati Survey Number 122A For Pipeline</t>
  </si>
  <si>
    <t>Shivaji Nagar Final Plot 382 For hospital expansion</t>
  </si>
  <si>
    <t>Sadashiv Peth 749, acquiring for water tank</t>
  </si>
  <si>
    <t>acquiring 20 ft road at Wanwadi survey number 62 and 63</t>
  </si>
  <si>
    <t>Katraj Survey Number 123 For Toll Booth</t>
  </si>
  <si>
    <t>Kondhwa Survey Number 1, Primary School Playground</t>
  </si>
  <si>
    <t xml:space="preserve">Bibwewadi Survey Number 673,776,677 For park D.P. road, Primary school </t>
  </si>
  <si>
    <t>Hingane Survey Number 33, C2 Zone</t>
  </si>
  <si>
    <t>Kothrud Survey number 17 for industrial estate</t>
  </si>
  <si>
    <t>Bibwewadi Survey Number 732 for Fire station</t>
  </si>
  <si>
    <t>Survey Number 43 share number 15 Hingane 60 ft road</t>
  </si>
  <si>
    <t>Erandawna final plot 70/2A, C.T.S number 47/2A</t>
  </si>
  <si>
    <t xml:space="preserve">For road from Gora Kumbhar High school to Ramnadi Bridge </t>
  </si>
  <si>
    <t>From Ramnadi Bridge towards Eknath Nagar, Baner Society</t>
  </si>
  <si>
    <t>Shivajinagar Narvir Tanajiwadi road widening</t>
  </si>
  <si>
    <t>Aundh City Survey number 767(housing  number 95) 756, 758, 760, 870, 871, 876, 491, 492, 493 for road widening</t>
  </si>
  <si>
    <t>Mula road Survey Number 62 (final plot) for 14 D.P. road</t>
  </si>
  <si>
    <t>Shivajinagar Final Plot number 262/5, City Survey Number 759/5, vegetable market</t>
  </si>
  <si>
    <t>Ravivar Peth 825 playground</t>
  </si>
  <si>
    <t>Parvati House number 99, 106 E.</t>
  </si>
  <si>
    <t>Nanapeth Rastapeth House no. 106 (Nana Peth, Sant Kabir Chawk to Rasta Peth, Power House Chawk)</t>
  </si>
  <si>
    <t>Survey Number 17,18 Erandwana road</t>
  </si>
  <si>
    <t>House number 40/1,40/2, Guruvwar Peth road</t>
  </si>
  <si>
    <t>House number 609 to 611 etc Shukrwar Peth road</t>
  </si>
  <si>
    <t>Survey Number 3,4 Hadapsar road</t>
  </si>
  <si>
    <t>Final Plot Number 424 to 828 Shivajinagar Naukavihar</t>
  </si>
  <si>
    <t>House Number 841 Sadashiv Peth open land, Bariwada</t>
  </si>
  <si>
    <t>House Number 853 Bhavani peth open land</t>
  </si>
  <si>
    <t>House no. 1280 Guruvar peth road widening</t>
  </si>
  <si>
    <t>House no. 715A Budhwar peth road widening</t>
  </si>
  <si>
    <t>House no. 526, Budhwar peth Primary school</t>
  </si>
  <si>
    <t>Final Plot Number 653, 658 Shivajinagar 60 ft road</t>
  </si>
  <si>
    <t>House Number 697, 685 widening the Aundh Road</t>
  </si>
  <si>
    <t>House Number 555 to 560 Ganj Peth Road widening</t>
  </si>
  <si>
    <t>Final Plot Number 619,620,658 etc. for parking, Shivajinagar</t>
  </si>
  <si>
    <t>Sadashiv Peth house number 456,467,458 etc. parking cycle track</t>
  </si>
  <si>
    <t>Bibwewadi Survey Number 588/2, for road</t>
  </si>
  <si>
    <t>Budhwar Peth House number 1481,1482 For road (Old Sadashiv)</t>
  </si>
  <si>
    <t>Narayan Peth House number 162 to 172 etc. for road</t>
  </si>
  <si>
    <t>Narayan Peth House number 174 to 202 to 205 for road</t>
  </si>
  <si>
    <t>Erandwna final plot number 9C, 1, 10, 62/11, 252, 253 A, For Cycle track and parking</t>
  </si>
  <si>
    <t>From Kasture Chawk to Ganj Peth Police station for road widening</t>
  </si>
  <si>
    <t>Ghorpade peth house number 58, 59, 60 for road widening</t>
  </si>
  <si>
    <t>Ganj Peth House number 27, 35, For road widening</t>
  </si>
  <si>
    <t>Erandawna Survey Number 44 park</t>
  </si>
  <si>
    <t>Parvati Final Plot Number 517,515B,5172,518,519,521,523,537 etc. for Parking</t>
  </si>
  <si>
    <t>Yerwada Final Plot number 70/3 acquisition for PMT</t>
  </si>
  <si>
    <t>Aundh Survey Number 125A and 4B for Garden</t>
  </si>
  <si>
    <t>acquiring land at Bibwewadi 579/2, 580/2, 588/1 for 100 ft road</t>
  </si>
  <si>
    <t>Erandawna Final 70/2 A, C.T.S. number 47/2 A for road</t>
  </si>
  <si>
    <t>Aundh Survey Number 104(part) 108(part) Number A(3) and A(3)(B) acquisition for Shopping Center and Post Office</t>
  </si>
  <si>
    <t>Kondhwa Survey Number 7/3, plot number 10 for road widening</t>
  </si>
  <si>
    <t>Aundh city survey no. 767 (95), 756, 758 to 760, 870, 871, 875, 491, 492, 493 etc for road widening</t>
  </si>
  <si>
    <t>Rasta Peth house no. 480/18 for road widening</t>
  </si>
  <si>
    <t>Vanvadi survey no. 77, share no. 32, 33, 34 land acquisition of the land on the planned 60 feet road</t>
  </si>
  <si>
    <t xml:space="preserve">Acquiring road widening space in Yerwada final plot no. 70/3 </t>
  </si>
  <si>
    <t xml:space="preserve">Yerwada survey no. 154, 155, 243, 160, 137, 239, 238, 235 (part 21 plus part 22 A) Part acquisition for 60 feet DP road as per Development scheme </t>
  </si>
  <si>
    <t>133, 134, 135 Land acquisition for Mahatma Phule Road widening</t>
  </si>
  <si>
    <t xml:space="preserve">11 Mangalwar Peth land acquisition for PMC's planned champer </t>
  </si>
  <si>
    <t>Acquisition of road widening space- Baner road to Asaram Pardeshi Chawk</t>
  </si>
  <si>
    <t xml:space="preserve">Land Acquisition at survey no. 65 A, 64 B, 64 C for Bopodi playground and 65 C for Bopodi primary school </t>
  </si>
  <si>
    <t xml:space="preserve">Acquiring land required for Bhau Patil road widening </t>
  </si>
  <si>
    <t>Acquiring land of Bopodi Commercial Complex</t>
  </si>
  <si>
    <t xml:space="preserve">Acquiring land in front of Gurunanak Kevalram Society </t>
  </si>
  <si>
    <t>Kondhwa Khurd survey no. 5B, 15, 14, 13, 12, 10, 9 and 7- land acquisition for 60 feet DP road (as per section 213)</t>
  </si>
  <si>
    <t>Land acquisition for widening of 20 meter road passing through Kondhwa Khurd survey no. 11, 10, 9 and 37</t>
  </si>
  <si>
    <t>Land acquisition for widening of 30 meter road passing through Kondhwa Khurd survey no. 38, hill no. 4, 5, 6 (section 205 road)</t>
  </si>
  <si>
    <t>Baner Road widening</t>
  </si>
  <si>
    <t>Paud Road to Balbharti (section 205 road)</t>
  </si>
  <si>
    <t xml:space="preserve">Navi Peth survey no. 58/69 land acquisition for garden development </t>
  </si>
  <si>
    <t>Prabhag no. 44, Ladkat mala- acquisition of land reserved for primary school</t>
  </si>
  <si>
    <t>Land acquisition for water sports at Dhanori</t>
  </si>
  <si>
    <t>Total of  {(B) + (C)}</t>
  </si>
  <si>
    <t>Acquiring land in Prabhag 49 A at 45 Bhawani Peth</t>
  </si>
  <si>
    <t>Provision for acquisition of State Government's land and other lands at Hadapsar survey no. 165</t>
  </si>
  <si>
    <t>Land acquisition at Bhidewada</t>
  </si>
  <si>
    <t>Acquiring land at Dahanukar Colony main road for road widening as per section 210(1)B</t>
  </si>
  <si>
    <t>Acquiring land in Ward No. 78 at 49 Bhawani Peth</t>
  </si>
  <si>
    <t>Acquiring road in Ward No. 108 as per section 210(1)B from Dahanukar Colony to Blind School</t>
  </si>
  <si>
    <t>Acquiring land in Ward No. 78 at 49 Bhawani Peth C.P.G. for road widening</t>
  </si>
  <si>
    <t>Land acquisition for HCMTR</t>
  </si>
  <si>
    <t>Land acquisition of the properties at Plot No. 98, survey no. 50+52+53 A, Pune Peth Parvati</t>
  </si>
  <si>
    <t>Grand total</t>
  </si>
  <si>
    <t>Works to be done from the Slum eradication and rehabilitation fund</t>
  </si>
  <si>
    <t>Various development works in various slums</t>
  </si>
  <si>
    <t>Works to be done under Slum Eradication and Rehabilitation Fund</t>
  </si>
  <si>
    <t>Building latrines as per Sulabh pattern</t>
  </si>
  <si>
    <t>Works under Development of Dalit colonies</t>
  </si>
  <si>
    <t>Constructing latrines in the Public spaces</t>
  </si>
  <si>
    <t>Constructing urinals in the Public spaces</t>
  </si>
  <si>
    <t>Constructing Sulabh Toilet in Prabhag No. 71 at Gangadham Chawk, New DP Road</t>
  </si>
  <si>
    <t>Constructing toilets at various places in Prabhag No. 18 B Vadgaon Sheri</t>
  </si>
  <si>
    <t>Total of works to be done from the Slum eradication and rehabilitation fund</t>
  </si>
  <si>
    <t>Works to be done by Ward Offices</t>
  </si>
  <si>
    <t>Ward Office: Works to be done by Slum Eradication and Rehabilitation Department</t>
  </si>
  <si>
    <t>Ward Office: Works to be done by Slum Eradication and Rehabilitation Department under citizen participation scheme</t>
  </si>
  <si>
    <t>Total of works to be done by Ward Offices</t>
  </si>
  <si>
    <t>Total of (Works to be done from the Slum eradication and rehabilitation fund + Works to be done by Ward Offices)</t>
  </si>
  <si>
    <t>Backward Class Welfare Scheme Fund</t>
  </si>
  <si>
    <t>Backward Class Scheme under U.C.D.</t>
  </si>
  <si>
    <t>Lokshahir Annabhau Sathe Educational Aid scheme</t>
  </si>
  <si>
    <t>Mau. Abdul Kalam Azad Educational Aid Scheme</t>
  </si>
  <si>
    <t>Running Competitive Exam Guidance Center for Backward Class Students</t>
  </si>
  <si>
    <t>Establishing Child Development Center and Vasti Resource Center</t>
  </si>
  <si>
    <t xml:space="preserve">Expenses towards implementation of various schemes under Backward Class Welfare Scheme </t>
  </si>
  <si>
    <t>Financial Aid of Rs. 1000 per month for eligible widows, destitute women under Mata Ramabai Bhimrao Ambedkar Scheme on occasion of 125th birth anniversary of Dr. Babasaheb Ambedkar</t>
  </si>
  <si>
    <t>Total of Backward Class Welfare Scheme Fund</t>
  </si>
  <si>
    <t>Women and Child Welfare Scheme Fund</t>
  </si>
  <si>
    <t>Women and Child Welfare Scheme</t>
  </si>
  <si>
    <t>Grant for women empowerment</t>
  </si>
  <si>
    <t>Management expenses of summit of women self help groups</t>
  </si>
  <si>
    <t>Encouraging women in self help group for family planning</t>
  </si>
  <si>
    <t>For electricity bills of Community Centers/other establishments under Urban Community Center</t>
  </si>
  <si>
    <t>Shelter Project for street children</t>
  </si>
  <si>
    <t>Kanyaratna Scheme</t>
  </si>
  <si>
    <t>Grant for self help groups making paper bags</t>
  </si>
  <si>
    <t xml:space="preserve">Establishing basic amenities under joint project of Rani Laxmibai Women Industrial Training Institute and PMC </t>
  </si>
  <si>
    <t>Expenses for various initiatives implemented by UCD like self-employment, training, material purchase etc</t>
  </si>
  <si>
    <t>Daycare center</t>
  </si>
  <si>
    <t>Welfare schemes for Neighborhood groups and women, child welfare center, clean slum competition, health camps, awarding prize to people and organizations working in slums, organizing competitions for women and children etc</t>
  </si>
  <si>
    <t>Expenses for remuneration for people appointed for implementation of various schemes under Women and Child Welfare Scheme</t>
  </si>
  <si>
    <t>Nutrient food for nurseries</t>
  </si>
  <si>
    <t>Expenses on grants for training and self-employment of women engaged in illegal businesses</t>
  </si>
  <si>
    <t>Administrative expenses of Aadhar Center</t>
  </si>
  <si>
    <t>Self-defense training for girls at 15 centers</t>
  </si>
  <si>
    <t>Girl child Adoption scheme</t>
  </si>
  <si>
    <t>Providing basic amenities under joint project of Rajmata Jijau Sanstha, Swargate and PMC</t>
  </si>
  <si>
    <t>Providing basic amenities under joint project of Manasi and PMC</t>
  </si>
  <si>
    <t>Providing basic amenities under joint project of Smile and PMC</t>
  </si>
  <si>
    <t>Organizing exhibition of the products made by self-help groups</t>
  </si>
  <si>
    <t>Establishing incubation center with the help of Maratha Chambers of Commerce</t>
  </si>
  <si>
    <t>Expenses for educational aid and counselor center for children of women engaged in illegal businesses</t>
  </si>
  <si>
    <t>Constructing self-help group hall for women in Navi Peth area in Prabhag No. 51 B</t>
  </si>
  <si>
    <t xml:space="preserve">Constructing hall for women's industry center and training classes of women self-help group in Prabhag No. 57 B </t>
  </si>
  <si>
    <t>Providing materials to Jijau Sanstha</t>
  </si>
  <si>
    <t>Total of Women and Child Welfare Scheme Fund</t>
  </si>
  <si>
    <t>Youth Welfare Scheme Fund (Urban Community Development Scheme)</t>
  </si>
  <si>
    <t>Grant for self-employment and training for youth in the city</t>
  </si>
  <si>
    <t>Lokshahir Annabhau Sathe Educational Aid Scheme and Maulana Abdul Kalam Azad Educational Aid Scheme</t>
  </si>
  <si>
    <t>Establishing Recreation Center for senior citizens</t>
  </si>
  <si>
    <t>Implementing night shelter scheme at various places in the city</t>
  </si>
  <si>
    <t>Grants for teachers and other staff in the training centers</t>
  </si>
  <si>
    <t>Establishing libraries for youth (Savitribai Phule Library)</t>
  </si>
  <si>
    <t>Implementing Hello My Friend Scheme</t>
  </si>
  <si>
    <t>Rent to PMPML administration for the space which is occupied by Urban Community Development Scheme Department</t>
  </si>
  <si>
    <t>Organizing cultural programs of students from other states and countries (for cultural exchange and to create goodwill)</t>
  </si>
  <si>
    <t>Running competitive exams guidance center</t>
  </si>
  <si>
    <t>Aid of Rs. 1000/- for the senior citizens (Male) under Sharad Swavlambi Jeevan Scheme and under Slum Rehabilitation and under Urban Poor Scheme</t>
  </si>
  <si>
    <t xml:space="preserve">Total of Youth Welfare Scheme Fund </t>
  </si>
  <si>
    <t>Differently abled Welfare Scheme Fund</t>
  </si>
  <si>
    <t>Differently abled Welfare Scheme</t>
  </si>
  <si>
    <t xml:space="preserve">Constructing ramps and arranging wheel chairs in all PMC offices for the differently abled staff </t>
  </si>
  <si>
    <t>Organizing competitions and programs to encourage for differently abled students</t>
  </si>
  <si>
    <t>Arranging for technology/equipments for differently abled staff in the government/semi-government services</t>
  </si>
  <si>
    <t>Conducting survey of differently abled people</t>
  </si>
  <si>
    <t>Providing aid of Rs. 2000/- per month under Dr. Baba Amte Vikalang Scheme for fulfillment of basic needs of differently abled</t>
  </si>
  <si>
    <t>Total of Differently abled Welfare Scheme Fund</t>
  </si>
  <si>
    <t>Works to be done from the Pune District Planning and Development Board Fund</t>
  </si>
  <si>
    <t>Development Works to be done as per suggestions of the MLAs</t>
  </si>
  <si>
    <t>Bopodi (Constituency No. 246)</t>
  </si>
  <si>
    <t>Shivajinagar (Constituency No. 247)</t>
  </si>
  <si>
    <t>Parvati (Constituency No. 248)</t>
  </si>
  <si>
    <t>Kasba Peth (Constituency No. 249)</t>
  </si>
  <si>
    <t>Bhawani Peth (Constituency No. 250)</t>
  </si>
  <si>
    <t>Pune Cantonment (Constituency No. 251)</t>
  </si>
  <si>
    <t>Legislative Council Members</t>
  </si>
  <si>
    <t>Development Works to be done as per suggestions of the MPs</t>
  </si>
  <si>
    <t>Special grant for basic amenities in the Municipal Corporation's jurisdiction</t>
  </si>
  <si>
    <t xml:space="preserve">Mulshi Constituency </t>
  </si>
  <si>
    <t>Kothrud Assembly Constituency</t>
  </si>
  <si>
    <t>Hadapsar Assembly Constituency</t>
  </si>
  <si>
    <t>Vadgaonsheri Assembly Constituency</t>
  </si>
  <si>
    <t>Khadakvasla Assembly Constituency</t>
  </si>
  <si>
    <t>Fund for Solid Waste Management under General District Annual Scheme 2012-13</t>
  </si>
  <si>
    <t>Total of works to be done from the Pune District Planning and Development Board Fund</t>
  </si>
  <si>
    <t>New machinery to be purchased from Machinery depreciation fund</t>
  </si>
  <si>
    <t>Machinery for Fire brigade</t>
  </si>
  <si>
    <t>Water tanker with pump (bouzer)</t>
  </si>
  <si>
    <t>Fire engine vehicle</t>
  </si>
  <si>
    <t>Hydraulic platform</t>
  </si>
  <si>
    <t>Rescue equipment and light mast</t>
  </si>
  <si>
    <t>Fire extinguisher sprinkler and standing fire extinguisher system</t>
  </si>
  <si>
    <t>Ultra High pressure pierce machine</t>
  </si>
  <si>
    <t>Purchasing of Mahindra Scorpio jeep for Chief Fire Brigade Officer</t>
  </si>
  <si>
    <t>Purchasing modern ambulance for Pune city</t>
  </si>
  <si>
    <t>Purchasing new vehicles for health department by terminating the articulated cranes which average life has over</t>
  </si>
  <si>
    <t>Electrical Department- Hydraulic Platform</t>
  </si>
  <si>
    <t>Purchasing Back-Ho loader</t>
  </si>
  <si>
    <t>Purchasing 5 tippers for road department</t>
  </si>
  <si>
    <t xml:space="preserve">Vehicle depot machinery </t>
  </si>
  <si>
    <t>Purchasing motor cars for PMC officers and office bearers</t>
  </si>
  <si>
    <t>Container repair and painting</t>
  </si>
  <si>
    <t>Machinery for garbage eradication</t>
  </si>
  <si>
    <t>Replacing the garbage transporting vehicles which life has overed</t>
  </si>
  <si>
    <t>Purchasing new vehicles for departments like Ward offices, Water Supply, Octroi etc which lifespan has overed</t>
  </si>
  <si>
    <t>Purchasing containers of 3.8 for garbage transportation</t>
  </si>
  <si>
    <t>Purchasing required machinery for disaster management and security of Pune city</t>
  </si>
  <si>
    <t xml:space="preserve">Purchasing compactor for </t>
  </si>
  <si>
    <t>Purchsing Ghanta Truck, Ghanta Rikshaw under Solid Waste management</t>
  </si>
  <si>
    <t>Purchasing Back-Ho loader for Ward Office</t>
  </si>
  <si>
    <t>Purchasing Sewage motors for health department</t>
  </si>
  <si>
    <t>Purchasing new jetting machine by terminating older whose lifespan has over</t>
  </si>
  <si>
    <t>Purchasing new water tankers by terminating older whose lifespan has over</t>
  </si>
  <si>
    <t>Purchasing bulk refuse carriers</t>
  </si>
  <si>
    <t>Purchasing tractor for carrying mobile toilets</t>
  </si>
  <si>
    <t>Purchasing JCB for water supply works in the area of SNDT office</t>
  </si>
  <si>
    <t>Purchasing containers of capacity 3.8 cu m for garbage transportation for the villages which are to be merged in PMC limits</t>
  </si>
  <si>
    <t>Mobile Toilet</t>
  </si>
  <si>
    <t>Purchasing push carts with 2 and 4 buckets for the Prabhags under Warje-Karvenagar and Kothrud Ward Offices</t>
  </si>
  <si>
    <t>Purchasing Tata Ace (small tempo)for the garbage transportation for the Prabhags under Warje-Karvenagar and Kothrud Ward Offices</t>
  </si>
  <si>
    <t>Purchasing 2 Ape rickshaw for collecting and transporting garbage for Prabhag 26</t>
  </si>
  <si>
    <t>Purchasing Ghantagadi for garbage collection for Prabhag 41B</t>
  </si>
  <si>
    <t>Purchasing Ghantagadi for garbage collection for Prabhag 44B</t>
  </si>
  <si>
    <t>Purchasing 7.5 liter bucket and ghantagadi for garbage segregation for Prabhag 45 B</t>
  </si>
  <si>
    <t>Providing Ghantagadi for garbage segregation for Prabhag 48 A</t>
  </si>
  <si>
    <t>Providing push-cart for garbage collection in the Prabhag 18 B</t>
  </si>
  <si>
    <t>Purchasing modern sweeping machine for mechanized sweeping of main roads in Pune city</t>
  </si>
  <si>
    <t>Purchasing new water tankers for Ward offices and encroachment department by terminating older vehicles in utility class whose lifespan has over</t>
  </si>
  <si>
    <t>Providing Ghantagadi for garbage collection in Prabhag 52 B</t>
  </si>
  <si>
    <t>Purchasing water pressure vehicle for cleaning urinals in Prabhag 11 B Gokhalenagar (Buying Tata Ace and to set up machinery over it)</t>
  </si>
  <si>
    <t>Purchasing vehicle (Piaggio tempo) for garbage collection in Prabhag 16 B</t>
  </si>
  <si>
    <t>Purchasing closed carts for rag-pickers in Prabhag 17 B</t>
  </si>
  <si>
    <t xml:space="preserve">Purchasing Tata Ace and water pressure vehicle machinery for cleaning latrines and urinals in Prabhag 17 B </t>
  </si>
  <si>
    <t>Purchasing vehicle for collecting garbage in the Prabhag 22 B</t>
  </si>
  <si>
    <t>Providing 3 Ape rickshaw for collecting and transporting garbage generated in Prabhag 26 B</t>
  </si>
  <si>
    <t>Providing Ghantagadi for garbage collection in Prabhag 30 B</t>
  </si>
  <si>
    <t>Purchasing new Ghantagadi (Tata AIS) for collecting garbage from societies and colonies</t>
  </si>
  <si>
    <t xml:space="preserve">Purchasing Piaggio (Chhota Hathi) to collect dry and wet waste from the Prabhag 38 A-Kasba Peth </t>
  </si>
  <si>
    <t>Purchasing 4 Chhota Hathi for collecting dry and wet garbage from Prabhag 39 B- Somwar Peth, rasta Peth and transporting to biogas plant and related works (to make Prabhag 39 container free)</t>
  </si>
  <si>
    <t>Purchasing 2 Piaggio tempo for collecting wet and dry garbage separately for Prabhag 40 B</t>
  </si>
  <si>
    <t>Providing 2 mini tempo (chhota hathi) for collecting garbage from Prabhag 41 A</t>
  </si>
  <si>
    <t>Purchasing Ghantagadi for garbage collection for Prabhag 41 B</t>
  </si>
  <si>
    <t>Purchasing Ghantagadi for garbage transportation for Prabhag 43 A</t>
  </si>
  <si>
    <t>Purchasing Ape Piaggio tempo and Tata Ace tempo for garbage transportation for Prabhag 54 B</t>
  </si>
  <si>
    <t>Purchasing tempo for garbage collection for Prabhag 56 A</t>
  </si>
  <si>
    <t>Purchasing 2 Tata Ace Ghantagadi for garbage transportation for Prabhag 57 B</t>
  </si>
  <si>
    <t>Purchasing jetting machine vehicle for cleaning latrines in Prabhag 57 B</t>
  </si>
  <si>
    <t>Purchasing Ghantagadi for Prabhag 63 A</t>
  </si>
  <si>
    <t>Purchasing smaller Ghantagadis for Garbage collection for Prabhag 63 A</t>
  </si>
  <si>
    <t>Purchasing high capacity recycling suction cum jetting machine for Sewage department</t>
  </si>
  <si>
    <t>Purchasing smaller jetting machines for 15 Ward Offices</t>
  </si>
  <si>
    <t>Machinery to be purchased from machinery depreciation funds</t>
  </si>
  <si>
    <t>Total of machinery depreciation fund</t>
  </si>
  <si>
    <t>Expenses to be made from Tree conservation authority fund</t>
  </si>
  <si>
    <t>Expenses of Tree conservation Office</t>
  </si>
  <si>
    <t>temporary staff</t>
  </si>
  <si>
    <t>Printing</t>
  </si>
  <si>
    <t>Writing and literature</t>
  </si>
  <si>
    <t>Publication charges</t>
  </si>
  <si>
    <t xml:space="preserve">Postage and tickets </t>
  </si>
  <si>
    <t>Uniform</t>
  </si>
  <si>
    <t>Books and residual stock</t>
  </si>
  <si>
    <t>Entertainment and other expenses for children</t>
  </si>
  <si>
    <t>Tree Authority Meeting- refreshment charges</t>
  </si>
  <si>
    <t>Purchasing plants, equipments, fertilizers, materials and maintenance</t>
  </si>
  <si>
    <t>Conducting various environment related initiatives for school children in Pune city</t>
  </si>
  <si>
    <t>Flower and Fruit exhibition by PMC</t>
  </si>
  <si>
    <t>Purchasing plants of 3-4 years and 10-15 feet height for tree plantation, purchasing tree guard for protection and repairing old tree guards</t>
  </si>
  <si>
    <t>Moving trees</t>
  </si>
  <si>
    <t>Tree plantation, protection, maintenance and related expenses</t>
  </si>
  <si>
    <t>Expenses for visits of tree authority at various places</t>
  </si>
  <si>
    <t>Promotional prizes for tree plantation</t>
  </si>
  <si>
    <t>Compensation under Labor law</t>
  </si>
  <si>
    <t xml:space="preserve">Tree Census and related works </t>
  </si>
  <si>
    <t>Purchasing tanker for watering trees</t>
  </si>
  <si>
    <t>Tires, acessories and maintenance</t>
  </si>
  <si>
    <t>Vehicle purchase for Tree conservation committee</t>
  </si>
  <si>
    <t>Building office and furniture</t>
  </si>
  <si>
    <t>Conducting various activities for generating awareness among citizens about Tree conservation (Slide shows, banners, posters, booklets etc.)</t>
  </si>
  <si>
    <t>Training classes for PMC staff and citizens about tree conservation and urban forestation</t>
  </si>
  <si>
    <t xml:space="preserve">Implementing Forest Management project along with forest department in Pune city </t>
  </si>
  <si>
    <t>Purchasing vehicle for trimming trees</t>
  </si>
  <si>
    <t>Tree plantation in the green zone and on the hill slopes in the Pune city</t>
  </si>
  <si>
    <t>Developing bio-diversity park on the available land in the PMC limits</t>
  </si>
  <si>
    <t>Purchasing 2 JCB and 2 Tippers for tree replantation and other works</t>
  </si>
  <si>
    <t>Expenses for process fee and related charges for legal action against the people/organizations cutting trees illegally in the PMC jurisdiction</t>
  </si>
  <si>
    <t>The measures to be taken for conservation of ecosystem, enhancing the biodiversity in the lakes under the PMC Garden department</t>
  </si>
  <si>
    <t>Total of expenses to be made from Tree conservation authority fund</t>
  </si>
  <si>
    <t>Resolution fund</t>
  </si>
  <si>
    <t>Total of resolution fund</t>
  </si>
  <si>
    <t xml:space="preserve">1. Water supply </t>
  </si>
  <si>
    <t>Development of new water pipelines in the city</t>
  </si>
  <si>
    <t>Constructing water tanks and digging bore wells in the city</t>
  </si>
  <si>
    <t>Electrical and mechanical maintenance works in various water purification plants in the city</t>
  </si>
  <si>
    <t>Total of water supply</t>
  </si>
  <si>
    <t>2. Sewage Management</t>
  </si>
  <si>
    <t xml:space="preserve">Developing small diameter drainage lines in the city </t>
  </si>
  <si>
    <t>Nala channelization/Nala fencing and related works in the city</t>
  </si>
  <si>
    <t>Construction related works at the Sewage Treatment Plants in the city</t>
  </si>
  <si>
    <t xml:space="preserve">Electrical/Mechanical works at the Sewage Treatment Plants in the city </t>
  </si>
  <si>
    <t>Sewage Management Total</t>
  </si>
  <si>
    <t>3. Water Supply Project</t>
  </si>
  <si>
    <t>Performing various works in the city related to water supply</t>
  </si>
  <si>
    <t>National River Development Scheme (JAYAKA)</t>
  </si>
  <si>
    <t>24*7 Water supply scheme for Pune city</t>
  </si>
  <si>
    <t>Water Supply Projects Total</t>
  </si>
  <si>
    <t>4. Sewage Management Projects</t>
  </si>
  <si>
    <t>Sewage Management Project Phase-1</t>
  </si>
  <si>
    <t>Developing larger sewage lines in the city</t>
  </si>
  <si>
    <t>Sewage Treatment Total</t>
  </si>
  <si>
    <t>Works to be done by the Ward Offices</t>
  </si>
  <si>
    <t>Ward office: Works to be done by the Water Supply Department</t>
  </si>
  <si>
    <t>Ward office: Works to be done by the Water Supply Department under Citizens' Participation Scheme</t>
  </si>
  <si>
    <t>Ward office: Works to be done by the Sewage Management Department</t>
  </si>
  <si>
    <t>Ward office: Works to be done by the Sewage Management Department under Citizens' Participation Scheme</t>
  </si>
  <si>
    <t>Total of Works to be done by the Ward Offices</t>
  </si>
  <si>
    <t>Grand Total of (Water Supply+ Gutters and Nalas+Water Supply Projects+Sewage Management Projects)</t>
  </si>
  <si>
    <t>वर्षातील महत्त्वपूर्ण दिन</t>
  </si>
  <si>
    <t>मदर तेरेसा पुरस्कार</t>
  </si>
  <si>
    <t>महात्मा ज्योतिबा फुले पुरस्कार</t>
  </si>
  <si>
    <t>लिंगायतरत्न बसवेश्वर पुरस्कार</t>
  </si>
  <si>
    <t>श्री संत शिरोमणी संताजी महाराज जगनाडे पुरस्कार</t>
  </si>
  <si>
    <t>जागतिक अपंग दिन पुरस्कार'</t>
  </si>
  <si>
    <t>यशवंतराव चव्हाण व वसंतराव पाटील पुरस्कार</t>
  </si>
  <si>
    <t>लोकशाहीर अण्णाभाऊ साठे पुरस्कार</t>
  </si>
  <si>
    <t>पुणे महानगरपालिकेच्या वतीने ऋषीपंचमीनिमित्त पुणे शहरातील ऋषितुल्य तपस्वी श्रेठांचा गौरव करणे</t>
  </si>
  <si>
    <t>सातव्या वेतानायोगापोटी अग्रीम रक्कम</t>
  </si>
  <si>
    <t>प्रभाग क्र ४२ मध्ये शाळा क्र ३२,६३,६८ मध्ये टॉयलेट व दुरूस्तीची कामे करणे</t>
  </si>
  <si>
    <t>प्रभाग क्र ४२ मध्ये वैदुवाडी, गोसावी वस्ती शाळेमध्ये दुरूस्तीची कामे करणे</t>
  </si>
  <si>
    <t>प्रभाग क्र ४२ मध्ये रामोशीआळी, हडपसर गावठाण येथे शौचालयाची दुरूस्ती करणे</t>
  </si>
  <si>
    <t>प्रभाग क्र ४२ मध्ये गोसावी वस्ती शाळेमध्ये टॉयलेट बांधणे व दुरूस्ती करणे</t>
  </si>
  <si>
    <t>प्रभाग क्र ४२ मध्ये शंकरमठ, गोसावी वस्ती शौचालय दुरूस्तीची कामे करणे</t>
  </si>
  <si>
    <t>प्रभाग क्र ४२ मध्ये महात्मा फुले वसाहत, मार्केडेय नगर, समर्थनगर शौचालय दुरूस्तीची कामे करणे</t>
  </si>
  <si>
    <t>प्रभाग क्र ४२ मध्ये हडपसर गाव, हिंगणेमळा येथे प्रकाश व्यवस्था करणे</t>
  </si>
  <si>
    <t>प्रभाग क्र ४२ मध्ये ससाणेनगर परीसरात प्रकाश व्यवस्था करणे</t>
  </si>
  <si>
    <t>प्रभाग क्र ४२ मध्ये वैदुवाडी, गोसावी वस्ती येथे प्रकाश व्यवस्था करणे</t>
  </si>
  <si>
    <t>प्रभाग क्र ४३ मध्ये जनता वसाहत येथे प्रकाश व्यवस्था करणे</t>
  </si>
  <si>
    <t>प्रभाग क्र ४३ मध्ये माळवाडी परीसरात प्रकाश व्यवस्था करणे</t>
  </si>
  <si>
    <t>प्रभाग क्र ४३ मध्ये सातवप्लॉट येथे प्रकाश व्यवस्था करणे</t>
  </si>
  <si>
    <t xml:space="preserve">प्र. क्र. ४३ मधील १५ नं. परिसरात इंटर लॉकिंग ब्लॉक बसविणे. </t>
  </si>
  <si>
    <t xml:space="preserve">प्र. क्र. ४३ मधील १५ नं. व विठ्ठलनगर परिसरात ड्रेनेज लाईन टाकणे. </t>
  </si>
  <si>
    <t>प्रभाग क्र ४४ मधील गोंधळेनगर, सातववाडी येथे ड्रेनेज लार्इन टाकणे</t>
  </si>
  <si>
    <t>प्रभाग क्र ४४ मधील काळेपडळ स.न.२३१ मध्ये ड्रेनेज लार्इन टाकणे</t>
  </si>
  <si>
    <t>प्रभाग क्र ४४ मधील सार्इनाथ वसाहत ड्रेनेज लार्इन टाकणे</t>
  </si>
  <si>
    <t>प्रभाग क्र ४४ वेताळबाबा वसाहत येथे ड्रेनेज लार्इन टाकणे</t>
  </si>
  <si>
    <t>प्रभाग क्र ४४ मधील महात्मा फुले वसाहत येथे ड्रेनेज लार्इन टाकणे</t>
  </si>
  <si>
    <t>प्रभाग क्र ४४ मधील तुळजा भवानी वसाहत येथे ड्रेनेज लार्इन टाकणे</t>
  </si>
  <si>
    <t>प्रभाग क्र ४४ मध्ये सातववाडी, गोंधळेनगर येथे प्रकाश व्यवस्था करणे</t>
  </si>
  <si>
    <t>प्रभाग क्र ४४ मध्ये काळे कॉलनी येथे प्रकाश व्यवस्था करणे</t>
  </si>
  <si>
    <t>प्रभाग क्र ४४ मध्ये तुळजाभवानी  येथे प्रकाश व्यवस्था करणे</t>
  </si>
  <si>
    <t xml:space="preserve">प्रभाग क्रं ४५ मध्ये रवी पार्क येथील नाल्याच्या कडेला चेनलिंग फेंसीग बसविणे  </t>
  </si>
  <si>
    <t xml:space="preserve">प्रभाग क्रं ४५ मध्ये नियोजित पीएमपीएल बस स्थानकापासून नाल्याच्या कडेला चेनलिंग फेंसीग बसविणे  </t>
  </si>
  <si>
    <t xml:space="preserve">प्रभाग क्रं ४५ मधील मनपा शाळांमध्ये स्थापत्य विषयक कामे करणे </t>
  </si>
  <si>
    <t xml:space="preserve">प्रभाग क्रं ४५ मध्ये काळेपडळ येथे ड्रेनेज विषयक कामे करणे </t>
  </si>
  <si>
    <t xml:space="preserve">प्रभाग क्रं ४५ मध्ये काळे पडळ परिसरात विद्युत विषयक कामे करणे </t>
  </si>
  <si>
    <t>प्रभाग क्रं ४५ मध्ये महंमदवाडी परिसरात विद्युत विषयक कामे करणे</t>
  </si>
  <si>
    <t>प्रभाग क्रं ४५ मध्ये चिंतामणि नगर परिसरात विद्युत विषयक कामे करणे</t>
  </si>
  <si>
    <t>प्रभाग क्र ४२ मध्ये हडपसर गावठाण व रामोशीआळी येथे ड्रेनेज लार्इन टाकणे व कॉंक्रीट करणे</t>
  </si>
  <si>
    <t>प्रभाग क्र ४२ मध्ये ससाणेनगर गल्ली क्र १ ते १६ मध्ये ड्रेनेज लार्इन टाकणे व कॉंक्रीट करणे</t>
  </si>
  <si>
    <t>प्रभाग क्र ४२ मध्ये हिंगणेमळा येथे गणपती घाटाचे काम करणे</t>
  </si>
  <si>
    <t>प्रभाग क्र ४२ मध्ये गावठाणामधील रस्ते कॉंक्रीट करणे व ब्लॉक बसविणे</t>
  </si>
  <si>
    <t>प्रभाग क्र ४२ मध्ये गोसावी वस्ती कॅनॉल च्या कडेचे रस्ते करणे</t>
  </si>
  <si>
    <t>प्रभाग क्र ४२ मध्ये शंकरमठ, गोसावी वस्ती येथे ड्रेनेज लार्इन टाकणे व कॉंक्रीट करणे</t>
  </si>
  <si>
    <t xml:space="preserve">प्र. क्र. ४३ मधील स. नं. १६५ माळवाडी परिसरात पेव्हरने डांबरीकरण करणे. </t>
  </si>
  <si>
    <t>प्र. क्र. ४३ मधील स. नं. १६५ माळवाडी परिसरात रोड साईड पट्टी कॉंक्रीट करणे व ब्लॉक बसविणे.</t>
  </si>
  <si>
    <t>प्र. क्र. ४३ मधील जिजामाता वसाहत व १५ नं. परिसरात कॉंक्रीट करणे.</t>
  </si>
  <si>
    <t>प्र. क्र. ४३ मधील विठ्ठलनगर व १५ नं. परिसरात पेव्हरने डांबरीकरण करणे.</t>
  </si>
  <si>
    <t>प्र. क्र. ४३ मधील सातव प्लॉट परिसरात साईड पट्टी कॉंक्रीट करून व ब्लॉक बसविणे.</t>
  </si>
  <si>
    <t xml:space="preserve">प्र. क्र. ४३ मधील ग्रामपंचायत हद्द ते बडदे यांच्या घरापर्यंत नाल्याला रिटेनिंग वॉल बांधणे. </t>
  </si>
  <si>
    <t xml:space="preserve">प्र. क्र. ४३ मधील स्मशानभूमी ते वीटभट्टीपर्यंत नाला चॅनलिंग करणे. </t>
  </si>
  <si>
    <t>प्रभाग क्र ४४ मधील गोंधळेनगर व काळेपडळ स.नं. २३१ येथे ट्रिमिक्‍स कॉंक्रीट करणे</t>
  </si>
  <si>
    <t>प्रभाग क्र ४४ मधील आर्मी वेलफेअर कडे जाणारा रस्ता ट्रिमिक्‍स कॉंक्रीट करणे</t>
  </si>
  <si>
    <t>प्रभाग क्र ४४ मधील सार्इनाथ वसाहत, तुळजाभवानी येथे इंटरलॉकिंग ब्लॉक बसविणे</t>
  </si>
  <si>
    <t>प्रभाग क्र ४४ मधील महात्मा फुले वसाहत इंटरलॉकिंग ब्लॉक बसविणे</t>
  </si>
  <si>
    <t>प्रभाग क्र ४४ सुलभ शौचालय देखभाल व दुरूस्तीची कामे करणे</t>
  </si>
  <si>
    <t>प्रभाग क्र ४४ वेताळबाबा वसाहत कॅनॉल लगत सिमाभिंत बांधणे</t>
  </si>
  <si>
    <t>प्रभाग क्र ४४ मधील मनपा शाळेत सिव्हीलविषयक कामे करणे</t>
  </si>
  <si>
    <t xml:space="preserve">प्रभाग क्रं ४५ मध्ये काळेपडळ येथे डांबरीकरण करणे </t>
  </si>
  <si>
    <t xml:space="preserve">प्रभाग क्रं ४५ मध्ये महंमदवाडी परिसरामध्ये कॉक्रिटीकरण व ब्लॉक बसविणे </t>
  </si>
  <si>
    <t>प्रभाग क्रं ४५ मध्ये काळे पडळ परिसरामध्ये कॉक्रिटीकरण व ब्लॉक बसविणे</t>
  </si>
  <si>
    <t xml:space="preserve">प्रभाग क्रं ४५ मध्ये स.नं. ५० मध्ये १८ इंची व्यासाची मेन ड्रेनेज लाईन टाकणे </t>
  </si>
  <si>
    <t xml:space="preserve">प्रभाग क्रं ४५ मध्ये कृष्णानगर येथे ड्रेनेज लाईन टाकणे  </t>
  </si>
  <si>
    <t xml:space="preserve">प्रभाग क्रं ४५ मध्ये तरवडे वस्ती येथे १८ इंची व्यासाची मेन ड्रेनेज लाईन टाकणे  </t>
  </si>
  <si>
    <t xml:space="preserve">प्रभाग क्रं ४५ मध्ये धनगर वस्ती सातवनगर येथे ड्रेनेज लाईन टाकणे  </t>
  </si>
  <si>
    <t>मार्कंडेय नगर येथे ब्लॉक दुरुस्त करणे व कॉँक्रिट करणे.</t>
  </si>
  <si>
    <t>गोसावी वस्ती, वैदुवाडी येथील चेंबर दुरूस्ती व प्लास्टर करणे.</t>
  </si>
  <si>
    <t>महात्मा फुले, खजुरे वस्ती येथील ब्लॉक दुरुस्त करणे व ड्रेनेज लार्इन टाकणे.</t>
  </si>
  <si>
    <t>गोसावी वस्ती मनपा शाळेमध्ये रंगरंगोटीची कामे करणे.</t>
  </si>
  <si>
    <t>डांगमाळी मळा क्रिडा संकुल येथे लहान मुलांसाठी खेळणी बसविणे.</t>
  </si>
  <si>
    <t>ओरीयंट पार्क परीसर जुनी ६ इंची ड्रेनेज लार्इन बदलून १२ इंची करणे.</t>
  </si>
  <si>
    <t>लक्ष्मी कॉलनी येथे पेव्हिंग ब्लॉक बसविणे</t>
  </si>
  <si>
    <t>सर्व्हे नं. १६ मध्ये इंटर लॉकींग ब्लॉक बसवणे.</t>
  </si>
  <si>
    <t>सर्व्हे नं. १८ मध्ये इंटर लॉकींग ब्लॉक बसवणे.</t>
  </si>
  <si>
    <t xml:space="preserve">हेमंत करकरे उद्यानात विविध कामे करणे. </t>
  </si>
  <si>
    <t xml:space="preserve">साईनाथ वसाहत येथे ड्रेनेज लार्इन टाकणे </t>
  </si>
  <si>
    <t>सर्व्हे नं. १५/ब दक्षिणमुखी हनुमान मंदिराजवळ हायमास्ट बसवणे.</t>
  </si>
  <si>
    <t>सासवड रोड, गाडीतळ चौक व ससाणेनगर येथे संचलनदीप बसविणे.</t>
  </si>
  <si>
    <t>कै. आप्पासाहेब बडदे उद्यानामध्ये पथ दिवे बसवणे.</t>
  </si>
  <si>
    <t xml:space="preserve">सय्यद नगर बाळू कुदळे यांच्या घरासमोर ब्लॉक बसविणे </t>
  </si>
  <si>
    <t xml:space="preserve">सातवनगर परिसरात प्रकाश व्यवस्था करणे </t>
  </si>
  <si>
    <t xml:space="preserve">स.नं.५० काळेपडळ येथे एल.ई.डी. फिटिंग बसविणे </t>
  </si>
  <si>
    <t xml:space="preserve">हडपसर शाळा क्र. ३२ येथे सिव्हिल विषयक कामे करणे. </t>
  </si>
  <si>
    <t>हडपसर गाव शिंपी आळी येथे अंडर ग्राऊंड केबल टाकणे.</t>
  </si>
  <si>
    <t>ससाणे नगर गल्ली क्र. ८-९ मध्ये पेव्हिंग ब्लॉक बसवणे.</t>
  </si>
  <si>
    <t>हडपसर गाव कॅनॉलवर संरक्षक लोखंडी जाळी बसवणे.</t>
  </si>
  <si>
    <t xml:space="preserve">वैदुवाडी पेट्रोल पंप फुटपाथ तयार करणे. </t>
  </si>
  <si>
    <t>म्हसोबा मंदिर येथे लेंडी नाल्यावर रिटेनिंग वॉल बांधणे</t>
  </si>
  <si>
    <t>माळवाडी मगरपटटा पुला जवळील ओढया लगत रिटेनिंग वॉल बांधणे</t>
  </si>
  <si>
    <t>अमरसृष्टी येथे कॅनॉललगत संरक्षक जाळी बसविणे</t>
  </si>
  <si>
    <t>पत्रा चाळ येथे कॉंक्रीट करणे व पाय-या बसविणे</t>
  </si>
  <si>
    <t>इंद्रप्रस्थ आकाशवाणी परीसरात डांबरीकरण करणे</t>
  </si>
  <si>
    <t>१५ नं परीसरात कॉंक्रीट करणे</t>
  </si>
  <si>
    <t>पत्रा चाळ माळवाडी येथे अंतर्गत ड्रेनेज लार्इन टाकणे</t>
  </si>
  <si>
    <t>जिजामाता वसाहत येथे ड्रेनेज लार्इन टाकणे</t>
  </si>
  <si>
    <t>सर्व्हे नं. २६१/१,२,३ कै. आप्पासाहेब बडदे उद्यानाला जाणारा रस्ता कॉँक्रिट रोड करणे.</t>
  </si>
  <si>
    <t>सर्व्हे नं. १३ व १८ मध्ये ड्रेनेज लाईन टाकणे.</t>
  </si>
  <si>
    <t xml:space="preserve">वेताळ वसाहत येथे धोकादायक पोल काढणे. </t>
  </si>
  <si>
    <t xml:space="preserve">स.नं. ९४ मध्ये पिण्याची पाण्याची लाइन टाकणे </t>
  </si>
  <si>
    <t xml:space="preserve">कृष्णानगर येथे भूमिगत केबल टाकणे </t>
  </si>
  <si>
    <t xml:space="preserve">ससाणेवस्ती येथे भूमिगत केबल टाकणे </t>
  </si>
  <si>
    <t xml:space="preserve">जाधवमळा येथे भूमिगत केबल टाकणे </t>
  </si>
  <si>
    <t xml:space="preserve">सय्यद नगर ५ अ येथे रस्ता करणे </t>
  </si>
  <si>
    <t xml:space="preserve">सय्यद नगर ४ अ येथे रस्ता करणे </t>
  </si>
  <si>
    <t xml:space="preserve">स.नं.५० काळेपडळ येथे रस्ता कॉक्रिटीकरण व ब्लॉक बसविणे </t>
  </si>
  <si>
    <t>भिमनगर परिसरात गल्लीबोळ काँक्रिट व ड्रेनेज करणे</t>
  </si>
  <si>
    <t>भिमनगर परिसरात पाण्याच्या मोटार व होतपंपांची दुरूस्ती व आवश्यकतेनुसार नविन लाईन बसविणे</t>
  </si>
  <si>
    <t>भारत फोर्ज व रेल्वे लाईन बाजूच्या रस्त्यावर पेव्हींग ब्लॉक बसविणे</t>
  </si>
  <si>
    <t>कृष्णाई नगर परिसरात ब्लॉक काँक्रिटची कामे करणे</t>
  </si>
  <si>
    <t>पंचशील नगर येथे विविध ठिकाणी पथदिप खांब उभारणे</t>
  </si>
  <si>
    <t>पंचशील नगर येथे विविध ठिकाणी ड्रेनेज लाईन बदलणे व चेंबर्स बांधणे</t>
  </si>
  <si>
    <t>प्रभागातील सार्वजनिक शौचालय व परिसरात लाईट व्यवस्था करणे</t>
  </si>
  <si>
    <t>प्रकाश कॉम्प्लेक्स येथे काँक्रिटीकरण करणे</t>
  </si>
  <si>
    <t>ढोले वस्ती व घोरपडी परिसरात काँक्रिटीकरण करणे</t>
  </si>
  <si>
    <t>स.नं.११० रामटेकडी येथे पाण्याची १, १.५, १ इंची लाईन टाकणे</t>
  </si>
  <si>
    <t>स.नं.११० रामटेकडी येथे ड्रेनेज लाईन टाकणे व चेंबर दुरूस्ती करणे</t>
  </si>
  <si>
    <t>स.नं.११०, रामटेकडी येथे सुलभ शौचालय दुरूस्ती करणे</t>
  </si>
  <si>
    <t>स.नं.११०, रामटेकडी येथे गल्लीबोळ काँक्रिट करणे</t>
  </si>
  <si>
    <t>स.नं.११०, रामटेकडी येथे डांबरीकरण करणे</t>
  </si>
  <si>
    <t>होले वस्ती या ठिकाणी साईड पट्टी सिमेंट काँक्रिट करणे</t>
  </si>
  <si>
    <t>वानवडी ख्रिश्चन दफनभूमीमध्ये सुधारणा कामे करणे</t>
  </si>
  <si>
    <t>सार्वजनिक शौचालय वानवडी परिसरातील सुलभ शौचालय व मुतारी दुरूस्त करणे</t>
  </si>
  <si>
    <t>वानवडी गावठाण मध्ये गल्ली बोळ सिमेंट काँक्रिट करणे</t>
  </si>
  <si>
    <t>स.नं.५२/२ ,५३/३ , काळुबाई मंदिर ते दत मंदिर  रस्ता डांबरीकरण करणे</t>
  </si>
  <si>
    <t>एन आय बी एम परिसरात फुटपाथ दुरूस्ती करणे</t>
  </si>
  <si>
    <t>शिंदे छत्री शौचालय व दुरूस्ती करणे</t>
  </si>
  <si>
    <t>केदारीनगर गल्ली क्र.११ डांबरीकरण करणे</t>
  </si>
  <si>
    <t>स.नं.५७ आझादनगर येथे गल्ली काँक्रिट करणे</t>
  </si>
  <si>
    <t>एस आर पी एफ ग्रुप २ मध्ये पोलीस वसाहत येथे डांबरीकरण करणे</t>
  </si>
  <si>
    <t>बोराडेनगर बौद्ध विहार समोर ड्रेनेज लाईन टाकणे</t>
  </si>
  <si>
    <t>बोराडेनगर बौद्ध विहार समोर एल ई डी लाईट पोल टाकणे</t>
  </si>
  <si>
    <t>शांतीनगर गल्ली क्र.२/५/१० काँक्रिटीकरण करणे</t>
  </si>
  <si>
    <t>कोंढवा बु. मधील गावठाण परिसरातील रस्ते काँक्रिटीकरण करणे</t>
  </si>
  <si>
    <t>कोंढवा बु. मधील स्वामी विवेकानंद उानामध्ये प्रकाश व्यवस्था करणे</t>
  </si>
  <si>
    <t>कोंढवा बु. मधील साईनगर परिसरातील रस्ते काँक्रिटीकरण करणे</t>
  </si>
  <si>
    <t>कोंढवा बु. मधील गोकुळनगर परिसरातील रस्ते काँक्रिटीकरण करणे</t>
  </si>
  <si>
    <t>लक्ष्मीनगर परिसरामधील एल ई डी दिवे बसविणे</t>
  </si>
  <si>
    <t>गोकुळनगर महागणेश कॉलनी मधील अंतर्गत रस्ते कॉक्रिटकरण करणे</t>
  </si>
  <si>
    <t>गोकुळनगर परिसरात एलईडी बसवुन प्रकाश व्यवस्था करणे</t>
  </si>
  <si>
    <t>टिळेकरनगर लेन.१ ते १० मधील पथदिव्याची जुन्या फिटींग बदलुन एलईडी बसविणे.</t>
  </si>
  <si>
    <t>काकडे वस्ती लेन ६ मध्ये विविध ठिकाणी अंतर्गत ड्रेनेज लाईन टाकणे</t>
  </si>
  <si>
    <t>अशरफनगरमधील अंतर्गत गल्लीबोळात ड्रेनेज लाईन टाकणे</t>
  </si>
  <si>
    <t>कोंढवा बु. मधील विविध ठिकाणचे चेंबर समपातळीत उचलणे</t>
  </si>
  <si>
    <t>कोंढवा बु. परिसरातील विविध ठिकाणची ड्रेनेज लाईन साफसफाई करणे</t>
  </si>
  <si>
    <t>कोंढवा बु. गावठाण मध्ये विविध गल्लीबोळ काँक्रिट करणे</t>
  </si>
  <si>
    <t>स.नं.४२ नुर मस्जिद समोर ड्रेनेज लाईन टाकणे</t>
  </si>
  <si>
    <t>मिठानगर येथे ड्रेनेज लाईन साफसफाई करणे</t>
  </si>
  <si>
    <t>शिवनेरीनगर गल्ली नं.३ गल्लीबोळ काँक्रिट करणे</t>
  </si>
  <si>
    <t>भाग्योदयनगर येथे रस्ते दुरूस्त करणे</t>
  </si>
  <si>
    <t>भागयोदयनगर प्रकाश व्यवस्था करणे</t>
  </si>
  <si>
    <t>राजपार्क भाग्योदयनगर येथे ड्रेनेज लाईन दुरूस्त करणे</t>
  </si>
  <si>
    <t>मिठानगर परिसरात विविध ठिकाणी काँक्रिटचे रस्ते करणे</t>
  </si>
  <si>
    <t>चौका चौकात मोठे मिनी हायमास्ट दिवे लावणे</t>
  </si>
  <si>
    <t>स.नं.३५४ राम मंदीर परिसरातील गल्ली बोळातील रस्ते काँक्रिटीकरण करणे</t>
  </si>
  <si>
    <t>स.नं.३५४, राममंदीर येथे मोठ्या व्यासाची ड्रेनेज लाईन टाकणे</t>
  </si>
  <si>
    <t>शिवनेरीनगर गल्ली क्र.४ येथे रस्ते डांबरीकरण करणे</t>
  </si>
  <si>
    <t>मारूती आळी येथे स्ट्रीट लाईट बसविणे</t>
  </si>
  <si>
    <t>सुर्यकांत लोणकर व्यायाम शाळा येथे विविध विकासाची कामे करणे</t>
  </si>
  <si>
    <t>मारूती आळी येथील रस्ते काँक्रिटीकरण करणे</t>
  </si>
  <si>
    <t>भवानी चाळ, गल्ली नं.९ येथे अंतर्गत रस्ते काँक्रिटीकरण करणे</t>
  </si>
  <si>
    <t>ग.नं.१२, शिवनेरीनगर येथे अंतर्गत रस्ते डांबरीकरण करणे</t>
  </si>
  <si>
    <t>भाग्योदयनगर येथे रस्ते डांबरीकरण करणे</t>
  </si>
  <si>
    <t>धांडेकर वस्ती येथील गल्ली बोळामध्ये क्रॉक्रिट रस्ते करणे.</t>
  </si>
  <si>
    <t>पोहा कंपनी कडे जाणा०या रस्त्यावरती प्रकाश दिवे बसवुन प्रकाश व्यवस्था करणे</t>
  </si>
  <si>
    <t>गावातील सार्वजनिक तालमीत किरकोळ दुरूस्ती व व्यायामाचे सामान उपलब्ध करून ावे</t>
  </si>
  <si>
    <t>येवलेवाडी गावातील तालमी समोरील उमाजी नाईक पुतळ्या समोर हायमास्क दिवा बसवावा</t>
  </si>
  <si>
    <t>मिनु मेहता हौसिंग सोसायटी येथील सोसायटी अंतर्गत रस्ता काँक्रिट करणेत यावा</t>
  </si>
  <si>
    <t>येवलेवाडी येथे विविध ठिकाणी ड्रेनेज लाईन टाकणेत याव्यात</t>
  </si>
  <si>
    <t>खंडोबा नगर मध्ये विविध गल्ल्यांमध्ये ड्रेनेज लाईन टाकणे</t>
  </si>
  <si>
    <t>पानसरे वस्ती येथील गल्ली क्र.१ व २ मधील अंतर्गत रस्ते काँक्रिट करणे</t>
  </si>
  <si>
    <t>पानसरे वस्ती येथील गल्ल्यामध्ये पथदिवे बसवुन प्रकाश व्यवस्था करणे</t>
  </si>
  <si>
    <t>गावातील मंदिरांना रंगकाम व विुत व्यवस्था करणेत यावी</t>
  </si>
  <si>
    <t>ग्रामपंचायत ऑफिस (कोठी मनपा) येथील परिसर सुशोभिकरण करणे</t>
  </si>
  <si>
    <t>पाटील वस्ती येथे ड्रेनेज लाईन टाकणे (भापकर गल्ली ते रटिर मंजिल पर्यंत)</t>
  </si>
  <si>
    <t>भिमनगर परिसरात रस्त्यावर व कॅनोलवर संरक्षक जाळी बसविणे</t>
  </si>
  <si>
    <t>भारत फोर्ज समोरील उानात पाण्याची सोय करणे (टाकी बांधणे)</t>
  </si>
  <si>
    <t>कल्याणी स्टील समोर उान शेजारी मुतारी बांधणे</t>
  </si>
  <si>
    <t>बालाजीनगर शौचालयाच्या बाजूला कचरा टाकुन परिसर घाण झाला आहे परिसरात संरक्षक भिंत व फिनिशींग करणे</t>
  </si>
  <si>
    <t>स.नं.२८ व २६ जांभूळकर मळा येथे नवीन निर्माण होत असलेल्या उानास पश्चिम बाजुस गेट तयार करून मिळणेबाबत</t>
  </si>
  <si>
    <t>वानवडी गाव अपंग शाळेमागील बाजूस फुटपाथ करणे</t>
  </si>
  <si>
    <t>एन आय बी एम परिसरात थर्मोप्लास्टीक पेंट मारणे</t>
  </si>
  <si>
    <t>साळुंखे विहार परिसरात साईन बोर्ड बसविणे</t>
  </si>
  <si>
    <t>सह्याद्री पार्क परिसरात थर्मोप्लास्टीक पेंट व कॅटस आय बसविणे</t>
  </si>
  <si>
    <t>कोंढवा बु. गावठाण परिसरामध्ये पेव्हींग ब्लॉक बसविणे</t>
  </si>
  <si>
    <t>सार्वजनिक शौचालयामध्ये प्रकाश व्यवस्था करणे (ट्रीपल मध्ये)</t>
  </si>
  <si>
    <t>महादजी शिंदे शाळा येथील शौचालय दुरूस्ती करणे</t>
  </si>
  <si>
    <t>प्रभाग क्र. ४१ मध्ये बी टी कवडे रस्ता व परिसरात डांबरीकरण करणे</t>
  </si>
  <si>
    <t>प्रभाग क्र.४१ मध्ये भिमनगर व परिसरात काँक्रिट रस्ते करणे</t>
  </si>
  <si>
    <t>प्रभाग क्र.४१ मधील रस्ते विकसीत करणे</t>
  </si>
  <si>
    <t>प्रभाग क्र.४१ मधील शाळा, दवाखाने व समाज मंदिरांची कामे करणे</t>
  </si>
  <si>
    <t>प्रभाग क्र.४१ मधील सार्वजनिक शौचालयांची कामे करणे</t>
  </si>
  <si>
    <t>प्रभाग क्र.४१ मधील सार्वजनिक शौचालयांची दुरूस्ती विषयक कामे करणे</t>
  </si>
  <si>
    <t>प्रभाग क्र.४१ मध्ये ड्रेनेज लाईन टाकणे व काँक्रिट करणे</t>
  </si>
  <si>
    <t>प्रभाग क्र.४१ मध्ये भिमनगर व विविध ठिकाणी पकाश व्यवस्थेत सुधारणा करणे.</t>
  </si>
  <si>
    <t>प्रभाग क्र.४१  मध्ये  विविध ठिकाणी पकाश व्यवस्थेत सुधारणा करणे.</t>
  </si>
  <si>
    <t>प्रभाग क्र.४१ मधील शाळा, दवाखाने , शौचालय व समाज मंदिरामध्ये वायरिग विषयक कामे करणे.</t>
  </si>
  <si>
    <t>प्रभाग क्र.४१  मध्ये विविध विदयुत दुरुस्ती विषयक कामे करणे.</t>
  </si>
  <si>
    <t>प्रभाग क्र.४१ मध्ये बालाजीनगर व विविध ठिकाणी पकाश व्यवस्थेत सुधारणा करणे.</t>
  </si>
  <si>
    <t>प्रभाग क्र.४१ मध्ये   विकासनगर व विविध ठिकाणी पकाश व्यवस्थेत सुधारणा करणे.</t>
  </si>
  <si>
    <t>प्रभाग क्र.४१ मध्ये   पंचशीलनगर  व विविध ठिकाणी पकाश व्यवस्थेत सुधारणा करणे.</t>
  </si>
  <si>
    <t>प्रभाग क्र.४१ मधील सोपान बाग, उदय बाग येथे डांबरीकरण करणे</t>
  </si>
  <si>
    <t>प्रभाग क्र.४१ मधील भिमनगर, मिलिंदनगर, साई पार्क व इतर ठिकाणी ड्रेनेज लाईन टाकणे व काँक्रिट करणे</t>
  </si>
  <si>
    <t>प्रभाग क्र.४१ इंडिया पार्क, आदर्श पार्क, ब्रम्हा बाग व इतर ठिकाणी ड्रेनेज लाईन टाकणे व तदनुषंगीक कामे करणे</t>
  </si>
  <si>
    <t>प्रभाग क्र.४६ मध्ये वानवडी व परिसरातील राडारोडा उचलणे</t>
  </si>
  <si>
    <t>प्रभाग क्र.४६ मध्ये रामटेकडी व परिसरातील राडारोडा उचलणे</t>
  </si>
  <si>
    <t>प्रभाग क्र.४६ मध्ये वानवडी परिसरामध्ये विविध ठिकाणी काँक्रिटीकरण करणे</t>
  </si>
  <si>
    <t>प्रभाग क्र.४६ मध्ये विविध ठिकाणी रस्ते डांबरीकरण करणे</t>
  </si>
  <si>
    <t>प्रभाग क्र.४६ मध्ये एस आर पी एफ मधील रस्ते डांबरीकरण करणे</t>
  </si>
  <si>
    <t>प्रभाग क्र.४६ मध्ये एस आर पी एफ मधील विविध ठिकाणी काँक्रिटीकरण करणे</t>
  </si>
  <si>
    <t>प्रभाग क्र.४६ वानवडी मध्ये स्मशानभूमी येथे विकासाची कामे करणे</t>
  </si>
  <si>
    <t>प्रभाग क्र.४६ वानवडी मध्ये मुस्लिम व ख्रिश्चन दफनभूमी येथे विकासाची कामे करणे</t>
  </si>
  <si>
    <t>प्रभाग क्र.४६ रामटेकडी मध्ये स्मशानभूमी येथे विकासाची कामे करणे</t>
  </si>
  <si>
    <t>प्रभाग क्र.४६ रामटेकडी मध्ये मुस्लिम व ख्रिश्चन दफनभूमी येथे विकासाची कामे करणे</t>
  </si>
  <si>
    <t>प्रभाग क्र.४६ वानवडी परिसरातील मनपा शाळा, दवाखाने दुरूस्ती विषयक कामे करणे</t>
  </si>
  <si>
    <t>प्रभाग क्र.४६ रामटेकडी परिसरातील शौचालय दुरूस्तीची कामे करणे</t>
  </si>
  <si>
    <t>प्रभाग क्र.४६ वानवडी परिसरातील मुतारी व शौचालय दुरूस्तीची कामे करणे</t>
  </si>
  <si>
    <t>प्रभाग क्र.४६ रामटेकडी परिसरातील ड्रेनेज लाईन दुरूस्तीची कामे करणे</t>
  </si>
  <si>
    <t>प्रभाग क्र.४६ रामटेकडी स.नं.१०८,१०९ मध्ये ड्रेनेज लाईन टाकणे</t>
  </si>
  <si>
    <t>प्रभाग क्र.४६ वानवडी परिसरातील ड्रेनेज लाईन दुरूस्तीची कामे करणे</t>
  </si>
  <si>
    <t>प्रभाग क्र.४६ वानवडी परिसरात विविध ठिकाणी ड्रेनेज लाईन टाकणे</t>
  </si>
  <si>
    <t>प्रभाग क्र.४६ वानवडी परिसरातील ड्रेनेज लाईन व काँक्रिट करणे</t>
  </si>
  <si>
    <t>प्रभाग क्र.४६ वानवडी गावात व परिसरात ड्रेनेज लाईन टाकणे व काँक्रिट करणे</t>
  </si>
  <si>
    <t>प्रभाग क्र. ४६ रामटेकडी परिसरात व  विविध ठिकाणी प्रकाश व्यवस्थेत सुधारणा करणे.</t>
  </si>
  <si>
    <t>प्रभाग क्र. ४६ मधील सोनार गल्ली व  विविध ठिकाणी प्रकाश व्यवस्थेत सुधारणा करणे.</t>
  </si>
  <si>
    <t>प्रभाग क्र. ४६ मधील शांतीनगर  व  विविध ठिकाणी प्रकाश व्यवस्थेत सुधारणा करणे.</t>
  </si>
  <si>
    <t>प्रभाग क्र. ४६ मधील आण्णाभाऊ साठेनगर व  विविध ठिकाणी प्रकाश व्यवस्थेत सुधारणा करणे.</t>
  </si>
  <si>
    <t>प्रभाग क्र. ४६ मधील रामटेकडी इंडस्ट्रीअल एरिया व  विविध ठिकाणी प्रकाश व्यवस्थेत सुधारणा करणे.</t>
  </si>
  <si>
    <t>प्रभाग क्र. ४६ मधील वानवडी गावात व  विविध ठिकाणी प्रकाश व्यवस्थेत सुधारणा करणे.</t>
  </si>
  <si>
    <t>प्रभाग क्र. ४६ मधील शाळा, दवाखाने, शौचालय व  समाजमंदिरा मध्ये विदयुत विषयक कामे करणे.</t>
  </si>
  <si>
    <t>प्रभाग क्र. ४६ मधील जांभुळकर नगर , होले वस्ती  व  विविध ठिकाणी प्रकाश व्यवस्थेत सुधारणा करणे.</t>
  </si>
  <si>
    <t>प्रभाग क्र.४६ मध्ये विविध विदयुत दुरुस्ती विषयक कामे करणे.</t>
  </si>
  <si>
    <t>प्रभाग क्र. ४६ मधील वानवडी स्मशानभुमी  व विविध ठिकाणी प्रकाश व्यवस्थेत सुधारणा करणे.</t>
  </si>
  <si>
    <t>प्रभाग क्र.६१ एन आय बी एम साळुंखे विहार लिंक रस्ता फुटपाथ करणे</t>
  </si>
  <si>
    <t>प्रभाग क्र.६१ जांभुळकर चौक येथे रस्ते विकसीत करणे</t>
  </si>
  <si>
    <t>प्रभाग क्र.६१ केदारीनगर येथे रस्ते विकसीत करणे</t>
  </si>
  <si>
    <t>प्रभाग क्र.६१ मधील शाळा, दवाखाने व समाज मंदिरांची कामे करणे</t>
  </si>
  <si>
    <t>प्रभाग क्र.६१ मध्ये भवन व शौचालय दुरूस्ती विषयक कामे करणे</t>
  </si>
  <si>
    <t>प्रभाग क्र.६१ मधील सार्वजनिक शौचालयांची कामे करणे</t>
  </si>
  <si>
    <t>प्रभाग क्र.६१ एन आय बी एम परिसरामध्ये ड्रेनेज लाईन टाकणे</t>
  </si>
  <si>
    <t>प्रभाग क्र.६१ केदारीनगर, आझादनगर, शांतीनगर येथे ड्रेनेज लाईन दुरूस्ती व साफसफाई करणे</t>
  </si>
  <si>
    <t>प्रभाग क्र. ६१ मधील सिध्दार्थनगर व  विविध ठिकाणी प्रकाश व्यवस्थेत सुधारणा करणे.</t>
  </si>
  <si>
    <t>प्रभाग क्र. ६१ मधील लोणकर वस्ती व  विविध ठिकाणी प्रकाश व्यवस्थेत सुधारणा करणे.</t>
  </si>
  <si>
    <t>प्रभाग क्र. ६१ मधील एन आय बी एम रस्ता व  विविध ठिकाणी प्रकाश व्यवस्थेत सुधारणा करणे.</t>
  </si>
  <si>
    <t>प्रभाग क्र.६१ मध्ये विविध विदयुत दुरुस्ती विषयक कामे करणे.</t>
  </si>
  <si>
    <t>प्रभाग क्र.६१ मधील शाळा, दवाखाने, शौचालय व  समाजमंदिरा मध्ये विदयुत विषयक कामे करणे.</t>
  </si>
  <si>
    <t>प्रभाग क्र. ६१ मधील शांतीनगर व  विविध ठिकाणी प्रकाश व्यवस्थेत सुधारणा करणे.</t>
  </si>
  <si>
    <t>प्रभाग क्र. ६१ मधील केदारीनगर व  विविध ठिकाणी प्रकाश व्यवस्थेत सुधारणा करणे.</t>
  </si>
  <si>
    <t>प्रभाग क्र. ६१ मधील आझादनगर व  विविध ठिकाणी प्रकाश व्यवस्थेत सुधारणा करणे.</t>
  </si>
  <si>
    <t>प्रभाग क्र. ६१ मधील विकासनगर व  विविध ठिकाणी प्रकाश व्यवस्थेत सुधारणा करणे.</t>
  </si>
  <si>
    <t>प्रभाग क्र.६१ साळुंखे विहार परिसरात रस्ते विकसीत करणे</t>
  </si>
  <si>
    <t>प्रभाग क्र.६१ केदारीनगर येथे रस्ते डांबरीकरण करणे</t>
  </si>
  <si>
    <t>प्रभाग क्र.६२  कोंढवा बु. काकडेवस्ती, गोकुळनगर, साईनगर परिसरातील रस्ते काँक्रिटीकरण करणे</t>
  </si>
  <si>
    <t>प्रभाग क्र.६२  कोंढवा बु. गावठाण, लक्ष्मीनगर, काकडे वस्ती, गोकुळनगर, साईनगर परिसरातील रस्ते डांबरीकरण करणे</t>
  </si>
  <si>
    <t>प्रभाग क्र.६२ कोंढवा बु. येथे विविध ठिकाणी राडारोडा उचलणे/मुरुम पुरविणे</t>
  </si>
  <si>
    <t>प्रभाग क्र.६२  मध्ये कोंढवा बु. व कोंढवा खुर्द मधील स्मशानभुमी व दशक्रिया विधी येथे विविध विकास कामे करणे</t>
  </si>
  <si>
    <t>प्रभाग क्र.६२ मनपा शाळा क्र.१७४ बी  व १९५ जी येथे विविध सुधारणा कामे करणे</t>
  </si>
  <si>
    <t>प्रभाग क्र.६२  कोंढवा बु. येथील  गोकुळनगर,साईनगर,  टिळेकरनगर परिसरातील नागरीकांसाठी गणेश विसर्जन हौदाच्या सोईसुविधा उपलब्ध करणे</t>
  </si>
  <si>
    <t>प्रभाग क्र.६२  कोंढवा बु. मधील सार्वजनिक शौचालय/मुतार्‍यांची देखभाल व दुरूस्तीची कामे करणे</t>
  </si>
  <si>
    <t>प्रभाग क्र.६२  कोंढवा बु. विविध ठिकाणी पावसाळी लाईन/ड्रेनेज लाईन साफसफाई व दुरूस्ती करणे</t>
  </si>
  <si>
    <t>प्रभाग क्र.६२  कोंढवा बु. गावठाण परिसर, गोकुळनगर, साईनगर,  लक्ष्मीनगर, आंबेडकरनगर येथे विविध ठिकाणी ड्रेनेज लाईन टाकणे व काँक्रिटीकरण करणे</t>
  </si>
  <si>
    <t>प्रभाग क्र.६२  कोंढवा बु.  गावठाण परिसर, लक्ष्मीनगर, काकडेवस्ती, शिवशंभोनगर, गोकुळनगर, साईनगर परिसरातील ड्रेनेज लाईन साफसफाई व दुरूस्ती करणे</t>
  </si>
  <si>
    <t>प्रभाग क्र.६२  कोंढवा बु. विविध ठिकाणी  ड्रेनेज लाईन साफसफाई देखभाल व दुरूस्ती कामे करणे</t>
  </si>
  <si>
    <t>प्रभाग क्र.६२  कोंढवा बु. आंबेडकरनगर, श्रद्धानगर,अशरफनगर परिसरामध्ये ड्रेनेज लाईन टाकणे व काँक्रिटीकरण करणे</t>
  </si>
  <si>
    <t>प्रभाग क्र.६२ कोंढवा बु. येथे विविध ठिकाणी जुन्या जीर्ण  ड्रेनेज लाईन बदलणे व काँक्रिटीकरण करणे</t>
  </si>
  <si>
    <t>प्रभाग क्र.६२  कोंढवा बु. गावठाण व  विविध ठिकाणी प्रकाश व्यवस्थेत सुधारणा करणे.</t>
  </si>
  <si>
    <t>प्रभाग क्र.६२ मधील  लक्ष्मीनगर व  विविध ठिकाणी प्रकाश व्यवस्थेत सुधारणा करणे.</t>
  </si>
  <si>
    <t>प्रभाग क्र.६२ मधील  काकडेवस्ती  व  विविध ठिकाणी प्रकाश व्यवस्थेत सुधारणा करणे.</t>
  </si>
  <si>
    <t>प्रभाग क्र.६२ मधील  गोकुळनगर  व  विविध ठिकाणी प्रकाश व्यवस्थेत सुधारणा करणे.</t>
  </si>
  <si>
    <t>प्रभाग क्र.६२ मधील  साईनगर  व  विविध ठिकाणी प्रकाश व्यवस्थेत सुधारणा करणे.</t>
  </si>
  <si>
    <t>प्रभाग क्र.६२ मध्ये विविध विदयुत दुरुस्ती विषयक कामे करणे.</t>
  </si>
  <si>
    <t>प्रभाग क्र.६२ मधील  हगवणेनगर व  विविध ठिकाणी प्रकाश व्यवस्थेत सुधारणा करणे.</t>
  </si>
  <si>
    <t>प्रभाग क्र.६२ मधील  टिळेकरनगर व  विविध ठिकाणी प्रकाश व्यवस्थेत सुधारणा करणे.</t>
  </si>
  <si>
    <t>प्रभाग क्र.६२ मधील आंबेडकरनगर  व  विविध ठिकाणी प्रकाश व्यवस्थेत सुधारणा करणे.</t>
  </si>
  <si>
    <t>प्रभाग क्र.६२ मधील शिंवशंभोनगर  व  विविध ठिकाणी प्रकाश व्यवस्थेत सुधारणा करणे.</t>
  </si>
  <si>
    <t>प्रभाग क्र.६२ मधील  अशरफनगर व  विविध ठिकाणी प्रकाश व्यवस्थेत सुधारणा करणे.</t>
  </si>
  <si>
    <t>प्रभाग क्र.६३ मिठानगर येथील रस्ते विकसीत करणे</t>
  </si>
  <si>
    <t>प्रभाग क्र.६३ शिवनेरीनगर येथील रस्ते विकसीत करणे</t>
  </si>
  <si>
    <t>प्रभाग क्र.६३ भाग्योदयनगर येथे रस्ते डांबरीकरण करणे</t>
  </si>
  <si>
    <t>प्रभाग क्र.६३ मधील शाळा, दवाखाने व समाज मंदिरांची कामे करणे</t>
  </si>
  <si>
    <t>प्रभाग क्र.६३ मधील सार्वजनिक शौचालयांची कामे करणे</t>
  </si>
  <si>
    <t>प्रभाग क्र.६३ मिठानगर येथे ड्रेनेज लाईन टाकणे</t>
  </si>
  <si>
    <t>प्रभाग क्र.६३ शिवनेरीनगर येथे ड्रेनेज लाईन टाकणे</t>
  </si>
  <si>
    <t>प्रभाग क्र.६३ ड्रेनेज लाईन साफसफाई विषयक कामे करणे</t>
  </si>
  <si>
    <t>प्रभाग क्र.६३ ड्रेनेज लाईन दुरूस्ती व साफसफाई करणे</t>
  </si>
  <si>
    <t>प्रभाग क्र. ६३ मधील साईबाबानगर व  विविध ठिकाणी प्रकाश व्यवस्थेत सुधारणा करणे.</t>
  </si>
  <si>
    <t>प्रभाग क्र. ६३ मधील  मिठानगर व  विविध ठिकाणी प्रकाश व्यवस्थेत सुधारणा करणे.</t>
  </si>
  <si>
    <t>प्रभाग क्र. ६३ मधील भाग्योदयनगर व  विविध ठिकाणी प्रकाश व्यवस्थेत सुधारणा करणे.</t>
  </si>
  <si>
    <t>प्रभाग क्र.६३ मध्ये विविध विदयुत दुरुस्ती विषयक कामे करणे.</t>
  </si>
  <si>
    <t>प्रभाग क्र.६३ मधील शाळा, दवाखाने, शौचालय व  समाजमंदिरा मध्ये विदयुत विषयक कामे करणे.</t>
  </si>
  <si>
    <t>प्रभाग क्र. ६३ मधील कोंढवा गावठाण  व  विविध ठिकाणी प्रकाश व्यवस्थेत सुधारणा करणे.</t>
  </si>
  <si>
    <t>प्रभाग क्र. ६३ मधील लुल्लानगर  व  विविध ठिकाणी प्रकाश व्यवस्थेत सुधारणा करणे.</t>
  </si>
  <si>
    <t>प्रभाग क्र. ६३ मधील समतानगर , सहानी सुजान पार्क व  विविध ठिकाणी प्रकाश व्यवस्थेत सुधारणा करणे.</t>
  </si>
  <si>
    <t>प्रभाग क्र.६३ मध्ये भाग्योदयनगर येथे रस्ते विकसीत करणे</t>
  </si>
  <si>
    <t>प्रभाग क्र.६३ युनिटी पार्क परिसरात रस्ते विकसीत करणे</t>
  </si>
  <si>
    <t>येवलेवाडी येथे खंडोबानगर परिसरातील रस्ते काँक्रिटीकरण  करणे</t>
  </si>
  <si>
    <t>येवलेवाडी येथे भराडेवस्ती, पाटीलवस्ती परिसरातील गल्ली बोळ/रस्ते काँक्रिटीकरण करणे</t>
  </si>
  <si>
    <t>येवलेवाडी पानसरेवस्ती  परिसरातील रस्ते विकसित करणे</t>
  </si>
  <si>
    <t>येवलेवाडी गावठाण व परिसरातील अंतर्गत गल्ली बोळ/रस्ते काँक्रिटीकरण करणे</t>
  </si>
  <si>
    <t>येवलेवाडी परिसरात विविध ठिकाणी राडारोडा उचलणे/मुरुम पुरविणे</t>
  </si>
  <si>
    <t>येवलेवाडीमध्ये म न पा शाळेचे पत्रे बदलणे व देखभाल  दुरूस्तीची कामे करणे</t>
  </si>
  <si>
    <t>येवलेवाडी येथील स्मशानभुमी व दशक्रिया विधी ठिकाणी विविध विकास कामे करणे</t>
  </si>
  <si>
    <t>येवलेवाडी येथील मुस्लिम दफनभुमी या ठिकाणी  विविध विकास कामे करणे</t>
  </si>
  <si>
    <t>येवलेवाडीमध्ये मनपा शाळा व सार्वजनिक शौचालयाची देखभाल दुरूस्तीची कामे करणे</t>
  </si>
  <si>
    <t>येवलेवाडी परिसरात विविध ठिकाणी ड्रेनेज लाईन साफसफाई व देखभाल दुरूस्ती कामे करणे</t>
  </si>
  <si>
    <t>येवलेवाडी परिसरात पावसाळी/ड्रेनेज लाईन साफसफाई व दुरूस्ती करणे</t>
  </si>
  <si>
    <t>येवलेवाडी येथे खंडोबानगर परिसरातील ड्रेनेज लाईन टाकणे व काँक्रिटीकरण करणे</t>
  </si>
  <si>
    <t>येवलेवाडी येथे धांडेकरनगर परिसरात विविध ठिकाणी  ड्रेनेज लाईन टाकणे व काँक्रिटीकरण करणे</t>
  </si>
  <si>
    <t>येवलेवाडी  येथे गावठान परिसरात विविध ठिकाणी जुन्या जीर्ण  ड्रेनेज लाईन बदलणे व काँक्रिटीकरण करणे</t>
  </si>
  <si>
    <t>येवलेवाडी येथे धांडेकरनगर व विविध ठिकाणी  प्रकाश व्यवस्थेत सुधारणा करणे.</t>
  </si>
  <si>
    <t>येवलेवाडी येथे कामठेवस्ती  व विविध ठिकाणी  प्रकाश व्यवस्थेत सुधारणा करणे.</t>
  </si>
  <si>
    <t>येवलेवाडी येथे काळुबाईमंदिर परिसर  व विविध ठिकाणी  प्रकाश व्यवस्थेत सुधारणा करणे.</t>
  </si>
  <si>
    <t>येवलेवाडी  येथे गावठान परिसरात विविध ठिकाणी प्रकाश व्यवस्थेत सुधारणा करणे.</t>
  </si>
  <si>
    <t>येवलेवाडी ते टिळेकरनगर रस्त्यावरील  व विविध ठिकाणी  प्रकाश व्यवस्थेत सुधारणा करणे.</t>
  </si>
  <si>
    <t>येवलेवाडी येथे भराडे वस्ती  व विविध ठिकाणी  प्रकाश व्यवस्थेत सुधारणा करणे.</t>
  </si>
  <si>
    <t>प्रभाग क्र.४१ मधील निगडेनगर व परिसरात सिमेंट काँक्रिट करणे</t>
  </si>
  <si>
    <t>प्रभाग क्र.४६ मध्ये वानवडी येथे नवीन फुटपाथ करणे व दुरूस्ती करणे</t>
  </si>
  <si>
    <t>प्रभाग क्र.६१ जांभुळकर चौक परिसर येथे विविध ठिकाणी ब्लॉक बसविणे</t>
  </si>
  <si>
    <t>प्रभाग क्र.६२  कोंढवा बु. येथील मनपा मालकीच्या जागेवर आरोग्य कोठी बांधणे</t>
  </si>
  <si>
    <t>प्रभाग क्र ६९ ब, मध्ये स.नं.७, साईदत्तनगर लेन नं.२, भागामध्ये क्रॉक्रिटीकरण करणे</t>
  </si>
  <si>
    <t>प्रभाग क्र ६९ ब, मध्ये स.नं.३,मध्ये रस्ता युटीडब्ल्युटी क्रॉक्रिटीकरण करणे</t>
  </si>
  <si>
    <t>प्रभाग क्र ६९ अ, मधील धनकवडी भागात विविध ठिकाणी विुत विषयक कामे करणे</t>
  </si>
  <si>
    <t>प्रभाग क्र ६९ ब, मध्ये स.नं.७, साईदत्तनगर भागामध्ये ड्रेनेज लाईन विषयक कामे करणे</t>
  </si>
  <si>
    <t>प्रभाग क्र ६९ अ, मधील धनकवडी गावठाण व व आंबेगाव पठार भागात चॅम्पीयन मशीनने ड्रेनेज विषयक कामे करणे</t>
  </si>
  <si>
    <t>प्रभाग क्र ६९ अ, मधील धनकवडी भागात चॅम्पीयन मशीनने ड्रेनेज लाईन साफ करणे</t>
  </si>
  <si>
    <t>प्रभाग क्र ७३, मधील बालाजीनगर परिसरामध्ये काशिनाथ पाटीलनगर, पुण्याईनगर,पवार हॉस्पिटल, तुळजाभवानी मंदिर येथील गल्लीबोळ क्रॉक्रिट करणे व तद्‌नुषंगिक कामे करणे</t>
  </si>
  <si>
    <t>प्रभाग क्र ७३, मधील बालाजीनगर परिसरामध्ये दुर्गामाता मंदिर, निवारा सोसायटी, प्रेमानंद सोसायटी येथील गल्लीबोळ क्रॉक्रिटीकरण करणे व तद्‌नुषंगिक कामे करणे</t>
  </si>
  <si>
    <t>प्रभाग क्र ७३, मधील बालाजीनगर परिसरामधील रजनी कॉर्नर, जिेजामाता चौक परिसरामध्ये फरशी बसविणे व क्रॉक्रिटीकरण करणे</t>
  </si>
  <si>
    <t>प्रभाग क्र ७३, मधील बालाजीनगर परिसरामध्ये थर्मोप्लॅस्टिक पेंट, कॅटस आय बसविणे</t>
  </si>
  <si>
    <t>प्रभाग क्र ७३, मधील बालाजीनगर परिसरामध्ये शिवप्रताप चौक, गुलमोहर अपार्टमेन्ट परिसरामध्ये व विविध ठिकाणी ब्लॉक बसविणे</t>
  </si>
  <si>
    <t>प्रभाग क्र ७३, मधील बालाजीनगर परिसरामध्ये पवार हॉस्टिपल, एलोरा पॅलेस, काशिनाथ पाटीलनगर परिसरामध्ये फरशी बसविणे व  ब्लॉक बसविणे</t>
  </si>
  <si>
    <t>प्रभाग क्र ७३, मधील बालाजीनगर परिसरामध्ये काशिनाथ पाटीलनगर, पुण्याईनगर, पवार हॉस्टिपल, तुळजाभवानी मंदिर येथे विुत विषयक कामे करणे</t>
  </si>
  <si>
    <t>प्रभाग क्र ७३, मधील बालाजीनगर परिसरामध्ये दुर्गामाता मंदिर येथे विुत विषयक कामे करणे  व तद्‌नुषंगिक कामे करणे</t>
  </si>
  <si>
    <t>प्रभाग क्र ७३, मधील बालाजीनगर परिसरामध्ये निवारा सोसायटी, प्रेमांनद सोसायटी येथे विुत विषयक कामे करणे  व तद्‌नुषंगिक कामे करणे</t>
  </si>
  <si>
    <t>प्रभाग क्र ७३, मधील बालाजीनगर परिसरामध्ये काशिनाथ पाटीलनगर, पुण्याईनगर,पवार हॉस्पिटल, तुळजाभवानी मंदिर येथील गल्लीबोळात ड्रेनेज लाईन टाकणे व तद्‌नुषंगिक कामे करणे</t>
  </si>
  <si>
    <t>प्रभाग क्र ७३, मधील बालाजीनगर परिसरामध्ये दुर्गामाता मंदिर,  येथील गल्लीबोळात ड्रेनेज लाईन टाकणे व तद्‌नुषंगिक कामे करणे</t>
  </si>
  <si>
    <t>प्रभाग क्र ७३, मधील बालाजीनगर परिसरामध्ये  निवारा सोसायटी, प्रेमानंद सोसायटी येथे  ड्रेनेज लाईन टाकणे व तद्‌नुषंगिक कामे करणे</t>
  </si>
  <si>
    <t>प्रभाग क्र ७४ अ, मध्ये विविध ठिकाणी साईडपटटी व गल्लीबोळ क्रॉक्रिटीकरण करणे</t>
  </si>
  <si>
    <t>प्रभाग क्र ७४ अ, मध्ये विुत विषयक कामे करणे</t>
  </si>
  <si>
    <t>प्रभाग क्र ७४ अ, मधील पुणे मनपाच्या मालकीच्या दवाखाना, विविध कोठया व इमारतीमध्ये विविध विकास कामे करणे</t>
  </si>
  <si>
    <t>प्रभाग क्र ७४ अ, मध्ये गणपती विसर्जन व्यवस्थेची कामे करणे</t>
  </si>
  <si>
    <t>प्रभाग क्र ७४ अ, मधील विविध ठिकाणी पावसाळी लाईन विषयक कामे करणे</t>
  </si>
  <si>
    <t>प्रभाग क्र ७४ अ, मधील विविध ठिकाणी ड्रेनेज लाईन विषयक कामे करणे</t>
  </si>
  <si>
    <t>प्रभाग क्र ७४ अ, मधील नाला साफसफाई, दुरूस्ती व इतर तद्‌नुषगिक कामे करणे</t>
  </si>
  <si>
    <t>प्रभाग क्र ७४ अ, मधील ड्रेनेज लाईन्स्‌ चॅम्पियन मशीनच्या सहायाने साफ करणे</t>
  </si>
  <si>
    <t>प्रभाग क्र ७५ ब, मध्ये नविन धनकवडी प्रशासकीय इमारतीमध्ये दुरध्वनी, ईटरनेट व विुत विषयक कामे करणे</t>
  </si>
  <si>
    <t>प्रभाग क्र ७५ ब, मध्ये संतोषनगर, दत्तनगर भारती विापीठ, आंबेगाव परिसरामध्ये विुत विषयक कामे करणे</t>
  </si>
  <si>
    <t>प्रभाग क्र ७५ अ, मधील प्राथमिक आरोग्य केंद्रासाठी विविध उर्वरित कामे करणे</t>
  </si>
  <si>
    <t>प्रभाग क्र ७५ अ, मधील मनपाच्या विविध कोठयामध्ये विकास कामे करणे</t>
  </si>
  <si>
    <t>प्रभाग क्र ७५ अ, मधील विविध  ठिकाणी ड्रेनेज लाईन टाकणे</t>
  </si>
  <si>
    <t>प्रभाग क्र ७५ ब, मध्ये ड्रेनेज विषयक कामे करणे</t>
  </si>
  <si>
    <t>प्रभाग क्र ७५ ब, मध्ये पावसाळी लाईन विषयक कामे करणे</t>
  </si>
  <si>
    <t>प्रभाग क्र ७६ ब, कात्रज जकात नाक्यासमोरील साईडपटटी क्रॉक्रिट करणे</t>
  </si>
  <si>
    <t>प्रभाग क्र ७६ ब, राजस सोसायटी परिसरात डांबरीकरण करणे</t>
  </si>
  <si>
    <t>प्रभाग क्र ७६ अ, मध्ये विविध ठिकाणी स्ट्रीट लाईट पोल व एलईडी दिवे उभारणे</t>
  </si>
  <si>
    <t>प्रभाग क्र ७६ अ, मधील निंबाळकर वस्ती व जाधवनगर परिसरात विुत विषयक कामे करणे</t>
  </si>
  <si>
    <t>प्रभाग क्र ७६ ब, कै. कृष्णाजी बळवंत मोरे विदयालयात विविध सुधारणा कामे करणे</t>
  </si>
  <si>
    <t>प्रभाग क्र ७६ ब, कात्रज गावठाण परिसरात विविध ठिकाणी ड्रेनेज लाईन टाकणे</t>
  </si>
  <si>
    <t>प्रभाग क्र ६९ अ, मधील स.नं.३५ भागात रस्ते क्रॉक्रिट करणे</t>
  </si>
  <si>
    <t>प्रभाग क्र ६९ अ, मधील धनकवडी गावठाण परिसरात रस्ते क्रॉक्रिट करणे</t>
  </si>
  <si>
    <t>प्रभाग क्र ६९ अ, मधील तानाजीनगर परिसरात रस्ते क्रॉक्रिट करणे</t>
  </si>
  <si>
    <t>प्रभाग क्र ६९ अ, मधील स.नं.३६ भागात रस्ते क्रॉक्रिट करणे</t>
  </si>
  <si>
    <t>प्रभाग क्र ६९ ब, मध्ये स.नं.८, तळजाईनगर गल्ली नं.३, क्रॉक्रिटीकरण करणे</t>
  </si>
  <si>
    <t>प्रभाग क्र ६९ अ, मधील धनकवडी भागात विविध ठिकाणी पावसाळी लाईनची कामे करणे</t>
  </si>
  <si>
    <t>प्रभाग क्र ६९ ब, मध्ये स.नं.७, साईदत्तनगर भागामध्ये क्रॉक्रिटीकरण करणे</t>
  </si>
  <si>
    <t>प्रभाग क्र ६९, मधील धनकवडी स्मशानभुमीलगत गणेश विसर्जन हौद बांधणे</t>
  </si>
  <si>
    <t>प्रभाग क्र ६९ ब, मध्ये स.नं.३, मध्ये ड्रेनेज लाईन टाकणे</t>
  </si>
  <si>
    <t>प्रभाग क्र ७३, मध्ये कॉम्पॅक्टर चासी खरेदी करणे</t>
  </si>
  <si>
    <t>प्रभाग क्र ७३, मध्ये कॉम्पॅक्टरची बांधणी करणे</t>
  </si>
  <si>
    <t>प्रभाग क्र ७४ ब, मधील राजमुद्रा सोसायटी येथील रस्ते क्रॉक्रिटीकरण करणे</t>
  </si>
  <si>
    <t>प्रभाग क्र ७४ ब, मधील नवरंग सोसायटी येथील रस्ते क्रॉक्रिटीकरण करणे</t>
  </si>
  <si>
    <t>प्रभाग क्र ७४ ब, मधील राजमुद्रा सोसायटी येथील विविध ठिकाणचे रस्ते क्रॉक्रिटीकरण करणे</t>
  </si>
  <si>
    <t>प्रभाग क्र ७४ ब, मधील लोकनेते शरदचंद्रजी पवार बहुउददेशीय भवन येथे विविध विकास कामे करणे</t>
  </si>
  <si>
    <t>प्रभाग क्र ७५ अ, मधील  साईनगर, दत्तनगर व विविध ठिकाणचे रस्ते डांबरीकरण करणे</t>
  </si>
  <si>
    <t>प्रभाग क्र ७५ अ, मधील आंबेगाव पठार, वृंदावन  कॉलनी येथे रस्ते डांबरीकरण करणे</t>
  </si>
  <si>
    <t>प्रभाग क्र ७५ ब,  मध्ये संतोषनगर, दत्तनगर  परिसरामध्ये विविध रस्ते विकसित करणे</t>
  </si>
  <si>
    <t>प्रभाग क्र ७५ ब, मध्ये आंबेगाव पठार,  भारती विापीठ परिसरामध्ये विविध रस्ते विकसित करणे</t>
  </si>
  <si>
    <t>प्रभाग क्र ७५ अ, मधील विविध  ठिकाणी विुत  पोल टाकणे</t>
  </si>
  <si>
    <t>प्रभाग क्र ७६ अ, मधील भारतनगर व दत्तनगर परिसरात क्रॉक्रिटीकरण करणे</t>
  </si>
  <si>
    <t>प्रभाग क्र ७६ अ, मधील शेलारमळा, गुजर वस्ती येथे रस्ते विकसित करणे</t>
  </si>
  <si>
    <t>प्रभाग क्र ७६ अ, मधील सुखसागरनगर  व चिंतामणी हॉटेल परिसरामध्ये रस्ते विकसित करणे</t>
  </si>
  <si>
    <t>प्रभाग क्र ७६ अ, मधील वाघजाईनगर व विश्व जीम परिसरामध्ये रस्ते विकसित करणे</t>
  </si>
  <si>
    <t>प्रभाग क्र ७६ ब, कात्रज नविन वसाहत परिसरात क्रॉक्रिटीकरण करणे</t>
  </si>
  <si>
    <t>प्रभाग क्र ७६ ब, येथे गणपती विसर्जन हौद बांधणे</t>
  </si>
  <si>
    <t>प्रभाग क्र ७६, मध्ये कॉम्पॅक्टर चासी खरेदी करणे</t>
  </si>
  <si>
    <t>प्रभाग क्र ७६, मध्ये कॉम्पॅक्टरची बांधणी करणे</t>
  </si>
  <si>
    <t>प्रभाग क्र ६९ अ, मधील वनराई कॉलनी परिसरातील रस्ता क्रॉक्रिट करणे</t>
  </si>
  <si>
    <t>प्रभाग क्र ६९ अ, मधील तळजाई ग्रीन सोसायटी परिसरातील रस्ते क्रॉक्रिट करणे</t>
  </si>
  <si>
    <t>प्रभाग क्र ६९ अ, मधील केशव कॉम्पलेक्स परिसरातील रस्ता करणे</t>
  </si>
  <si>
    <t>प्रभाग क्र ६९ अ, मधील भोकसनेनगर परिसरातील रस्ते तयार करणे</t>
  </si>
  <si>
    <t>प्रभाग क्र ६९ अ, मधील मॉर्डन सोसायटी परिसरातील रस्ते तयार करणे</t>
  </si>
  <si>
    <t>प्रभाग क्र ६९ अ, मधील धनकवडी गावठाण परिसरात विुत व्यवस्था करणे</t>
  </si>
  <si>
    <t>प्रभाग क्र ६९ ब, मधील तळजाई पठार भागातील झाडाच्या फांदया, कचरा, राडारोडा ट्रक्टरने उचलणे</t>
  </si>
  <si>
    <t>प्रभाग क्र ६९ ब, मधील गिरीजाशंकर, मुक्तानंद पद्‌मछाया, निर्मल पार्क भागातील झाडाच्या फांदया, कचरा, राडारोडा ट्रक्टरने उचलणे</t>
  </si>
  <si>
    <t>प्रभाग क्र ७३ अ, मधील हरी विठठल अपार्ट, वक्रतुंड अपार्ट, गजवक्र अपार्ट, मागील बोळामध्ये क्रॉक्रिटीकरण करणे</t>
  </si>
  <si>
    <t>प्रभाग क्र ७३ अ, मधील वंक्रतुड अपार्ट, काशिनाथ पाटिलनगर येथील गल्ल्यामध्ये क्राक्रिटीकरण करून शहाबाद फरशी बसविणे</t>
  </si>
  <si>
    <t>प्रभाग क्र ७३ अ, मधील पुण्याईनगर मस्जिद समोरील परिसरातील गल्लीमध्ये क्राक्रिटीकरण करणे फरशी बसविणे</t>
  </si>
  <si>
    <t>प्रभाग क्र ७३ ब, मधील  बालाजीनगर येथील मनपाच्या पाण्याची टाकी ते अष्ट विनायक गणेश मंदिर, स.नं.२३/७, मुख्य रस्ता श्रीहरी सोसायटी, येथे सीसीटीव्ही कॅमेरा बसविणे व उभारणे</t>
  </si>
  <si>
    <t>प्रभाग क्र ७३ अ, मधील हरी विठठल अपार्ट, वक्रतुंड अपार्ट, गजवक्र अपार्ट, येथील रस्त्यावर एलईडी पथदिवे बसविणे</t>
  </si>
  <si>
    <t>प्रभाग क्र ७३ ब, मधील प्रेमानंद सोसायटी बालाजीनगर येथील श्री बिराडे निवास पासून श्री मोरे श्री पाटील श्री ढेकाणे यांच्या घरापासून मुख्य ड्रेनेज लाईनला जोडणे</t>
  </si>
  <si>
    <t>प्रभाग क्र ७३ ब, मधील बालाजीनगर परिसरात विविध ठिकाणी रोड ब्रेकर तसेच पांढरे पटटे मारणे</t>
  </si>
  <si>
    <t>प्रभाग क्र ७३ अ, मधील ताई कॉम्पलेक्स, गंगा गोदावरी, अपार्टमेन्टच्या मागील बोळामध्ये ड्रेनेज लाईन टाकणे</t>
  </si>
  <si>
    <t>प्रभाग क्र ७३ अ, मधील प्रितम अपार्ट व इतर गल्लीमध्ये ड्रेनेज लाईन टाकणे</t>
  </si>
  <si>
    <t>प्रभाग क्र ७३ ब, मधील किर्लोस्कर ऑईल इंजिन एम्प्लॉयिज हौसिग सोसायटी, श्रीधरनगर, धनकवडी, येथे सांडपाणी लाईन टाकणे</t>
  </si>
  <si>
    <t>प्रभाग क्र ७३ ब, मधील स.नं.२३/३, बालाजीनगर महादेव पवार यांच्या घरापासून श्री काळभारे यांच्या घरापर्यत ड्रेनेज लाईन व चेबर बनविणे</t>
  </si>
  <si>
    <t>प्रभाग क्र ७३ अ, मधील हरी विठठल अपार्ट, वक्रतुंड अपार्ट, गजवक्र अपार्ट, मागील बोळामध्ये ड्रेनेज लाईन टाकणे</t>
  </si>
  <si>
    <t>प्रभाग क्र ७३ ब, मधील  स.नं.२५, गुरूदत्त सोसायटी, येथील श्री दानवले यांचे घरापासून श्रीमती पोटे यांचे घरापर्यत ड्रेनेज लाईन टाकून फरशी बसविणे</t>
  </si>
  <si>
    <t>प्रभाग क्र ७४ अ, मधील नवरंग सोसायटी मधील गल्लीमध्ये क्रॉक्रिटीकरण करणे</t>
  </si>
  <si>
    <t>प्रभाग क्र ७४ अ, मधील स.नं.३४  मध्ये रस्त्याच्या कडेला साईडपटटी क्रॉक्रिट करणे</t>
  </si>
  <si>
    <t>प्रभाग क्र ७४ अ, मधील डॉ. पतंगराव कदमनक्षर येथील गल्लीबोळामध्ये क्रॉक्रिट व शहाबादी फरशी बसविणे</t>
  </si>
  <si>
    <t>प्रभाग क्र ७४ ब, मध्ये मुख्य व अंतर्गत रस्त्यावर वाहतुक विषयक कामे करणे व तद्‌नुषंगिक कामे करणे</t>
  </si>
  <si>
    <t>प्रभाग क्र ७४ अ, मधील डॉ. पी.के.नगर व स.नं.३४ मध्ये पथ दिप उभारणे व प्रकाश व्यवस्था करणे</t>
  </si>
  <si>
    <t>प्रभाग क्र ७४ ब, मध्ये स.नं.२८,२९,३१,३२,३३, व ३४ मध्ये विविध ठिकाणी विुत विषयक कामे करणे व तद्‌नुषंगिक कामे करणे</t>
  </si>
  <si>
    <t>प्रभाग क्र ७४ ब, मधील विविध ठिकाणी ड्रेनेज लाईन टाकणे  व तद्‌नुषंगिक कामे करणे</t>
  </si>
  <si>
    <t>प्रभाग क्र ७५ अ, मधील स.नं.६७, श्री गणेश भंडारी यांच्या घराशेजारील रस्ता क्रॉक्रिट करणे</t>
  </si>
  <si>
    <t>प्रभाग क्र ७५ अ, मधील स.नं.४१, दत्तनगर येथील श्री नाना जगताप यांच्या घरासमोरील रस्ता क्रॉक्रिट करणे</t>
  </si>
  <si>
    <t>प्रभाग क्र ७५ अ, मधील स.नं.४५, दत्तनगर टेल्को कॉलनी येथील श्री अनंता चव्हाण यांच्या घरासमोरील रस्ता क्रॉक्रिट करणे</t>
  </si>
  <si>
    <t>प्रभाग क्र ७५ अ, मधील स.नं.६७, मंदिशीजवळ संतोषनगर मधील सौ. बिल्कीस सय्यद यांच्या घरासमोरील रस्ता क्रॉक्रिट करणे</t>
  </si>
  <si>
    <t>प्रभाग क्र ७५ अ, मधील स.नं.७०, सहयाद्रीनगर अपार्टमेन्ट येथील रस्ता क्रॉक्रिट करणे</t>
  </si>
  <si>
    <t>प्रभाग क्र ७५ ब, मधील वंडरसिटी कात्रज परिसरात फुटपाथ व साईडपटटया तयार करणे</t>
  </si>
  <si>
    <t>प्रभाग क्र ७५ ब, मधील कदम प्लाझा, ऋषिकेश, नॅन्सीलेक सोसायटी परिसरात एलईडी दिवे बसविणे</t>
  </si>
  <si>
    <t>प्रभाग क्र ७५ ब, मधील सावंत विहार ते माणिक मोती परिसरात एलईडी दिवे बसविणे</t>
  </si>
  <si>
    <t>प्रभाग क्र ७५ ब, मधील प्रकाश किरण ते नारायणीधाम परिसरात एलईडी दिवे बसविणे</t>
  </si>
  <si>
    <t>प्रभाग क्र ७५ ब, मधील विघ्नहर्ता कॉलनी परिसरात विुत दिवे बसविणे</t>
  </si>
  <si>
    <t>प्रभाग क्र ७६ अ, मधील सुखसागरनगर गल्ली क्र ८ येथे क्रॉकिटीकरण करणे</t>
  </si>
  <si>
    <t>प्रभाग क्र ७६ अ, मधील सुखसागरनगर भाग-१, येथे क्रॉकिटीकरण करणे</t>
  </si>
  <si>
    <t>प्रभाग क्र ७६ अ, मधील आंबामाता मंदिर ते डाके चौकापर्यतच्या गल्ली डांबरीकरण करणे</t>
  </si>
  <si>
    <t>प्रभाग क्र ७६ ब, मधील भारतीनगर परिसरातील गल्ली बोळात रस्ते क्रॉक्रिट करणे</t>
  </si>
  <si>
    <t>प्रभाग क्र ७६ ब, मधील कात्रज नविन वसाहत येथील मुख्य रस्ता डांबरीकरण करणे</t>
  </si>
  <si>
    <t>प्रभाग क्र ७६ ब, मधील गुजरवाडी फाटा, जाधवनगर  येथील मुख्य रस्ता क्रॉक्रिट करणे</t>
  </si>
  <si>
    <t>प्रभाग क्र ७६ अ, मधील सुखसागरनगर येथे ओव्हरहेड विुत लाईन भुमिगत करणे व पथदिप खांब उभे करणे</t>
  </si>
  <si>
    <t>प्रभाग क्र ७६ ब, मधील कात्रज पीएमपीएमएल  येथील सुलभ शौचालय दुरूस्त करणे</t>
  </si>
  <si>
    <t>प्रभाग क्र ७६ ब, मधील भारतीनगर परिसरातील गल्ली बोळात ड्रेनेज लाईन टाकणे</t>
  </si>
  <si>
    <t>प्रभाग क्र ७६ अ, सुखसागरनगर भाग-१, येथे पाण्याची जुनी झालेली लाईन बदलून नविन लाईन मोठया व्यासाची टाकणे</t>
  </si>
  <si>
    <t>प्रभाग क्र ६९ ब, मधील तळजाई पठार भागामध्ये आरोग्य कोठी बांधणे</t>
  </si>
  <si>
    <t>प्रभाग क्र ६९ ब, मधील तळजाई पठार भागामध्ये  अंगणवाडी बांधणे</t>
  </si>
  <si>
    <t>प्रभाग क्र ६९ ब, मधील विणकर सोसायटी समोर पीएमटी बसस्टॉप तयार करणे</t>
  </si>
  <si>
    <t>प्रभाग क्र ६९ ब, मधील गिरीजाशंकर, झांबरे येथे गार्डन तयार करणे</t>
  </si>
  <si>
    <t>प्रभाग क्र ६९ ब, मधील तळजाई पठार येथे पीएमटी बसस्टॉप शेजारी पास केंद्र तयार करणे</t>
  </si>
  <si>
    <t>प्रभाग क्र ६९ ब, मधील मुक्तांनद सोसायटी मध्ये महिला बचत गट हॉल बांधणे</t>
  </si>
  <si>
    <t>प्रभाग क्र ७३ ब, मधील स.नं.२३/१, प्रेमानंद सोसायटी, बालाजीनगर येथे सिलकोट करणे, बे्रकर्स, नामफलक बसविणे</t>
  </si>
  <si>
    <t>प्रभाग क्र ७३ ब, मधील स.नं.२३/१, प्रेमानंद सोसायटी, बालाजीनगर येथे विुत खांब बसविणे</t>
  </si>
  <si>
    <t>प्रभाग क्र ७३ ब, मधील बालाजीनगर कपिला हॉटेलपासून ते गुरदत्त सोसायटी तसेच प्रेमानंद सोसायटी, वृदावन, नयनतारा सोसायटी इत्यादी नामफलक बोर्ड लावणे</t>
  </si>
  <si>
    <t>प्रभाग क्र ७४ ब, मधील विविध ठिकाणी लोखडी फेन्सींग करणे व तद्‌नुषंगिक कामे करणे</t>
  </si>
  <si>
    <t>प्रभाग क्र ७४ ब, मधील विविध ठिकाणी सी.सी.टी.व्ही कॅमेरे बसविणे व तद्‌नुषंगिक कामे करणे</t>
  </si>
  <si>
    <t>प्रभाग क्र ७४ ब, मधील स्व. विलासराव तांबे, आरोग्य दवाखाना येथे कॉम्प्युटर घेणे व तद्‌नुषंगिक कामे करणे</t>
  </si>
  <si>
    <t>प्रभाग क्र ७४ अ, मधील झाडांना कटटे बांधणे व माती पुरविणे</t>
  </si>
  <si>
    <t>प्रभाग क्र ७५अ, मध्ये गणेश विसर्जन हौद बांधणे</t>
  </si>
  <si>
    <t>प्रभाग क्र ७५ब, मध्ये गणेश विसर्जन हौद बांधणे</t>
  </si>
  <si>
    <t>प्रभाग क्र ७६ ब, मधील कात्रज पीएमपीएमएल  येथील सुलभ शौचालय येथे प्रकाश व्यवस्था करणे</t>
  </si>
  <si>
    <t>प्रभाग क्र ७६ ब, मधील कात्रज गावठाण पीएमपीएमएल  शेजारील जागेत नविन बसस्टॉप बांधणे</t>
  </si>
  <si>
    <t xml:space="preserve">प्रभाग क्र.६४ अ मध्ये न्यु ईरा सोसायटी येथिल विद्युत केबल भूमिगत करणे </t>
  </si>
  <si>
    <t xml:space="preserve">प्रभाग क्र.६४ अ मध्ये एकोपा सोसा. येथे विद्युत केबल भूमिगत करणे  </t>
  </si>
  <si>
    <t>प्रभाग क्र.६४ अ मध्ये न्यु ईरा बुऱ्हाणी कॉलनी परिसरात फुटपाथ विषयक कामे करणे</t>
  </si>
  <si>
    <t>प्रभाग क्र.६४ अ मध्ये तालाब बंगला परीसारातील रस्ता डांबरीकरण करणे</t>
  </si>
  <si>
    <t>प्रभाग क्र.६४ अ मध्ये सहानी सुजान पार्क परिसरातील रस्ता डांबरीकरण करणे</t>
  </si>
  <si>
    <t>प्रभाग क्र.६४ अ मध्ये गेरा ग्रॅड व वृंदावन सोसायटी रस्ता डांबरीकरण करणे</t>
  </si>
  <si>
    <t xml:space="preserve">प्रभाग क्र.६४ अ मध्ये संदेशनगर मनपा शाळा क्र.१०५/६६ येथील गेट दुरुस्तीविषयक कामे करणे </t>
  </si>
  <si>
    <t xml:space="preserve">प्रभाग क्र.६४ अ मध्ये संदेश्नगर मनपा शाळा येथील वर्गाखोल्यामध्ये लाकडी बेंचेस पुरविणे </t>
  </si>
  <si>
    <t>प्रभाग क्र.६४ अ मध्ये न्यु ईरा, बुऱ्हाणी कॉलनी, चंद्रकांत गॅरेज परिसरात फुटपाथ विषयक कामे करणे</t>
  </si>
  <si>
    <t>प्रभाग क्र.६४ अ मध्ये धनुधारी सोसायटी ते हाईड पार्क सोसा. येथे ड्रेनेज लाईन टाकणे</t>
  </si>
  <si>
    <t xml:space="preserve">प्रभाग क्र.६४ अ मध्ये एकता उद्यान ते आम्रपाली सोसा. येथील रस्ता डांबरीकरण करणे </t>
  </si>
  <si>
    <t>प्रभाग क्र. ६४ अ मधील शाळेमधील वातानुकुलीत यंत्रणेची देखभाल व दुरुस्तीची कामे करणे</t>
  </si>
  <si>
    <t>प्रभाग क्र. ६४ ब मधील शौचालय व समाज मंदिर येथे विद्युत विषयक कामे करणे</t>
  </si>
  <si>
    <t>प्रभाग क्र. ६४ ब येथे डायसप्लॉट येथे ड्रेनेज लाईन टाकणे</t>
  </si>
  <si>
    <t xml:space="preserve">प्रभाग क्र. ६४ ब येथे विविध ठिकाणी पावसाळी लाईन टाकणे </t>
  </si>
  <si>
    <t xml:space="preserve">प्रभाग क्र. ६४ ब येथे विविध ठिकाणी कॉंक्रीट करणे </t>
  </si>
  <si>
    <t>प्रभाग क्र. ६४ ब येथेस सॅलीसबरी पार्क येथे पेव्हिंग ब्लाक ची कामे करणे</t>
  </si>
  <si>
    <t xml:space="preserve">प्रभाग क्र. ७० अ मध्ये बिबवेवाडी परिसरात पावसाळी लाईन टाकणे </t>
  </si>
  <si>
    <t xml:space="preserve">प्रभाग क्र. ७० अ मध्ये बिबवेवाडी परिसरात ड्रेनेज लाईन टाकणे </t>
  </si>
  <si>
    <t>प्रभाग क्र. ७० अ मध्ये लोअर ईदिरानगर परिसरात ड्रेनेज लाईन बदलणे</t>
  </si>
  <si>
    <t xml:space="preserve">प्रभाग क्र. ७० अ मध्ये प्रसाद बिबवेनगर परिसरात रस्ते कॉन्क्रीट करणे  </t>
  </si>
  <si>
    <t xml:space="preserve">प्रभाग क्र. ७० अ मधील बिबवेवाडी परिसरातील  रस्ते कॉन्क्रीट करणे  </t>
  </si>
  <si>
    <t xml:space="preserve">प्रभाग क्र. ७० मध्ये विविध ठिकाणचा राडारोडा उचलणे </t>
  </si>
  <si>
    <t xml:space="preserve">प्रभाग क्र. ७० अ परिसरात ट्रफिक विषयक कामे करणे  </t>
  </si>
  <si>
    <t xml:space="preserve">प्रभाग क्र. ७० अ मध्ये नाल्यास फेन्सिंग करणे </t>
  </si>
  <si>
    <t>प्रभाग क्र. ७० अ मधील मनपाच्या शाळांमध्ये व दवाखान्यामध्ये विद्युत विषयक कामे करणे</t>
  </si>
  <si>
    <t>प्रभाग क्र. ७० ब मध्ये संत एकनाथ भाग १ व २ परिसरात पावसाळी लाईन टाकणे</t>
  </si>
  <si>
    <t>प्रभाग क्र. ७० ब मध्ये शिवशंकर व नीलकमल सोसा. परिसरात ड्रेनेज लाईन बदलणे</t>
  </si>
  <si>
    <t xml:space="preserve">प्रभाग क्र. ७० ब मध्ये प्रसाद बिबवेनगर परिसरात रस्ते कॉन्क्रीट करणे  </t>
  </si>
  <si>
    <t xml:space="preserve">प्रभाग क्र. ७० ब परिसरातील ट्रफिक विषयक कामे करणे  </t>
  </si>
  <si>
    <t>प्रभाग क्र. ७० ब मधील शौचालय समाजमंदिर येथील विद्युत विषयक कामे करणे</t>
  </si>
  <si>
    <t>प्रभाग क्र. ७१ अ विविध ठिकाणी पेव्हर ब्लॉक बसविणे</t>
  </si>
  <si>
    <t xml:space="preserve">प्रभाग क्र. ७१ अ विविध ठिकाणी रस्ते कॉन्क्रीट करणे  </t>
  </si>
  <si>
    <t xml:space="preserve">प्रभाग क्र. ७१ अ ट्रॅफीक विषयक कामे करणे </t>
  </si>
  <si>
    <t xml:space="preserve">प्रभाग क्र. ७१ अ बिबवेवाडी ओटा येथे कॉंक्रीट करणे </t>
  </si>
  <si>
    <t xml:space="preserve">प्रभाग क्र. ७१ अ मध्ये पथ दिवे देखभाल दुरुस्तीची कामे करणे </t>
  </si>
  <si>
    <t xml:space="preserve">प्रभाग क्र. ७१ ब विविध ठिकाणी पेव्हर ब्लॉक बसविणे </t>
  </si>
  <si>
    <t xml:space="preserve">प्रभाग क्र. ७१ ब बिबवेवाडी ओटा येथे कॉंक्रीट करणे </t>
  </si>
  <si>
    <t xml:space="preserve">प्रभाग क्र. ७१ ब विविध ठिकाणी ट्रॅफीक विषयक कामे करणे </t>
  </si>
  <si>
    <t>प्रभाग क्र. ७१ ब विविध ठिकाणी कॉंक्रीट करणे</t>
  </si>
  <si>
    <t xml:space="preserve">प्रभाग क्र. ७१ ब मध्ये बिबवेवाडी ओटा परिसर येथे विद्युत विषयक कामे करणे </t>
  </si>
  <si>
    <t>प्रभाग क्र. ७२ अ २७६ ओटा येथे अंतर्गत गल्ल्यांमध्ये कॉन्क्रीटीकरण करणे</t>
  </si>
  <si>
    <t xml:space="preserve">प्रभाग क्र. ७२ अ सरगम चाळ येथे रस्ते ट्रीमिक्स कॉन्क्रीट करणे  </t>
  </si>
  <si>
    <t>प्रभाग क्र. ७२ अ सुप्पर येथे ड्रेनेज लाईन टाकणे व कॉन्क्रीटीकरण करणे</t>
  </si>
  <si>
    <t>प्रभाग क्र. ७२ अ अण्णाभाऊसाठे नगर ड्रेनेज लाईन टाकणे व कॉन्क्रीट करणे</t>
  </si>
  <si>
    <t>प्रभाग क्र. ७२ अ समर्थनगर, पोकळेवस्ती येथे ड्रेनेज लाईन टाकणे व कॉन्क्रीट करणे</t>
  </si>
  <si>
    <t xml:space="preserve">प्रभाग क्र. ७२ अ मधील एम ए सी बी केबल भूमिगत करणे </t>
  </si>
  <si>
    <t xml:space="preserve">प्रभाग क्र. ७२ ब शिवतेजनगर येथे ट्रीमिक्स कॉन्क्रीट करणे. </t>
  </si>
  <si>
    <t xml:space="preserve">प्रभाग क्र. ७२ ब शिवतेजनगर येथे रस्ते कॉन्क्रीट करणे </t>
  </si>
  <si>
    <t>प्रभाग क्र. ७२ ब २७६ ओटा येथे ड्रेनेज लाईन टाकणे व कॉन्क्रीटीकरण करणे</t>
  </si>
  <si>
    <t>प्रभाग क्र. ७२ ब खडकेवस्ती येथे ड्रेनेज लाईन टाकणे व कॉन्क्रीटीकरण करणे</t>
  </si>
  <si>
    <t xml:space="preserve">प्रभाग क्र. ७२ ब मधील पथ दिवे देखभाल दुरुस्ती विषयक कामे करणे </t>
  </si>
  <si>
    <t>प्रभाग क्र. ६४ अ मधील पितळेनगर येथील फ्लॉवर बेड मधील दिव्यांची कामे करणे</t>
  </si>
  <si>
    <t>प्रभाग क्र.६४ अ मध्ये विविध ठिकाणची ड्रेनेज लाईन चेंबर्सची कामे करणे</t>
  </si>
  <si>
    <t>प्रभाग क्र. ६४ ब शाळेमध्ये विद्युत विषयक कामे करणे</t>
  </si>
  <si>
    <t>प्रभाग क्र. ६४ ब मध्ये ढोले मळा येथे ड्रेनेज लाईन टाकणे</t>
  </si>
  <si>
    <t>प्रभाग क्र. ६४ ब मध्ये ढोले मळा येथे कॉंक्रीट करणे</t>
  </si>
  <si>
    <t>प्रभाग क्र. ६४ ब कॅनल रोड येथे कॉंक्रीट करणे</t>
  </si>
  <si>
    <t>प्रभाग क्र. ६४ ब विविध ठिकाणी चेंबर बदलणे व तद्नुषगिक कामे करणे</t>
  </si>
  <si>
    <t>प्रभाग क्र. ७० अ मधील क्रीडा संकुलामधील देखभाल व दुरुस्तीची कामे करणे</t>
  </si>
  <si>
    <t xml:space="preserve">प्रभाग क्र. ७० अ मधील सार्वजनीक शौचालय बांधणे व तदनुषंगिक कामे करणे </t>
  </si>
  <si>
    <t xml:space="preserve">प्रभाग क्र. ७० अ मधील फुटपाथ बनविणे व तदनुषंगिक कामे करणे  </t>
  </si>
  <si>
    <t xml:space="preserve">प्रभाग क्र. ७० अ मधील चेंबर बांधणे व तदनुषंगिक कामे करणे </t>
  </si>
  <si>
    <t xml:space="preserve">प्रभाग क्र. ७० ब मधील सार्वजनीक शौचालय बांधणे व तदनुषंगिक कामे करणे </t>
  </si>
  <si>
    <t xml:space="preserve">प्रभाग क्र. ७० ब मधील फुटपाथ बनविणे व तदनुषंगिक कामे करणे  </t>
  </si>
  <si>
    <t xml:space="preserve">प्रभाग क्र. ७० ब मधील चेंबर बांधणे व तदनुषंगिक कामे करणे </t>
  </si>
  <si>
    <t xml:space="preserve">प्रभाग क्र. ७० अ मध्ये बाबू गेनू शाळेतील दुरुस्ती व विकास कामे करणे </t>
  </si>
  <si>
    <t xml:space="preserve">प्रभाग क्र. ७० ब मध्ये सीताराम बिबवे शाळा व परिसरातील शाळांमध्ये दुरुस्ती व विकास कामे करणे </t>
  </si>
  <si>
    <t xml:space="preserve">प्रभाग क्र. ७० ब मधील बाबू गेनू शाळा येथे विद्युत विषयक कामे करणे </t>
  </si>
  <si>
    <t>प्रभाग क्र. ७१ अ बिबवेवाडी कोंढवा रोड येथे पेव्हिंग ब्लॉक बसविणे</t>
  </si>
  <si>
    <t xml:space="preserve">प्रभाग क्र. ७१ अ प्रेमनगर येथे रस्ते कॉन्क्रीट करणे  </t>
  </si>
  <si>
    <t xml:space="preserve">प्रभाग क्र. ७१ अ प्रेमनगर येथे ड्रेनेज लाईन टाकणे </t>
  </si>
  <si>
    <t xml:space="preserve">प्रभाग क्र. ७१ अ आंबेडकरनगर येथे ड्रेनेज लाईन आणि कॉन्क्रीट करणे  </t>
  </si>
  <si>
    <t>प्रभाग क्र.७१ अ मधील समाज मंदिर व शौचालय येथे विद्युत विषयक कामे करणे</t>
  </si>
  <si>
    <t xml:space="preserve">प्रभाग क्र. ७१ ब मधील समाज मंदिर येथे विद्युत विषयक कामे करणे </t>
  </si>
  <si>
    <t xml:space="preserve">प्रभाग क्र. ७१ ब येथे आंबेडकरनगर येथे ड्रेनेज लाईन बदलणे आणि कॉन्क्रीट करणे  </t>
  </si>
  <si>
    <t xml:space="preserve">प्रभाग क्र. ७१ ब येथे हमालनगर येथे ड्रेनेज लाईन आणि कॉन्क्रीट करणे  </t>
  </si>
  <si>
    <t xml:space="preserve">प्रभाग क्र. ७१ ब प्रेमनगर येथे कॉन्क्रीट करणे  </t>
  </si>
  <si>
    <t xml:space="preserve">प्रभाग क्र. ७१ ब विविध ठिकाणी पेव्हिंग ब्लॉक बसविणे </t>
  </si>
  <si>
    <t xml:space="preserve">प्रभाग क्र. ७१ ब प्रेमनगर येथे ड्रेनेज लाईन टाकणे  </t>
  </si>
  <si>
    <t>प्रभाग क्र. ७२ अ मधील दवाखाने व समाजमंदिर येथे विद्युत विषयक कामे करणे</t>
  </si>
  <si>
    <t xml:space="preserve">प्रभाग क्र. ७२ अ महेश सोसा. चौक ते पुष्पम गोडावून पर्यंत फुटपाथची तदनुषंगिक कामे करणे  </t>
  </si>
  <si>
    <t>प्रभाग क्र. ७२ अ सुप्पर येथील फुटपाथ दुरुस्तीची कामे करणे</t>
  </si>
  <si>
    <t xml:space="preserve">प्रभाग क्र. ७२ अ ट्रान्झीस्ट कॅम्प येथील बुद्धविहार परिसरातील विकास करणे व तदनुषंगिक कामे करणे </t>
  </si>
  <si>
    <t xml:space="preserve">प्रभाग क्र. ७२ अ शिवतेजनगर, विघ्नहरनगर येथे ड्रेनेज लाईन बदलणे  </t>
  </si>
  <si>
    <t xml:space="preserve">प्रभाग क्र. ७२ अ सरगम चाळ/अंबिकानगर येथे ड्रेनेज लाईन तदनुषंगिक कामे करणे </t>
  </si>
  <si>
    <t xml:space="preserve">प्रभाग क्र. ७२ ब २७६ ओटा समाजमंदिर मध्ये दुरुस्ती व सुधारणा विषयक कामे करणे </t>
  </si>
  <si>
    <t xml:space="preserve">प्रभाग क्र. ७२ ब महेश सोसायटी परिसरात फुटपाथ फुटपाथ बनविणे व तदनुषंगिक कामे करणे   </t>
  </si>
  <si>
    <t xml:space="preserve">प्रभाग क्र. ७२ ब  महेश सोसायटी ते अप्पर इंदिरा नगर परिसरात फुटपाथ करणे व तदनुषंगिक कामे करणे </t>
  </si>
  <si>
    <t>प्रभाग क्र. ७२ ब २७६ ओटा व सुप्पर इंदिरानगर परिसरात जुनी ड्रेनेज लाईन काढून नवीन ड्रेनेज लाईन टाकणे</t>
  </si>
  <si>
    <t xml:space="preserve">प्रभाग क्र. ७२ ब २७६ ओटा व सुप्पर इंदिरानगर परिसरात चेंबर मॅनहोल बांधणे व तदनुषंगिक कामे करणे </t>
  </si>
  <si>
    <t xml:space="preserve">प्रभाग क्र. ७२ ब मधील एम ए सी बी केबल भूमिगत करणे </t>
  </si>
  <si>
    <t>प्रभाग क्र. ६४ अ संदेश सोसा. परिसरातील फुटपाथ दुरुस्ती करणे व विद्यासागर कॉलनी परिसरात दुरुस्ती करणे</t>
  </si>
  <si>
    <t xml:space="preserve">प्रभाग क्र. ६४ अ लुल्लानगर चौक परिसरातील चौक सुशोभीकरण करणे  </t>
  </si>
  <si>
    <t xml:space="preserve">प्रभाग क्र. ६४ अ विविध ठिकाणी हायमास्ट दिवे बसविणे </t>
  </si>
  <si>
    <t>प्रभाग क्र. ६४ अ लुल्लानगर चौक येथील तालाब बंगलो शेजारील फ्लॉवर बेड सुशोभित करणे</t>
  </si>
  <si>
    <t>प्रभाग क्र. ६४ अ एकोपा सोसायटी परिसरातील रस्ता डांबरीकरण करणे</t>
  </si>
  <si>
    <t>प्रभाग क्र. ६४ ब सॅलिसबरी पार्क मधील डायस प्लॉट  परिसरातील सुलभ शौचालय दुरूस्ती करणे</t>
  </si>
  <si>
    <t>प्रभाग क्र.६४ ब सॅलिसबरी पार्क येथील मिरा आनंद परिसरात फुटपाथ दुरूस्ती करणे</t>
  </si>
  <si>
    <t>प्रभाग क्र.६४ ब ढोलेमळा शाळेत विविध सुधारणा करणे</t>
  </si>
  <si>
    <t>प्रभाग क्र.६४ ब प्रकाश कॉलनी परिसरात फुटपाथ विकसीत करणे</t>
  </si>
  <si>
    <t>प्रभाग क्र.६४ ब पुनावाला गार्डन मध्ये विविध सुधारणा कामे करणे</t>
  </si>
  <si>
    <t>प्रभाग क्र.७० अ शिवशंकर सोसा. मध्ये ड्रेनेज विषयक दुरूस्ती कामे करणे</t>
  </si>
  <si>
    <t>प्रभाग क्र. ७० अ संत एकनाथ नगर मध्ये फुटपाथ दुरूस्ती करणे</t>
  </si>
  <si>
    <t>प्रभाग क्र.७० अ बिबवेवाडी परिसरात पथ दिव्यांचे कामे करणे</t>
  </si>
  <si>
    <t>प्रभाग क्र. ७० अ शंकर महाराज वसाहत बिबवेवाडी येथे डांबरीकरण करणे</t>
  </si>
  <si>
    <t>प्रभाग क्र. ७० अ बिबवेवाडी गावठाण येथे काँक्रीटीकरण करणे</t>
  </si>
  <si>
    <t>प्रभाग क्र. ७० अ स्वामी विवेकानंद नाला, पद्‌मावती पुलावर कठड्‌याला फेन्सिंग करणे</t>
  </si>
  <si>
    <t>प्रभाग क्र. ७० ब मध्ये बिबवेवाडी गावातील आरोग्य कोठी शेजारील विरंगुळा केंद्रातील विकास कामे करणे</t>
  </si>
  <si>
    <t>प्रभाग क्र. ७० ब मध्ये पापळवस्ती येथे जुन्या फरश्या काढुन नवीन टाकणे</t>
  </si>
  <si>
    <t>प्रभाग क्र. ७० ब मधील स्वामी विवेकानंद मुख्य रस्त्यावरील अडथळा विरहीत फटपाथ व ट्रॅफिक संबंधी कामे करणे</t>
  </si>
  <si>
    <t>प्रभाग क्र. ७० ब मधील शिवशंकर सोसा. मधील चेंबर उचलुन घेवून काँक्रीट करून मिळावे</t>
  </si>
  <si>
    <t>प्रभाग क्र. ७० ब मधील महावीर इलेक्ट्रॉनिक्स मागील सोसा. समोरील फुटपाथ दुरूस्ती करणे</t>
  </si>
  <si>
    <t>प्रभाग क्र. ७१ ब आंबेडकरनगर मधील विविध ठिकाणी पाण्याची लाईन दुरूस्ती करणे</t>
  </si>
  <si>
    <t>प्रभाग क्र. ७१ ब आंबेडकर गल्ली क्र. १ समाज मंदिराची दुरूस्ती करणे</t>
  </si>
  <si>
    <t>प्रभाग क्र. ७१ ब ओट्‌यावरील समाज मंदिराच्या हॉलची दुरूस्ती करणे</t>
  </si>
  <si>
    <t>प्रभाग क्र. ७१ ब बिबवेवाडी ओट्‌यावरील उद्‌यानातील सिमाभिंतीची दुरूस्ती करणे व नविन लोखंडी गेट बसविणे</t>
  </si>
  <si>
    <t>प्रभाग क्र. ७१ अ हमालनगर मधील रस्ते पुर्ण डांबरीकरण करणे</t>
  </si>
  <si>
    <t>प्रभाग क्र. ७१ अ कोठारी ब्लॉक लेन २ रस्ता दुरूस्त करणे</t>
  </si>
  <si>
    <t>प्रभाग क्र. ७१ अ आनंदनगर येथे ड्रेनेज दुरूस्ती करणे</t>
  </si>
  <si>
    <t>प्रभाग क्र. ७१ अ ओट्‌यावरील ठिकठिकाणी ड्रेनेजची दुरूस्ती करणे</t>
  </si>
  <si>
    <t>प्रभाग क्र. ७१ ब आंबेडकरनगर येथील ड्रेनेज लाईन दुरूस्तीची कामे करणे</t>
  </si>
  <si>
    <t>प्रभाग क्र. ७१ अ प्रेमनगर येथील ड्रेनेज लाईन दुरूस्तीची कामे करणे</t>
  </si>
  <si>
    <t>प्रभाग क्र. ७२ अ २७६ ओटा येथे साईनाथ प्रतिष्ठान अर्धवट राहिलेला बस स्टॉपचे काम पुर्ण करणे</t>
  </si>
  <si>
    <t>प्रभाग क्र. ७२ अ पद्‌मावती भवन सुप्पर येथे सभा मंडप व विविध विकास कामे करणे</t>
  </si>
  <si>
    <t>प्रभाग क्र. ७२ अ व्हि आय टी कॉलेज लगत रेलिंग करणे</t>
  </si>
  <si>
    <t>प्रभाग क्र. ७२ अ क्रिडा संकुलालगत असलेल्या मोकळया जागेतील सुरक्षा जाळी बसविणे व वॉल बांधणे</t>
  </si>
  <si>
    <t>प्रभाग क्र. ७२ अ पी एम टी कॉलनी येथे तुळजाभवानी मंदिरालगत सभामंडप उभारणे</t>
  </si>
  <si>
    <t>प्रभाग क्र. ७२ ब सार्वजनीक शौचालय दुरूस्ती व सुधारणा करणे</t>
  </si>
  <si>
    <t>प्रभाग क्र. ७२ ब सुप्पर इंदिरा नगर येथे ड्रेनेज विषयक दुरूस्ती कामे करणे</t>
  </si>
  <si>
    <t>प्रभाग क्र. ७२ ब अप्पर इंदिरानगर भागातील ड्रेनेज लाईन साफसफाई करणे</t>
  </si>
  <si>
    <t>प्रभाग क्र. ७२ ब समाज मंदिर परिसरात तद्‌नुषंगीक कामे करणे</t>
  </si>
  <si>
    <t>प्रभाग क्र. ७२ ब मध्ये विविध ठिकाणी पदपथ दुरूस्ती करणे</t>
  </si>
  <si>
    <t>पथ विभागाकडील औंध, घोले रोड, कर्वे रस्ता व वारजे क्षेत्रिय कार्यालयांचे कार्यक्षेत्रातील चौक व पुल येथे मास्टिक अस्फाल्टची कामे करणे.</t>
  </si>
  <si>
    <t>पथ विभागाकडील येरवडा,  ढोले पाटील व नगररोड ( वडगांवशेरी ) क्षेत्रिय कार्यालयांचे कार्यक्षेत्रातील चौक व पुल येथे मास्टिक अस्फाल्टची कामे करणे.</t>
  </si>
  <si>
    <t>पथ विभागाकडील सहकारनगर, धनकवडी, टिळकरोड, भवानी पेठ व विश्रामबागवाडा क्षेत्रिय कार्यालयांचे कार्यक्षेत्रातील चौक व पुल येथे मास्टिक अस्फाल्टची कामे करणे.</t>
  </si>
  <si>
    <t>येरवडा हॉट मिक्‍स प्लॅन्ट येथे प्रयोगशाळा बांधणे</t>
  </si>
  <si>
    <t>धायरी मुख्य २४ मी. डी. पी. रस्ता रूंदीकरण करणे व फुटपाथ विकसीत करणे.</t>
  </si>
  <si>
    <t>कात्रज - सातारा रोड गुजरवाडी पाटा ते स.नं.45 कात्रज हद्दीपर्यंतचा 18 मीटर डी.पी.रस्ता विकसीत करणे.</t>
  </si>
  <si>
    <t>वडगांव बु स.न. 17,18 ते स.नं.32 इंडियन ह्युम पार्इप पर्यंतचा 30 मी डी.डी.रस्ता विकसीत करणे.</t>
  </si>
  <si>
    <t>मुंढवा केशवनगर उर्वरीत 24 मी. डिपी रस्ता विकसीत करणे</t>
  </si>
  <si>
    <t>महादेवनगर मांजरी उर्वरीत डि.पी. 24 मी. डिपी रस्ता विकसीत करणे.</t>
  </si>
  <si>
    <t>रविदर्शन चौक ते मांजरी फाटा, सर्व्हिस रस्ता व विकसित करणे.</t>
  </si>
  <si>
    <t>हांडेवाडी 18 मी. डिपी रस्ता रुंदीकरण करणे.</t>
  </si>
  <si>
    <t>अप्पर डेपो ते व्ही.आय.टी. होस्टेल चौक 30 मी. रुंद डी.पी. रस्ता विकसित करणे</t>
  </si>
  <si>
    <t>खंडोबा मंदीर ते अप्पर डेपो कात्रज व कोंढवा हद्दीवरील 18 मी. रुंद डि.पी. रस्ता विकसीत करणे.</t>
  </si>
  <si>
    <t>वारजे येथील राष्ट्रीय महामार्ग क्र.4 लगतचा मनपा सर्व्हिस 12 मी. डी.पी.रस्ता विकसीत करणे.</t>
  </si>
  <si>
    <t>केतकर रोड 15  मी.डी.पी. रस्ता विकसन करणे.</t>
  </si>
  <si>
    <t>विमान नगर लोहगांव स. नं. 225,226,214 विमानतळा कडे येणारे मुख्य रस्ते विकसीत करणे.</t>
  </si>
  <si>
    <t>CE20A102/A2-1539+</t>
  </si>
  <si>
    <t>सिंहगड रस्ता वडगाव बु. स. नं. ३० पासून पु. ल. देशपांडे उद्याना पर्यंत ७.५ मी. रूंदीचा रस्ता कॅनॅालच्याकडेने विकसीत करणे. व प्रभागा मध्ये</t>
  </si>
  <si>
    <t>हडपसर औोगीक वसाहत येथे कॅनालवर पुल बांधणे.</t>
  </si>
  <si>
    <t>शिवणे खराडी नदी काठचा रस्ता विकसीत करणे.</t>
  </si>
  <si>
    <t>सुस  ते पाषाण यांना  जोडणार्‍या स.न.१३४ ,१३५,१३६,१३७,१३८ व १४० पाषाण या मिळकतीमधून जाणार्‍या ३६ मी. डी.पी.रस्त्याचे डांबरीकरण करणे</t>
  </si>
  <si>
    <t>लोहगाव स.नं.२३५,२३६,२३८व २३९ मधील रस्ते करणे (पुरसोसायटी ते विमानतळ पर्यंत)</t>
  </si>
  <si>
    <t xml:space="preserve"> टाटा गार्डरूम ते ५०९ चौक रस्ता विकसित करणे.</t>
  </si>
  <si>
    <t>विश्रांतवाडी चौक ते हवाई दलाचे ताब्यातील ५०९ चौक ते सिव्हिल  एअरपोर्ट रस्ता करणे.</t>
  </si>
  <si>
    <t>खराडी येथील ब्ल्यु बेरी व डेक्कन गोल्ड येथील अर्धवट असलेल्या १२मी. डी.पी. रस्ता ६० मी.डी.पी. रस्त्याला जोडणे.</t>
  </si>
  <si>
    <t>हगवणेनगर काकडेनगरला जाणारा २४.०० मी. डी.पी. रस्ता विकसित करणे</t>
  </si>
  <si>
    <t>रामनगर खानवस्ती ते शिंदे पूल शिवणे दरम्यान कॅनॉल रस्ता विकसित करणे.</t>
  </si>
  <si>
    <t>CE20A1262/A9-283</t>
  </si>
  <si>
    <t>एन.डी.ए.येथे शिवणे गावाकडे जाणार्‍या रस्त्यावर गणपती माथा वारजे येथे कल्व्हर्ट बांधणे.</t>
  </si>
  <si>
    <t>प्रभाग क्र. ३७ ब लक्ष्मी रस्ता, टिळक चौक ते समाधान चौक संपूर्ण सुशोभिकरण करणे.</t>
  </si>
  <si>
    <t>CE20A124/9-SA78+</t>
  </si>
  <si>
    <t>हडपसर स.नं. ५६,५८,५९ मधून दक्षिणे कडे जाणारा १८ मी. डि.पी. रस्ता विकसीत करणे.</t>
  </si>
  <si>
    <t>पुणे शहरातील एच.सी.एम.टी.आर. रस्ते विकसीत करणे.</t>
  </si>
  <si>
    <t>कोंढवा मुख्य रस्ता. लुलानगर ते ज्योती हॉटेल चौक.</t>
  </si>
  <si>
    <t>सिंहगड रस्ता - शास्त्री रस्ता - धायरी फाटा रस्ता ते दांडेकर पुल ते अलका टॉकीज चौक. सारसबाग ते धायरी पुलापर्यंत अॅटग्रेट ब्लॉक बसवीणे.</t>
  </si>
  <si>
    <t>सन 2016-17 मधील अपूर्ण कामांसाठी सन 2017-18 मध्ये उपलब्ध केलेली तरतूद</t>
  </si>
  <si>
    <t>प्रभाग क्र. 37 मध्ये केळकर रस्ता फुटपाथ करणे व इतर ठिकाणी कामे करणे.</t>
  </si>
  <si>
    <t>प्रभाग क्र. 37 मध्ये शनिवार पेठ, नारायण पेठ, बुधवार पेठ फुटपाथ विकसित करणे.</t>
  </si>
  <si>
    <t>प्रभाग क्र. 37 मध्ये शनिवार पेठ, व इतर ठिकाणी कॉंक्रीट करणे.</t>
  </si>
  <si>
    <t>प्रभाग क्र. 37 मध्ये बुधवार पेठ, नारायण पेठ, व इतर ठिकाणी कॉंक्रीट करणे.</t>
  </si>
  <si>
    <t>प्रभाग क्र. 37 मध्ये ड्रेनेज विषयक कामे करणे.</t>
  </si>
  <si>
    <t>प्रभाग क्र. 37 मध्ये शनिवार पेठ,  बुधवार या ठिकाणी ड्रेनेज विषयक व दुरुस्ती विषयक कामे करणे.</t>
  </si>
  <si>
    <t>प्रभाग क्र. 37 मध्ये विविध ठिकाणी पावसाळी लाईन विषयक व दुरुस्ती विषयक कामे करणे.</t>
  </si>
  <si>
    <t>प्रभाग क्र. 37 मध्ये विविध ठिकाणी सार्वजनिक शौचालय दुरुस्ती विषयक कामे करणे.</t>
  </si>
  <si>
    <t>प्रभाग क्र. 37 मध्ये ओंकारेश्वर मंदिर परिसरात रस्ते डांबरीकरण करणे.</t>
  </si>
  <si>
    <t>प्रभाग क्र. 37 मध्ये पत्र्या मारुती  परिसरात रस्ते डांबरीकरण करणे.</t>
  </si>
  <si>
    <t>प्रभाग क्र. 37 मध्ये मेहुनपुरा रस्ता परिसरात रस्ते डांबरीकरण करणे.</t>
  </si>
  <si>
    <t>प्रभाग क्र. 37 मध्ये नारायण पेठ  परिसरात रस्ते डांबरीकरण करणे.</t>
  </si>
  <si>
    <t>प्रभाग क्र. 37 मध्ये शनिवार, नारायण पेठ, बुधवार पेठ परिसरात रस्ते डांबरीकरण करणे.</t>
  </si>
  <si>
    <t xml:space="preserve">प्रभाग क्र. 37 मध्ये नारायण पेठ व प्रभागामध्ये ड्रेनेज विषयक कामे करणे. </t>
  </si>
  <si>
    <t xml:space="preserve">प्रभाग क्र. 37 मध्ये विविध विकास कामे व वाहतुक विषयक कामे करणे. </t>
  </si>
  <si>
    <t xml:space="preserve">प्रभाग क्र. 49 मध्ये आरोग्य कोठयाची दुरुस्ती विषयक कामे करणे. </t>
  </si>
  <si>
    <t xml:space="preserve">प्रभाग क्र. 49 मध्ये गणपती विसर्जन हौद बांधणे. </t>
  </si>
  <si>
    <t xml:space="preserve">प्रभाग क्र. 49 मध्ये फडगेट पोलिस चौकीजवळील पोस्ट अॅफीसची दुरुस्ती विषयक कामे करणे. </t>
  </si>
  <si>
    <t xml:space="preserve">प्रभाग क्र. 49 मध्ये शुक्रवार पेठ विविध ठिकाणी पावसाळी व ड्रेनेज लाईन टाकणे. </t>
  </si>
  <si>
    <t>प्रभाग क्र. 50 विश्रामबागवाडा क्षेत्रिय कार्यालय आरोग्य विभाग येथे फर्निचर व्यवस्था व इतर तदनुषंगीक कामे करणे.</t>
  </si>
  <si>
    <t>प्रभाग क्र. 50 झाशीची राणी शाळा येथे दुरुस्ती विषयक कामे करणे.</t>
  </si>
  <si>
    <t>प्रभाग क्र. 50 सदाशिव पेठेत भरत नाट्य मंदिर समोरील् रस्ता डांबरीकरण करणे.</t>
  </si>
  <si>
    <t xml:space="preserve">प्रभाग क्र. 50 सदाशिव पेठेत भिकारदास पोलिस चौकी ते खजिना विहीर चौक पावसाळी लाईन टाकणे. </t>
  </si>
  <si>
    <t xml:space="preserve">प्रभाग क्र. 50 मंडई पोलिस चौकी ते शारदा गजानन मंदिर पर्यंत रस्ता डांबरीकरण करणे. </t>
  </si>
  <si>
    <t>प्रभाग क्र. 50 मध्ये बुधवार पेठ व शुक्रवार पेठ या भागात ड्रेनेज विषयक कामे करणे.</t>
  </si>
  <si>
    <t>प्रभाग क्र. 50 मध्ये सदाशिव पेठ परिसरात मोठ्या व्यासाची ड्रेनेज लाईन टाकणे व तदनुषंगीक कामे करणे.</t>
  </si>
  <si>
    <t>प्रभाग क्र. 50 मध्ये रतन सायकल मार्ट ते शारदा गजानन मंदिर रस्ता  यु.टी.डब्लू.टी. कॉंक्रीट कामे करणे.</t>
  </si>
  <si>
    <t>प्रभाग क्र. 50 मध्ये विविध ठिकाणी फुटपाथ दुरुस्ती करणे.</t>
  </si>
  <si>
    <t>प्रभाग क्र. 50 मध्ये विद्युत विषयक कामे करणे.</t>
  </si>
  <si>
    <t xml:space="preserve">प्रभाग क्र. 50 मध्ये वाहतुक विषयक कामे करणे. </t>
  </si>
  <si>
    <t xml:space="preserve">प्रभाग क्र. 51 नवी पेठ विठ्ठल मंदिराजवळ पावसाळी लाईन टाकणे. </t>
  </si>
  <si>
    <t xml:space="preserve">प्रभाग क्र. 51 स.नं. 214 दांडेकर पूल विविध ठिकाणी ड्रेनेज लाईन टाकणे. </t>
  </si>
  <si>
    <t xml:space="preserve">प्रभाग क्र. 51 स.नं. 133 दांडेकर पूल विविध ठिकाणी ड्रेनेज लाईन टाकणे. </t>
  </si>
  <si>
    <t xml:space="preserve">प्रभाग क्र. 51 स.नं. 133; 214 विविध ठिकाणी कॉंक्रीट करणे व फरशी बसविणे. </t>
  </si>
  <si>
    <t>प्रभाग क्र. 51 विविध शौचालय; मुता-या इ. मध्ये स्थापत्य विषयक सुधारणा कामे करणे.</t>
  </si>
  <si>
    <t xml:space="preserve">प्रभाग क्र. 51 मुख्य चौकात मास्टीक अस्फाल्ट डांबरीकरण करणे. </t>
  </si>
  <si>
    <t>प्रभाग क्र. 58 मध्ये सुभाषनगर परिसरात ड्रेनेज विषयक कामे करणे.</t>
  </si>
  <si>
    <t>प्रभाग क्र. 58 मध्ये गुरुवार पेठ व घोरपडे पेठ परिसरात व प्रभागात ड्रेनेज विषयक कामे करणे.</t>
  </si>
  <si>
    <t>प्रभाग क्र. 58 मध्ये विविध ठिकाणचे फुटपाथ दुरुस्ती करणे.</t>
  </si>
  <si>
    <t xml:space="preserve">प्रभाग क्र. 58 मध्ये विविध ठिकाणी साईडपट्टी कॉंक्रीट करणे. </t>
  </si>
  <si>
    <t>प्रभाग क्र. 58 मध्ये झगडे आळी बौद्ध विहार येथे उर्वरीत कामे करणे.</t>
  </si>
  <si>
    <t>प्रभाग क्र. 58 मध्ये शुक्रवार पेठ परिसरात विदयुत विषयक कामे करणे.</t>
  </si>
  <si>
    <t>प्रभाग क्र. 38 मध्ये गणेश पेठ, चांभार आळी व परिसरात ड्रेनेज लाईन टाकणे व कॉंक्रीट करणे.</t>
  </si>
  <si>
    <t>प्रभाग क्र. 38 मध्ये रविवार पेठ परिसरात ड्रेनेज लाईन टाकणे व कॉंक्रीट करणे.</t>
  </si>
  <si>
    <t>प्रभाग क्र. 38 मध्ये बुधवार पेठ परिसरात ड्रेनेज लाईन टाकणे व कॉंक्रीट करणे.</t>
  </si>
  <si>
    <t>प्रभाग क्र. 38 मध्ये कसबा पेठ  परिसरात ड्रेनेज लाईन टाकणे व कॉंक्रीट करणे.</t>
  </si>
  <si>
    <t>प्रभाग क्र. 38 मध्ये विविध ठिकाणी कॉंक्रीट करणे.</t>
  </si>
  <si>
    <t>प्रभाग क्र. 38 मध्ये रविवार पेठ व विविध ठिकाणी फुटपाथ नविन करणे.</t>
  </si>
  <si>
    <t>प्रभाग क्र. 49 बोंबील मार्केट, व मटण मार्केट शुक्रवार पेठ मध्ये  दुरुस्तीविषयक कामे करणे.</t>
  </si>
  <si>
    <t xml:space="preserve">प्रभाग क्र. 49 मध्ये म.न.पा. दवाखान्याची दुरुस्तीविषयक कामे करणे. </t>
  </si>
  <si>
    <t xml:space="preserve">प्रभाग क्र. 49 मध्ये म.न.पा. शाळांमध्ये दुरुस्तीविषयक कामे करणे. </t>
  </si>
  <si>
    <t xml:space="preserve">प्रभाग क्र. 49 मध्ये शुक्रवार पेठ विविध ठिकाणी यु.टी.डब्लू.टी. रस्ते करणे.  </t>
  </si>
  <si>
    <t xml:space="preserve">प्रभाग क्र. 49 मध्ये विविध ठिकाणी डांबरीकरण करणे. </t>
  </si>
  <si>
    <t xml:space="preserve">प्रभाग क्र. 49 मध्ये बुधवार पेठ, शुक्रवार पेठ येथील ड्रेनेज लाईन बदलणे व दुरुस्तीविषयक कामे करणे. </t>
  </si>
  <si>
    <t xml:space="preserve">प्रभाग क्र. 49 मध्ये गुरुवार पेठ, रविवार पेठ, गणेश पेठ येथील ड्रेनेज लाईन बदलणे व दुरुस्तीविषयक कामे करणे. </t>
  </si>
  <si>
    <t>प्र.क्र. 49 डॉ. कोटनीस आरोग्य केंद्र येथे संपादित केलेल्या जागेत सेंट्रल मेडीकल स्टोअर करिता इमारत विकसित करणे</t>
  </si>
  <si>
    <t xml:space="preserve">प्रभाग क्र. 50 सदाशिव पेठ परिसरात यु.टी.डब्लू.टी. कॉंक्रीट करणे. </t>
  </si>
  <si>
    <t>प्रभाग क्र. 50 मध्ये विविध ठिकाणी डांबरीकरण/मास्टीक करणे.</t>
  </si>
  <si>
    <t>प्रभाग क्र. 51 ना.सी. फडके चौक ते पर्वती पूल फुटपाथ करणे.</t>
  </si>
  <si>
    <t xml:space="preserve">प्रभाग क्र. 51 हिराबाग चौक ते सणस पुतळा डांबरीकरण करणे. </t>
  </si>
  <si>
    <t xml:space="preserve">प्रभाग क्र. 51 चिमणबाग चौक ते विठ्ठल मंदिर रस्ता यु.टी.डब्लू.टी. पद्धतीने कॉंक्रीटीकरण करणे. </t>
  </si>
  <si>
    <t xml:space="preserve">प्रभाग क्र. 51 सिंहगड रोड रेव्हेन्यु कॉलनी यु.टी.डब्लू.टी. पद्धतीने कॉंक्रीटीकरण करणे. </t>
  </si>
  <si>
    <t xml:space="preserve">प्रभाग क्र. 58 मध्ये सुभाषनगर गल्ली क्र. 1  मध्ये व प्रभागात यु.टी.डब्लू.टी. कॉंक्रीट करणे. </t>
  </si>
  <si>
    <t xml:space="preserve">प्रभाग क्र. 58 मध्ये घोरपडे पेठ गुरुवार पेठ व प्रभागात यु.टी.डब्लू.टी. कॉंक्रीट करणे. </t>
  </si>
  <si>
    <t>प्रभाग क्र. 58 मध्ये शुक्रवार पेठ भागातील विविध ठिकाणचे रस्ते मिलींग करुन डांबरीकरण/कॉंक्रीट करणे.</t>
  </si>
  <si>
    <t>प्रभाग क्र. 58 मध्ये विविध ठिकाणी मास्टीक/ डांबरीकरण करणे.</t>
  </si>
  <si>
    <t>अत्याधुनिक बिनतारी संदेशवहन यंत्रणा उभारणे</t>
  </si>
  <si>
    <t>जेष्ठ समाजवादी नेते ग.प्र.प्रधान उद्यान हडपसर येथे उर्वरीत कामे करणे</t>
  </si>
  <si>
    <t>मा महापौर भारत सावंत पाम उद्यान येरवडा येथे विविध विकास कामे करणे</t>
  </si>
  <si>
    <t>महात्मा गांधी उद्यान बंडगार्डन येथे नुतणीकरणाची उर्वरीत कामे करणे</t>
  </si>
  <si>
    <t>तुकाईमाता उद्यान वडगाव बु. येथे कॅक्टस थीम पार्क तयार करणे</t>
  </si>
  <si>
    <t>तुकाईमाता उद्यान वडगाव बु. येथे रॉक गार्डन थीम पार्क तयार करणे</t>
  </si>
  <si>
    <t>इंद्रप्रस्थ उद्यान येरवडा येथे विविध विकास कामे करणे</t>
  </si>
  <si>
    <t>उद्यान विभागाकडील उपआयुक्त क्र १ मधील प्रलंबित बीले अदा करणे</t>
  </si>
  <si>
    <t>उद्यान विभागाकडील उपआयुक्त क्र २ मधील प्रलंबित बीले अदा करणे</t>
  </si>
  <si>
    <t>उद्यान विभागाकडील उपआयुक्त क्र ३ मधील प्रलंबित बीले अदा करणे</t>
  </si>
  <si>
    <t>उद्यान विभागाकडील उपआयुक्त क्र ४ मधील प्रलंबित बीले अदा करणे</t>
  </si>
  <si>
    <t xml:space="preserve">CE26A397+ </t>
  </si>
  <si>
    <t>CE26A398++</t>
  </si>
  <si>
    <t>CE26A396++</t>
  </si>
  <si>
    <t>निरनिराळ्या उद्यानात बोअरवेल व पर्यायी पाण्याची व्यवस्था करणे</t>
  </si>
  <si>
    <t>उपआयुक्‍त क्र 1 मधील उद्यानात नावाच्या पाट्या बसविणे</t>
  </si>
  <si>
    <t>उपआयुक्‍त क्र 2 मधील उद्यानात नावाच्या पाट्या बसविणे</t>
  </si>
  <si>
    <t>उपआयुक्‍त क्र 3 मधील उद्यानात नावाच्या पाट्या बसविणे</t>
  </si>
  <si>
    <t>उपआयुक्‍त क्र 4 मधील उद्यानात नावाच्या पाट्या बसविणे</t>
  </si>
  <si>
    <t>विविध उद्यानातील तुषार  ठिबक सिंचन योजना राबवणे व देखभाल दुरुस्ती इ</t>
  </si>
  <si>
    <t>विविध उद्यानातील विद्युत मोटार पंप  देखभाल दुरुस्ती इ</t>
  </si>
  <si>
    <t>पुणे शहरातील उद्यानातील तलांवामध्ये पाणी स्वच्छ राहण्यासाठी एरिएटर बसविणे</t>
  </si>
  <si>
    <t>पुणे मनपा उद्यानातील फुलराणी टॉय ट्रेन देखभाल दुरुस्ती ऑपरेटरसह चालवणे व तदनुषंगिक कामे</t>
  </si>
  <si>
    <t>प्र.क्र.४५ हडपसर स.नं. ४५ हिस्सा नं.२ अ अ‍ॅमॅनिटी स्पेस जागेवर शाळा क्र. १९० मुलांगणी वस्ती हडपसर येथे नवीन शाळा इमारत बांधणे.</t>
  </si>
  <si>
    <t>प्रभाग क्र. ३१ ब मधील नव्याने ताब्यात आलेले स.नं.९ मधील  शाळेचे आरक्षण असलेली  २ एकर जागेवर ई-लर्निंग स्कूल विकसित करणे</t>
  </si>
  <si>
    <t>प्रभाग क्र.५७ ब येथील हिंदु ह्दय सम्राट बाळासाहेब ठाकरे दवाखानामधे दुसरा मजला बांधणे व विविध विकास कामे करणे</t>
  </si>
  <si>
    <t>प्रभाग क्र.३१ स.नं.३५ वारजे येथील मॅटर्निटी होम हॉस्पिटल बांधणे</t>
  </si>
  <si>
    <t>प्रभाग क्र.७५ अ मध्ये दत्तनगर येथे अ‍ॅमेनिटी स्पेसवर प्राथमिक आरोग्य केंद्राचे उर्वरित काम पुर्ण करणे</t>
  </si>
  <si>
    <t>भवन खात्याकडील कामांसाठी भुमीपुजन व उदघाटन समारंभाकरिता व इतर समारंभाकरिता मांडव फर्निचर व पाटी व्यवस्था करणे</t>
  </si>
  <si>
    <t>सिंहगड किल्यावर स्वराज्य निष्ठशिल्प उभारणे.</t>
  </si>
  <si>
    <t>महात्मा फुले संग्रहालय येथे विविध विकासाची कामे कारणे</t>
  </si>
  <si>
    <t>पुणे शहरामध्ये नानावाडा येथे फ्रिडम फायटर म्युझियम तयार करणे.</t>
  </si>
  <si>
    <t>टुरिझमसाठी विविध ठिकाणी पायाभूत सुविधा (स्वच्छतागृहे इ.) मार्केटिंग विविध विकास कामे करणे.</t>
  </si>
  <si>
    <t>पुणे शहरामध्ये विविध हेरिटेज व्हिलेज /पार्क यांची उभारणी करणे.(कोंढवा,बाणेर)</t>
  </si>
  <si>
    <t>प्र.क्र.३९ ब मध्ये सोमवार पेठ येथील पुरातन त्रिशुंडया गणपती  मंदीर जतन करण्याकामी कामे करणे व तदनुषंगिक कामे करणे</t>
  </si>
  <si>
    <t>आकर्षक  पब्लिक प्लेसेस तयार करणे (प्लेस मेकिंग)</t>
  </si>
  <si>
    <t>उपआयुक्त कार्यालय क्र.१चे कार्यक्षेत्रामध्ये येणार्‍या म.न.पा .मालकीच्या इमारतीसाठी अग्रिशामक विभागा करीता झोनल ऑफिसेस उभारणे/अग्रिशामक यंत्रणेची कामे करणे.</t>
  </si>
  <si>
    <t>उपआयुक्त कार्यालय क्र.२चे कार्यक्षेत्रामध्ये येणार्‍या म.न.पा .मालकीच्या इमारतीसाठी अग्रिशामक विभागा करीता झोनल ऑफिसेस उभारणे/अग्रिशामक यंत्रणेची कामे करणे.</t>
  </si>
  <si>
    <t>उपआयुक्त कार्यालय क्र.३चे कार्यक्षेत्रामध्ये येणार्‍या म.न.पा .मालकीच्या इमारतीसाठी अग्रिशामक विभागाकरीता झोनल ऑफिसेस उभारणे/अग्रिशामक यंत्रणेची कामे करणे.</t>
  </si>
  <si>
    <t>उपआयुक्त कार्यालय क्र.४चे कार्यक्षेत्रामध्ये येणार्‍या म.न.पा .मालकीच्या इमारतीसाठी अग्रिशामक विभागाकरीता झोनल ऑफिसेस उभारणे/अग्रिशामक यंत्रणेची कामे करणे.</t>
  </si>
  <si>
    <t>मनपाच्या मार्फत सुरू असलेल्या विविध ठिकाणच्या क्रिडा संकुलाची अपुर्ण असलेली कामे पुर्ण करणे/सुधारणा कामे करणे.</t>
  </si>
  <si>
    <t>प्रभाग क्र.२० अ विठ्ठलराव तुपे क्रीडा संकुल विकसीत करणे व क्रीडा संकुला मध्ये पुणे शहरातील माजी खासदार स्व.विठ्ठलराव तुपे यांच्यावर आधारीत म्युरल्स उभारणे.</t>
  </si>
  <si>
    <t>पंडीत नेहरु स्टेडीयम येथे सुधारणा कामे करणे (पहिला व दुसर्‍या मजल्याचे विविध सुधारणा कामे करणे.</t>
  </si>
  <si>
    <t>प्र. क्र.३० ब  वारजे येथे छत्रपती शिवाजी महाराज स्टेडीयम उभारणे.</t>
  </si>
  <si>
    <t>मालधा चौक आंबेडकर भवन येथे विविध विकासाची कामे करणे.</t>
  </si>
  <si>
    <t>प्रभाग क्र.३४ ब यशवंतराव चव्हाण नाट्यगृहामध्ये विविध विकास कामे करणे.</t>
  </si>
  <si>
    <t>प्रभाग क्र.३४ अ स.नं.१४३/१४४ कोथरुड येथे नविन बालनाट्यगृह उभारणे/यशवंतराव चव्हाण नाट्यगृहाचे विस्तारीकरण करणे.</t>
  </si>
  <si>
    <t>प्र.क्र.५५ मधील सिंहगड रोड वडगाव बु.स.न.३५ ते ४० (पार्ट) येथील जागेवर श्री. छत्रपती शिवाजी राजे भोसले सांस्कृतिक भवन व कला मंदीर बांधणे.</t>
  </si>
  <si>
    <t>राजर्षी शाहू महाराज संकुल बांधणे,हडपसर</t>
  </si>
  <si>
    <t>गणेश कला क्रिडा मंदीर येथील आसन व्यवस्था बदलणे आवश्यक कामे करणे.</t>
  </si>
  <si>
    <t>लाल महाला मध्ये विविध विकासाची कामे करणे.</t>
  </si>
  <si>
    <t>सावरकर भवन येथे फायर फायटिंग सिस्टिम विषयक कामे करणे.</t>
  </si>
  <si>
    <t>डॉ.बाबासाहेब आंबेडकर भवन येथे फायर फायटिंग सिस्टिम विषयक कामे करणे.</t>
  </si>
  <si>
    <t>बालगंधर्व नाट्यगृह येथे फायर फायटिंग सिस्टिम विषयक कामे करणे.</t>
  </si>
  <si>
    <t>यशवंतराव चव्हाण नाट्यगृह येथे फायर फायटिंग सिस्टिम विषयक कामे करणे.</t>
  </si>
  <si>
    <t>संगमवाडी ,पुणे येथील क्रांतिवीर लहुजी साळवे यांचे स्मारकाचे बांधकाम करणे.</t>
  </si>
  <si>
    <t>लोकशाहीर अण्णाभाऊ साठे स्मारक उभारणे,बिबवेवाडी.</t>
  </si>
  <si>
    <t>सावित्री बाई फुले स्मारक (भिडे वाडा)</t>
  </si>
  <si>
    <t>सावित्री बाई फुले स्मारक व फुले वाड्या मधील परिसराचा विकास करणे.</t>
  </si>
  <si>
    <t>प्रभाग क्र.११ ब मध्ये बी.डी.किल्लेदार मार्केट बांधणे.</t>
  </si>
  <si>
    <t>प्रभाग क्र.७४ ब मधील कानिफनाथ चौकातील पुणे मनपाच्या आरक्षित असलेल्या जागेवर भाजी मंडइ र्व पोलीस चौकी उभारणे व तदनुषंगिक कामे करणे.</t>
  </si>
  <si>
    <t>प्र.क्र.१० ब पाषाण येथील भाजी मंडई विकसीत करणे.</t>
  </si>
  <si>
    <t>प्रभाग क्र.६२ अ मध्ये कोंढवा बु.मधील स.नं.२ हागवणे नगर येथे अ‍ॅमेनिटी स्पेसच्या जागेवर भाजी मंडई बांधणे</t>
  </si>
  <si>
    <t>प्रभाग क्र.४ ब महाराष्ट्र हौसिंग बोर्ड मध्ये भाजी मंडई इमारत बांधणे.</t>
  </si>
  <si>
    <t>प्रभाग क्र.२० अ मुंढवा भाजी मंडई मध्ये विविध विकास कामे करणे.</t>
  </si>
  <si>
    <t>प्रभाग क्र.37 अ मधील वर्तन उदयानातील जॉगिंग टॅक पूर्णपणे नविन पद्‌धतीचे ब्लॉक बसविणे</t>
  </si>
  <si>
    <t>प्रभाग क्र.37 अ मधील वर्तक उदयान येथे संपूर्ण नविन ओपन जिम बसविण्यात यावी</t>
  </si>
  <si>
    <t>प्रभाग क्र.37 अ मध्ये वर्तक उदयान येथे विविध प्रकारचे प्राणी बसविणे</t>
  </si>
  <si>
    <t>प्रभाग क्र.37 अ मधील हसबनिस बखळ मेहुणपुरा राजामाचिकर रस्ता नविन विदयुत फिटींग बसवणे.</t>
  </si>
  <si>
    <t>प्रभाग क्र.37 अ मधील अहिल्यादेवी हायस्कूल चौक ते शिंदेपार पर्यंत नविन पथदिवे (खांब) उभारणे व दिवे लावणे रस्त्याच्या दोन्ही बाजूला खांब लावणे.</t>
  </si>
  <si>
    <t>प्रभाग क्र.37 अ मधील प्रभागातील सोसायटीच्या पाटया लावणे व तसेच रस्त्यावरील दिवे व वाडयातील दिवे लावण्याची व्यवस्था करणे.</t>
  </si>
  <si>
    <t>प्रभाग क्र.37 अ मधील गाडगीळ शाळेत लिफ्ट बसविणे.</t>
  </si>
  <si>
    <t>प्रभाग क्र.37 अ मधील गोगटे शाळा येथील डबलबार सिंगलबार चे साहित्य बदलणे.</t>
  </si>
  <si>
    <t xml:space="preserve">प्रभाग क्र.37 अ मधील अहिल्यादेवी शाळेजवळील सार्वजनिक मुतारी दुरूस्ती करणे व महिलांसाठी वेगळी मुतारी बांधणे </t>
  </si>
  <si>
    <t>प्रभाग क्र.37 अ मधील न.वि.गाडगीळ शाळा येथील अभ्यासिकेत विविध स्थापत्य विषयक कामे करणे (अटल विकास अभ्यासिका)</t>
  </si>
  <si>
    <t>प्रभाग क्र.37 अ मधील वर्तकबाग येथील ओपन जिम साहित्य आहे तेथे ब्लॉक बसवणे.</t>
  </si>
  <si>
    <t>प्रभाग क्र.37  अ मधील गाडगीळ शाळा येथे विविध कामे करणे.</t>
  </si>
  <si>
    <t>प्रभाग क्र.37 अ मधील नेनेघाट संपूर्ण नविन फिटींग बसविणे</t>
  </si>
  <si>
    <t>प्रभाग क्र.37 अ मधील आयडियल शाळा येथे 10 संगणक बसवणे</t>
  </si>
  <si>
    <t>प्रभाग क्र.37 ब मध्ये वर्तक उदयानामधील व्यायामाच्या साधनाच्या ठिकाणी सिमेंटचे ब्लॉक बसविणे</t>
  </si>
  <si>
    <t xml:space="preserve">प्रभाग क्र.37 ब मध्ये वर्तक उदयानामध्ये विदयुत प्रकाशाची सोय करणे </t>
  </si>
  <si>
    <t>प्रभाग क्र. 38 मध्ये चांभार आळी शेजारी नाल्यातील गाळ काढणे.</t>
  </si>
  <si>
    <t>प्रभाग क्र. 38 मध्ये फुटपाथ दुरुस्ती करणे.</t>
  </si>
  <si>
    <t>प्रभाग क्र. 38 मध्ये कसबा पेठ परिसरात डांबरीकरण करणे.</t>
  </si>
  <si>
    <t>प्रभाग क्र. 38 मधील नानावाडा हौद दुरुस्ती करणे.</t>
  </si>
  <si>
    <t>प्रभाग क्र. 38 मधील शिंपी आळी परिसरात डांबरीकरण करणे.</t>
  </si>
  <si>
    <t>प्रभाग क्र. 38 मध्ये विद्युतविषयक कामे करणे.</t>
  </si>
  <si>
    <t>प्रभाग क्र. 38 मध्ये पाणीपुरवठा सुरळीत करणे.</t>
  </si>
  <si>
    <t>प्रभाग क्र. 38 मधील घरांक 825 रविवार पेठ येथील अभ्यासिकेमध्ये दुरुस्ती करणे.</t>
  </si>
  <si>
    <t>प्रभाग क्र. 38 मध्ये लोणार आळी व रविवार पेठ परिसर येथे कॉंक्रीट करणे.</t>
  </si>
  <si>
    <t>प्रभाग क्र. 38 मध्ये गणेश पेठ येथील ड्रेनेज दुरुस्तीची कामे करणे.</t>
  </si>
  <si>
    <t>प्रभाग क्र. 38 मध्ये विविध ठिकाणचा राडारोडा उचलणे.</t>
  </si>
  <si>
    <t>प्रभाग क्र. 49 गुरुवार पेठ कृष्णहट्टी चौक फुलवाला चौक येथे पाण्याची लाईन बलवार आळी येथील लाईनशी जोडणे.</t>
  </si>
  <si>
    <t>प्रभाग क्र. 49 मध्ये नळकोंडाळ्याची दुरुस्ती करणे.</t>
  </si>
  <si>
    <t>प्रभाग क्र. 49 मध्ये विविध ठिकाणी डांबरीकरण करणे.</t>
  </si>
  <si>
    <t>प्रभाग क्र. 49 मध्ये सार्वजनिक् शौचालये मुता-या दुरुस्ती करणे.</t>
  </si>
  <si>
    <t>प्रभाग क्र. 49 मध्ये थर्मोप्लास्टीक पेंट मारणे.</t>
  </si>
  <si>
    <t>प्रभाग क्र. 49 मध्ये म.न.पा शाळेची दुरुस्ती करणे.</t>
  </si>
  <si>
    <t>प्रभाग क्र. 49 पंचमुखी मारुती मंदिर ते जैन मंदिर रस्ता डांबरीकरण करणे.</t>
  </si>
  <si>
    <t>प्रभाग क्र. 49 मध्ये वाहतूक विषयक कामे करणे.</t>
  </si>
  <si>
    <t>प्रभाग क्र. 49 मध्ये पावसाचे पाण्याचा निचरा करणेसाठी उपाययोजना करणे.</t>
  </si>
  <si>
    <t>प्रभाग क्र. 49 मध्ये रविवार पेठ परिसरातील रस्ते दुरुस्ती करणे.</t>
  </si>
  <si>
    <t>प्रभाग क्र. 49 मध्ये गोटीराम भैय्या काची चौक ते रांका ज्वेलर्स हा रस्ता डांबरीकरण करणे.</t>
  </si>
  <si>
    <t>प्रभाग क्र.50 मध्ये प्रभागात होत असलेला अनावश्यक राडारोडा उचलणे.</t>
  </si>
  <si>
    <t>प्रभाग क्र.50 मध्ये मंडर्इमधील ड्रेनेज लार्इन दुरूस्त करणे.</t>
  </si>
  <si>
    <t>प्रभाग क्र.50 अ मधील तुळशीबाग परिसरातील रस्ते दुरूस्त करणे.</t>
  </si>
  <si>
    <t>प्रभाग क्र.50 अ मधील मंडर्इतील गाळे दुरूस्त करणे.</t>
  </si>
  <si>
    <t>प्रभाग क्र.50 अ मधील प्रभागातील मुख्य रस्त्यावर वाहतुकी विषयक पांढरे पट्‌टे मारणे</t>
  </si>
  <si>
    <t>प्रभाग क्र.50 मध्ये महाराणा प्रताप उदयानाबाहेरील फुटपाथ दुरूस्त करणे.</t>
  </si>
  <si>
    <t>प्रभाग क्र.50 मध्ये सदाशिव पेठ परिसरातील पावसाळी व ड्रेनेजचे चेंबर्स समपातळीत उचलणे.</t>
  </si>
  <si>
    <t>प्रभाग क्र.50 मध्ये सदाशिव पेठ भागातील मुख्य रस्त्यावर व गल्ली बोळातील रस्त्यावर सार्इडपट्‌टी करणे.</t>
  </si>
  <si>
    <t>प्रभाग क्र.50 मध्ये शुक्रवार पेठ भागातील ड्रेनेज व पावसाळी चेंबर्स समपातळीत घेणे.</t>
  </si>
  <si>
    <t>प्रभाग क्र.50 मध्ये शुक्रवार पेठ व सदाशिव पेठ भागात पी1, पी2 तसेच दिशादर्शक फलक बसविणे.</t>
  </si>
  <si>
    <t>प्रभाग क्र.51 मधील टिळक रोड, बॅंक ऑफ महाराष्ट्र लगतच्या गल्लीत ड्रेनेज लार्इन टकाणे</t>
  </si>
  <si>
    <t>प्रभाग क्र.51 मधील लक्ष्मीनारायण टॉवर येथील ड्रेनेज लार्इन बदलणे.</t>
  </si>
  <si>
    <t>प्रभाग क्र.51 मधील पेशवे पथ, वाघजार्इ माता मंदिर ते अंबिल ओढा कॉलनी गेट पावसाळी लार्इन टाकणे.</t>
  </si>
  <si>
    <t>प्रभाग क्र.51 निलायम थिएटर रस्ता स्नेहनगर लगत पावसाळी लार्इन टाकणे.</t>
  </si>
  <si>
    <t>प्रभाग क्र.51 भाग्यश्री सोसायटी येथे डांबरीकरण करणे.</t>
  </si>
  <si>
    <t>प्रभाग क्र.51 स.नं. 214, 133 येथील सार्वजनिक शौचालयामध्ये विद्युत विषयक कामे करणे</t>
  </si>
  <si>
    <t>प्रभाग क्र.51 निललायम टॉकीज समोरील फुटपाथ करणे.</t>
  </si>
  <si>
    <t>प्रभाग क्र.51 छत्रपती शिवाजी उद्यानालगतच्या रस्त्यावर पावसाळी लाईन टाकणे.</t>
  </si>
  <si>
    <t>प्रभाग क्र.51 ज्ञानल मंगल कार्यालय रस्ता डांबरीकरण करणे.</t>
  </si>
  <si>
    <t>प्रभाग क्र.51 आंबिल ओढा कॉलनी पुरग्रस्त चाळ स्थापत्य विषयक कामे करणे.</t>
  </si>
  <si>
    <t>प्रभाग क्र.58 मध्ये शुक्रवार पेठ भागातील विविध रस्त्यावरील पावसाळी जाळी व ड्रेनेज चेंबर्स समपातळीत घेणे</t>
  </si>
  <si>
    <t>प्रभाग क्र.58 मध्ये सुभाषनगर गल्ली क्र.1 मध्ये पावसाळी लार्इन टाकणे.</t>
  </si>
  <si>
    <t>प्रभाग क्र.58 मध्ये वीर हनुमान मित्र मंडळ ते पासलकर चौक सार्इडपट्‌टया करणे</t>
  </si>
  <si>
    <t>प्रभाग क्र.58 मध्ये साठे कॉलनी लगतच्या रस्त्यावर वाहतुक विषयक पट्‌टे मारणे</t>
  </si>
  <si>
    <t>प्रभाग क्र.58 मध्ये शुक्रवार पेठ  मध्ये अंतर्गत गल्या व मुख्य रस्त्यावर सार्इडपट्‌टया करणे.</t>
  </si>
  <si>
    <t>प्रभाग क्र.58 मध्ये शुक्रवार पेठ भागातील वाहतूक विषयक कामे करणे.</t>
  </si>
  <si>
    <t>प्रभाग क्र.58 मध्ये राष्ट्रभुषण चौक ते सिंहगड गॅरेज चौक ड्रेनेज लाईन टाकणे.</t>
  </si>
  <si>
    <t>प्रभाग क्र.58 मध्ये गुरूवार पेठ मधील अंतर्गत गल्यांमध्ये कॉंक्रीटीकरण करणे.</t>
  </si>
  <si>
    <t>प्रभाग क्र.58 मध्ये गुरूवार पेठ व घोरपडे पेठ भागातील अंतर्गत गल्ल्यांमध्ये तसेच मुख्य रस्त्यावरील विदयुत विषयक कामे करणे.</t>
  </si>
  <si>
    <t>प्रभाग क्र.58 मध्ये शुक्रवार पेठ परिसरात विदयुत विषयक कामे करणे.</t>
  </si>
  <si>
    <t>स.नं. ६९ हडपसर  येथे  युथ गाईडन्स सेंटर उभारणे</t>
  </si>
  <si>
    <t>शहरात विविध ठिकाणी लाईट हाऊस प्रकल्पासाठी विविध विकासाची कामे करणे</t>
  </si>
  <si>
    <t>प्रभाग क्र. ६१ वानवडी स.नं.७७ येथील अस्तित्वातील महादजी शिंदे शाळा येथील जुनी इमारत पाडुन नविन ई-लर्निंग शाळा बांधणे</t>
  </si>
  <si>
    <t>घोरपडे पेठे येथे महात्मा गांधी शाळेची जुनी इमारत पाडुन नविन इमारत बांधणे</t>
  </si>
  <si>
    <t>प्रभाग क्र.६२ कोंढवा बु. मधील स.नं.२/१/१ येथील व्यायामशाळेचे उर्वरित काम करणे</t>
  </si>
  <si>
    <t>RE22A113/R14-</t>
  </si>
  <si>
    <t>घोरपडे पेठे मोमीनपुरा कब्रस्थान येथे विविध सुधारणा विषयक कामे करणे.</t>
  </si>
  <si>
    <t>भामा आसखेड प्रकल्प अंतर्गत कुरूळी ग्रामपंचायत येथे आर.सी.सी पाण्याची टाकी बांधणे तसेच मौजे वाकी तर्फे वाडा येथे काँक्रिटी रस्ता करणे , सौर दिप बसविणे व विविध विकास कामे करणे</t>
  </si>
  <si>
    <t>अ) केदारेश्वर पंपिंग स्टेशन येथे सी.सी.टी.व्ही बसविणे.</t>
  </si>
  <si>
    <t>ब) विदयानगर, वडगाव शेरी, हौसिंग बोर्ड, कोंढवा वानवडी पंपिंग स्टेशन येथे सी.सी.टी.व्ही बसविणे</t>
  </si>
  <si>
    <t>क) एस.एन.डी.टी.व पाषाण पंपींग  येथे सुरक्षेसाठी  सी.सी.टि.व्ही. कॅमेरा  सिस्टम बसविणे व तदनुषंगीक कामे करणे.</t>
  </si>
  <si>
    <t>ड) वारजे जलकेंद  येथे सुरक्षेसाठी  सी.सी.टि.व्ही. कॅमेरा  सिस्टम बसविणे व तदनुषंगीक कामे करणे.</t>
  </si>
  <si>
    <t>इ) खडकवासला रॉ वॉटर पंपींग  येथे सुरक्षेसाठी  सी.सी.टि.व्ही. कॅमेरा  सिस्टम बसविणे व तदनुषंगीक कामे करणे.</t>
  </si>
  <si>
    <t>ई) गणपतीमाथा पंपींग  येथे सुरक्षेसाठी  सी.सी.टि.व्ही. कॅमेरा  सिस्टम बसविणे व तदनुषंगीक कामे करणे.</t>
  </si>
  <si>
    <t>उ) जुने वारजे जलकेंद्र येथे सुरक्षेसाठी  सी.सी.टि.व्ही. कॅमेरा  सिस्टम बसविणे व तदनुषंगीक कामे करणे.</t>
  </si>
  <si>
    <t>ऊ) पुणे शहरातील विविध पाण्याच्या टाक्यांच्या परीसरात सुरक्षेसाठी  सी.सी.टि.व्ही. कॅमेरा  सिस्टम बसविणे व तदनुषंगीक कामे करणे.</t>
  </si>
  <si>
    <t>ए) वाघोली प्रादेशिक योजना चिखली व रावेत येथे सुरक्षेसाठी  सी.सी.टि.व्ही. कॅमेरा  सिस्टम बसविणे व तदनुषंगीक कामे करणे.</t>
  </si>
  <si>
    <t>अ) एस.एन.डी.टी.पंपींग येथील एचटी सप्लाय आउट डोअर स्विचयार्ड इनडोअर करणे व तदनुषंगीक कामे करणे.</t>
  </si>
  <si>
    <t>ब) पाषाण पंपींग येथील एच.टी. सप्लाय आउट डोअर स्विचयार्ड इनडोअर करणे व तदनुषंगीक कामे करणे.</t>
  </si>
  <si>
    <t>क) वडगाव शेरी, विदयानगर, हौसिंग बोर्ड, कोंढवा वानवडी, चिखली, रावेत येथील एचटी सप्लाय आउट डोअर स्विचयार्ड इनडोअर करणे व तदनुषंगीक कामे करणे.</t>
  </si>
  <si>
    <t>इ) केदारेश्वर पंपिंग स्टेशन येथे एच.टी., व्ही.सी.बी. पॅनेल पुरविणे, बसविणे व चाचणी देणे व तद्‌नुषंगिक कामे करणे</t>
  </si>
  <si>
    <t>अ) वडगाव जलशुध्दीकरण केंद्र येथे स्टँडबाय पंप, सॉफट स्टार्टर पुरविणे, बसविणे व तद्‌नुषंगिक कामे करणे.</t>
  </si>
  <si>
    <t>ब) वारजे जलशुध्दीकरण केंद्र टप्पा क्र.२ येथे एन.एन.डी.टी. एच.एल.आर. टाकीसाठी स्टँडबाय पंप, सॉफट स्टार्टर पुरविणे, बसविणे व तद्‌नुषंगिक कामे करणे.</t>
  </si>
  <si>
    <t>इ) केदारेश्वर पंपिंग स्टेशन येथे नविन पंपसेट पुरविणे, बसविणे चाचणी देणे व तद्‌नुषंगिक कामे करणे</t>
  </si>
  <si>
    <t>ई) लष्कर पंपिंग स्टेशन येथे ठाकरसी हिल्स टाकीसाठी नविन पंपसेट पुरविणे, बसविणे चाचणी देणे व तद्‌नुषंगिक कामे करणे</t>
  </si>
  <si>
    <t>ऊ) रावेत व चिखली पंपिंग येथे स्टँडबाय पंपसेट पुरविणे, बसविणे चाचणी देणे व तद्‌नुषंगिक कामे करणे</t>
  </si>
  <si>
    <t>ऐ) पाषाण पंपिंग येथे स्टँडबाय पंपसेट पुरविणे, बसविणे व तद्‌नुषंगिक कामे करणे</t>
  </si>
  <si>
    <t>ओ) एस.एन.डी.टी. एम.एल.आर. पंपिंग येथे स्टँडबाय पंपसेट पुरविणे, बसविणे व तद्‌नुषंगिक कामे करणे</t>
  </si>
  <si>
    <t>अ) पर्वती जलकेंद्र येथे २२ के.व्ही., व्ही.सी.बी. पुरविणे बसविणे.</t>
  </si>
  <si>
    <t>क) खडकवासला येथे स्पेअर ए.सी.बी. पॅनेल पुरविणे, बसविणे व स्टँंडबाय यंत्रणा कार्यान्वित करणे.</t>
  </si>
  <si>
    <t>अ) पर्वती जलकेंद्र येथे एच.एल.आर. गोलसाठी रोटेटिग असेंब्ली, स्पेअर्स पुरविणे, बसविणे.</t>
  </si>
  <si>
    <t>ब) पर्वती जलकेंद्र येथे एच.एल.आर. चौकोनीसाठी रोटेटिग असेंब्ली, स्पेअर्स पुरविणे, बसविणे.</t>
  </si>
  <si>
    <t>क) जुने लष्कर जलकेंद्र येथे रॉ वॉटरसाठी रोटेटिग असेंब्ली पुरविणे, बसविणे.</t>
  </si>
  <si>
    <t>ई) वडगाव शेरी, विदयानगर, हौसिंग बोर्ड, कोंढवा वानवडी, चिखली,रावेत येथे रोटेटिग असेंब्ली, स्पेअर्स पुरविणे, बसविणे.</t>
  </si>
  <si>
    <t>उ) पद्‌मावती पंपिंग स्टेशन येथे रोटेटिंग असेंब्ली, स्पेअर्स पुरविणे, बसविणे</t>
  </si>
  <si>
    <t>अ) एस.एन.डी.टी.पाणीपुरवठा अंतर्गत येणार्‍या पंपींग स्टेशन,बुस्टर पंपींग या ठिकाणची स्ट्रीट लाईट ची व तदनुषंगीक कामे करणे.(सुतारदरा पेटकर सोसायटी, किष्कींधानगर, गोखलेनगर,पंचवटी इ.)</t>
  </si>
  <si>
    <t>क) लष्कर जलकेंद्र अखत्यारीतील येणार्‍या बुस्टर पंपींग स्टेशन येथे नविन बुस्टर पंप, व्हॉल्व्ह, स्वीच गेअर इ. कामे करणे. (कोंढवा, शिवनेरीनगर, वानवडी, तरवडे वस्ती व इतर)</t>
  </si>
  <si>
    <t>क) एस.एन.डी.टी. पंपिंग येथे ट्रान्सफॉर्मर नविन बसविणे.</t>
  </si>
  <si>
    <t>ब) वारजे जलशुध्दीकरण केंद्र येथील फिल्टर बेडचे व्हॉल्व्ह बदलणे तसेच केमिकल टाकीचे नुतनीकरण करणे व तद्‌नुषंगिक कामे करणे.</t>
  </si>
  <si>
    <t>क) जुने वारजे जलशुध्दीकरण केंद्र येथील फिल्टर बेडचे व्हॉल्व्ह, गेट नविन बसविणे तसेच केमिकल टाकीचे नुतनीकरण करणे व ब्लोअर इ.ची तद्‌नुषंगिक कामे करणे.</t>
  </si>
  <si>
    <t>ड) पर्वती जलकेंद्र क्लेरीफायरचे रेल ट्रॅक पुरविणे, बदलणे व तद्‌नुषंगिक कामे करणे.</t>
  </si>
  <si>
    <t>इ) पर्वती जलकेंद्र येथील स्टेज १ व स्टेज २ येथील इनटेक गेट पुरविणे, बदलणे व तद्‌नुषंगिक मेकॅनिकल व सिव्हील विषयक कामे करणे.</t>
  </si>
  <si>
    <t>ई) पर्वती जलकेंद्र एल चेंबरच्या इनलेट गेट व्हॉल्व्हसाठी अ‍ॅच्युएटर्स पुरविणे, बसविणे व चालू करुन देणे.</t>
  </si>
  <si>
    <t>ऊ) पर्वती जलकेंद्र येथील क्लोरीन सिलेंडर साठवणूक जागेमध्ये इलेक्ट्रीकली ओपरेटेड ओव्हर हेड क्रेन पुरविणे व बसविणे व चालू करुन देणे.</t>
  </si>
  <si>
    <t>ऐ) पर्वती जलकेंद्र येथील फिल्टर बेडमधील वाळू बदलणे, व्ही.वायर पध्दतीने अंडर ड्रेन सिस्टीम बसविणे वतद्‌नुषंगिक कामे करणे.</t>
  </si>
  <si>
    <t>ओ) पर्वती जलकेंद्र येथे विविध क्लेरीफायर व लाईन्सचे चोकअप काढणेसाठी प्रेशर जेटींग यंत्रणा पुरविणे व तद्‌नुषंगिक कामे करणे.</t>
  </si>
  <si>
    <t>अं) लष्कर जलकेंद्र येथील पंप हाऊस क्र.३ साठी इलेक्ट्रीकली ओपरेटेड ओव्हर हेड क्रेन पुरविणे व बसविणे व चालू करुन देणे.</t>
  </si>
  <si>
    <t>एनर्जी सेव्हींग यंत्रणा पुरविणे व बसविणे.</t>
  </si>
  <si>
    <t>अ) वारजे जलशुध्दीकरण केंद्र, खडकवासला, जुने वारजे जलकेंद्र येथे एनर्जी सेव्हींग यंत्रणा व सोलर एल.ई.डी. पोल्स पुरविणे व बसविणे.</t>
  </si>
  <si>
    <t>मौजे फुरसुंगी उपसागृहे (विहीर क्र.१,२,३,४) व ५ एम.एल.डी. जलशुध्दीकरण केंद्र (तुकाई टेकडी) चालविणे व देखभाल दुरुस्ती करणे.</t>
  </si>
  <si>
    <t>भामा आसखेड प्रकल्प अंतर्गत पाणीपुरवठा विषयक वितरण व्यवस्थेसाठी पाण्याची लाईन टाकणे व जोडण्याची कामे करणे</t>
  </si>
  <si>
    <t>वाघोली प्रादेशिक पाणीुपरवठा योजनेअंतर्गत येणा-या लाईन्सृ व एअरव्हॉल्व्हची दुरूस्तीची विषयक कामे करणे.</t>
  </si>
  <si>
    <t>चतुःश्रृंगी पाणी पुरवठा विभागा अंर्तगत येणार्‍या प्रभागांमधील जलवाहिन्यांच्या खोदाईच्या चरावर रिइनस्टेटमेंट करणे.</t>
  </si>
  <si>
    <t>घोले रोड क्षेत्रिय कार्यालय अंतर्गत रस्ता खोदाई केलेल्या ठिकणी रिइनस्टेटमेंट करणे.</t>
  </si>
  <si>
    <t>औंध क्षेत्रिय कार्यालय अंतर्गत  रस्ता खोदाई केलेल्या ठिकणी रिइनस्टेटमेंट करणे.</t>
  </si>
  <si>
    <t>चतुःश्रृंगी पाणीपुरवठा विभागाअंतर्गत येणार्‍या भागामध्ये एम.एस.प्रिस्ट्रेड लाईनो देखभाल दुरूस्ती करणे.</t>
  </si>
  <si>
    <t>वारजे येथे नवीन जलशुध्दीकरण केंद्र बांधणे (टप्पा क्र २)</t>
  </si>
  <si>
    <t>प्र.क्र.४५ हडपसर स.नं.५३/९+९ब+१० सलेन पार्क व हडपसर स.नं.६४/११+२ फॉरेस्ट हिल ई.एस.आर. करिता एम.एस.फिडर नलिका टाकणे</t>
  </si>
  <si>
    <t>बकरी हिल झोन २ पासुन शिवरकर रोड इनामदार हॉस्पीटल पर्यंत (विशाल मेगा मार्ट) ६००मि.मी.एम.एस.नलिका विकसित करणे ३कि.मी.</t>
  </si>
  <si>
    <t>लुल्लानगर चौक ते वानवडी बाजार पोलिस चौकीपर्यंत ६००मि.मी. व्यासाची एम.एस.लाईन टाकणे</t>
  </si>
  <si>
    <t>लुल्ला नगर चौक ते ज्योती हॉटेल पर्यंत २० इंची व्यासाची एम.एस नलिका टाकणे</t>
  </si>
  <si>
    <t>प्रभाग क्र. ७५ राजीव गांधी संपवेल कात्रज पंपीग दरम्यान ८०० मि.मि.व्यासाची रायझिंग मेन टाकणे.</t>
  </si>
  <si>
    <t>कोंढवा बु॥ मरळ वजन काटा ते पुण्यधाम आश्रम दरम्यान ग्रॅव्हिटी मेन विकसीत करणे.</t>
  </si>
  <si>
    <t>वॉर्ड क्र. १४१ गुजरवाडी फाटा ते वरखडेनगर भागात संजिवनी मेडीकल गजानन इ. ठिकाणी पाण्याची लाईन टाकणे.</t>
  </si>
  <si>
    <t>एस.एन.डी.टी. एच.एल.आर. ते चतुःश्रृंगी टाकी दरम्यान एम.एस. नलिका टाकणे या कामातील उर्वरित कामे करणे</t>
  </si>
  <si>
    <t>सी.आय.डी गेट पासून ते एन.सी.एल पर्यंत एम.एस. लाईन टाकणे.</t>
  </si>
  <si>
    <t>बालेवाडी गांवठाण येथे संपवेल बांधणे.</t>
  </si>
  <si>
    <t>चतुःश्रृंगी पाणी पुरवठा विभागाअंतर्गतची मागील बिले अदा करणे (कॉमन)</t>
  </si>
  <si>
    <t>प्रसार भारती ते चैतन्य हेल्थ क्लबपर्यंत ८००मि.मी.पोलादी जलवाहिनी टाकणे</t>
  </si>
  <si>
    <t>एलएलआर टाकी ते निलायम चित्रपटगृह दरम्यान १२०० मि.मी. व्यासाची एम.एस. लाईन टाकणे व फलो मीटर बसविणे, एलएलआर टाकीच्या कार्यकक्षेत फलो मीटर व कंट्रोल व्हॉल्व्ह बसविणे</t>
  </si>
  <si>
    <t>आंबेडकर रस्त्यावरील ससून हॉस्पीटल परिसरातील २७ इंची बाहेरील व्यास (२४इंची व्यासाच्या) पाण्याच्या लाईन हलविणे, स्लुईस व्हॉल्व्ह बसविणे व अनुषंगिक कामे करणे</t>
  </si>
  <si>
    <t>प्र.क्र.१अ मध्ये विविध ठिकाणी ४इंची,६इंची पाण्याची पाईप लाईन टाकणे</t>
  </si>
  <si>
    <t>प्र.क्र.५अ विश्रांतवाडी कळसमध्ये भामा आसखेड पाण्याची ८००मी. लाईन टाकणे व विविध विकास कामे टाकणे</t>
  </si>
  <si>
    <t>प्रभाग क्र. ५३ अ मध्ये हिंगणे खु॥ परिसरात पाणीपुरवठा विषयक कामे करणे.</t>
  </si>
  <si>
    <t>प्रभाग क्र. ७२ अ सुपर २७६ ओटा पाण्याची लाईन टाकणे.</t>
  </si>
  <si>
    <t>प्रभाग क्र. ७२ ब अंबिकानगर येथे पाण्याची लाईन टाकणे.</t>
  </si>
  <si>
    <t>प्रभाग क्र. ७२ ब सरगमचाळ येथे पाण्याची लाईन टाकणे.</t>
  </si>
  <si>
    <t>प्रभाग क्र. ७२ ब सुपरनगर येथे पाण्याची लाईन टाकणे.</t>
  </si>
  <si>
    <t>प्रभाग क्र. ७२ ब इंदिरानगर येथे पाण्याची लाईन टाकणे.</t>
  </si>
  <si>
    <t>प्रभाग क्र. ७४ अ विविध ठिकाणी पाण्याची लाईन टाकणे</t>
  </si>
  <si>
    <t>प्र.क्र.९ अ मध्ये भारतीय अनुसंधान केंद्र कृषी विभाग ते लक्ष्मण पार्क पर्यंत पाणी लाईन टाकणे.</t>
  </si>
  <si>
    <t>प्र. क्र. १० मध्ये शिवशक्ती चौक ते साई चौक येथे१२ इंची  व्यासाची पाण्याची लाईन टाकणे</t>
  </si>
  <si>
    <t>प्र.क्र.२९अ मध्ये वेदभवन ते एकलव्य कॉलेज पर्यंत पाण्याची लाईन टाकणे</t>
  </si>
  <si>
    <t>प्र.क्र.२९अ मध्ये शृंगेरी शंकर मठ ते डुक्कर खिंडीकडे पाण्याची लाईन टाकणे</t>
  </si>
  <si>
    <t>प्रभाग क्र.७२ अ सुप्पर येथे पाण्याची लाईन टाकणे</t>
  </si>
  <si>
    <t>प्रभाग क्र.७२ अ पदमावती नगर, पवननगर येथे पाणी लाईन टाकणे</t>
  </si>
  <si>
    <t>प्रभाग क्र.७२ अ व्ही.आय.टी.कॉलेज ते अप्पर ओटा येथे पाणी लाईन टाकणे</t>
  </si>
  <si>
    <t>प्रभाग क्र. ६२ मध्ये विविध ठिकाणी जलवाहिनी टाकणे.</t>
  </si>
  <si>
    <t>प्रभाग क्र. ७२ अ मध्ये विविध ठिकाणी पाण्याची लाईन टाकणे.</t>
  </si>
  <si>
    <t>प्र.क्र.९ मधील नवीन विकसित भागात ४ इंची, ६ इंची, ८ इंची जलवाहिनी टाकणे.</t>
  </si>
  <si>
    <t>प्र.क्र.९ मध्ये पाषाणकर गॅरेज खिंड ते जकात नाका बालेवाडी मुख्य जलवाहिनी टाकणे.</t>
  </si>
  <si>
    <t>वडगाव स.नं. ४५ इन्स्टिटयुट इ.एस.आर.पासुन वडगाव झोनकरीता वितरण व्यवस्था करणे.</t>
  </si>
  <si>
    <t>एस.एन.डी.टी. एच.एल.आर. ते चतुःश्रृंगी टाकी दरम्यान एम.एस. नलिका टाकणे</t>
  </si>
  <si>
    <t>सुस व बाणेर टाकीपासून  जलवितरण व्यवस्था तयार करणे.</t>
  </si>
  <si>
    <t>कर्वेनगर परिसरासाठी मुख्य वितरण व्यवस्था तयार करणे. टप्पा क्र.२</t>
  </si>
  <si>
    <t>प्र.क्र.४५ हडपसर स.नं.५३/९+९ब+१० सलेन पार्क येथे २५००लाख लि.क्षमतेची टाकी बांधणे</t>
  </si>
  <si>
    <t>प्रभाग क्र. ६३ शिवनेरीनगर येथे टाकी बांधणे व तद्‌नुषिगक कामे  करणे</t>
  </si>
  <si>
    <t>प्र.क्र.१६ मध्ये पाण्याची टाकी बांधणे (हरिगंगा) व तद्‌नुषंगिक सिव्हील कामे करणे</t>
  </si>
  <si>
    <t>प्र.क्र.४मध्ये म्हाडा हौसींग बोर्ड येथील स.नं.१९१अ येरवडा, संपवेल शेजारील मोकळया जागेत पाण्याची टाकी बांधणे</t>
  </si>
  <si>
    <t>प्र.क्र.१७ येरवडा अंतिम भूखंड क्र.८०ओ.पी.नं.८९येथे पाण्याची टाकी बांधणे व तद्‌ अनुषंगिक कामे करणे</t>
  </si>
  <si>
    <t>प्रभाग क्र १ब (धानोरी) मधील स.नं. २४ येथील २५ लाख लिटर क्षमतेच्या पाण्याच्या टाकीचे उर्वरित काम करणे.</t>
  </si>
  <si>
    <t xml:space="preserve">प्रभाग क्र. ७५ अ स.नं. ६७ मधील जुनी जीर्ण पाण्याची टाकी वापरात असलेली (ग्रामपंचायत  काळातील) पाहून जादा क्षमतेची टाकी बांधणे </t>
  </si>
  <si>
    <t>प्रभात क्र. ६ब मध्ये बोअरवेल खोदणे व पंप बसविणे</t>
  </si>
  <si>
    <t>प्रभाग क्र. ८ अ मध्ये  पाणी वापराकरीता विविध ठिकाणी बोअरवेल बसविणे</t>
  </si>
  <si>
    <t>ZE16A104A/S5-888+</t>
  </si>
  <si>
    <t>प्र.क्र.१४ब ठाकरसी टेकडीवर २५लक्ष लि. ची पाण्याची टाकी बांधणे</t>
  </si>
  <si>
    <t>प्रभाग क्र. ११ ब आशानगर येथे पाण्याची टाकी बांधणे.</t>
  </si>
  <si>
    <t>प्र.क्र. ११ ब मॅफको पाण्याची टाकी दुरुस्ती करणे</t>
  </si>
  <si>
    <t>बकरी हिल येथे साठवण टाकी बांधणे  व क्षमता वाढविणेसाठी तदनुषेगिक कामे करणे</t>
  </si>
  <si>
    <t>प्रभाग क्रमांक २५ ब मध्ये पांडवनगर,गंजाळवाडी येथे पाण्याची टाकी  बांधणे</t>
  </si>
  <si>
    <t>आगम मंदिर पाण्याची टाकी येथे पाणी पुरवठा करणेसाठी मोटर बसविणे.</t>
  </si>
  <si>
    <t>पर्वती जलकेद्र येथे नवीन ५०० एमएल डी क्षमतेचे जलशुध्दी करण केंद्र बांधणे.</t>
  </si>
  <si>
    <t>खडकवासला येथे नविन जॅकवेल बांधणे, पुणे शहरातील नविन बंद पाईपलाईन टाकणे (खडकवासला- पर्वती- लष्कर)</t>
  </si>
  <si>
    <t>राष्ट्रीय नदी सुधारणा अंतर्गत मुळा-मुठा सुधारणा कामे करणेसाठी मैलापाणी व्यवस्थापन विषयक योजना राबविणे. (जायका)</t>
  </si>
  <si>
    <t>सन 2017-18 साठी आवश्यक तरतूद (आ)</t>
  </si>
  <si>
    <t>पुणे शहराचे स्ट्रॉर्म वॉटर ड्रेनेज प्रकल्पातील एकोणीस बेसीनमध्ये तातडीने करावयाची कामे :</t>
  </si>
  <si>
    <t>प्रकल्प व्यवस्थापन करणे, सल्लागार फी व तद्‌नुषंगिक कामे करणे.</t>
  </si>
  <si>
    <t>प्रभाग क्र. 41 भैरोबा नाल्यातील मुख्य मलवाहिनी व त्यास जोडल्या गेलेल्या मलवाहिन्यांची देखभाल दुरुस्ती करणे व तद्‌नुषंगिक कामे करणे.</t>
  </si>
  <si>
    <t>प्रभाग क्र.19 मध्ये मुख्य मलवाहिनीची दुरस्ती व तदनुषंगिक कामे करणे.</t>
  </si>
  <si>
    <t>आर.सी.सी.मधील मॅनहोल्स/चेंबर्स बांधणे जुने नादुरूस्त झालेले विटांचे व चेंबर्स आर.सी.सीमध्ये बांधणे.</t>
  </si>
  <si>
    <t>मलनिःसारण विभागाकडील झोन क्र. १ यांचे कार्यक्षेत्रातील मलवाहिन्यांसाठी खोदाई केलेले रस्ते पुर्ववत करणे.</t>
  </si>
  <si>
    <t>मलनिःसारण विभागाकडील झोन क्र. 2 यांचे कार्यक्षेत्रातील मलवाहिन्यांसाठी खोदाई केलेले रस्ते पुर्ववत करणे.</t>
  </si>
  <si>
    <t>मलनिःसारण विभागाकडील झोन क्र. 3 यांचे कार्यक्षेत्रातील मलवाहिन्यांसाठी खोदाई केलेले रस्ते पुर्ववत करणे.</t>
  </si>
  <si>
    <t>मलनिःसारण विभागाकडील झोन क्र. 4 यांचे कार्यक्षेत्रातील मलवाहिन्यांसाठी खोदाई केलेले रस्ते पुर्ववत करणे.</t>
  </si>
  <si>
    <t>प्रभाग क्र. ३६ ब मधील संजिवन हॉस्पीटल जवळील नाल्यामध्ये बारीक व्यासाची ड्रेनेज लाईन बदलून मोठ्या व्यासाची ड्रेनेज लाईन टाकणे.</t>
  </si>
  <si>
    <t>प्रभाग क्र. ३१ रामनगर व वारजे येथे ड्रेनेज लाईन टाकणे व क्रॉकिटीकरण करणे.</t>
  </si>
  <si>
    <t>स्वच्छ भारत अभियान अंतर्गम विविध ठिकाणी ड्रेनेज लाईन टाकणे.</t>
  </si>
  <si>
    <t>ZE16B102/SD2-331</t>
  </si>
  <si>
    <t>ZE16B102/SD2-328</t>
  </si>
  <si>
    <t>ZE16B102/SD2-330</t>
  </si>
  <si>
    <t>ZE16B106/SD5-1+</t>
  </si>
  <si>
    <t>नदीमध्ये स्वच्छ पाणी जाण्याकरिता अंबिल ओढ्यामध्ये विविध ठिकाणी फिल्टरेशन प्लांट बांधणे</t>
  </si>
  <si>
    <t>ZE16D103/MP4-202+</t>
  </si>
  <si>
    <t>ZE16B102/SD2-329</t>
  </si>
  <si>
    <t>CE20A884/SA10-84</t>
  </si>
  <si>
    <t>CE20A884/SA10-95</t>
  </si>
  <si>
    <t>CE20A884/SA10-107</t>
  </si>
  <si>
    <t>CE20A884/SA10-128</t>
  </si>
  <si>
    <t>प्रभाग क्र. २६ मध्ये विविध ठिकाणी ड्रेनेज विषयक कामे करणे.</t>
  </si>
  <si>
    <t>प्रभाग क्र. २6 अ मध्ये विविध ठिकाणी ड्रेनेज लाईन टाकणे.</t>
  </si>
  <si>
    <t>प्रभाग क्र. २7 अ मध्ये विविध ठिकाणी ड्रेनेज लाईन टाकणे व क्रॉक्रिट करणे.</t>
  </si>
  <si>
    <t>सागर कॉलनी येथील नाल्यावरील भिंत बांधणे व विविध विकास कामे करणे.</t>
  </si>
  <si>
    <t>प्रभाग क्र. 66 अ मध्ये विविध विकास कामे करणे. (ड्रेनेज लाईन टाकणे.)</t>
  </si>
  <si>
    <t>अस्तीवातील मैलापाणी शुध्दीकरण केंद्रासाठी विविध स्थापत्य विषयक कामे करणे</t>
  </si>
  <si>
    <t>बाणेर मैलपाणी शुध्दीकरण केंद्रासाठी संरक्षक भिंत/ रेटनिंग वॉल बांधणे पावसाळी लाईन टाकणे व स्थापत्य विषयक अनुंषगिक कामे करणे</t>
  </si>
  <si>
    <t>डॉ. बाबासाहेब आंबेडकर विद्यार्थी वसतिगृह, घोले रोड येथील खाणावळीचा खर्च</t>
  </si>
  <si>
    <t>यादी क्र. एम1</t>
  </si>
  <si>
    <t>FE14C125/M1-</t>
  </si>
  <si>
    <t>माता रमाई स्वलंबन योजनेंतर्गत सर्व स्तरावरील विधवा, परितक्त्या, निराधार महिलांना दरमहा रु. १,००० अर्थसाह्य करणे</t>
  </si>
  <si>
    <t>स्पर्धा परिक्षा मार्गदर्शन केंद्र चालविणे</t>
  </si>
  <si>
    <t>म. फुले संग्रहालय घोले रोड, शिवाजीनगर येथील एमपीएसी / युपीएसी विद्यार्थ्यांसाठी स्पर्धा परिक्षा मार्गदर्शन केंद्र सुरू करणे</t>
  </si>
  <si>
    <t>पुणे शहरात लाईट हाउस प्रकल्प सुरू करणे</t>
  </si>
  <si>
    <t>श्वास प्रकल्पासाठी मनपाचा हिस्सा</t>
  </si>
  <si>
    <t>समग्रसाठी मनपाचा हिस्सा</t>
  </si>
  <si>
    <t>शहरातील विविध कचरा प्रकल्पावरून देवाची उरुळी येथे कचरा / रिजेक्ट वाहतूक करणे व शास्त्रोक्त पद्धतीने विल्हेवाट लावण्यासाठी मशिनरी पुरवणे व तदनुषंगिक कामे करणे</t>
  </si>
  <si>
    <t>RE19A129A</t>
  </si>
  <si>
    <t>शहरात होणाऱ्या विविध उस्तव व कार्यक्रमासाठी कलश खरेदी करणे</t>
  </si>
  <si>
    <t>पभाग क्र. 11 मध्ये जनवाडी परीसरात फरशी व कॉंक्रीटीकरण करणे</t>
  </si>
  <si>
    <t xml:space="preserve">प्रभाग क्र. 11 मध्ये जनता वसाहत येथे ड्रेनेज लाईन टाकणे व चेंबर दुरुस्ती विषयक कामे करणे </t>
  </si>
  <si>
    <t>प्रभाग क्र. 11 मध्ये गोखले नगर लालचाळ हिरवी चाळ भागा मध्ये चेंबर साफ सफाई व दुरुस्ती विषयक कामे करणे</t>
  </si>
  <si>
    <t xml:space="preserve">प्रभाग क्र. 11मध्ये विविध ठिकाणची जुनी ड्रेनेज लाईन काढुन नविन ड्रेनेज लाईन टाकणे </t>
  </si>
  <si>
    <t>प्रभाग क्र. 11मधिल आशा नगर, श्रमिकनगर, पाचपांडव  परिसरात ड्रेनेज लाईन दुरुस्ती विषयक कामे करणे</t>
  </si>
  <si>
    <t>प्रभाग क्र.11 मध्ये मनपा शाळांची  दुरुस्ती विषयक कामे करणे</t>
  </si>
  <si>
    <t>पभाग क्र. 11 मध्ये समाज मंदिराची दुरुस्ती विषयक कामे करणे</t>
  </si>
  <si>
    <t>प्रभाग् क्र. 11 मध्ये विविध ठिकाणचे रस्ते डांबरीकरण करणे</t>
  </si>
  <si>
    <t>पभाग क्र. 11 मध्ये जनवाडी रस्ते कॉंक्रीटीकरण करणे</t>
  </si>
  <si>
    <t>प्र.क्र.११ मधील विविध ठिकाणी विद्युत विषयक कामे करणे.</t>
  </si>
  <si>
    <t>प्र.क्र.११ मध्ये शौचालय ,शाळा ,दवाखाने इत्यादी  ठिकाणचे विद्युत विषयक  वायरिंगचे कामे करणे.</t>
  </si>
  <si>
    <t>प्र.क्र.११ मधील जनता वसाहत ,लाल चाळ ,हिरवी चाळ ,वैदुवाडी आशा नगर व एल.आय.जी एम.आय.जी. या ठिकाणी विद्युत विषयक सुधारणा कामे करणे</t>
  </si>
  <si>
    <t>प्र.क्र.११सेनापती बापट रोड येथिल विद्युत विषयक कामे करणे.</t>
  </si>
  <si>
    <t>पभाग क्र.11 मध्ये विविध वस्तीमध्ये गल्लीबोळ कॉंक़्रीटीकरण करणे व फरशी बसविणे</t>
  </si>
  <si>
    <t>प्रभाग क्र. 12 मध्ये भोसले नगर  परीसरात   ठिकाणी वाहतुक व्यवस्था विषयक कामे करणे</t>
  </si>
  <si>
    <t>प्रभाग क्र. 12 मध्ये भोसलेनगर व अशोक नगर परिसरात फुटपाथ दुरुस्ती व रंगरंगोटी करणे</t>
  </si>
  <si>
    <t>प्रभाग क्र.१२ भोसले नगर, अशोक नगर परीसरात मध्ये विविध ठिकाणी ड्रेनेज लाईन टाकणे व दुरुस्ती करणे</t>
  </si>
  <si>
    <t>प्रभाग क्र. 12 मध्ये मॅनहोल व पावसाळी चेंबर्स साफ सफाई व दुरुस्त करणे</t>
  </si>
  <si>
    <t>प्रभाग क्र.१२ मध्ये मनपा शाळा, दवाखाने समाज मंदिर दुरुस्ती करणे</t>
  </si>
  <si>
    <t>प्रभाग क्र. 12 मधिल विविध आरोग्य कोठी दुरुस्त करणे</t>
  </si>
  <si>
    <t>प्र. १२ मधील चाफेकर नगर परीसरात डांबरीकरण करणे</t>
  </si>
  <si>
    <t>प्र. १२  मध्ये मॉडेल कॉलनी परीसरात वाहतुक व्यवस्था विषयक कामे करणे</t>
  </si>
  <si>
    <t>प्र. १२ आनंद यशोदा हौ. सोसा. परीसरात डांबरीकरण करणे</t>
  </si>
  <si>
    <t>प्र. १२ विविध ठिकाणी रस्ते डिव्हायडर रंगरंगोटी रेलींग रंगविणे</t>
  </si>
  <si>
    <t>प्र.क्र.१२ मधील विविध ठिकाणी विद्युत विषयक कामे करणे.</t>
  </si>
  <si>
    <t>प्र.क्र.१२ मध्ये शौचालय ,शाळा, दवाखाने इत्यादी  ठिकाणचे विद्युत विषयक  वायरिंगचे कामे करणे.</t>
  </si>
  <si>
    <t>प्रभाग क्र.13 मधिल मनपा दवाखाने दुरुस्तीची कामे कामे करणे</t>
  </si>
  <si>
    <t xml:space="preserve">प्रभाग क्र.13 मधिल आरोग्य कोठ्याची दुरुस्तीची कामे करणे </t>
  </si>
  <si>
    <t>प्रभाग क्र १३ मधील संगमवाडी परीसरातील मनपा शाळेची दुरुस्ती कामे करणे</t>
  </si>
  <si>
    <t>प्रभाग क्र. १३ मध्ये विविध ठिकाणी डांबरीकरण करणे</t>
  </si>
  <si>
    <t>प्रभाग क्र.13 मध्ये संगमवाडी व मुळा रोड मेनहोल व चेंबर दुरुस्ती करणे</t>
  </si>
  <si>
    <t>प्रभाग क्र. १३ मध्ये विविध ठिकाणी पावसाळी लाईन साफसफाई व दुरुस्ती करणे</t>
  </si>
  <si>
    <t xml:space="preserve">प्रभाग क्र.  १३ मधिल पाटील इस्टेट  येथील शौचालय दुरुस्ती करणे </t>
  </si>
  <si>
    <t xml:space="preserve">प्रभाग क्र.  १३ मुळारोड परीसरात  येथील शौचालय दुरुस्ती करणे </t>
  </si>
  <si>
    <t xml:space="preserve">पभाग  १३ मधिल विविध सांस्कृतिक कार्यक्रम तसेच जयंती, पुण्यतिथी व इतर कार्यक्रमाठी सजावटीचे काम करणे </t>
  </si>
  <si>
    <t xml:space="preserve">प्रभाग क्र. 13 मधिल नाला सफाई विषयक कामे करणे </t>
  </si>
  <si>
    <t>प्रभाग क्र.13 मधील पाटकर प्लॉट येथील शौचालय दुरुस्ती करणे</t>
  </si>
  <si>
    <t>प्रभाग क्र १३ पाटील इस्टेट येथे  विद्युतविषयक  सुधारणा कामे करणे.</t>
  </si>
  <si>
    <t>प्रभाग क्र.१३ मध्ये शौचालय ,शाळा, दवाखाने इत्यादी  ठिकाणचे विद्युत विषयक  वायरिंगचे कामे करणे.</t>
  </si>
  <si>
    <t>प्रभाग क्र.१३ मध्ये विविध  वस्त्यांमध्ये सर्व्हिस वायर बदलणे व पोलला अर्थिंग करणे.</t>
  </si>
  <si>
    <t>प्रभाग क्र .१३ मध्ये वाकडेवाडी येथिल इमारतीमधील विद्युत विषयक दुरूस्तीची कामे करणे.</t>
  </si>
  <si>
    <t>प्रभाग क्र २४ मध्ये कामगार पुतळा राजीव गांधी नगर व शिवाजी नगर गावठाण परीसरातील शौचालय दुरुस्ती करणे</t>
  </si>
  <si>
    <t xml:space="preserve">प्रभाग क्र. २४ मध्ये मनपा शाळा, दवाखाने, समाज मंदिर व इमारती दुरुस्ती करणे </t>
  </si>
  <si>
    <t>प्रभाग क्र २४ मध्ये आपटे रोड, घोले रोड परीसरातील फुटपाथ दुरुस्ती करणे</t>
  </si>
  <si>
    <t>प्रभाग क्र २४ मध्ये तोफखाना, शिवाजीनगर गावठाण पुलाची वाडी परीसरात ड्रेनेज लाईन व चेंबर दुरुस्ती करणे</t>
  </si>
  <si>
    <t>प्रभाग क्र २४ मध्ये तोफखाना, शिवाजीनगर गावठाण पुलाची वाडी परीसरात काँक्रिट करणे व फरशी बसविणे</t>
  </si>
  <si>
    <t>प्रभाग क्र .२४ मध्ये तोफखाना, शिवाजीनगर गावठाण रस्ते डांबरीकरण करणे</t>
  </si>
  <si>
    <t>प्रभाग क्र क्र. 24 मधिल विविध सांस्कृतिक कार्यक्रम व जयंती पुण्यतिथी व इतर कार्यक्रमासाठी सजावटीचे काम करणे</t>
  </si>
  <si>
    <t xml:space="preserve">प्रभाग क्र. 24 मधिल वाहतुक विषयक कामे करणे </t>
  </si>
  <si>
    <t>प्रभाग क्र  २४ मध्ये पुलाची वाडी व डेक्कन परीसरातील शौचालय दुरुस्ती करणे</t>
  </si>
  <si>
    <t>प्रभाग क्र २४ मध्ये शिवाजीनगर गावठाण, तोफखाना व आपटेरोड परीसरात ड्रेनेज लाईन टाकणे</t>
  </si>
  <si>
    <t>प्रभाग क्र २४ मधील आपटे रोड परीसरातील रोड डांबरीकरण करणे</t>
  </si>
  <si>
    <t>प्रभाग क्र. 24 मधिल घोलेरोड अंतर्गत रोड डांबरीकरण करणे</t>
  </si>
  <si>
    <t>प्रभाग क्र २४ मधील आपटे रोड परीसर  शिवाजीनगर गावठाण व तोफखाना परीसरातील काँक्रिटीकरण करणे</t>
  </si>
  <si>
    <t>प्रभाग क्र २४ मध्ये पुलाची वाडी व डेक्कन परीसरात ड्रेनेज विषयक कामे करणे</t>
  </si>
  <si>
    <t>प्रभाग क्र.२४  मध्ये शौचालय ,शाळा ,दवाखाने इत्यादी ठिकाणचे विद्युत विषयक  वायरिंगचे कामे करणे.</t>
  </si>
  <si>
    <t>प्रभाग क्र.२४  मधील डॉ.बाबासाहेब आंबेडकर वसतीगृह येथे  विद्युत विषयक कामे करणे</t>
  </si>
  <si>
    <t>प्रभाग क्र .२४  मध्ये विविध  वस्त्यांमध्ये सर्व्हिस वायर बदलणे व पोलला अर्थिंग करणे.</t>
  </si>
  <si>
    <t>प्रभाग क्र. 25 मधिल संत रामदास स्वामी मनपा शाळा दुरुस्तीची कामे करणे</t>
  </si>
  <si>
    <t xml:space="preserve">प्रभाग क्र.25 मध्ये विविध ठिकाणी मॅनहोल व चेंबर दुरुस्ती  करणे </t>
  </si>
  <si>
    <t>प्रभाग क्र.. 25 मध्ये विविध ठिकाणचे शौचालय दुरुस्ती करणे</t>
  </si>
  <si>
    <t>प्रभाग क्र.25 मधिल पीएमसी कॉलनी दुरुस्ती विषयक कामे करणे</t>
  </si>
  <si>
    <t>प्रभाग क्र..25 मध्ये विविध ठिकाणी कॉंक्रीटीकरण/ डांबरीकरण करणे</t>
  </si>
  <si>
    <t>प्रभाग क्र.25 मध्ये झाडणकामासाठी सेवक पुरविणे</t>
  </si>
  <si>
    <t>प्रभाग क्र.२५ मध्ये विविध  वस्त्यांमध्ये सर्व्हिस वायर बदलणे व पोलला अर्थिंग करणे.</t>
  </si>
  <si>
    <t>प्रभाग क्र.२५  मध्ये शौचालय ,शाळा ,दवाखाने इत्यादी  ठिकाणचे विद्युत विषयक  वायरिंगचे कामे करणे.</t>
  </si>
  <si>
    <t>प्रभाग क्र.२५  मध्ये स्ट्रिट लाईट पोलची दुरूस्ती विषयक कामे करणे.</t>
  </si>
  <si>
    <t>प्रभाग क्र.२५   हॅल्थ कॅम्प ३९१ वडारवाडी  परिसरा मध्ये विद्युत विषयक  सुधारणा कामे करणे.</t>
  </si>
  <si>
    <t>प्रभाग क्र.२५   पांडव नगर पी.एम.सी. कॉलनी  मध्ये विद्युत विषयक  कामे करणे.</t>
  </si>
  <si>
    <t>प्रभाग क्र..२५   मधील डॉ.होमी भाभा दवाखाना येथे विद्युत विषयक  कामे करणे.</t>
  </si>
  <si>
    <t xml:space="preserve">प्रभाग क्र 36 मधिल प्रभात रोड परीसरातील आरोग्य कोठ्याची दुरुस्ती करणे व साहित्य पुरविणे </t>
  </si>
  <si>
    <t xml:space="preserve">प्रभाग क्र. 36 मध्ये प्रभात रोड व भंउारकर रोड परीसरातील फुटपाथ दुरुस्ती करणे </t>
  </si>
  <si>
    <t xml:space="preserve">प्रभाग क्र 36 खिलारे वस्ती व प्लॉट क्र. १४ व १६  परीसरात चेंबर दुरुस्ती करणे </t>
  </si>
  <si>
    <t xml:space="preserve">प्रभाग क्र. ३६  एरंडवणे परीसरात ड्रेनेज लाईन टाकणे </t>
  </si>
  <si>
    <t xml:space="preserve">प्रभाग क्र. 36 मध्ये शौचालय दुरुस्ती करणे </t>
  </si>
  <si>
    <t>प्रभाग क्र. 36 मध्ये साईटपट्ट्या कॉंक्रीटीकरण करणे</t>
  </si>
  <si>
    <t>प्रभाग क्र 36 मध्ये ड्रेनेज लाईन विषयक कामे करणे</t>
  </si>
  <si>
    <t>प्रभाग क्र. 36 मध्ये वाहतुक विषयक कामे करणे</t>
  </si>
  <si>
    <t>प्रभाग क्र. ३६ भांडारकर रोड परीसरातील  चेंबर पावसाळी लाईन साफ करणे</t>
  </si>
  <si>
    <t>प्रभाग क्र. 36 मध्ये विविध ठिकाणीचे रस्ते ग्राऊट करणे</t>
  </si>
  <si>
    <t>प्रभाग क्र. 36 मध्ये भांडारकर रोड परीसरात झाडणकामासाठी सेवक पुरविणे</t>
  </si>
  <si>
    <t>प्रभाग क्र ३६ कर्वे रोड परीसरातील नाला व चेंबर पावसाळी लाईन साफसफाई करणे</t>
  </si>
  <si>
    <t>प्रभाग क्र.३६  मध्ये स्ट्रिट लाईट पोलची दुरूस्ती विषयक कामे करणे.</t>
  </si>
  <si>
    <t>प्रभाग क्र.३६ कै.यशवंतराव चव्हाण पुल येथे फिटिंग तसेच केबल व जंक्शन बॉक्स बदलणे.</t>
  </si>
  <si>
    <t>प्रभाग क्र३६ मधील एरडंवणा दवाखाना ,फायर ब्रिगेड येथे विद्युत विषयक कामे करणे.</t>
  </si>
  <si>
    <t>प्रभाग क्र.३६ मध्ये शौचालयामध्ये विद्युत विषयक  दुरूस्तीची कामे करणे.</t>
  </si>
  <si>
    <t>प्रभाग क्र. 36 मध्ये भांडारकर रोड अंतर्गत रस्ते डांबरीकरण करणे</t>
  </si>
  <si>
    <t>प्रभाग क्र.११ मध्ये चौकात अपघाती ठिकाणाजवळ वाहतूक पाट्या, कॅटस आय व थर्मोप्लास्टिक पेंट मारणे</t>
  </si>
  <si>
    <t>प्रभाग क्र.११ मध्ये विविध ठिकाणी नाल्याच्या बाजूला लोखंडी जाळ्या बसविणे.</t>
  </si>
  <si>
    <t>प्रभाग क्र.११ मध्ये सार्वजनिक शौचालया मध्ये अपंग व्यक्तींसाठी रॅम्प बनवणे व कमोड भांडी बसवणे</t>
  </si>
  <si>
    <t>प्रभाग क्र.११ मधील विविध ठिकाणी समाज मंदिराची दुरुस्ती व रंगरंगोटी करणे.</t>
  </si>
  <si>
    <t>प्रभाग क्र.११ मध्ये मनपा कोठ्यांची देखभाल दुरुस्ती करणे</t>
  </si>
  <si>
    <t xml:space="preserve">प्रभाग क्र.११ शिवाजी हौसिंग सोसा येथे विविध ठिकाणी साईड पट्टी कॉंक्रीट करणे </t>
  </si>
  <si>
    <t>प्र.११ मध्ये विद्युत व्यवस्था सुधारणे</t>
  </si>
  <si>
    <t>प्रभाग क्र. 11 मध्ये विविध ठिकाणी ग्राउट करणे.</t>
  </si>
  <si>
    <t>प्रभाग क्र. 11 मध्ये थर्मोप्लास्टिक ठिक ठिकाणी पेंट करणे.</t>
  </si>
  <si>
    <t>प्र.क्र.११ मध्ये शौचालयाची ड्रेनेज लाईन टाकणे</t>
  </si>
  <si>
    <t>प्र.१२ मधील विविध ठिकाणी समाज मंदिराची दुरुस्ती करणे</t>
  </si>
  <si>
    <t>प्र.१२ मध्ये विविध ठिकाणी चेंबर, रोड लेवल मध्ये उचलून घेणे</t>
  </si>
  <si>
    <t>प्र.१२ मध्ये विविध ठिकाणी फुटपाथ दुरुस्ती करणे</t>
  </si>
  <si>
    <t>प्र.१२ मध्ये नाल्याच्या कडेला संरक्षक जाळ्या दुरुस्ती करणे व बसवणे</t>
  </si>
  <si>
    <t>प्र.१२ मध्ये समाज मंदिर व विविध शौचालय येथे अपंग व्यक्तीकरिता रॅम्प तयार करणे</t>
  </si>
  <si>
    <t>प्र.१२ मध्ये विविध फुटपाथ वर रेलिंग बसवणे</t>
  </si>
  <si>
    <t>प्र.१२ मध्ये विविध ठिकाणी ड्रेनेज लाईन दुरुस्ती करणे</t>
  </si>
  <si>
    <t>प्र.१२ मध्ये विविध ठिकाणी विद्युत विषयक कामे करणे</t>
  </si>
  <si>
    <t>प्र.१२ मध्ये विविध ठिकाणी गल्ली बोळ मध्ये फरशी बसवणे</t>
  </si>
  <si>
    <t xml:space="preserve">प्र.क्र.१२ मध्ये थर्मो प्लास्टिक पेंट मारणे </t>
  </si>
  <si>
    <t xml:space="preserve">प्र.१२ मध्ये फुटपाथ रंग रंगोटी व विविध विकास कामे करणे </t>
  </si>
  <si>
    <t>प्र.१३ मध्ये विविध ठिकाणी सार्वजनिक शौचालया मध्ये कमोड बसवणे</t>
  </si>
  <si>
    <t>प्र.१३ मधील नाल्याच्या कडेला सरंक्षक जाळ्या बसवणे</t>
  </si>
  <si>
    <t>प्र.१३ मधील पाटील इस्टेट गल्ली नं.६ मध्ये विद्युत विषयक कामे करणे</t>
  </si>
  <si>
    <t>प्र.१३ मधील फुटपाथ वर रेलिंग बसवणे</t>
  </si>
  <si>
    <t>प्र.१३ मधील मुळारोड येथे शौचालय विषयक ड्रेनेज लाईनची कामे करणे</t>
  </si>
  <si>
    <t>प्र.१३ मधील पाटील इस्टेट येथे गल्ली बोळ कॉंक्रीटकरण करणे</t>
  </si>
  <si>
    <t>प.क्र.१३ मध्ये मुळारोड संगमवाडी पाटील इस्टेट येथील समाज मंदिरे,  शौचालये, शाळा व दवाखाने मध्ये अपंग व्यक्तीकरिता रॅम्प बसवणे</t>
  </si>
  <si>
    <t>प्र.क्र.१३ मध्ये नतावाडी, गावठाण परिसरात कॉंक्रीट करणे, फुटपाथ दुरुस्ती, राडारोडा उचलणे</t>
  </si>
  <si>
    <t>प्र.१३ मध्ये एसटी स्टॅनड, रेल्वे स्टेशन,नतावाडी पीएमपीएमएल डेपो येथे वाहतूक विषयक पाट्या, रीडिंग रंगवणे कॅटस आय बसवणे</t>
  </si>
  <si>
    <t>प्र.१३ मधील मुळारोड येथील घाटावर रेलिंग बसवणे व पेंटिंग करणे</t>
  </si>
  <si>
    <t>प्र.१३ मधील संगमवाडी येथे साईबाबा मंदिराजवळ ड्रेनेज लाईन टाकणे</t>
  </si>
  <si>
    <t>प्र.१३ मधील नतावाडी परिसरात ड्रेनेज लाईन दुरुस्ती</t>
  </si>
  <si>
    <t>प्रभाग क्र.२४ नाथ गल्ली येथे सिमेंट कॉंक्रीट करणे.</t>
  </si>
  <si>
    <t>प्रभाग क्र.२४ सिमेंट कॉंक्रीट करणे (शिरोळे गल्ली)</t>
  </si>
  <si>
    <t>प्रभाग क्र.२४ मध्ये ड्रेनेज लाईन टाकणे</t>
  </si>
  <si>
    <t>प्रभाग क्र.२४ मध्ये चेंबर दुरुस्ती करणे</t>
  </si>
  <si>
    <t>प्रभाग क्र.२४ शिवाजीनगर भागात विद्युत व्यवस्था करणे</t>
  </si>
  <si>
    <t>प्रभाग क्र.२४ शिवाजीनगर गावठाण येथे ड्रेनेज लाईनची दुरुस्ती करणे व कॉंक्रीट करणे.</t>
  </si>
  <si>
    <t>प्रभाग क्र. 24 पुलाची वाडी येथे ड्रेनेज लाईन व चेंबर टाकणे व दुरुस्ती करणे.</t>
  </si>
  <si>
    <t>प्रभाग क्र. 24 आपटे रोड अंतर्गत गल्लीत ड्रेनेज लाईनची दुरुस्ती करणे व कॉंक्रीट करणे.</t>
  </si>
  <si>
    <t>प्रभाग क्र.२४ मध्ये ड्रेनेज लाईन बदलणे</t>
  </si>
  <si>
    <t>प्रभाग क्र. 24 मधिल गणपती चौक ते जोशी आळी गणपती चौक ते जंगली महाराज रस्ता गणपती चौक ते शिरोळी आळी रस्ता येथील गटाराची लाईन बदलणे.</t>
  </si>
  <si>
    <t>प्रभाग क्र.२५ रामोशीवाडी परीसरामध्ये कॉंक्रीट व फरशी काम करणे</t>
  </si>
  <si>
    <t>प्रभाग क्र.२५ मनपा वसाहतीमागील ड्रेनेज चेंबर दुरुस्ती करणे व पाईप बदलणे.</t>
  </si>
  <si>
    <t>प्रभाग क्र.२५ स.नं.२६१ गुंजाळवाडी येथे ड्रेनेज लाईन टाकणे व कॉंक्रीटीकरण करणे</t>
  </si>
  <si>
    <t>प्रभाग क्र.२५ हेल्थ कॅम्प पूरग्रस्त वसाहत येथे ड्रेनेज लाईन टाकणे व फरशी बसविणे.</t>
  </si>
  <si>
    <t>प्रभाग क्र.२५ प्रभागातील सार्वजनिक शौचालयामध्ये अपंगांसाठी कमोड बसवणे</t>
  </si>
  <si>
    <t>प्रभाग क्र.२५ प्रभागातील आरोग्य कोठी मध्ये दुरुस्ती कामे करणे</t>
  </si>
  <si>
    <t>प्रभाग क्र.२५ मधिल नाल्यांवर जाळ्या बसवणे</t>
  </si>
  <si>
    <t>प्रभाग क्र.२५ रामोशीवाडी मधील ठिकठिकाणी ड्रेनेज लाईन बदलणे व कॉंक्रीटकरण करणे</t>
  </si>
  <si>
    <t>प्रभाग क्र.२५ मधिल रस्त्याच्या कडेला असलेल्या भिंतीवर चित्र रंगवणे व स्लोगन लिहिणे</t>
  </si>
  <si>
    <t>प्र.२५ मनपा वसाहती मध्ये दरवाजे दुरुस्ती टाइल्स बदलणे इ. दुरुस्तीची कामे करणे</t>
  </si>
  <si>
    <t>प्र.२५ मनपा वसाहती मध्ये  प्लास्टर व इतर दुरुस्तीची कामे करणे</t>
  </si>
  <si>
    <t>प्रभाग क्र.२५ मधिल रस्त्यांवर विविध ठिकाणी कॅटसआय बसविणे</t>
  </si>
  <si>
    <t>प्रभाग क्र.२५ मधिल शौचालयांना पाण्याचे मोटर व इतर कामांसाठी विद्युत व्यवस्था करणे</t>
  </si>
  <si>
    <t>प्रभाग क्र.२५ मधिल रस्त्यांवर पट्टे मारणे</t>
  </si>
  <si>
    <t xml:space="preserve">प्र.क्र.३६ मधिल जाळीची गटारे आहेत.ती रस्त्यांच्या खूप खाली गेली आहेत. ती काढून सिमेंट कॉंक्रीट चे चेंबर्स लेव्हल करून बसविणे </t>
  </si>
  <si>
    <t>प्र.क्र.३६ मध्ये विविध सिमेंट कॉंक्रीट रस्त्यावर पी१ पी२ बोर्ड बसवणे</t>
  </si>
  <si>
    <t>प्र.क्र.३६ एरंडवणा गावठाण येथील अंतर्गत रस्ते डांबरीकरण करणे</t>
  </si>
  <si>
    <t>प्र.क्र.३६ प्लॉट नं.१४,१५,१६,१७ विविध वस्ती ठिकाणी ड्रेनेज व फरशी सुविधा देणे</t>
  </si>
  <si>
    <t>प्र.३६ मध्ये विविध ठिकाणी फुटपाथ दुरुस्ती करणे. (फत्तेलाल पथ कॉर्नर प्रभात रोड,भांडारकर रोड आयसीआयसीआय बँक कॉर्नर)</t>
  </si>
  <si>
    <t>प्र.क्र.३६ मधिल दवाखाना व शाळामधील पाण्याचे मोटार व इतर कामांसाठी विद्युत व्यवस्था करणे</t>
  </si>
  <si>
    <t>प्र.क्र.३६ एरंडवणा भागात विद्युत व्यवस्था करणे</t>
  </si>
  <si>
    <t>प्र.क्र.३६ मध्ये विविध ठिकाणी ग्राउट कॉंक्रीटीकरण करणे.</t>
  </si>
  <si>
    <t>प्र.क्र.३६ मध्येचौकात अपघाती ठिकाणाजवळ वाहतूक विषयक पाट्या कॅटस आय व रेलिंग बसविणे</t>
  </si>
  <si>
    <t>प्र.क्र.३६ मध्ये विविध ठिकाणी फुटपाथवर रेलिंग बसविणे</t>
  </si>
  <si>
    <t>प्र.क्र.३६ मध्ये प्रभात रस्ता भांडारकर रस्ता अंतर्गत सार्वजनिक गल्ल्यांमध्ये प्रकाश व्यवस्था करणे</t>
  </si>
  <si>
    <t>प्र.क्र.३६ मध्ये मुख्य चौकात अंतर्गत जोड रस्ते फाटे या ठिकाणी ब्लिंकर्स बसविणे</t>
  </si>
  <si>
    <t>प्र.क्र.३६ मध्ये अपघाती ठिकाणी हायमास्क बसवून प्रखर प्रकाश व्यवस्था करणे</t>
  </si>
  <si>
    <t>प्रभाग क्र. २० मुंढवा गावठाण व सर्वोदय कॉलनी परीसर डे्रनेज लाईन टाकणे व काँक्रीट करणे</t>
  </si>
  <si>
    <t>प्रभाग क्र. २० शिंदे वस्ती व जहांगीर नगर येथे डे्रनेज लाईन टाकणे व काँक्रीट करणे.</t>
  </si>
  <si>
    <t>प्रभाग क्र. २० लक्ष्मी नगर, मिरेकरवस्ती येथील डे्रनेज लाईन टाकणे व काँक्रीट करणे.</t>
  </si>
  <si>
    <t>प्रभाग क्र. २० लक्ष्मी नगर, मिरेकरवस्ती, शिंदे वस्ती येथील शौचालय दुरुस्ती करणे.</t>
  </si>
  <si>
    <t>प्रभाग क्र. २० मुंढवा परिसरातील शौचालय दुरुस्ती  करणे.</t>
  </si>
  <si>
    <t>प्रभाग क्र. २० लोहियानगर येथील शौचालय दुरुस्ती करणे.</t>
  </si>
  <si>
    <t>प्रभाग क्र. २० मुंढवा परिसरातील विविध ठिकाणचे डे्रनेज लाईन साफसफाई करणे.</t>
  </si>
  <si>
    <t>प्रभाग क्र. २० हडपसर इंडस्ट्रीयल एरिया मधील विविध ठिकाणचे चेंबर समपातळील घेणे.</t>
  </si>
  <si>
    <t>प्रभाग क्र. २० पुणे-सोलापूर रोड मुंढवा मुख्य रस्ता, मगर पट्‌टा रोड वरील राडा रोडा उचलणे.</t>
  </si>
  <si>
    <t>प्रभाग क्र. २० आण्णा साहेब मगर दवाखाण्याचे विविध विकास कामे करणे.</t>
  </si>
  <si>
    <t>प्रभाग क्र. २० मिरेकर वस्ती येथे डांबरीकरण करणे.</t>
  </si>
  <si>
    <t>प्रभाग क्र. २० हडपसर कचरा रॅम्पच्या मागील गेट पासून प्रविण मसाले चौकापर्यंत डांबरीकरण करणे.</t>
  </si>
  <si>
    <t>प्रभाग क्र. २० हडपसर इंडस्ट्रीयल एरिया मधील विविध ठिकाणचे राडारोडा उचलणे.</t>
  </si>
  <si>
    <t>प्रभाग क्र. २० हडपसर इंडस्ट्रीयल एरिया मधील विविध ठिकाणची रिइन्सिटीटमेंटची कामे करणे</t>
  </si>
  <si>
    <t>प्रभाग क्र. २० हडपसर इंडस्ट्रीयल एरिया मधील विविध ठिकाणी पावसाळी लाईन टाकणे.</t>
  </si>
  <si>
    <t>प्रभाग क्र. २० मध्ये विुत विषयक कामे करणे.</t>
  </si>
  <si>
    <t>प्र.क्र. २० लक्ष्मीनगर, मिरेकर वस्ती, शिंदे वस्ती, जहांगीर नगर येथील विविध ठिकाणचे ड्रेनेज लाईन साफसफाई करणे</t>
  </si>
  <si>
    <t>प्रभाग क्र. २१ महात्मा जोतीराव फुले शाळेमध्ये येथे दुरूस्तीचे कामे करणे.</t>
  </si>
  <si>
    <t>प्रभाग क्र. २१ भैरोबा स्मशान भुमी येथे विविध विकास कामे करणे.</t>
  </si>
  <si>
    <t>प्रभाग क्र. २१ बर्निंग घाट स्मशान भुमी येथे विविध विकास कामे करणे.</t>
  </si>
  <si>
    <t>प्रभाग क्र. २१ मध्ये महात्मा फुले  इंग्रजी शाळेच्या पार्किंगचे  काम करणे.</t>
  </si>
  <si>
    <t>प्रभाग क्र. २१ मधील विविध आरोग्य कोठी व समाज मंदिरांची दुरूस्ती विषयक कामे करणे.</t>
  </si>
  <si>
    <t>प्रभाग क्र. २१ मधील ढोले पाटील क्षेत्रिय कार्यालय आवारातील मटण -मांसळी मार्केट दुरूस्ती विषयक कामे करणे.</t>
  </si>
  <si>
    <t>प्रभाग क्र. २१ मध्ये फुटपाथ दुरूस्तीची कामे करणे.</t>
  </si>
  <si>
    <t>प्रभाग क्र. २१ बंडगार्डन पाणी पुरवठा ते रागविलास सोसायटी पर्यंत रस्ता डांबरीकरण करणे.</t>
  </si>
  <si>
    <t>प्रभाग क्र. २१ कपिला डेअरी ते उल्हासनगर पर्यंत रस्ता डांबरीकरण करणे.</t>
  </si>
  <si>
    <t>प्रभाग क्र. २१ जहांगिर हॉस्पीटल चौक ते ढोले पाटील (लडकतवाडी रोड ) पर्यंत डांबरीकरण करणे.</t>
  </si>
  <si>
    <t>प्रभाग क्र. २१ मध्ये विविध ठिकाणी ड्रेनेज लाईन टाकणे, काँक्रीट करणे  व दुरूस्तीची कामे करणे.</t>
  </si>
  <si>
    <t>प्रभाग क्र. २१ मधील विविध वस्त्यांमध्ये काँक्रीटीकरण करणे.</t>
  </si>
  <si>
    <t>प्रभाग क्र. २१ मधील विविध शौचालयाची दुरूस्ती विषयक कामे करणे.</t>
  </si>
  <si>
    <t>प्रभाग क्र. २१ मध्ये विुत विषयक कामे करणे.</t>
  </si>
  <si>
    <t>प्रभाग क्र. २२ मध्ये नायडु हॉस्पिटल येथील इबोला वॉर्डमध्ये विविध विकास कामे करणे.</t>
  </si>
  <si>
    <t>प्रभाग क्र. २२ खड्‌डा झोपडपट्‌टीमध्ये विविध ठिकाणी ड्रेनेज दुरूस्ती विषयक कामे करणे.</t>
  </si>
  <si>
    <t>प्रभाग क्र. २२ सिध्देश्वर मित्र मंडळ परीसरात ड्रेनेज दुरुस्ती करणे.</t>
  </si>
  <si>
    <t>प्रभाग क्र. २२ विविध ठिकाणी शौचालय दुरूस्ती विषयक कामे करणे.</t>
  </si>
  <si>
    <t>प्रभाग क्र. २२ मध्ये डॉ. बाबासाहेब आंबेडकर ग्रंथालयाचे विविध विकास कामे करणे.</t>
  </si>
  <si>
    <t>प्रभाग क्र. २२ मध्ये कैलास स्मशानभुमी मध्ये विविध विकास कामे करणे.</t>
  </si>
  <si>
    <t>प्रभाग क्र. २२ मध्ये प्रायव्हेट रोड येथील शौचालयांची दुरूस्ती विषयक कामे करणे.</t>
  </si>
  <si>
    <t>प्रभाग क्र. २२ मध्ये प्रायव्हेट रोड येथे विविध ठिकाणी ड्रेनेज दुरूस्ती विषयक कामे करणे.</t>
  </si>
  <si>
    <t>प्रभाग क्र. २२ मध्ये  विविध विकास कामे करणे.</t>
  </si>
  <si>
    <t>प्रभाग क्र. २२ मध्ये महात्मा फुले वसाहत परीसरामध्ये विविध विकास कामे  करणे.</t>
  </si>
  <si>
    <t>प्रभाग क्र. २२ मध्ये विविध समाज मंदिरांची दुरूस्ती विषयक कामे करणे.</t>
  </si>
  <si>
    <t>प्रभाग क्र. २२ मुस्लीम दफनभुमी व ख्रिश्चन दफनभुमीमध्ये विविध विकास कामे करणे.</t>
  </si>
  <si>
    <t>प्रभाग क्र. २२ मध्ये मायडु हॉस्पीटल मध्ये वायरींग दुरूस्ती विषयक कामे करणे.</t>
  </si>
  <si>
    <t>प्रभाग क्र. २२ मध्ये कैलास स्मशानभुमी  येथे विुत विषयक कामे करणे.</t>
  </si>
  <si>
    <t>प्रभाग क्र. २२ मध्ये विविध विुत विषयक कामे करणे व दिव्यांची देखभाल दुरूस्ती करणे.</t>
  </si>
  <si>
    <t>प्रभाग क्र. २२ मध्ये सर्व सुलभ शौचालयामध्ये वायरींग दुरूस्ती विषयक कामे करणे.</t>
  </si>
  <si>
    <t>प्रभाग क्र.२३ मध्ये कमला नेहरू हॉस्पिटल मध्ये कॅथलॅब व लेबर रूम येथे विविध प्रकारची दुरूस्ती विरषय कामे करणे.</t>
  </si>
  <si>
    <t>प्रभाग क्र.२३ मध्ये भिमनगर कमान ते ३३० नेहरू विकास मंडळ येथे मिलिग करून डांबरीकरण करणे.</t>
  </si>
  <si>
    <t>प्रभाग क्र.२३ मध्ये २५१ इंदिरानगर ३३० नेहरू विकास नगर व भिमनगर परिसरात शौचालयात विविध दुरुस्ती विषयक विकास कामे करणे.</t>
  </si>
  <si>
    <t>प्रभाग क्र.२३ मध्ये २५१ इंदिरानगर ३३० नेहरू विकास नगर व भिमनगर परिसरात शौचालयात विविध ठिकाण ड्रेनेज व काँक्रीट विषयक कामे करणे.</t>
  </si>
  <si>
    <t>प्रभाग क्र.२३ मध्ये ३३० नेहरू विकास मंडळ हॉल, संत गाडगे महाराज आरोग्य कोठी , सावित्रीबाई फुले महिला सांस्कृतिक भवन व राजमाता जिजाबाई  भवन येथे विविध प्रकारची दुरूस्ती विषयक कामे करणे.</t>
  </si>
  <si>
    <t>प्रभाग क्र.२३ मध्ये कमला नेहरू नर्सेस क्वार्टस येथे दुरूस्ती विषयक कामे करणे.</t>
  </si>
  <si>
    <t>प्रभाग क्र.२३ मध्ये संत गाडगे महाराज आरोग्य कोठी करूण्येश्वर मंदिर व २५१ इंदिरानगर मरिआई माता मंदिर परिसरातील पावसाळी व ड्रेनेज लाईन साफ करणे.</t>
  </si>
  <si>
    <t>प्रभाग क्र.२३ मध्ये कमला नेहरू हॉस्पिटल येथे  कॅथलॅब व नविन इमारत येथे विविध प्रकारची विुत विषयक कामे करणे.</t>
  </si>
  <si>
    <t>प्रभाग क्र.२३ मध्ये १३०५ आलोकनगरी मधील संपुर्ण ड्रेनेज लाईन नव्याने टाक णे</t>
  </si>
  <si>
    <t>प्रभाग क्र.२३ मध्ये १३०५ आलोकनगरी मधील रस्ता काँक्रीटीकरण करणे.</t>
  </si>
  <si>
    <t>प्रभाग क्र.२३ मध्ये स्वामीसमर्थ मंदिर ते क्षीरसागर वाडा ड्रेनेजलाईन टाकणे व काँक्रीटीकरण करणे.</t>
  </si>
  <si>
    <t>प्रभाग क्र.२३ मध्ये कागदीपुरा परिसरामध्ये काँक्रीट व शाहबाद फरशी बसविणे.</t>
  </si>
  <si>
    <t>प्रभाग क्र.२३ मध्ये कागदीपुर बांगबोळा मधील ड्रेनेज लाईन व काँक्रीटीकरण करणे.</t>
  </si>
  <si>
    <t>प्रभाग क्र.२३ मध्ये विुत विषयक कामे करणे.</t>
  </si>
  <si>
    <t>प्रभाग क्र.२३ मध्ये जुन्या मलवाहीनी साफ करणे, चेंबर सामपातळी करणे, चेंबर पुर्नबांधनी करणे.</t>
  </si>
  <si>
    <t>प्रभाग क्र.२३ मध्ये विविध ठिकाणी डांबरीकरण करणे.</t>
  </si>
  <si>
    <t>प्रभाग क्र.२३ मधील नागझारी नालालगत ८२९,८३०,८३१, कसबापेठ परिसरातील ड्रेनेज लाईन कँाक्रीट फरशी बदलणे इ. कामे करणे.</t>
  </si>
  <si>
    <t>प्रभाग क्र.२३ मधील ११०० कसबा पेठ येथील शौचालय दुरूस्ती विषयक कामे करणे.</t>
  </si>
  <si>
    <t>प्रभाग क्र.२३ मध्ये कमला नेहरू हॉस्पिटल मध्ये विुत विषयक कामे करणे.</t>
  </si>
  <si>
    <t>प्रभाग क्र.२३ मध्ये कसबा पेठ मटण  मार्केट दुरूस्ती विषयक कामे करणे.</t>
  </si>
  <si>
    <t>प्रभाग क्र.२३ मध्ये कसबा बीफ मार्केट दुरूस्ती करणे.</t>
  </si>
  <si>
    <t>प्रभाग क्र.२३, ३३० मंगळवार पेठ , नागझरी नाला स्पायडर मशीनच्या सहाय्याने साफ करणे व तद्‌नुषंगिक  कामे करणे.</t>
  </si>
  <si>
    <t>प्रभाग क्र.४० मध्ये ड्रेनेज लाईन साफसफाई करणे व तदनुषंगिक कामे करणे.</t>
  </si>
  <si>
    <t>प्रभाग क्र.४० मध्ये पावसाळी लाईन व चेंबर्स र्साफसफाई करणे व तदनुषंगिक कामे करणे.</t>
  </si>
  <si>
    <t>प्रभाग क्र.४० मध्ये मंगळवार पेठ  परिसरात तसेच प्रभागामधील पदपथ दुरुस्तीविषयक कामे करणे.</t>
  </si>
  <si>
    <t>प्रभाग क्र.४० मध्ये पुणे स्टेशन  परिसरात तसेच प्रभागामधील पदपथ दुरुस्तीविषयक कामे करणे.</t>
  </si>
  <si>
    <t>प्रभाग क्र.४० मधील रास्ता पेठ पॉवर हाऊस चौक ते हॉटेल अशोका पर्यत रस्ता मिलींग करुन डांबरीकरण करणे</t>
  </si>
  <si>
    <t>प्रभाग क्र.४० मधील रामायण मंडळ येथील रस्ता मिलींग करुन डांबरीकरण करणे</t>
  </si>
  <si>
    <t>प्रभाग क्र.४० मध्ये कै.दादासाहेब गायकवाड दवाखाना व कलमाडी शाळा/रविंद्रनाथ टागोर शाळा येथे दुरुस्ती करणे व विविध विकास कामे करणे.</t>
  </si>
  <si>
    <t>प्रभाग क्र.४० मध्ये कै.दादासाहेब गायकवाड शाळा येथे दुरुस्ती करणे व विविध विकास कामे करणे.</t>
  </si>
  <si>
    <t>प्रभाग क्र.४० मध्ये रामायण मंडळ,श्रमिकनगर व परिसरातील मनपा शौचालयाची दुरुस्तीची कामे करणे.</t>
  </si>
  <si>
    <t>प्रभाग क्र.४० मध्ये डॉ.बाबासाहेब आंबेडकर सास्कृृतीक भवन येथे विविध विकासाची कामे करणे.</t>
  </si>
  <si>
    <t>प्रभाग क्र.४० मध्ये पुणे स्टेशन परिसरात विविध ठिकाणी विुत विषयक कामे करणे.</t>
  </si>
  <si>
    <t>प्रभाग क्र.४० मध्ये डॉ.बाबासाहेब आंबेडकर उान या ठिकाणी जंयती निमित्त मांडव व्यवस्था करणे</t>
  </si>
  <si>
    <t>प्र.क्र.४०, ४२२ सोमवार पेठ,गारपीर मस्जिद,शिवरकर मळा व परिसरातील मनपा शौचालयाची दुरुस्तीची कामे करणे.</t>
  </si>
  <si>
    <t>प्रभाग क्र.२० मध्ये मुंढवा भाजी मार्केट येथील फुटपाथ (पदपथ) दुरूस्ती व विकसीत करणे.</t>
  </si>
  <si>
    <t>प्रभाग क्र.२० मध्ये मुंढवा भाजी मार्केट ते कामगार मैदान येथील मोठया व्यासाची ड्रेनेज लाईन टाकणे.</t>
  </si>
  <si>
    <t>प्रभाग क्र.२० मध्ये मुंढवा किर्तनेबाग येथील पुलाखाली जाणा-या साईड रोडवर पावसाळी लाईन टाकणे.</t>
  </si>
  <si>
    <t>प्रभाग क्र.२० मध्ये मुंढवा पुलाखालील उदयानामध्ये पदपथ विकसीत करणे.</t>
  </si>
  <si>
    <t>प्रभाग क्र.२० मध्ये आनंद निवास राजगे आळी येथील सुलभ शौचालय दुरूस्ती करणे.</t>
  </si>
  <si>
    <t>प्रभाग क्र.२० मध्ये मुंढवा गाव, सर्वोदय कॉलनी येथील सार्वजनिक शौचालयांची दुरूस्ती करून रंगकाम करणे.</t>
  </si>
  <si>
    <t>प्रभाग क्र.२० मध्ये मुंढवा गावठाणातील सर्व सार्वजनिक ड्रेनेज लाईन दुरूस्ती व चेंबर्सची दुरूस्ती करणे.</t>
  </si>
  <si>
    <t>प्रभाग क्र.२० मध्ये मुंढवा गावठाणातील सर्व रस्त्यांचे पेव्हरने डांबरीकरण करणे.</t>
  </si>
  <si>
    <t>प्रभाग क्र.२० मध्ये शिंदे वस्ती हडपसर औदोगिक वसाहत येथील नियोजीत कचरा वर्गीकरण प्रकल्पाकडे जाणा-या रस्त्यावर पथदिप व एल ई डी दिवे बसविणे.</t>
  </si>
  <si>
    <t>प्रभाग क्र.२० मध्ये शिंदे वस्ती हडपसर औदोगिक वसाहत येथील ड्रेनेज लाईन दुरूस्त करून चेंबर्स बदलणे.</t>
  </si>
  <si>
    <t>प्र.क्र.२०, भोसले गार्डन, भोसले नगर या परिसरातील नागरिकांना कचरा व्यवस्थापनासाठी प्लास्टिकच्या बकेट पुरविणे</t>
  </si>
  <si>
    <t>प्रभाग क्र.२१ मध्ये भदंन्त आनंद बुध्द विहार येथे विविध विकास कामे करणे.</t>
  </si>
  <si>
    <t>प्रभाग क्र.२१ बर्निंग घाट येथे ड्रेनेज लाईन टाकणे.</t>
  </si>
  <si>
    <t>प्रभाग क्र.२१ बर्निंग घाट येथे कॉक्रीट करणे.</t>
  </si>
  <si>
    <t>प्रभाग क्र.२१ शाहू महाराज चाळ येथे विदयुत व्यवस्था करणे.</t>
  </si>
  <si>
    <t>प्रभाग क्र.२१ लोकसेवा वसाहत समाज मंदिराची दुरूस्ती करणे.</t>
  </si>
  <si>
    <t>प्रभाग क्र.२१ आगवाली चाळ येथे कॉक्रीट करणे.</t>
  </si>
  <si>
    <t>प्रभाग क्र.२१ मध्ये दरोडे मळा येथे कॉक्रीटीकरण करणे.</t>
  </si>
  <si>
    <t>प्रभाग क्र.२१ मध्ये दरोडे मळा येथे शौचालयांची दुरूस्ती करणे.</t>
  </si>
  <si>
    <t>प्रभाग क्र.२१ मध्ये कवडेवाडी येथे ड्रेनेज लाईन व कॉक्रीट करणे.</t>
  </si>
  <si>
    <t>प्रभाग क्र.२१ मध्ये गाडगे महाराज वस्ती येथे शौचालय दुरूस्ती करणे.</t>
  </si>
  <si>
    <t>प्रभाग क्र.२१ मध्ये आगवाली चाळ येथे विदयुत व्यवस्था करणे.</t>
  </si>
  <si>
    <t>प्रभाग क्र.२२ मध्ये नागरिकांना ओला सुका कचरा वर्गीकरण करणे करिता लहान बकेट वाटण्यात याव्यात.</t>
  </si>
  <si>
    <t>प्रभाग क्र.२२ मध्ये प्लास्टिक बदीकरिता कापडी पिशव्या नागरिकांना वाटण्यात याव्यात.</t>
  </si>
  <si>
    <t>प्रभाग क्र.२२ मध्ये विश्वदिप तरूण मंडळ नदी किनारी असलेल्या सार्वजनिक स्वच्छतागृहाची दुरूस्ती व डागडुजी करून रंगरंगोटी करणे.</t>
  </si>
  <si>
    <t>प्रभाग क्र.२२ मध्ये भाजी मार्केट येथे असलेले दुमजली स्वच्छतागृह दुरूस्त करून पाण्याच्या टाक्या बदलणे.</t>
  </si>
  <si>
    <t>प्रभाग क्र.२२ मध्ये विविध ठिकाणी असलेल्या महिला स्वच्छतागृहामध्ये सॅनेटरी नॅपकीन डिस्पोजल मशीन बसविणे.</t>
  </si>
  <si>
    <t>प्रभाग क्र.२२ मध्ये एकजुट मंडळालगत असलेल्या महिला व पुरूष स्वच्छतागृहाची दुरूस्ती विषयक कामे करणे.</t>
  </si>
  <si>
    <t>प्रभाग क्र.२२ मध्ये विविध ठिकाणी असलेल्या बोअर पंप हात पंप दुरूस्त कराव्यात.</t>
  </si>
  <si>
    <t>प्रभाग क्र.२२ मध्ये जहांगिर हॉस्पीटल चौक/लडकत वाडी चौक येथील सिग्नल वाहतुक दिप संचलन व्यवस्था दुरूस्त करणे व उंचावर बसविणे.</t>
  </si>
  <si>
    <t>प्रभाग क्र.२२ मध्ये नदिकिानारी असणा-या परिसरात झोपडपटटी गल्ली बोळात इंटरलॉकिंग ब्लॉक बसविणे.</t>
  </si>
  <si>
    <t>प्रभाग क्र.२२ मध्ये भिमसंघटना झोपडपटटीमध्ये इंटरलॉकिंंग ब्लॉक बसविणे.</t>
  </si>
  <si>
    <t>प्रभाग क्र.२२ मध्ये आई जनाई माता मंदिर नदिकिनारी घाट बांधणे व मंदिर परीसरात सरंक्षक भिंत बांधणे.</t>
  </si>
  <si>
    <t>प्रभाग क्र.२२ मध्ये आई जनाई माता मंदिराकडे जाण्यासाठी रस्ता बनविणे.</t>
  </si>
  <si>
    <t>प्रभाग क्र.२२ मध्ये विविध ठिकाणच्या समाजमंदिरामध्ये रंगरंगोटी करणे.</t>
  </si>
  <si>
    <t>प्रभाग क्र.२२ मध्ये विविध ठिकाणी असणारी पिण्याच्या पाण्याची लाईन दुरूस्ती करणे.</t>
  </si>
  <si>
    <t>प्रभाग क्र.२३ मध्ये जाचक वाडा कॉक्रीट करणे.</t>
  </si>
  <si>
    <t>प्रभाग क्र.२३ मध्ये स्वामी समर्थ पासून ८३० पर्यंत कॉक्रीट करणे ड्रेनेज लाईन टाकणे.</t>
  </si>
  <si>
    <t>प्रभाग क्र.२३ येथील ३३० नेहरू विकास नगर, भिमनगर, इंदिरा नगर येथील खराब झालेली पाण्याची लाईन नव्याने टाकणे व तदनुषंगिक कामे करणे.</t>
  </si>
  <si>
    <t>प्रभाग क्र.२३ येथील ३३० नेहरू विकास नगर, भिमनगर, २५१ इंदिरा नगर येथील शौचालयाची दुरूस्ती करणे व तदनुषंगिक कामे करणे.</t>
  </si>
  <si>
    <t>प्रभाग क्र.२३ येथील नागझरी नाला स्वच्छ करणे व राडारोडा उचलणे व तदनुषंगिक कामे करणे.</t>
  </si>
  <si>
    <t>प्रभाग क्र.२३ येथे विविध महानगरपालिकेच्या इमारतीमधील विकास कामे करणे व तदनुषंगिक कामे करणे.</t>
  </si>
  <si>
    <t>प्रभाग क्र.२३ मध्ये भगतसिंग मित्र मंडळ येथे सिमाभिंत बांधणे.</t>
  </si>
  <si>
    <t>प्रभाग क्र.२३ मध्ये शौचालय दुरूस्ती करणे (सर्व सार्वजनिक शौचालये)</t>
  </si>
  <si>
    <t>प्रभाग क्र.२३ मध्ये कुंभारवाडा बांगी बोळ ड्रेनेज लाईन टाकणे.</t>
  </si>
  <si>
    <t>प्रभाग क्र.२३ मध्ये गाडगीळ पुतळा ते कोंबडीबाजार पर्यंत कठडयाला जाळी बसविणे.</t>
  </si>
  <si>
    <t>प्रभाग क्र.२३ येथे छत्रपती शिवाजी स्टेडियम समोरील फुटपाथ नविन करणे.</t>
  </si>
  <si>
    <t>प्रभाग क्र.२३ मध्ये वीर मित्र मंडळ येथे ड्रेनेज लाईन टाकणे व कॉक्रीट करणे.</t>
  </si>
  <si>
    <t>प्रभाग क्र.४० मध्ये पेन्शनवाला मस्जीद ते ऑर्नेला स्कुल फुटपाथ दुरूस्त करणे.</t>
  </si>
  <si>
    <t>प्रभाग क्र.४० मध्ये २५१ श्रमिक नगर येथील शौचालय दुरूस्त करणे.</t>
  </si>
  <si>
    <t>प्रभाग क्र.४० मध्ये नरपतगिरी चौक ते एस व्ही युनियान शाळेपर्यंत नव्याने विदयुत पोल उभारणे.</t>
  </si>
  <si>
    <t>प्रभाग क्र.४० मध्ये कमिश्नर ऑफिस ते फोटो झिंको विदयुत रोषणाई करणे.</t>
  </si>
  <si>
    <t>प्रभाग क्र.४० मध्ये गृहलक्ष्मी सोसायटी समोरील बाजूस फुटपाथ दुरूस्ती करणे.</t>
  </si>
  <si>
    <t>प्रभाग क्र.४० मध्ये शाहु उदयान येथे लहान मुलांसाठी विविध आकर्षक खेळणी बसविणे.</t>
  </si>
  <si>
    <t>प्रभाग क्र.४० मध्ये शाहू उदयान येथे ज्येष्ठ नागरिकांसाठी स्टीलचे बाके बसविणे.</t>
  </si>
  <si>
    <t>प्रभाग क्र.४० मध्ये मालधक्का चौक ते कॅफे कॅनडा फुटपाथ दुरूस्त करणे.</t>
  </si>
  <si>
    <t>प्रभाग क्र.४० मध्ये डच पॅलेस ते ब्र्रम्हा क्लासिक पर्यंत नवीन लॅकर फिनिशींग फुटपाथ करणे.</t>
  </si>
  <si>
    <t>प्रभाग क्र.४० मध्ये तुकाराम शेठ शिंदे वाहनतळा खालील सुलभ शौचालयाची दुरूस्ती करणे व रंगरंगोटी करणे.</t>
  </si>
  <si>
    <t>FE17A114-10</t>
  </si>
  <si>
    <t>पथ विभागाकडील कोठ्यांसाठी रोलर्स, मिक्‍सर्स, पेव्हर अन्य यंत्रसामुग्री खरेदी करणे</t>
  </si>
  <si>
    <t>५०९ चौक ते लोहगांव 30 मी.डी.पी.रस्ता विकसीत करणे. (धानोरी जकात नाका)</t>
  </si>
  <si>
    <t>अ) कात्रज कोंढवा राजस सोसा. ते शत्रुंजय मंदीर डी.पी. रस्ता विकसित करणे. ब)कात्रज कोंढवा रस्ता शत्रुंजय मंदीर ते मनपा हद्दीपर्यंत डी.पी. रस्ता विकसित करणे.</t>
  </si>
  <si>
    <t>RE19A149A</t>
  </si>
  <si>
    <t>घनकचरा व्यवस्थापन करणेसाठी प्राथमिक वाहतुकीसाठी गाड्या आउटसोर्सिंग तत्वावर (मनपा/ ठेकेदाराकडील) चालविणे</t>
  </si>
  <si>
    <t>घनकचरा व्यवस्थापन करणेसाठी सेकंडरी वाहतुकीसाठी गाड्या आउटसोर्सिंग तत्वावर (मनपा/ ठेकेदाराकडील) चालविणे</t>
  </si>
  <si>
    <t>शहरात होणाऱ्या विविध उस्तव व कार्यक्रमासाठी पोर्टेबल टॉयलेट व ई टॉयलेट पुरवणे</t>
  </si>
  <si>
    <t>सावरकर भवन इमारतीमध्ये मजला वाढ करणे.</t>
  </si>
  <si>
    <t>डॉ. नायडू हॉस्पिटल येथील भांडार कोठी नव्याने बांधणे</t>
  </si>
  <si>
    <t>प्रभाग क्र.६ मुंबई पुणे रोड परिसरात विद्युत विषयक कामे करणे.</t>
  </si>
  <si>
    <t>प्रभाग क्र.६ शिवाजी गार्डनजवळ फुटपाथ विकसित करणे.</t>
  </si>
  <si>
    <t>प्रभाग क्र.६ चिखलवाडी लगतच्या परिसरात विद्युत विषयक कामे करणे.</t>
  </si>
  <si>
    <t>प्रभाग क्र.६ मधील विविध ठिकाणची सार्वजनिक शौचालय दुरुस्ती करणे.</t>
  </si>
  <si>
    <t>प्रभाग क्र.६ बोपोडी महादेव घाट येथील दुरुस्ती व रंगरंगोटी करणे.</t>
  </si>
  <si>
    <t>प्रभाग क्र.६ रेल्वे गेट नं.२० बोपोडी येथील ड्रेनेज लाईन साफ करणे व दुरुस्ती करणे.</t>
  </si>
  <si>
    <t>प्रभाग क्र.६ चिखलवाडी येथील ड्रेनेज लाईन साफ करणे व दुरुस्ती करणे.</t>
  </si>
  <si>
    <t>प्रभाग क्र.६ स.नं.53/54 व भोईटेवस्ती येथील ड्रेनेज लाईन दुरुस्त करणे.</t>
  </si>
  <si>
    <t>प्रभाग क्र.६ स.नं.43 गुरवचाळ व आदर्शनगर येथील ड्रेनेज लाईन दुरुस्त करणे.</t>
  </si>
  <si>
    <t>प्रभाग क्र.६ बोपोडी स.नं.24, 25, 26 मधील सार्वजनिक शौचालय दुरुस्त करणे.</t>
  </si>
  <si>
    <t>प्रभाग क्र.६ बोपोडी विविध ठिकाणी ड्रेनेज लाईन टाकणे व कॉक्रीट करणे.</t>
  </si>
  <si>
    <t>प्रभाग क्र.७ मधील इंदिरा वसाहत येथील ड्रेनेज लाईन दुरुस्ती करणे.</t>
  </si>
  <si>
    <t>प्रभाग क्र.७ मधील कस्तुरबा वसाहत मधील ड्रेनेज लाईन साफ करणे व चेंबर दुरुस्ती करणे.</t>
  </si>
  <si>
    <t>प्रभाग क्र.७ मध्ये संजयनगर व सिध्दार्थनगर येथील ड्रेनेज लाईन साफ करणे व कॉक्रीट करणे.</t>
  </si>
  <si>
    <t>प्रभाग क्र.७ मधील पाटील पडळ येथील ड्रेनेज लाईन व चेंबर दुरुस्ती करणे.</t>
  </si>
  <si>
    <t>प्रभाग क्र.७ मध्ये स.नं.39 औंध रोड येथील ड्रेनेज लाईन वर कॉक्रीट करणे.</t>
  </si>
  <si>
    <t>प्रभाग क्र.७ मधील पावसाळी लाईन्स व जाळया साफ करणे.</t>
  </si>
  <si>
    <t>प्रभाग क्र.७ मधील पाण्याच्या खराब झालेल्या लाईन्स बदलणे.</t>
  </si>
  <si>
    <t>प्रभाग क्र.७ मध्ये कस्तुरबा वसाहत मधील पिण्याच्या पाण्याच्या खराब लाईन बदलणे.</t>
  </si>
  <si>
    <t>प्रभाग क्र.७ मध्ये कॉक्रीट करणे.</t>
  </si>
  <si>
    <t>प्रभाग क्र.७ मध्ये फुटपाथ दुरुस्ती व इतर तद्नुषंगिक कामे करणे.</t>
  </si>
  <si>
    <t>प्रभाग क्र.७ अ मध्ये इंदिरा वसाहत येथील जुन्या पाण्याच्या लाईन बदलणे.</t>
  </si>
  <si>
    <t>प्रभाग क्र.७ मध्ये विविध ठिकाणी ड्रेनेज लाईन दुरुस्ती करणे व कॉक्रीट करणे.</t>
  </si>
  <si>
    <t>प्रभाग क्र.८ इंदिरा गांधी मॉडेल स्कूल मनपा शाळा अप्रोच रस्ता साईड पट्‌टा इंटरलॉकिंग ब्लॉक बसविणे.</t>
  </si>
  <si>
    <t>प्रभाग क्र.८ ब मध्ये पथ विषयक कामे करणे.</t>
  </si>
  <si>
    <t>प्रभाग क्र.८ मध्ये विद्युत विषयक कामे करणे.</t>
  </si>
  <si>
    <t>प्रभाग क्र.८ औंध गांव जेष्ठ नागरिक विरंगुळा केंद्र / आरोग्य कोठी रंगकाम करणे.</t>
  </si>
  <si>
    <t>प्रभाग क्र.८ औंध मनपा शाळा क्र.५४ लगत क्रिडांगण स्टेडियम मागील भाग फॅब्रिकेशन काम करुन गेट करणे.</t>
  </si>
  <si>
    <t>प्रभाग क्र.८ औंध कुटी दवाखाना मुख्य गेटसमोर गतिरोधक व्हॅब्रेट पट्‌टे आखणे.</t>
  </si>
  <si>
    <t>प्रभाग क्र.८ निम्हण मळा येथे गल्लीबोळ रस्ते दुरुस्त करणे.</t>
  </si>
  <si>
    <t>प्रभाग क्र.८ विठ्‌ठल मंदिर ते शितळादेवी मंदिर रस्ता डांबरीकरण करणे.</t>
  </si>
  <si>
    <t>प्रभाग क्र.८ सोमेश्वरवाडी स्मशानभूमी येथे दुरुस्तीची कामे करणे.</t>
  </si>
  <si>
    <t>प्रभाग क्र.८ संजय गांधी वसाहत पाषाण पुणे 21 या ठिकाणी सार्वजनिक शौचालय दुरुस्ती करणे.</t>
  </si>
  <si>
    <t>प्रभाग क्र.८ सोमेश्वरवाडी निम्हण मळा, संजय गांधी, लमाणतांडा रस्ते थर्मोप्लास्ट करणे.</t>
  </si>
  <si>
    <t>प्रभाग क्र.8 संजय महादेव निम्हण प्रा.विद्यालय व वसंतदादा पाटील प्राथमिक विद्या. याठिकाणी शाळांची रंगरंगोटी करणे</t>
  </si>
  <si>
    <t>प्रभाग क्र.९ बाणेर स.नं.253 स्वामी विवेकानंद सोसायटी रस्ता येथे ब्लॉक बसविणे.</t>
  </si>
  <si>
    <t>प्रभाग क्र.९ बाणेर शारदा पार्क येथे ब्लॉक बसविणे.</t>
  </si>
  <si>
    <t>प्रभाग क्र.९ बाणेर तेजस्वीनी सोसायटी येथे ब्लॉक बसविणे.</t>
  </si>
  <si>
    <t>प्रभाग क्र.९ बाणेर पल्लोड फार्म माऊली गार्डनमागे येथे ब्लॉक बसविणे.</t>
  </si>
  <si>
    <t>प्रभाग क्र.९ बाणेर स.नं.260 गणेश बाग येथील रस्ता कॉक्रीट करणे.</t>
  </si>
  <si>
    <t>प्रभाग क्र.९ बाणेर बालाजी पार्क येथे कॉक्रीट ब्लॉक बसविणे.</t>
  </si>
  <si>
    <t>प्रभाग क्र.९ बाणेर पाषाण लिंक रोड सलीसीला बिल्डिंगसमोर नदीलगत फेन्सिंग करणे.</t>
  </si>
  <si>
    <t>प्रभाग क्र.९ बाणेर दत्तनगर परिसरात प्रकाश व्यवस्था करणे.</t>
  </si>
  <si>
    <t>प्रभाग क्र.९ बाणेर तुकाई मंदिर परिसरात विद्युत व्यवस्था करणे.</t>
  </si>
  <si>
    <t>प्रभाग क्र.९ बाणेर तुकाई मंदिराकडे जाणा-या पाय-यांच्या बाजूला रेलिंग करणे.</t>
  </si>
  <si>
    <t>प्रभाग क्र.९ सोपानाव कटके शाळा बाणेर येथे कायमस्वरुपी स्टेज करणे.</t>
  </si>
  <si>
    <t>प्रभाग क्र.९ बाबुराव शेठजी बालवडकर शाळा बालेवाडी येथे कायमस्वरुपी स्टेज करणे.</t>
  </si>
  <si>
    <t>प्रभाग क्र.९ हॉटेल सदानंद ते हॉटेल ग्रीनपार्क या रस्त्यावर वर्दळीच्या ठिकाणी सार्वजनिक शौचालयाची उभारणी करणे.</t>
  </si>
  <si>
    <t>प्रभाग क्र.९ मेडीपॉईंट हॉस्पिटल ते आंबेडकर पूल या रस्त्यावर  सार्वजनिक शौचालयाची उभारणी करणे.</t>
  </si>
  <si>
    <t>प्रभाग क्र.10 पाषाण सर्कल येथील शिवाजी पुतळयाजवळ विद्युत व्यवस्था करणे.</t>
  </si>
  <si>
    <t>प्रभाग क्र.10 सहदेव कुटी रुग्णालय येथे पॅथॅलॉजिकल लॅब येथे विकासाची व फर्निचरची कामे करणे.</t>
  </si>
  <si>
    <t>प्रभाग क्र.10 सुतारवाडी दफनभूमीमध्ये टॉयलेटचे उर्वरित काम व विकास कामे करणे.</t>
  </si>
  <si>
    <t>प्रभाग क्र.10 सुतारवाडी सुसरोड येथील शिवशक्‍ती चौक येथील फुटपाथ दुरुस्ती करणे.</t>
  </si>
  <si>
    <t>प्रभाग क्र.10 सुस रोड येथील साई चौकात वाहतूक सुरळीत करण्यासाठी उपाययोजना करणे.</t>
  </si>
  <si>
    <t>प्रभाग क्र.10 सुतारवाडी येथील सार्वजनिक शौचालय दुरुस्त करणे.</t>
  </si>
  <si>
    <t>प्रभाग क्र.10 सुतारवाडी येथील स.नं.111 व 112 येथील जुन्या ड्रेनेज लाईन बदलणे.</t>
  </si>
  <si>
    <t>प्रभाग क्र.10 सुतारवाडी वेणूताई चव्हाण शाळेमध्ये दुरुस्ती करणे.</t>
  </si>
  <si>
    <t>प्रभाग क्र.10 विठ्‌ठलनगर येथे २" व्यासाची पिण्याची पाण्याची लाईन टाकणे.</t>
  </si>
  <si>
    <t>प्रभाग क्र.6 मधील शौचालयांची दुरूस्ती कामे करणे.</t>
  </si>
  <si>
    <t xml:space="preserve">प्रभाग क्र.6 मधील शौचालयांची व समाजमदिरांची रंगरंगोटीची कामे करणे. </t>
  </si>
  <si>
    <t>प्रभाग क्र.6 मध्ये स.नं.24, 25, 26 भागातील विविध ठिकाणी ड्रेनेज लार्इन व कॉंक्रीट करणे.</t>
  </si>
  <si>
    <t>प्रभाग क्र.6 मध्ये विविध ठिकाणी चेंबर दुरूस्ती करणे.</t>
  </si>
  <si>
    <t>प्रभाग क्र.6 भिमज्योत कमान ते दत्तमदिर 18 इंची ड्रेनेज लार्इन टाकणे.</t>
  </si>
  <si>
    <t>प्रभाग क्र.6 मधील 12 इंची व 18 इंची ड्रेनेज लार्इन चॅम्पीयन मशिनने साफ करणे.</t>
  </si>
  <si>
    <t>प्रभाग क्र.6 मध्ये स.नं.26 येथे चेंबर दुरूस्ती करणे.</t>
  </si>
  <si>
    <t xml:space="preserve">प्रभाग क्र.6 शांता आपटे घाट ट्रिमिक्‍स कॉंक्रीट करणे. </t>
  </si>
  <si>
    <t>प्रभाग क्र.6 शिवाजी मंडळ ते भिमज्योत कमान ट्रिमिक्‍स कॉंक्रीट करणे.</t>
  </si>
  <si>
    <t>प्रभाग क्र.6 भोर्इटेवस्ती ते रेल्वे क्रॉसिंगपर्यंत ट्रिमिक्‍स कॉंक्रीट करणे.</t>
  </si>
  <si>
    <t>प्रभाग क्र.6 चिखलवाडी भागात बौध्दवस्ती कॉंक्रीट करणे.</t>
  </si>
  <si>
    <t>प्रभाग क्र.6 मध्ये स.नं.25 येथे कॉंक्रीट करणे.</t>
  </si>
  <si>
    <t>प्रभाग क्र.6 मधील सर्व भागामध्ये राडारोडा उचलणे.</t>
  </si>
  <si>
    <t>प्रभाग क्र.6 चिखलवाडी ते पोलीस क्‍वार्टरपर्यंत डांबरीकरण करणे.</t>
  </si>
  <si>
    <t>प्रभाग क्र.6 मध्ये विविध   ठिकाणी फुटपाथ दुरूस्ती विषयक कामे करणे.</t>
  </si>
  <si>
    <t>प्रभाग क्र.6 मधील राजेंद्र प्रसाद शाळेतील दुरूस्तीची कामे करणे.</t>
  </si>
  <si>
    <t>प्रभाग क्र.6 मधील सर्वपल्ली, पताशीबार्इ छाजेड, उर्दू शाळा, दुरूस्ती विषयक कामे करणे.</t>
  </si>
  <si>
    <t xml:space="preserve">प्रभाग क्र.6 मधील हिंदू स्मशानभूमीमध्ये विविध विकास कामे करणे. </t>
  </si>
  <si>
    <t xml:space="preserve">प्रभाग क्र.6 मधील दफनभूमीमध्ये विविध विकास कामे करणे. </t>
  </si>
  <si>
    <t xml:space="preserve">प्रभाग क्र.6 मध्ये आंबेडकर चोक ते हॅरीस ब्रीजकडे जाणाऱ्या रस्त्यावर विद्युत विषयक कामे करणे. </t>
  </si>
  <si>
    <t xml:space="preserve">प्रभाग क्र.6 मध्ये पुणे मुंबई महामार्गावरील प्रकाश व्यवस्थेत सुधारणा करणे. </t>
  </si>
  <si>
    <t xml:space="preserve">प्रभाग क्र.6 मध्ये विविध ठिकाणी विद्युत विषयक कामे करणे. </t>
  </si>
  <si>
    <t>प्रभाग क्र.7 मध्ये पाटील पडळ येथे शौचालय दुरूस्ती करणे.</t>
  </si>
  <si>
    <t>प्रभाग क्र.7 मधील स.नं.39 औंध रोड येथील सुलभ शौचालय दुरूस्ती करणे.</t>
  </si>
  <si>
    <t>प्रभाग क्र.7 कस्तुरबा वसाहत व इंदिरा वसाहत येथील शौचालय दुरूस्त करणे.</t>
  </si>
  <si>
    <t>प्रभाग क्र.7 मधील पाटीलपडळ, संजयनगर, सिध्दार्थनगर येथील चेंबर दुरूस्ती करणे.</t>
  </si>
  <si>
    <t>प्रभाग क्र.7 मधील चव्हाण वस्ती व बाराथे वस्ती येथील चेंबर दुरूस्ती करणे.</t>
  </si>
  <si>
    <t>प्रभाग क्र.७ मध्ये स.नं.३९ औंधरोड येथे ड्रेनेज लाईन दुरुस्त करणे, टाकणे व कॉक्रीट करणे.</t>
  </si>
  <si>
    <t>प्रभाग क्र.7 मधील चंद्रमणी संघ नाला व स्पायसर नाला साफ करणे.</t>
  </si>
  <si>
    <t>प्रभाग क्र.७ मध्ये संजयनगर व सिध्दार्थनगर येथे ड्रेनेज लाईन दुरुस्त करणे, टाकणे व कॉक्रिट करणे.</t>
  </si>
  <si>
    <t>प्रभाग क्र.७ मध्ये बाराथेवस्ती व चव्हाणवस्ती येथे ड्रेनेज लाईन दुरुस्त करणे, टाकणे व कॉक्रीट करणे.</t>
  </si>
  <si>
    <t>प्रभाग क्र.७ मध्ये भाऊ पाटील पडळ येथे ड्रेनेज लाईन टाकणे व कॉक्रीट करणे.</t>
  </si>
  <si>
    <t>प्रभाग क्र.7 मध्ये इंदिरा वसाहत व कस्तुरबा वसाहत येथे ड्रेनेज लाईन टाकणे व चेंबर दुरूस्ती करणे.</t>
  </si>
  <si>
    <t>प्रभाग क्र.7 मधील चंद्रमणी संघ व बाराथे वस्ती येथील चेंबर दुरूस्ती करणे.</t>
  </si>
  <si>
    <t>प्रभाग क्र.7 इंदिरा वसाहत नाला साफ करणे.</t>
  </si>
  <si>
    <t>प्रभाग क्र.7 मधील रोहन निलय रोड, स्पायसर रोड पावसाळी लाईन साफ करणे व चेंबर दुरूस्त करणे.</t>
  </si>
  <si>
    <t>प्रभाग क्र.7 मधील भाऊ पाटील रस्ता आंबेडकर चौक व आयोध्या नगरी येथील पावसाळी लाईन साफ करणे व चेंबर दुरूस्ती करणे.</t>
  </si>
  <si>
    <t>प्रभाग क्र.७ मध्ये ३९ औंधरोड व ३८ औंधरोड येथे खोदाई केलेल्या ठिकाणी ग्राउट करणे.</t>
  </si>
  <si>
    <t>प्रभाग क्र.7 मध्ये चंद्रमणी संघ येथे कॉंक्रीट करणे.</t>
  </si>
  <si>
    <t>प्रभाग क्र.7 मधील विविध ठिकाणची फुटपाथ दुरूस्ती करणे.</t>
  </si>
  <si>
    <t>प्रभाग क्र.7 मधील 39 औंध रोड पाटीलपडळ संजयनगर येथील राडारोडा उचलणे व जे.सी.बी. पुरविणे.</t>
  </si>
  <si>
    <t>प्रभाग क्र.7 मध्ये पथ विषयक कामे करणे.</t>
  </si>
  <si>
    <t>प्रभाग क्र.7 होळकर शाळेमध्ये दुरूस्ती कामे करणे.</t>
  </si>
  <si>
    <t>प्रभाग क्र.7 स्वामी विवेकानंद शाळेमध्ये दुरूस्ती विषयक कामे करणे.</t>
  </si>
  <si>
    <t>प्रभाग क्र.7 मधील औंध हिंदु स्मशानभुमीमध्ये दुरूस्ती विषयक कामे करणे.</t>
  </si>
  <si>
    <t xml:space="preserve">प्रभाग क्र.7 मधील पाटील वस्ती, बाराथे वस्ती येथे विद्युत विषयक कामे करणे. </t>
  </si>
  <si>
    <t xml:space="preserve">प्रभाग क्र.7 मधील विविध ठिकाणी विद्युत विषयक कामे करणे. </t>
  </si>
  <si>
    <t>प्र.क्र.८ मधील विविध  शौचालयाची दुरूस्ती कामे करणे.</t>
  </si>
  <si>
    <t>प्र.क्र.८ मधील सिंध सोसायटी व लमाणतांडा ते सोमेश्वरवाडी नाला साफ करणे.</t>
  </si>
  <si>
    <t>प्र.क्र.८ मध्ये ड्रेनेज लाईन  बदलणे, मॅनहोल चेंबर/ पावसाळी चेंबर दुरूस्त करणे.</t>
  </si>
  <si>
    <t>प्र.क्र.८ मधील संजयगांधी, आंबेडकर वसाहत डी. पी. रोड लमाणतांडा वसाहत येथील ड्रेनेज लाईन साफ करणे, चेंबर दुरूस्ती व ड्रेनेज लाईन टाकणे व कॉंक्रीटीकरण करणे.</t>
  </si>
  <si>
    <t>प्र.क्र.८ मधील निम्हण मळा, लमाणतांडा, संजयगांधी वसाहत परिसरात ड्रेनेज लाईन बदलणे.</t>
  </si>
  <si>
    <t>प्र.क्र.८ मध्ये विविध ठिकाणी ड्रेनेज लाईन साफ करणे, चेंबर दुरूस्ती करणे व बदलणे.</t>
  </si>
  <si>
    <t>प्र.क्र.८ मध्ये खात्याने केलेल्या खोदार्इवर डांबरीकरण, कॉंक्रीटीकरण इ. पथ विषयक कामे करणे.</t>
  </si>
  <si>
    <t>प्र.क्र.८ मध्ये राडारोडा उचलणे व जे.सी.बी. पुरविणे.</t>
  </si>
  <si>
    <t>प्र.क्र.८ मध्ये रस्ते व चौक येथे थर्माप्लास्ट पट्टा आखणे, रेडियम कॅटस् आय लावणे, सांकेतिक फलक लावणे, रिफ्लेक्टर लावणे इत्यादी पथ विषयक कामे करणे.</t>
  </si>
  <si>
    <t>प्र.क्र.८ सोमेश्वरवाडी, संजयगांधी वसाहत, निम्हणमळा इत्यादी रस्त्यावर डांबरीकरण करणे.</t>
  </si>
  <si>
    <t>प्र.क्र.८ मधील पावसाळी लार्इन साफ करणे.</t>
  </si>
  <si>
    <t>प्र.क्र.८ मध्ये फुटपाथ दुरूस्ती, पथ विषयक दुरूस्ती कामे करणे.</t>
  </si>
  <si>
    <t>प्र.क्र.८ मधील मनपा शाळा दवाखाने येथे आवश्यक ती दुरूस्ती कामे करणे.</t>
  </si>
  <si>
    <t>प्र.क्र.८ मधील मनपा चे ताब्यात आलेल्या इमारतींची देखभाल दुरूस्ती विषयक कामे करणे.</t>
  </si>
  <si>
    <t>प्र.क्र.८ मधील गोळवलकर शाळा व इंदिरा गांधी शाळा विविध दुरूस्ती कामे करणे.</t>
  </si>
  <si>
    <t>प्र.क्र.८ मध्ये औंधगाव सानेवाडी, आनंद पार्क, नागरस रोड, डी. पी. रोड येथे विद्युत विषयक कामे करणे.</t>
  </si>
  <si>
    <t xml:space="preserve">प्र.क्र.८ मध्ये विविध ठिकाणी विद्युत विषयक कामे करणे. </t>
  </si>
  <si>
    <t xml:space="preserve">प्रभाग क्र.9 मध्ये शौचालय दुरुस्ती कामे करणे. </t>
  </si>
  <si>
    <t>प्रभाग क्र.9 येथील ड्रेनेज आस्ट्रोनिया सोसायटी परिसरात ड्रेनेज लाइन टाकणे.</t>
  </si>
  <si>
    <t>प्रभाग क्र.9 चाकणकर मळा प्रथमेश पार्क परिसरात ड्रेनेज लाईन टाकणे.</t>
  </si>
  <si>
    <t>प्रभाग क्र.9 योगी पार्क येथे उर्वरीत ठिकाणी ड्रेनेज लाईन टाकणे.</t>
  </si>
  <si>
    <t>प्रभाग क्र.9 स.नं.38 उर्वरीत ठिकाणी ड्रेनेज लाईन टाकणे.</t>
  </si>
  <si>
    <t>प्रभाग क्र.9 बालेवाडी भिमनगर येथे ड्रेनेज लाईन टाकणे.</t>
  </si>
  <si>
    <t>प्रभाग क्र.9 बालेवाडी रामनगर येथे ड्रेनेज लाईन टाकणे.</t>
  </si>
  <si>
    <t>प्रभाग क्र.9 बाणेर स.न.38 येथे ड्रेनेज लाइन टाकणे.</t>
  </si>
  <si>
    <t>प्रभाग क्र.9 बालेवाडी गावातील रस्ता पेव्हने फिनिश करणे डांबरीकरण करणे.</t>
  </si>
  <si>
    <t>प्रभाग क्र.9 बॅक ऑफ बडोदयाच्या मागील परिसरात डांबरीकरण करणे.</t>
  </si>
  <si>
    <t>प्रभाग क्र.9 शारदा पार्क स्वामी विवेकानंद सोसायटीमध्ये इंटरलॉकिंग ब्लॉक व दुरूस्ती विषयक कामे करणे.</t>
  </si>
  <si>
    <t>प्रभाग क्र.9 येथील साईनगर येथे क्रॉक्रीटीकरण करणे.</t>
  </si>
  <si>
    <t>प्रभाग क्र.9 सदाफुली पार्क रस्ता डांबरीकरण करणे.</t>
  </si>
  <si>
    <t>प्रभाग क्र.9 बालेवाडी स.नं.110 व 111 येथील रस्ता खडीकरण करणे.</t>
  </si>
  <si>
    <t>प्रभाग क्र.9 बाणेर येथील कलमाडी बंगला ते बाणेर रस्ता पर्यंत कॉंक्रीट करणे.</t>
  </si>
  <si>
    <t>प्रभाग क्र.9 बाणेर येथील कलमाडी बंगला ते साईबाबा मंदिरपर्यंत रस्ता कॉंक्रीट करणे.</t>
  </si>
  <si>
    <t>प्रभाग क्र.9 येथील संत गोरा कुंभार शाळा येथे विविध दुरूस्ती विषयक कामे करणे.</t>
  </si>
  <si>
    <t>प्रभाग क्र.9 बाणेर कटके शाळा दुरूस्ती विषयक कामे करणे.</t>
  </si>
  <si>
    <t>प्रभाग क्र.9 बालेवाडी शाळा दुरूसती विषयक कामे करणे.</t>
  </si>
  <si>
    <t xml:space="preserve">प्रभाग क्र.9 मध्ये विविध ठिकाणी विद्युत विषयक कामे करणे. </t>
  </si>
  <si>
    <t>प्रभाग क्र.9 बालेवाडी मुख्य रस्ता, बाणेर गावठाण, क्रीडा संकुलकडे जाणारा रस्ता व स. न.३८ मध्ये विद्युत विषयक कामे करणे</t>
  </si>
  <si>
    <t>प्रभाग क्र.10 शौचालयाची दुरूस्ती विषयकम कामे करणे.</t>
  </si>
  <si>
    <t>प्रभाग क्र.10 पांडवनगर तापकीर पडाळ व सुतारवाडी परिसरातील चेंबर दुरूस्ती व साफसफाई विषयक कामे करणे.</t>
  </si>
  <si>
    <t>प्रभाग क्र.10 मनपा शाळेमागे परिसरातील ड्रेनेज लाईन टाकणे.</t>
  </si>
  <si>
    <t>प्रभाग क्र.10 मधील नाला बॉक्‍स कलव्हर्ट साफसफाई करणे.</t>
  </si>
  <si>
    <t>प्रभाग क्र.10 मध्ये शौचालय दुरूस्ती करणे.</t>
  </si>
  <si>
    <t>प्रभाग क्र.10 पांडवनगर मध्ये ड्रेनेज लाईन टाकणे.</t>
  </si>
  <si>
    <t>प्रभाग क्र.10 लोंढेवस्ती, कोकाटे आळी, पाषाण परिसरातील ड्रेनेज लाईन दुरूस्ती विषयक कामे करणे.</t>
  </si>
  <si>
    <t>प्रभाग क्र.10 सुतावरवाडी व सुस रोड परिसरातील फुटपाथ दुरूसती विषयक कामे करणे.</t>
  </si>
  <si>
    <t>प्रभाग क्र.10 सुतारवाडी, सुस रोड व इतर परिसरात थर्माप्लास्ट पेंट, कॅटस आय, बोलार्ड व पथ विषयक कामे करणे.</t>
  </si>
  <si>
    <t>प्रभाग क्र.10 मध्ये सुतारवाडी परिसरात खोदाई केलेल्या ठिकाणी ग्राउट करणे.</t>
  </si>
  <si>
    <t>प्रभाग क्र.10 मध्ये सुतारववाडी व सुस परिसरातील पावसाळी लाईन साफ करणे.</t>
  </si>
  <si>
    <t>प्रभाग क्र.10 मधील सुतारवाडी व सुस रोड मध्ये पेडस्ट्रीयन करणे.</t>
  </si>
  <si>
    <t>प्रभाग क्र.10 पाषाण परिसरात फुटपाथ दुरूस्ती विषयक कामे करणे.</t>
  </si>
  <si>
    <t>प्रभाग क्र.10 पाषाण मध्ये स्वामी विवेकानंद सोसायटी समोरील रस्ता डांबरीकरण करणे.</t>
  </si>
  <si>
    <t>प्रभाग क्र.10 पाषाण येथील अंतर्गत रस्ते गल्लीबोळ क्रॉक्रीटीकरण करणे.</t>
  </si>
  <si>
    <t>प्रभाग क्र.10 पंचवटी परिसरात पावसाळी लाईन दुरूस्ती विषयक कामे करणे.</t>
  </si>
  <si>
    <t>प्रभाग क्र.10 सुस रोड पाषाण परिसरामध्ये थार्माप्लास्ट पेंट, बोलार्ड, कॅटस आय व पथ विषयक कामे करणे.</t>
  </si>
  <si>
    <t>प्रभाग क्र.10 पाषाण गावठाण काळे इलाईटस भागामध्ये पावसाळी लाईन व दुरूस्ती विषयक साफसफाई कामे करणे.</t>
  </si>
  <si>
    <t>प्रभाग क्र.10 पंचवटी मध्ये फुटपाथ विषयक कामे करणे.</t>
  </si>
  <si>
    <t>प्रभाग क्र.10 पाषाण भागामध्ये खोदाई केलेल्या ठिकाणी ग्राउट करणे.</t>
  </si>
  <si>
    <t>प्रभाग क्र.10 मध्ये राडारोडा उचलणे व जे.सी.बी. पुरविणे.</t>
  </si>
  <si>
    <t>प्रभाग क्र.10 वेणुताई शाळामध्ये विविध विकसीत व दुरूस्ती विषयक कामे करणे.</t>
  </si>
  <si>
    <t>प्रभाग क्र.10 पाषाण मनपा दवाखाना व सिस्टर क्वाटर्समध्ये दुरूस्ती विषयक कामे करणे.</t>
  </si>
  <si>
    <t xml:space="preserve">प्रभाग क्र.10 सुतारवाडी गावठाण व त्याकडे जाणारे सर्व रस्ते विद्युत विषयक कामे करणे. </t>
  </si>
  <si>
    <t>प्रभाग क्र.10 विविध ठिकाणी विद्युत विषयक कामे करणे.</t>
  </si>
  <si>
    <t>प्रभाग क्र.५२ मधील परिसरात फुटपाथ दुरूस्ती व ब्लॉक बसविणे</t>
  </si>
  <si>
    <t>प्रभाग क्र.५२ दत्तवाडी मधील परिसरात दिशादर्शक फलक लावणे</t>
  </si>
  <si>
    <t>प्र.क्र.५२ मधील पाण्याची लाईन बदलणे</t>
  </si>
  <si>
    <t>प्र.क्र.५२ मध्ये दांडेकर पुल परिसरातील समाज मंदिराची दुरूस्ती करणे</t>
  </si>
  <si>
    <t>प्रभाग क्र.५२ मध्ये विविध ठिकाणी ड्रेनेज लाईन टाकणे.</t>
  </si>
  <si>
    <t>प्रभाग क्र.५२ मध्ये घर नं.५०४ ते ५०८ पर्यंत ड्रेनेज लाईन बदलणे</t>
  </si>
  <si>
    <t>प्रभाग क्र.५२ मधील परिसरातील शौचालयाची दुरूस्ती करणे व तद्‌नुषंगिक कामे करणे.</t>
  </si>
  <si>
    <t>प्रभाग क्र.५२ मधील गुरूदत्त वसाहत व परिसरात काँक्रीटीकरण व फरश्या बसविणे</t>
  </si>
  <si>
    <t>प्र.क्र.५२ मध्ये शौचालयाची दुरूस्ती करणे</t>
  </si>
  <si>
    <t>प्र.क्र.५२ मध्ये दांडेकर पुल परिसरात ड्रेनेज लाईन टाकणे</t>
  </si>
  <si>
    <t>प्रभाग क्र.५२ मधील भंडारी हॉटेल ते लडकतवाडी येथील वायरींग अंडरग्राऊंड करणे</t>
  </si>
  <si>
    <t>प्रभाग क्र.५२ स.नं.१२९/५७९ येथे लाइटचे पोल उभे करणे.</t>
  </si>
  <si>
    <t>प्रभाग क्र.५२ मध्ये विुत विषयक कामे व प्रकाश व्यवस्थेत सुधारणा करणे</t>
  </si>
  <si>
    <t>प्र.क्र.५२ मध्ये गल्ली बाळात पथदिवे बसविणे</t>
  </si>
  <si>
    <t>प्रभाग क्र. ५३ मध्ये साईनगर मध्ये बिल्डींगमुळे रस्त्यामध्ये चालण्यास अडथळा होत आहे तरी पेव्हींग ब्लॉक्स बसविणे</t>
  </si>
  <si>
    <t>प्रभाग क्र. ५३ मध्ये महालक्ष्मी सोसायटी ते ओढ्यापर्यंत परिसरात कॉक्रीटीकरण करणे</t>
  </si>
  <si>
    <t>प्रभाग क्र. ५३ मध्ये आनंद मारूती मंदिर ते शशितारा विहार परिसरात साईडपट्टी करणे</t>
  </si>
  <si>
    <t>प्रभाग क्र.५३ साईनगर परिसरामध्ये काँक्रीटीकरण करणे.</t>
  </si>
  <si>
    <t>प्रभाग क्र.५३ मध्ये स.नं.१४/१५, विठ्ठल नगर कॉलनी, गुरूदत्त मिल ते कुकडे  यांच्या घरापर्यंत जुनी ड्रेनेज लाईन काढून नवीन मोठ्या व्यासाची ड्रेनेज लाईन टाकणे</t>
  </si>
  <si>
    <t>प्रभाग क्र. ५३ मध्ये साईनगर येथील देशमुख प्लाझा मागे ड्रेनेज लाईन बदलणे</t>
  </si>
  <si>
    <t>प्रभाग क्र. ५३ मध्ये स.नं.२/३ येथील कॅनॉल जवळील रोडवर महिलांसाठी सुलभ शौचालय बांधणे</t>
  </si>
  <si>
    <t>प्रभाग क्र.५३ मध्ये जेष्ठ नागरिकांसाठी बसण्यासाठी सोय करणे.</t>
  </si>
  <si>
    <t>हिंगणे खुर्द व आनंदनगर परिसरात विुत विषयक कामे करणे</t>
  </si>
  <si>
    <t>आनंद विहार मतीमंद शाळेपासून ते राऊत बिल्डींग पर्यंत दिवे बसविणे</t>
  </si>
  <si>
    <t>भारती बँक शेजारील रोड पेव्हर करणे</t>
  </si>
  <si>
    <t>लेन बी/२६ जीवन दिप शेजारील रस्ता पेव्हर करणे</t>
  </si>
  <si>
    <t>दळवी वाडी परिसरात प्रत्येक गल्लीस लेन नंबर देऊन माहिती बोर्ड बसविणे</t>
  </si>
  <si>
    <t>अग्रिशामक दल केंद्राच्या मागील तारकेश्वर सोसायटी गल्लीत रस्ता करणे</t>
  </si>
  <si>
    <t>साईगगन पॅलेस नर्‍हेरोड येथे साईडपट्टया कॉक्रीटीकरण करणे</t>
  </si>
  <si>
    <t>स्वीट मॉल शेजारील रस्ता डांबरीकरण करणे</t>
  </si>
  <si>
    <t>पोकळे एम्पायर लेन ला एल ई डी फिटींग बसविणे/पोल बसविणे.</t>
  </si>
  <si>
    <t>दळवी वाडी येथे विविध ठिकाणी एल ई डी फिटींग बसविणे/ पोल बसविणे.</t>
  </si>
  <si>
    <t>शिवसागर सिटी ते खाडे गिरणी पर्यंत १५० वॅट एल ई डी बसविणे</t>
  </si>
  <si>
    <t>वडगांव बु. टेलनाका येथे बसशेड उभे करणे  व सुधारणा करणे.</t>
  </si>
  <si>
    <t>वडगांव बु पोस्ट ऑ.गल्ली ते रेणुकानगरी पर्यंत नाल्याच्या कडेने आरसीसी वॉल बांधणे</t>
  </si>
  <si>
    <t>वडगांव बु. किर्तीनगर ते हगवणे नगर नाल्याच्या कडेने सिमाभिंत बांधणे</t>
  </si>
  <si>
    <t>प्रभाग क्र.५५ पठार वस्ती पासलकर यांचे घर ते जाधवर,कदम यांचे घर रस्ता पेव्हर करणे.</t>
  </si>
  <si>
    <t>प्रभाग क्र.५५ तुकाईनगर गल्ली बोळ यु.टी.डब्ल्यु.टी कॉक्रीट करणे</t>
  </si>
  <si>
    <t>निवृत्तीनगर मधील पवळे चाळ ते निवंगुणे यांचे घरापर्यंत रस्ता ट्रिमिक्स करणे.</t>
  </si>
  <si>
    <t>काकडे यांचे घर ते कोकाटे यांचे घरापर्यंत रस्ता ट्रिमिक्स करणे.</t>
  </si>
  <si>
    <t>पठारवस्ती गोरे यांचे बिल्डींग ते पासकर बिल्डींग रस्ता ग्राऊट करणे</t>
  </si>
  <si>
    <t>निवृत्तीनगर पासलकर यांचे घर ते पायगुडे रस्ता चाळ ट्रिमिक्स काँक्रीट  करणे.</t>
  </si>
  <si>
    <t>प्र.क्र.५५ मधील विुत विषयक कामे करणे.</t>
  </si>
  <si>
    <t>प्रभाग क्र.५६ जनता वसाहत येथील गल्ली नं.९० ते १०० अर्धा ते एक इंची पाण्याची लाईन जिर्ण झाल्यामुळे पाईप लाईन बदलणे</t>
  </si>
  <si>
    <t>प्रभाग क्र.५६ जनता वसाहत येथील गल्ली नं.१०० ते १०८ अर्धा ते एक इंची पाण्याची लाईन जिर्ण झाल्यामुळे पाईप लाईन बदलणे</t>
  </si>
  <si>
    <t>प्रभाग क्र.५६ जनता वसाहत येथील गल्ली नं.७१ ते ८० जनता वसाहत येथे नवीन ड्रेनेज लाईन व कॉक्रीटीकरण करणे</t>
  </si>
  <si>
    <t>प्रभाग क्र.५६ जनता वसाहत येथील गल्ली नं.६१ ते ७० जनता वसाहत येथे नवीन ड्रेनेज लाईन व कॉक्रीट करणे</t>
  </si>
  <si>
    <t>प्रभाग क्र.५६ जनता वसाहत येथील गल्ली नं.३१ ते ४० येथे शौचालय दुरूस्ती करणे</t>
  </si>
  <si>
    <t>प्रभाग क्र.५६ जनता वसाहत येथील गल्ली नं.२१ ते ३० येथे शौचालय दुरूस्ती करणे</t>
  </si>
  <si>
    <t>प्रभाग क्र.५६ जनता वसाहत येथील गल्ली नं.१० ते २० येथील जनता वसाहत पर्वती शौचालय दुरूस्ती करणे</t>
  </si>
  <si>
    <t>प्रभाग क्र.५६ जनता वसाहत येथील गल्ली नं.४१ ते ५० मनपा जनता वसाहत येथील सार्वजनिक शौचालय दुरूस्ती करणे</t>
  </si>
  <si>
    <t>प्रभाग क्र.५६ जनता वसाहत येथील गल्ली नं.१ ते ८ येथील सार्वजनिक शौचालय दुरूस्ती करणे</t>
  </si>
  <si>
    <t>प्रभाग क्र.५६ जनता वसाहत येथील गल्ली नं.५० ते ६० येथे स्ट्रीट लाईट पोल टाकणे</t>
  </si>
  <si>
    <t>प्रभाग क्र.५२ मधील पुणे मनपा इमारती शाळा , दवाखाने शौचालयातील विुत विषयक कामे करणे.</t>
  </si>
  <si>
    <t>प्रभाग क्र.५२ मध्ये विुत विषयक सुधारणा कामे करणे.</t>
  </si>
  <si>
    <t>प्रभाग क्र.५२ मध्ये विविध ठिकाणी स्ट्रिट लाईट पोल बसविणे.</t>
  </si>
  <si>
    <t>प्रभाग क्र.५३ मधील खोराड वस्ती परिसरात ड्रेनेज लाईन टाकणे</t>
  </si>
  <si>
    <t>प्रभाग क्र.५३ मधील देशमुख प्लाझा रस्ते काँक्रीट करणे</t>
  </si>
  <si>
    <t>प्रभाग क्र.५३ मधीलगणेशमळा चुनाभट्टी रस्ते विकसित करणे.</t>
  </si>
  <si>
    <t>प्रभाग क्र.५३ समर्थनगर,आनंदनगर, हिंगणे मधील रस्ते विकसीत करणे.</t>
  </si>
  <si>
    <t>प्रभाग क्र.५३ मधील खोराड वस्ती परिसरातील रस्ते विकसीत करणे.</t>
  </si>
  <si>
    <t>प्रभाग क्र.५३ साईनगर परिसरातील रस्ते काँक्रीट करणे.</t>
  </si>
  <si>
    <t>प्रभाग क्र.५३ मधील आनंद विहार परिसरातील रस्ता विकसीत करणे.</t>
  </si>
  <si>
    <t>प्रभाग क्र.५३ मध्ये हिंगणे खुर्द परिसरात स्ट्रीट लाईट पोल बसविणे</t>
  </si>
  <si>
    <t>प्रभाग क्र.५३ मध्ये पुणे मनपा शाळा इमारती दवाखाने शौचालयातील वायरींगची कामे करणे.</t>
  </si>
  <si>
    <t>प्रभाग क्र.५३ मध्ये प्रकाश व्यवस्थेत सुधारणी कामे करणे.</t>
  </si>
  <si>
    <t>प्रभाग क्र.५४ मध्ये लिमयेनगर रस्ता डांबरीकरण करणे</t>
  </si>
  <si>
    <t>प्रभाग क्र.५४ मधील भैरवनगर परिसरात रस्ते डांबरीकरण करण.</t>
  </si>
  <si>
    <t>प्रभाग क्र.५४ मध्ये दळवीवाडी इंडस्ट्रीयल एरीया येथील रस्ते डांबरीकरण करणे.</t>
  </si>
  <si>
    <t>प्रभाग क्र.५४  मानस सोसायटी परिसरातील रस्ते डांबरीकरण करणे.</t>
  </si>
  <si>
    <t>प्रभाग क्र.५४ नवले शाळा येथे विविध दुररूस्ती करणे व इतर तद्‌नुषंगिक कामे करणे.</t>
  </si>
  <si>
    <t>प्रभाग क्र.५४ मध्ये विविध ठिकाणी शौचालयांची दुरूस्ती व सुधारणा विषयक कामे करणे.</t>
  </si>
  <si>
    <t>प्रभाग क्र.५४ मधील गोसावीनगर, आंबेडकरनगर,धायरी उड्डाणपुल येथील शौचालयांची दुरूस्ती करणे.</t>
  </si>
  <si>
    <t>प्रभाग क्र.५४ दळवीवाडी इंडस्ट्रीयल एरिया येथे ड्रेनेज लाईन टाकणे व तद्‌नुषंगिक कामे करणे.</t>
  </si>
  <si>
    <t>प्रभाग क्र.५४ मधील मधुकोष सोसायटी येथील ड्रेनेज लाईन विकसीत करणे.</t>
  </si>
  <si>
    <t>प्रभाग क्र.५४ भैरवनाथ मंदिर येथील ड्रेनेज लाईन बदलणे व इतर अनुुषंगिक कामे करणे.</t>
  </si>
  <si>
    <t>प्रभाग क्र.५४ गोसावी वस्ती व परिसरातील ड्रेनेज लाईन टाकणे.</t>
  </si>
  <si>
    <t>प्रभाग क्र.५४ मधील धायरी परिसरात स्ट्रीट लाईट पोल बसविणे.</t>
  </si>
  <si>
    <t>प्रभाग क्र.५४ मध्ये कॅनॉल रोडवर स्ट्रीट लाईट पोल बसविणे.</t>
  </si>
  <si>
    <t>प्रभाग क्र.५४ मनपा इमारती शाळा दवाखाने शौचालयात विुत विषयक वायरिंगची कामे करणे.</t>
  </si>
  <si>
    <t>प्रभाग क्र.५५ वडगांव बु किर्ती नगर ते हॅपी कॉलनी नाल्याच्या कडेने आर सी सी वॉल बांधणे</t>
  </si>
  <si>
    <t>प्रभाग क्र.५५ वडगांव बु येथील पावनजाई मंदिर ते हगवणेनगर नाल्याच्या कडेने आर सी सी वॉल बांधणे.</t>
  </si>
  <si>
    <t>प्रभाग क्र.५५ वडगांव बु येथील पावनजाई नाल्यावरील पुलापासुन ते कुटे यांच्या बिल्डींग पर्यंत आर सी सी वॉल बांधणे.</t>
  </si>
  <si>
    <t>प्रभाग क्र.५५ विकासनगर येथील रेणुका मंदिर ते घोरपडे यांचे घर रस्ता ग्राऊट व पेव्हर करणे.</t>
  </si>
  <si>
    <t>प्रभाग क्र.५५वडगांव बु. ३० मी चौक ते तुकाईनगर कॉलेज रोड लगत फुटपाथ विकसित करणे</t>
  </si>
  <si>
    <t>प्रभाग क्र.५५ निवृत्तीनगर येथील काकडे यांचे घर ते कोकाटे फटाण यांचे घर रस्ता (यु.टी.डब्ल्यु टी) पध्दतीने काँक्रीटीकरण करणे</t>
  </si>
  <si>
    <t>प्रभाग क्र.५५ पठारवस्ती येथील अतर्गत रस्त्याचे ट्रिमिक्स (यु.टी.डब्ल्यु टी) पध्दतीने काँक्रीटीकरण करणे</t>
  </si>
  <si>
    <t>प्रभाग क्र.५५ पठार वस्ती पाण्याच्या टाकीजवळील रस्ते (यु.टी.डब्ल्यु टी) पध्दतीने काँक्रीटीकरण करणे</t>
  </si>
  <si>
    <t>प्रभाग क्र.५५वडगांव बु. पठारवस्ती येथे (यु.टी.डब्ल्यु टी) पध्दतीने होणार्‍या रस्त्याच्या कडेने पिण्याच्या पाण्याची लाईन टाकणे.</t>
  </si>
  <si>
    <t>प्रभाग क्र.५५ पठार वस्ती, निवृत्तीनगर परिसरात विविध ठिकाणी ड्रेनेज लाईन टाकणे.</t>
  </si>
  <si>
    <t>प्रभाग क्र.५६ जनता वसाहत मनपा आरोग्य कोठीची दुरूस्ती विषयक व फर्निचर विषयक कामे करणे</t>
  </si>
  <si>
    <t>प्रभाग क्र.५६ जनता वसाहत परिसरातील गल्ली बोळ कॉक्रीट करणे.</t>
  </si>
  <si>
    <t>प्रभाग क्र.५६ जनता वसाहत परिसरातील ड्रेनेज विषयक कामे करणे</t>
  </si>
  <si>
    <t>प्रभाग क्र.५६ पानमळा परिसरातील ड्रेनेज विषयक कामे करणे.</t>
  </si>
  <si>
    <t>प्रभाग क्र.५६ स.नं.१३२ राजीव गांधीनगर येथील परिसरातील  ड्रेनेज विषयक कामे करणे.</t>
  </si>
  <si>
    <t>प्रभाग क्र.५६ जनता वसाहत, पानमळा ,राजीव गांधीनगर परिसरातील  ड्रेनेज लाईन दुरूस्ती विषयक कामे करणे.</t>
  </si>
  <si>
    <t>प्रभाग क्र.५६ जनता वसाहत परिसरात रस्ते डांबरीकरण करणे.</t>
  </si>
  <si>
    <t>प्रभाग क्र.५६ जनता वसाहत पानमळा परिसरात विुत विषयक कामे करणे.</t>
  </si>
  <si>
    <t>प्रभाग क्र.५६ मध्ये जनता वसाहत येथे विुत विषयक कामे करणे</t>
  </si>
  <si>
    <t>प्रभाग क्र.५६ मध्ये पुणे मनपा इमारती शाळा , दवाखाने, शौचालयात विुत विषयक कामे करणे.</t>
  </si>
  <si>
    <t>प्र. क्र.५६ जनता वसाहत, जयभवानीनगर,पानमळा, राजीवगांधीनगर परिसरातील शौचालय दुरूस्तीविषयक कामे करणे</t>
  </si>
  <si>
    <t>प्रभाग क्र.५२ दत्तवाडी येथील लडकतवाडी व विविध परिसरातील रस्ते ट्रिमिक्स पध्दतीने काँक्रीट करणे.</t>
  </si>
  <si>
    <t>प्रभाग क्र.५२ दत्तवाडी येथील मनपा शाळा व विविध परिसरातील रस्ते ट्रिमिक्स पध्दतीने काँक्रीट करणे.</t>
  </si>
  <si>
    <t>प्रभाग क्र.५२ दत्तवाडी येथील मांगीरबाबा ते वृंदावन नर्सरी व पोलिस चौकी परिसरातील रस्ते तयार करणे.</t>
  </si>
  <si>
    <t>प्रभाग क्र.५२ दत्तवाडी येथील स.नं.१३० व परिसरात ड्रेनेज लाईन टाकणे व तद्‌नुषंगिक कामे करणे.</t>
  </si>
  <si>
    <t>प्रभाग क्र.५२ दत्तवाडी येथील हनुमाननगर व परिसरात ड्रेनेज लाईन टाकणे व तद्‌नुषंगिक कामे करणे.</t>
  </si>
  <si>
    <t>प्रभाग क्र.५२ दत्तवाडी येथील म्हसोबानगर व परिसरात ड्रेनेज लाईन टाकणे व तद्‌नुषंगिक कामे करणे.</t>
  </si>
  <si>
    <t>प्रभाग क्र.५२ दत्तवाडी येथील स.नं.१३० व परिसरातील शौचालये देखभाल दुरूस्ती व तद्‌नुषंगिक कामे करणे.</t>
  </si>
  <si>
    <t>प्रभाग क्र.५२ दत्तवाडी येथील फाळके गोठा, अचानकनगर,म्हसोबानगर व परिसरातील शौचालये देखभाल दुरूस्ती व तद्‌नुषंगिक कामे करणे.</t>
  </si>
  <si>
    <t>प्रभाग क्र.५२ दत्तवाडी येथील गुरूदत्त, सातीआसरा,चलवादी झोपडपट्टी व परिसरातील शौचालये देखभाल दुरूस्ती व तद्‌नुषंगिक कामे करणे.</t>
  </si>
  <si>
    <t>प्रभाग क्र.५२ दत्तवाडी येथील स.नं.१३० व परिसरातील समाजमंदिर व इत्यादीची दुरूस्ती व तद्‌नुषंगिक कामे करणे.</t>
  </si>
  <si>
    <t>प्रभाग क्र.५२ दत्तवाडी येथील दवाखाना, शाळा, पी.एम.सी.कॉलनी व इत्यादीची दुरूस्ती व तद्‌नुषंगिक कामे करणे.</t>
  </si>
  <si>
    <t>प्रभाग क्र.५२ दत्तवाडी येथील आरोग्य कोठी, समाजमंदिर व इत्यादीची दुरूस्ती व तद्‌नुषंगिक कामे करणे.</t>
  </si>
  <si>
    <t>प्रभाग क्र.५६ जनता वसाहत मनपा शाळेची दुरूस्ती विषयक व फर्निचर विषयक कामे करणे</t>
  </si>
  <si>
    <t>प्रभाग क्र.५६ जनता वसाहत भाजी मंडई ते नविन पुलापर्यंतचे कॅनॉल परिसर भागातील रस्ता डांबरीकरण करणे</t>
  </si>
  <si>
    <t>प्र.क्र ३९ मध्ये रास्ते वाडा चौक ते अविज हॉटेल मुख्य रस्ता खोदाई करून व सिमेंट कॉक्रीट करणे व इतर तदनुषंगिक कामे करणे</t>
  </si>
  <si>
    <t>प्र.क्र ३९ मध्ये ५०३ रास्ता पेठ ते अपोलो टॉकीज् मुख्य रस्ता खोदाई करून सिंमेंट कॉक्रीट करणे व इतर तदनुषंगिक कामे करणे</t>
  </si>
  <si>
    <t>प्र.क्र ३९ मध्ये रास्ता पेठ,भाजी मंडई ते के.ई.एम हॉस्पीटल रस्त्याच्या दुतर्फा बाजूने फूटपाथ करणे व इतर तदनुषंगिक कामे करणे</t>
  </si>
  <si>
    <t>प्र.क्र ३९ मध्ये नानापेठ पोलिस चौकी ते टकार गल्ली पर्यत कॉक्रीटीकरण करणे व इतर तदनुषंगिक कामे करणे</t>
  </si>
  <si>
    <t>प्र.क्र ३९ मध्ये टकार गल्ली ते ताराचंद हॉस्पीटल पर्यंत कॉक्रीटीकरण करणे व इतर तदनुषंगिक कामे करणे</t>
  </si>
  <si>
    <t>प्र.क्र.३९ मध्ये सोमवार पेठ, रास्ता पेठ,नरपतगिरी चौक,के.ई.एम हॉस्पीटल,आगरकर हायस्कूल परिसरात दिशादर्शक फलक बसविणे, ट्रॅफिक विषयक मार्गदर्शक फलक लावणे,स्पीट ब्रेकर बसविणे व वाहतूक विषयक तदनुषंगिक कामे करणे.</t>
  </si>
  <si>
    <t>प्र.क्र ३९ मध्ये शिवसेवा चौक ते सोमवार पेठ,नागेश्वर रस्ता,रास्तापेठ व गणेश पेठ  त्रिशुंडया गणपती परिसरातील गल्लीबोळात १२ इंची व १० इंची ड्रेनेज लाईन टाकणे व तदनुषंगिक कामे करणे.</t>
  </si>
  <si>
    <t>प्र.क्र ३९ मध्ये के.ई.एम हॉस्पीटल ते उंटाडया मारूती मंदिर,रस्तापेठ, परिसरात १२ इंची,१० इंची ड्रेनेज लाईन टाकणे व तदनुषंगिक कामे करणे</t>
  </si>
  <si>
    <t>प्र.क्र ३९ मध्ये सार्वजनिक शौचालये, मनपा इमारती,मनपा शाळा येथील विदयुत विषयक कामे करणे</t>
  </si>
  <si>
    <t>प्र.क्र ३९ मध्ये पालखी व इतर उत्सवासाठी तात्पुरती प्रकाशव्यवस्था करणे</t>
  </si>
  <si>
    <t>प्र.क्र ४७ मध्ये ८२४ परिसरात उर्वरित ठिकाणी ट्रिमिक्स कॉक्रीट करणे.</t>
  </si>
  <si>
    <t>प्र.क्र ४७ मध्ये विविधि ठिकाणी इंटर लॉकींग ब्लॉक बसविणे.</t>
  </si>
  <si>
    <t>प्र.क्र ४७ मध्ये विविध ठिकाणी थर्मोप्लास्टीक पेंट करणे व दिशादर्शक फलक बसविणे.</t>
  </si>
  <si>
    <t>प्र.क्र ४७ मध्ये विविध ठिकाणी कॅटस आय व बोलार्ड बसविणे</t>
  </si>
  <si>
    <t>प्र.क्र ४७ पदमजी पोलिस चौकी ते भारत टॉकीज पर्यंत रस्ता मिलींग करून डांबरीकरण करणे.</t>
  </si>
  <si>
    <t>प्र.क्र ४७ मधील पदमजी पोलिस चौकी ते ए.डी.कॅम्प चौक परिसरात पावसाळी लाईन टाकणे.</t>
  </si>
  <si>
    <t>प्र.क्र ४७ महर्षी हरकादास विदयामंदिर भवानीपेठ, हरकानगर या शाळेमध्ये प्रयोगशाळेसाठी बांधकाम करणे</t>
  </si>
  <si>
    <t>प्र.क्र ४७ गाडीअडडा परिसरात ड्रेनेज लाईन टाकणे.</t>
  </si>
  <si>
    <t>प्र.क्र ४७ मधील हरकानगर परिसरात ड्रेनेज लाईन टाकणे व कॉक्रीट करणे.</t>
  </si>
  <si>
    <t>प्र.क्र ४७ मध्ये चुडामन तालीम परिसरात ड्रेनेज लाईन व पावसाळी लाईन मधील गाळ काढणे.</t>
  </si>
  <si>
    <t>प्र.क्र ४७ चुडामन तालीम येथे ड्रेनेज लाईन टाकणे व फरशी कॉक्रीट करणे.</t>
  </si>
  <si>
    <t>प्र.क्र ४७ हरकानगर मध्ये शौचालयामध्ये विविध दूरूस्ती कामे करणे</t>
  </si>
  <si>
    <t>प्र.क्र ४७ मध्ये ७२४ भवानीपेठ चेतना भाडेकरू संघ येथील सुलभ शौचालयामधील दूरूस्तीचे कामे करणे.</t>
  </si>
  <si>
    <t>प्र.क ४७ चुडामन तालीम येथील सार्वजनिक शौचालय दूरूस्ती करणे.</t>
  </si>
  <si>
    <t>प्र.क्र ४७ मध्ये सार्वजनिक शौचालये, मनपा इमारती,मनपा शाळा येथील विदयुत विषयक कामे करणे</t>
  </si>
  <si>
    <t>प्र.क्र ४७ मध्ये शिवजयंती व इतर उत्सवासाठी तात्पुरती प्रकाश व्यवस्था करणे</t>
  </si>
  <si>
    <t>प्र.क ४८ मध्ये कामगार मैदान डोके तालीम परिसरात कॉक्रीट करणे</t>
  </si>
  <si>
    <t>प्र.क्र ४८ मध्ये स्वामी समर्थ मंदिर रामोशी गेट,ए.डी.कॅम्प चौक येथे फूटपाथ करणे व दुरूस्ती विषयक कामे करणे</t>
  </si>
  <si>
    <t>प्र.क्र ४८ पांगूळ आळी परिसरात रस्ते डांबरीकरण करणे</t>
  </si>
  <si>
    <t>प्र.क ४८ महाराणा प्रताप शाळा, सिध्दीविनायक शाळा,मार्कंडेय शाळा, येथील विविध दुरूस्तीविषयक कामे करणे.</t>
  </si>
  <si>
    <t>प्र.क्र ४८ मधील अल्पना टॉकीज ते स्वामी समर्थ मंदिरापर्यंत नाल्याची सुधारणा कामे करणे.</t>
  </si>
  <si>
    <t>प्र.क्र ४८ मध्ये कामगार मैदान,ढोरगल्ली येथे  ड्रेनेज लाईन टाकणे व दुरूस्ती कामे करणे</t>
  </si>
  <si>
    <t>प्र.क्र ४८ मधील नाडेगल्ली, चमडेगल्ली, छोटा तकीया परिसरातील चेंबर दुरूस्ती करणे व ड्रेनेज लाईन टाकणे व गाळ काढणे</t>
  </si>
  <si>
    <t>प्र.क्र. ४८ मध्ये नाडेगल्ली, व नकटी बोळ, शिवराम दादा तालीम भागातील शौचालय दूरूस्ती करणे</t>
  </si>
  <si>
    <t>प्र.क्र ४८ मधील सार्वजनिक मुतार्‍या दूरूस्तीकामे करणे व पाण्याची व्यवस्था करणे.</t>
  </si>
  <si>
    <t>प्र.क्र ४८ मध्ये सार्वजनिक शौचालये, मनपा इमारती,मनपा शाळा येथील विदयुत विषयक कामे करणे</t>
  </si>
  <si>
    <t>प्र.क्र ४८ मध्ये विविध ठिकाणी नविन पोल बसविणे व एल.ई.डी फिटींग बसविणे.</t>
  </si>
  <si>
    <t>प्र.क्र ४८ मध्ये पालखी व इतर उत्सवासाठी तात्पुरती प्रकाशव्यवस्था करणे</t>
  </si>
  <si>
    <t>प्र.क ४८ मधील पांगूळ आळी,५२ नानापेठ परिसरात पाण्याची लाईन टाकणे.</t>
  </si>
  <si>
    <t>प्र.क्र ५९ मध्ये पदमशाली भवन,मासेआळीच्या परिसरात कॉक्रीटीकरण करणे.</t>
  </si>
  <si>
    <t>प्र.क्र ५९ टिंबर मार्केट परिसरात पावसाळी लाईन टाकणे, चॅनलायझींग करणे,फूटपाथ दुरूस्ती करणे</t>
  </si>
  <si>
    <t>प्र.क्र ५९ मध्ये राजा टॉवर गुरूवार पेठ, कैकाड गल्ली,घोरपडी पेठ परिसरात कॉक्रीटीकरण करणे</t>
  </si>
  <si>
    <t>प्र.क्र ५९ मध्ये घोरपडे पेठ,गंज पेठ,गुरूवार पेठ या ठिकाणी इंटरलॉकींग ब्लॉक बसविणे व फरशी बसविणे</t>
  </si>
  <si>
    <t>प्र.क्र ५९ मध्ये कस्तुरी चौक ते रामोशी गेट व विजय वल्लभ भाई स्कूल या परिसरात या ठिकाणी डांबरीकरण करणे.</t>
  </si>
  <si>
    <t>प्र.क्र ५९ मध्ये राम मंदिर ते पंचहौद मशिन  रस्ता यु.टी.डब्ल्यु.टी.काँक्रीटीकरण करणे</t>
  </si>
  <si>
    <t>प्र.क्र ५९ मध्ये पंचहौद मशिन ते एﾚक्सेल कॉर्नर रस्ता यु.टी.डब्ल्यु.टी. कॉक्रीटीकरण करणे.</t>
  </si>
  <si>
    <t>प्र.क ५९ मध्ये विविध ठिकाणी शाळेची दुरूस्ती व विकास कामे करणे</t>
  </si>
  <si>
    <t>प्र.क्र ५९ मध्ये शाळा क्र ३४ व शाळा क्र १६ व सर्व मनपा दवाखाने या ठिकाणी विविध विकासकामे करणे</t>
  </si>
  <si>
    <t>प्र.क्र ५९ मधील ५८५ गंजपेठ व परिसर ड्रेनेज लाईन टाकणे व कॉक्रीटीकरण करणे.</t>
  </si>
  <si>
    <t>प्र.क ५९ मधील ६३३ गंज पेठ परिसरात ड्रेनेज लाईन टाकणे व कॉक्रीटीकरण करणे.</t>
  </si>
  <si>
    <t>प्र.क ५९ मधील विविध ठिकाण ड्रेनेज लाईन टाकणे,साफसफाई करणे व गाळ काढणे.</t>
  </si>
  <si>
    <t>प्र.क्र ५९ मध्ये ६३३ गंजपेठ,गुरूवार पेठ अवचित मारूती मंदिर या परिसरात ड्रेनेज लाईन टाकणे</t>
  </si>
  <si>
    <t>प्र.क्र ५९ महात्मा फुले वाडयासमोरील जुने शौचालय नूतनीकरण करणे.</t>
  </si>
  <si>
    <t>प्र.क्र ५९ मधील ५७ घोरपडे पेठ,कैकाड आळी, ६३३ येथील शौचालयाचे दूरूस्तीविषयक कामे करणे</t>
  </si>
  <si>
    <t>प्र.क्र ५९ मध्ये विविध ठिकाणी शौचालय दूरूस्ती करणे,रंगरंगोटी करणे.</t>
  </si>
  <si>
    <t>प्र.क्र ५९ मध्ये गंजपेठ,लहुजी वस्ताद चौक गुरूवार पेठ येथील शौचालय दुरूस्ती करणे व रंगरंगोटी करणे</t>
  </si>
  <si>
    <t>प्र.क्र ५९ मध्ये महात्मा फुले जयंती,पुण्यतिथी तसेच इतर उत्सवासाठी तात्पुरती प्रकाश व्यवस्था करणे</t>
  </si>
  <si>
    <t>प्र.क्र ५९ मध्ये सार्वजनिक शौचालये, मनपा इमारती,मनपा शाळा येथील विदयुत विषयक कामे करणे</t>
  </si>
  <si>
    <t>प्र.क्र ६० अशोकनगर कॉलनीमध्ये रस्ते ट्रिमिक्स कॉक्रीट करणे</t>
  </si>
  <si>
    <t>प्र.क्र ६० बालाजी मंदिर परिसरात गल्लीबोळ कॉक्रीट करणे व शहाबाद फरशी बसविणे</t>
  </si>
  <si>
    <t>प्र.क्र. ६० मध्ये विविध ठिकाणी कॉक्रीटीकरण करणे.</t>
  </si>
  <si>
    <t>प्र.क्र ६० मध्ये क्रांतीवीर लहुजी वस्ताद शाळेतील शौचालयाची दुरूस्ती करणे व तदनुषंगिक कामे करणे</t>
  </si>
  <si>
    <t>प्र.क ६० मध्ये सावित्रीबाई फुले शाळा व रफी अहमद किडवाई शाळेमध्ये दूरूस्तीविषयक कामे करणे</t>
  </si>
  <si>
    <t>प्र.क्र ६० विशाल कां्रती मंडळ , आकाशज्योत मंडळ परिसरात ड्रेनेज लाईन टाकणे व कॉक्रीट करणे</t>
  </si>
  <si>
    <t>प्र.क्र ६०शहिद अब्दुल रहमान चौक,विठठल थोरात यांच्या घराजवळील परिसरात ड्रेनेज लाईन टाकणे व कॉक्रीट करणे</t>
  </si>
  <si>
    <t>प्र.क्र ६० म्हसोबा मंदिर,हनुमान मंडळ परिसरात १२ इंची ड्रेनेज लाईन टाकणे व कॉक्रीट करणे</t>
  </si>
  <si>
    <t>प्र.क्र. ६० मध्ये विविध ठिकाणी ड्रेनेज लाईन टाकणे.</t>
  </si>
  <si>
    <t>प्र.क्र ६० काशीवाडीमध्ये अत्याधुनिक पध्दतीने ड्रेनेज लाईन साफ करणे व गाळ काढणे.</t>
  </si>
  <si>
    <t>प्र.क ६० मधील मनपा कॉलनी क्र.१० मधील व परिसरातील शौचालयाची दूरूस्तीविषयक कामे करणे</t>
  </si>
  <si>
    <t>प्र.क्र ६० मध्ये सार्वजनिक शौचालये, मनपा इमारती,मनपा शाळा येथील विदयुत विषयक कामे करणे</t>
  </si>
  <si>
    <t>प्र.क्र ६० मध्ये पालखी उत्सव व इतर उत्सवासाठी तात्पुरती प्रकाश व्यवस्था करणे</t>
  </si>
  <si>
    <t>प्र.क्र ६५ मध्ये ननावरे चौक ते गॅलेक्सी अपार्टमेंट पर्यंत फूटपाथ दुरूस्त करणे</t>
  </si>
  <si>
    <t>प्र.क्र ६५ कल्याणकर पूल ते बाबू मामडी चौक रस्त्याचे कॉक्रीटीकरणे करणे.</t>
  </si>
  <si>
    <t>प्र.क ६५ लोहियानगर मधील गल्लीबोळ कॉक्रीट करणे.</t>
  </si>
  <si>
    <t>प्र.क्र ६५ घोरपडे पेठ परिसरात डांबरीकरण करणे.</t>
  </si>
  <si>
    <t>प्र.क्र ६५ ननावरे चौक ते कर्मशळा रस्त्याचे कॉक्रीटीकरण करणे.</t>
  </si>
  <si>
    <t>प्र.क ६५ मधील विविध मनपा शाळेची दूरूस्तीविषयक कामे करणे</t>
  </si>
  <si>
    <t>प्र.क ६५ मधील कॉलनी क्र ७,८,९ ची दूरूस्तीविषयक कामे करणे</t>
  </si>
  <si>
    <t>प्र.क्र ६५ मध्ये झोहरा कॉम्पेक्स ते पोलिस चौकी परिसरात मोठया व्यासाची ड्रेनेज लाईन टाकणे.</t>
  </si>
  <si>
    <t>प्र.क ६५ मध्ये लोहियानगर मोठी मस्जिद पासून ते सूर्यकिरण मित्र मंडळापर्यंत ड्रेनेज लाईन टाकणे व कॉक्रीट करणे.</t>
  </si>
  <si>
    <t>प्र.क्र. ६५ मध्ये लोहियानगर गल्ली क्र १ मध्ये ड्रेनेज लाईन बदलणे व कॉक्रीट करणे.</t>
  </si>
  <si>
    <t>प्र.क ६५ मधील कॉलनी क्र. ७,८,९ मध्ये ड्रेनेज लाईन टाकणे चेंबर दूरूस्ती करणे व गाळ काढणे</t>
  </si>
  <si>
    <t>प्र.क्र. ६५ मधील लोहियानगर परिसरातील शौचालयाची दूरूस्तीविषयक कामे करणे</t>
  </si>
  <si>
    <t>प्र.क्र ६५ मध्ये घोरपडे पेठ परिसर शौचालय दूरूस्ती करणे.</t>
  </si>
  <si>
    <t>प्र.क्र ६५ मधील सर्व सार्वजनिक शौचालयामध्ये वायरिंग करणे, लाईट फिटींग करणे.</t>
  </si>
  <si>
    <t>प्र.क्र ६५ मध्ये लोहियानगर परिसरातील घोरपडे पेठ परिसरात पाण्याची लाईन टाकणे</t>
  </si>
  <si>
    <t>सोमवार पेठ, १५ ऑगस्ट चौक ते नरपतगीरी चौक रस्त्याच्या दुतर्फा नागरीकांना चालण्याकरता फुटपाथ दुररूस्त करणे व स्टीलचे बोलार्ड बसविणे</t>
  </si>
  <si>
    <t>रास्तापेठ रोडा, ५६१ नानापेठ,५५० नानापेठ,७१४ नानापेठ, ७०३ नानापेठ, ३१३ गणेश पेठ, इत्यादी परीसरात विदयुत विषयक कामे करणे</t>
  </si>
  <si>
    <t>दारू वाला पूल ते रास्तेवाडा चौक येथील रस्त्यावरील दिवे प्रकाशित करणे</t>
  </si>
  <si>
    <t>गणेश पेठ, ढीपसे बोळ, दुधभटृटी अल्पना टॉकीज समोर भाग, कचरा उचलण्यासाठी ढकलगाडी खरेदी करणे</t>
  </si>
  <si>
    <t>७०३ नाना पेठ ५५० नानापेठ सत्तारचाळ तसेच ७१५ नाना पेठ चाँद तारा मस्जिद समोर या भागात टॉयलेट वरील पाण्ण्याचा टाक्या बसविणे व संपूर्ण पाण्याचे नळ नविन बसविणे</t>
  </si>
  <si>
    <t>आझाद आळी ते गणपती मंदिरामागील सोसायटी तसेच मारूती मंदिर सोसायटी परिसर येथे ड्रेनेज लाईन टाकणे</t>
  </si>
  <si>
    <t>२२३,२२४,२२८ सोमवार पेठ या मिळकीतीच्या पाठीमागील पुणे म.न.पा च्या ताब्यात असलेल्या हद्‌दीमधील ड्रेनेज लाईन बदलणे</t>
  </si>
  <si>
    <t>सोमवार पेठ घरांक १३० येथील सार्वजनिक मुतारी दुरूस्त करणे</t>
  </si>
  <si>
    <t>प्र.क्र 39, ७१४ नाना पेठ येथे संपूर्ण परिसर फरशी बसविणे</t>
  </si>
  <si>
    <t>प्र.क्र 39 परिसरात विविध ठिकाणी कॉक्रीट करणे</t>
  </si>
  <si>
    <t>प्र.क्र 39 घर क्र २३८ ते २४० सोमवार पेठ रोड सिमेंट कॉक्रीट करणे</t>
  </si>
  <si>
    <t>प्र.क्र 39 प्रभागात ठिकठिकाणी पदपथ करणे</t>
  </si>
  <si>
    <t>पदमजी पार्क यथील पदपथावर दिवे बसविणे.</t>
  </si>
  <si>
    <t>प्र.क्र 47 मनपा वसाहत क्र १२ मध्ये विविध दरूस्तीची कामे करणे</t>
  </si>
  <si>
    <t>८३० भवानीपेठ, येथील शौचालय दुरस्त करणे</t>
  </si>
  <si>
    <t>प्र.क्र 47 सोनवणे वसाहतीत शौचालय दुरूस्त करणे</t>
  </si>
  <si>
    <t>रास्ते मांगवाडा,लक्ष्मी मातेसमोरील शौचालय दुरूस्त करणे</t>
  </si>
  <si>
    <t>भोर्डेआळी, येथील सार्वजनिक सुलभ शौचालय दरूस्त करणे</t>
  </si>
  <si>
    <t>प्र.क्र 47 ८१७/१८ येथे ड्रेनेज लाईन टाकणे</t>
  </si>
  <si>
    <t>७१७ चुडामन तालीम मदिना हॉटेलच्या मागे सार्वजनिक शौचालयाची दुरूस्ती करणे</t>
  </si>
  <si>
    <t>७१७ चुडामन तालीम परिसरात नवीन ड्रेनेज लाईन टाकणे</t>
  </si>
  <si>
    <t>हरकानगर परीसरातील ड्रेनेज लाईन मधला गाळ काढणे</t>
  </si>
  <si>
    <t>हरकानगर या ठिकाणी नवीन ड्रेनेज लाईन टाकणे</t>
  </si>
  <si>
    <t>१०५३ न्यु नानापेठ, या परीसरात ड्रेनेज लाईन दुरूस्तीकरण करणे</t>
  </si>
  <si>
    <t>प्र.क्र ४८ मधील दिशा दर्शक बोर्ड लावणे</t>
  </si>
  <si>
    <t>प्र.क्र ४८ मधील कुंभार बोळ डोकेतालीम येथील कॉक्रीट करणे</t>
  </si>
  <si>
    <t>प्र.क्र ४८ मध्ये रस्त्यावर थर्मोप्लास्टीक पेंट मारणे</t>
  </si>
  <si>
    <t>प्र.क्र ४८ पांगुळ आळी,किराड हौद नाडेगल्ली, विदयुत विषयक कामे करणे</t>
  </si>
  <si>
    <t>प्र.क्र ४८ मधील २३ नानापेठ येथील समाज मंदिराचे काम करणे</t>
  </si>
  <si>
    <t>प्र.क्र ४८ मधील महाराणा प्रताप व शाळा मध्ये फरशी बसविणे व फर्निचर कामे करणे व हौदाची कामे करणे</t>
  </si>
  <si>
    <t>प्र.क्र ४८ मधील नाडेगल्ली पालखी चौक येथे शौचालयाची दुरूस्ती करणे</t>
  </si>
  <si>
    <t>प्र.क्र ४८ मधील डोके तालीम भाजीमंडई परिसरात पावसाळी लाईन ड्रेनेज लाईन साफसफाई करणे</t>
  </si>
  <si>
    <t>प्र.क्र ४८ मधील अल्पना टॉकीज येथे नाला साफसफाई करणे</t>
  </si>
  <si>
    <t>प्र.क्र ४८ मधील मेनकर वाडा ढोरगल्ली ड्रेनेज लाईन टाकणे व चेंबर दुरूस्ती करणे</t>
  </si>
  <si>
    <t>प्र.क्र ४८ मधील भंडारबोळ साखळीपीर तालीम ड्रेनेज लाईन टाकणे, चेंबर दुरूस्ती करणे</t>
  </si>
  <si>
    <t>प्र.क्र ४८ मध्ये नानापेठ भवानीपेठ गणेशपेठ पाण्याची लाईन टाकणे</t>
  </si>
  <si>
    <t>प्र.क्र ५९ ब मध्ये विविध ठिकाणी राडारोडा उचलणे</t>
  </si>
  <si>
    <t>प्र.क ५९ ब मध्ये विविध ठिकाणी डांबरीकरण करणे</t>
  </si>
  <si>
    <t>प्र.क ५९ ६३३ गंज पेठ यास परीसरात विदयुत पोल व पथदिवे बसविणे</t>
  </si>
  <si>
    <t>प्र.क ५९ ब मध्ये हायमास्ट दिवे बसविणे</t>
  </si>
  <si>
    <t>प्र.क ५९ मक्का मस्जिद रोड ते मिठगंज पोलिस चौकी या विदयुत विषयक कामे करणे</t>
  </si>
  <si>
    <t>प्र.क्र ५९ ब मध्ये पालखी सोबत येणार्‍या वारकरींकरिता मांडव व्यवस्था करणे</t>
  </si>
  <si>
    <t>६३३ गंज पेठ या ठिकाणी सार्वजनिक शौचालयाचे दुरूस्तीकरण करणे</t>
  </si>
  <si>
    <t>प्र.क ५९ ब मध्ये विविध ठिकाणी मुतारी दुरूस्ती करणे</t>
  </si>
  <si>
    <t>प्र.क्र ५९ ब पावसाळी लाईन साफसफाई करणे</t>
  </si>
  <si>
    <t>प्र.क ५९ ब मध्ये विविध ठिकाणी ड्रेनेज लाईन टाकणे</t>
  </si>
  <si>
    <t>प्र.क ५९ ब मध्ये खाचलेले चेंबर दुरूस्ती करणे</t>
  </si>
  <si>
    <t>प्र.क ५९ दलाल चौक परीसरात ड्रेनेज लाईन मधला गाळ उपसणे</t>
  </si>
  <si>
    <t>प्र.क ५९ ब विविध ठिकाणी २,८, पाण्याची लाईन टाकणे</t>
  </si>
  <si>
    <t>प्र.क 60 माजी नगरसेवक संदिप लडकत यांच्या घरासमोरील रस्ता डांबरीकरण करणे</t>
  </si>
  <si>
    <t>प्र.क 60 रामोशी गेट पोलीस चौकी ते पेट्रोल पंप या ठिकाणी पदपाथ दुरूस्तीकरणे करणे</t>
  </si>
  <si>
    <t>प्र.क 60 काशीवाडी अशोक नक्षर परिसरातील रस्ते कॉक्रीट करणे</t>
  </si>
  <si>
    <t>प्र.क 60 हनुमान मंडळ लगतच्या गल्ल्यांमध्ये टयब लाईट फिटिंग बसविणे</t>
  </si>
  <si>
    <t>प्र.क 60 काशीवाडी पोलीस चौकी समोरील समाज मंदीर दुरूस्ती विषयक कामे करणे</t>
  </si>
  <si>
    <t>प्र.क 60 काशीवाडी मध्ये सुलभ शौचालय मधील संडास क्र ७,८,९,१० नादुरूस्त संडास भांडे व दरवाजे बदलणे</t>
  </si>
  <si>
    <t>५७६ काशीवाडी,सत्यवान मंडळ परिसर ते लक्ष्मीमाता मंदिर परिसरात ड्रेनेजलाईन टाकणे, कॉक्रीट करणे</t>
  </si>
  <si>
    <t>प्र.क 60 शहिद अब्दल रहेमान अंजुमन मागील परिसरात १२ इंची ड्रेनेज लाईन टाकणे व गल्लीबोळ कॉक्रीट करणे</t>
  </si>
  <si>
    <t>प्र.क 60 महादेव मंदिर मागील परिसरात ड्रेनेज लाईन टाकणे व फरशी बसविणे</t>
  </si>
  <si>
    <t>प्र.क 60 जयहिंद मित्र मंडळाजवळ व दिपज्योत परिसर ड्रेनेज लाईन टाकणे व कॉक्रीट करणे व चेंबर दुरूस्त करणे</t>
  </si>
  <si>
    <t>प्र.क 60, 362 व्यापारी मंडळाशेजारच्या परिसरात ड्रेनेज लाईन टाकणे व कॉक्रीट करणे</t>
  </si>
  <si>
    <t>प्र.क 65, ५४ एच/पी लोहियानगर येथे विदयुत दिवे बसविणे</t>
  </si>
  <si>
    <t>प्र.क 65, ५४ डी/पी परिसरात विदयुत विषयक कामे करणे</t>
  </si>
  <si>
    <t>प्र.क 65, ५४ एच/पी बाबु मामडी चौक येथे ड्रेनेज लाईन टाकणे</t>
  </si>
  <si>
    <t>प्र.क 65, ५४ एच/पी भारत मित्र मंडळाजवळ ड्रेनेज लाईन बदलणे</t>
  </si>
  <si>
    <t>प्र.क 65, ५४ एच/पी अमर मित्र मंडळाजवळील शौचालय दुरूस्त करणे</t>
  </si>
  <si>
    <t>प्र.क 65, भोरी कब्रस्तान शेजारी शौचालय दुरूस्ती करणे</t>
  </si>
  <si>
    <t>प्र.क 65, ५४ सी/पी व डी/पी परिसरात ड्रेनेज लाईन बदलणे</t>
  </si>
  <si>
    <t>प्र.क 65, ५४ ए/पी परिसरात गल्लीबोळात ड्रेनेज लाईन टाकणे</t>
  </si>
  <si>
    <t>प्र.क 65, ५४ सी/पी म्हसोबा मंदिर ते मेरे महेबुब येथील डे्रनेज मधला गाळ उपसणे</t>
  </si>
  <si>
    <t>प्र.क 65, ५४ जी/पी आण्णाभाऊ साठे समाज मंदिराचे दुरस्तीकरण व रंगरेंगोटी करणे</t>
  </si>
  <si>
    <t>प्र.क 65, ५४ जी/पी परीसरात गल्लीबोळात कॉक्रीटीकरण करणे</t>
  </si>
  <si>
    <t>प्र.क 65, ५४ एच/पी परीसरात विविध भागांत काँक्रीटीकरण करणे</t>
  </si>
  <si>
    <t>प्र.क 65, घोरपडे पेठ या ठिकाणी रोडच्या दोन्ही बाजूला एल.ई.डी विदयुत पोल व लाईट फीटींग्ज लावणे</t>
  </si>
  <si>
    <t>प्र.क 65, ५४ डी/पी म्हसोबा मंदिर परीसरात पाण्याची नविन लाईन टाकणे</t>
  </si>
  <si>
    <t>प्र.क 65, लोहियानगर कल्याणकर पुलाखाली नागझरी येथील कचरा, राडा-रोडा व आवश्यक झाडे काढणे, सिमेंटचा कोबा करणे व ड्रेनेज बदलणे</t>
  </si>
  <si>
    <t>प्र.क 65, ५४ सी/पी येथील ड्रेनेज लाईन मधला गाळ उपसणे</t>
  </si>
  <si>
    <t>प्र.क 65, ५४ ई/पी लोहियानगर या ठिकाणी ड्रेनेज लाईन दुरूस्तीकरणे करणे</t>
  </si>
  <si>
    <t>प्रभाग क्र.२६अ मधील राऊतवाडी, भारती विापीठ, परिसरातील रस्ते डांबरीकरण करणे.</t>
  </si>
  <si>
    <t>प्रभाग क्र.२६ब मधील श्रीराम तरूण मंडळ  व परिसरातील विविध रस्ते डांबरीकरण करणे.</t>
  </si>
  <si>
    <t>प्रभाग क्र.२६अ मध्ये हनुमाननगर परिसरात ड्रेनेज लाईन टाकणे.</t>
  </si>
  <si>
    <t>प्रभाग क्र.२६अ मध्ये राऊतवाडी येथे ड्रेनेज लाईन टाकणे.</t>
  </si>
  <si>
    <t>प्रभाग क्र.२६ अ मध्ये राजीव गांधी पार्क येथे ड्रेनेज लाईन टाकणे.</t>
  </si>
  <si>
    <t>प्रभाग क्र.२६ब मध्ये जयहिंद मित्र मंडळाजवळ ड्रेनेज लाईन टाकणे.</t>
  </si>
  <si>
    <t>प्रभाग क्र.२६ब मध्ये बालाजी मित्र मंडळाजवळ ड्रेनेज लाईन टाकणे.</t>
  </si>
  <si>
    <t>प्रभाग क्र.२६ब मध्ये मामासाहेब मोहोळ शाळेमध्ये विविध विकासाची कामे करणे.</t>
  </si>
  <si>
    <t>पप्रभाग क्र.२६ अ एम.आय.टी. कॉलेज रोड येथे प्रकाश व्यवस्था करणे.</t>
  </si>
  <si>
    <t>प्रभाग क्र.२६ ब केळेवाडी राऊत दवाखाना परिसरात भुमीगत केबल विषयक कामे करणे.</t>
  </si>
  <si>
    <t>प्रभाग क्र. २७ अ किष्किंधानगर  येथील दोस्ती ग्रुप शेजारील  शौचालय दुरूस्तीची कामे पुर्ण करणे</t>
  </si>
  <si>
    <t>प्रभाग क्र. २७ अ अथर्व शाळे समोर ड्रेनेज लाईन टाकणे व चेंबर्स दुरूस्ती करणे</t>
  </si>
  <si>
    <t>प्रभाग क्र. २७ अ विविध ठिकाणचे समाज मंदिराचे दु रूस्ती स्वरूपाची कामे पुर्ण करणे</t>
  </si>
  <si>
    <t>प्रभाग क्र. २७ अ विविध ठिकाणचे शौचालय दुरूस्तीची  कामे पुर्ण करणे</t>
  </si>
  <si>
    <t>प्रभाग क्र. २७ ब सुतार दरा गल्ली नं.६ व ७ येथील खराब झालेली ड्रेनेज बदलणे</t>
  </si>
  <si>
    <t>प्रभाग क्र. २७ ब जय भवानी नगर म.न.पा शाळा येथील भवन विषयक विविध विकास कामे करणे</t>
  </si>
  <si>
    <t>प्रभाग क्र. २७ ब प्रभागामधील विविध ठिकाणचे आरोग्य कोठीचे दुरूस्ती स्वरूपाची कामे करणे</t>
  </si>
  <si>
    <t>प्रभाग क्र.२८अ मध्ये सुरजनगर परिसरातील जुन्या ड्रेनेज लाईन काढून नविन ड्रेनेज लाईन टाकणे.</t>
  </si>
  <si>
    <t>प्रभाग क्र. २८ अ विविध ठिकाणी शौचालय दुरूस्ती करणे.</t>
  </si>
  <si>
    <t>प्रभाग क्र. २८ अ विविध ठिकाणी प्रकाश व्यवस्थेचे काम करणे</t>
  </si>
  <si>
    <t>प्रभाग क्र. २८ ब मधील विविध फुटपाथ दुरूस्ती विषयक कामे करणे व ब्लॉक बसविणे.</t>
  </si>
  <si>
    <t>प्रभाग क्र. २८ ब मध्ये  विविध ठिकाणी जुन्या  ड्रेनेज लाईन  बदलून नविन मोठया व्यासाच्या ड्रेनेज लाईन टाकणे</t>
  </si>
  <si>
    <t>प्रभाग क्र.२८ब मध्ये विविध विकासाची कामे करणे.</t>
  </si>
  <si>
    <t>प्रभाग क्र. २८ ब विविध  शौचालयाची नुतनीकरण करणे</t>
  </si>
  <si>
    <t>प्रभाग क्र.२८ब मध्ये विविध ठिकाणी पोल फिंडिग करणे</t>
  </si>
  <si>
    <t>प्रभाग क्र.२९ ब मध्ये खराब झालेले रस्ते डांबरीकरण करणे</t>
  </si>
  <si>
    <t>प्रभाग क्र.२९ ब मध्ये विविध ठिकाणी कॉक्र्रीटीकरणे व ब्लॉक बसविणे</t>
  </si>
  <si>
    <t>प्रभाग क्र.२९ ब मध्ये विविध ठिकाणी थर्मोप्लास्टिक पट्टे मारणे</t>
  </si>
  <si>
    <t>प्रभाग क.२९ ब मध्ये विविध ठिकाणी मोठ्या व्यासाच्या ड्रेनेज लाईन टाकणे</t>
  </si>
  <si>
    <t>प्रभाग क्र.२९ब मध्ये भुसारी बावधन इ.ठिकाणी पावसाळी लाईन टाकणे</t>
  </si>
  <si>
    <t>प्रभाग क्र.२९ब मध्ये चेबंर्सची दुरूस्ती व साफसफाई करणे</t>
  </si>
  <si>
    <t>प्रभाग क्र.२९ब मध्ये शौचालयाची व भवनची दुरूस्ती विषयक कामे करणे</t>
  </si>
  <si>
    <t>प्रभाग क्र.२९ ब मध्ये विदयुत व्यवस्था करणे</t>
  </si>
  <si>
    <t>प्रभाग क्र.३४  अ मध्ये विविध ठिकाणी डांबरीकरणाने रस्ते विकसीत करणे.</t>
  </si>
  <si>
    <t>प्रभाग क्र.३४अ गुजरात कॉलनी, सिध्दार्थनगर, लक्ष्मीनगर येथील खराब ब्लॉक नव्याने बसविणे व दुरूस्ती करणे.</t>
  </si>
  <si>
    <t>प्रभाग क्र.३४अ आयडीयल कॉलनी, मयुर कॉलनी व खराब व नादुरूस्त ब्लॉकची दुरूस्ती विषयक कामे करणे.</t>
  </si>
  <si>
    <t>प्रभाग क्र.३४अ येथील विविध ठिकाणचे खराब फुटपाथ नव्याने बनविणे</t>
  </si>
  <si>
    <t>प्रभाग क्र.३४ अ मधील विविध ठिकाणचे नाले साफ सफाई करणे</t>
  </si>
  <si>
    <t>प्रभाग क्र.३४अ गुजरात कॉलनी, सिध्दार्थनगर लक्ष्मीनगर व विविध ठिकाणचे चेंबर दुरूस्ती व चेंबर्स समपातळीत बांधणे</t>
  </si>
  <si>
    <t>प्रभाग क्र.३४अ,मधील विविध ठिकाणचे भवनविषयक दुरूस्ती स्वरूपाची कामे करणे</t>
  </si>
  <si>
    <t>प्रभाग क्र.३४  अ मध्ये विविध ठिकाणचे सार्वजनिक शौचालयाची दुरूस्ती विषयक कामे करणे</t>
  </si>
  <si>
    <t>प्रभाग क्र. ३४ अ भेलकेनगर गुजरात कॉलनी येथे प्रकाश व्यवस्था करणे</t>
  </si>
  <si>
    <t>प्रभाग क्र.३४ अ मध्ये मयुर कॉलनी जोग शाळा येथे विुत विषयक कामे करणे.</t>
  </si>
  <si>
    <t>प्र.क्र.३४ब मध्ये विविध ठिकाणी डांबरीकरण करणे.</t>
  </si>
  <si>
    <t>प्रभाग क्र.३४  ब मध्ये विविध ठिकाणचे फुटपाथ दुरूस्ती विषयक कामे करणे.</t>
  </si>
  <si>
    <t>प्रभाग क्र.३४  ब मध्ये विविध ठिकाणचे रस्ते काँक्रीटीकरण करणे व दुरूस्ती करणे.</t>
  </si>
  <si>
    <t>प्रभाग क्र.३४  ब मधील विविध ठिकाणचे नाले साफसफाई करणे.</t>
  </si>
  <si>
    <t>प्रभाग क्र.३४  ब मध्ये विविध ठिकाणचे ड्रेनेज दुरूस्ती विषयक व चेंबर्स दुरूस्तीची कामे करणे.</t>
  </si>
  <si>
    <t>प्रभाग क्र.३४  ब मधील विविध ठिकाणचे विरंगुळा केंद्राचे दुरूस्ती स्वरूपाची कामे करणे.</t>
  </si>
  <si>
    <t>प्रभाग क्र.३४ ब मधील विविध ठिकाणचे टॉयलेट दुरूस्ती विषयक कामे करणे.</t>
  </si>
  <si>
    <t>प्रभाग क्र.३४ ब येथे भुमीगत केबल विषयक कामे करणे.</t>
  </si>
  <si>
    <t>प्रभाग क्र.३४ ब येथे प्रकाश व्यवस्था सुधारणे.</t>
  </si>
  <si>
    <t>प्र.क्र.३४अ कर्वे पुतळा ते यशवंतराव चव्हाण व भेलकेनगर येथील खराब झालेले फुटपाथ दुरूस्ती विषयक कामे करणे</t>
  </si>
  <si>
    <t>प्र.क्र.३४ब, आयडीयल कॉलनी, मयुर कॉलनी व विविध ठिकाणी थर्माप्लास्टिक पट्टे मारणे व स्पीड ब्रेकर दुरूस्ती करणे</t>
  </si>
  <si>
    <t>प्र.क्र.३४ब, आयडील कॉलनी, मयुर कॉलनी येथील विविध ठिकाणचे रस्ते साईट पट्टे काँक्रीट करणे व ब्लॉक बसविणे</t>
  </si>
  <si>
    <t>प्रभाग क्र.२६अ मध्ये राऊत दवाखाना येथे विविध दुरूस्ती कामे करणे.</t>
  </si>
  <si>
    <t>प्रभाग क्र.२६ ब मध्ये विविध समाज मंदिरांची दुरुस्ती करणे</t>
  </si>
  <si>
    <t>प्रभाग क्र.२६अ मध्ये जयहिंद मित्र मंडळ शौचालय दुरूस्ती करणे</t>
  </si>
  <si>
    <t>प्रभाग क्र.२६अ मध्ये हनुमाननगर येथील शौचालय दुरूस्ती करणे.</t>
  </si>
  <si>
    <t>प्रभाग क्र.२६ब मध्ये मोरे श्रमिक वसाहत येथील शौचालय दुरूस्ती करणे.</t>
  </si>
  <si>
    <t>प्रभाग क्र. २७ अ जय भवानी नगर म.न.पा शाळा पर्यंत रस्ता यु.टी.डब्ल्यू.टी पध्दतीने काँक्रीट करणे</t>
  </si>
  <si>
    <t>प्रभाग क्र. २७ अ जय भवानी नगर चाळ क्र.०२ ते ०८ अ पर्यंत ड्रेनेज लाईन टाकणे</t>
  </si>
  <si>
    <t>प्रभाग क्र. २७ अ किष्किंधानगर सुदर्शन मित्र मंडख येथील परिसरामध्ये ड्रेनेज लाईन टाकणे</t>
  </si>
  <si>
    <t>प्रभाग क्र. २७ ब शिवकल्याण गल्ली क्र.१२ सिमेंट काँक्रीट रोड करणे</t>
  </si>
  <si>
    <t>प्रभाग क्र.२७ब ढोकळे कॉलनी विठ्ठल मंदिर परिसरामध्ये रस्ते काँक्रीटीकरण करणे</t>
  </si>
  <si>
    <t>प्रभाग क्र. २७ ब पांडुरंग कॉलनी येथे ड्रेनेज लाईन टाकणे</t>
  </si>
  <si>
    <t>प्रभाग क्र. २७ ब येथे विविध गल्ल्यांमध्ये प्रकाश व्यवस्था सुधारणे</t>
  </si>
  <si>
    <t>प्रभाग क्र. २७ ब किनारा हॉटेल,जय भवानी नगर,शिवतिर्थ नगर,येथे विुत विषयक कामे करणे</t>
  </si>
  <si>
    <t>प्रभाग क्र. २८ अ परंमहंस परिसर व विविध ठिकाणी ब्लॉक बसविणे.</t>
  </si>
  <si>
    <t>प्रभाग क्र. २८ अ विविध ठिकाणी ट्राफिक विषयक कामे करणे</t>
  </si>
  <si>
    <t>प्रभाग क्र. २८ अ विविध ठिकाणी डांबरीकरण करणे.</t>
  </si>
  <si>
    <t>प्रभाग क्र. २८ अ गादिया इस्टेट मध्ये ड्रेनेज लाईन टाकणे.</t>
  </si>
  <si>
    <t>प्रभाग क्र. २८ अ शिवांजली मित्र मंडळ येथे ड्रेनेज लाईन टाकणे व काँक्रीट करणे.</t>
  </si>
  <si>
    <t>प्रभाग क्र. २८ ब मधील विविध रस्त्यांची काँक्रीटीकरण करणे.</t>
  </si>
  <si>
    <t>प्रभाग क्र. २८ ब मुठेश्वर कॉलनी व शास्त्रीनगर विविध ठिकाणी ड्रेनेज लाईन टाकणे</t>
  </si>
  <si>
    <t>प्रभाग क्र.२९ अ मध्ये विविध ठिकाणी डांबरीकरण करणे</t>
  </si>
  <si>
    <t>प्रभाग क्र.२९ अ मध्ये विविध ठिकाणी पेव्हिंग ब्लॉक बसविणे व काँक्रीटीकरण करणे.</t>
  </si>
  <si>
    <t>प्रभाग क.२९ अ मध्ये विविध ठिकाणी ड्रेनेज लाईन टाकणे</t>
  </si>
  <si>
    <t>प्रभाग क्र.२९अ विविध ठिकाणी पावसाळी लाईन टाकणे</t>
  </si>
  <si>
    <t>प्रभाग क्र.२९ अ मध्ये टॅ्रफिक विषयक कामे  करणे</t>
  </si>
  <si>
    <t>प्रभाग क्र.२९ अ मध्ये भुमिगत कामे करणे</t>
  </si>
  <si>
    <t>प्रभाग क्र.२९ अ डावी भुसारी येथे  विदयुत विषयक कामे करणे</t>
  </si>
  <si>
    <t>प्र.क्र.२९अ, ड्रेनेज चेंबर्स पावसाळी चेंबर्स दुरूस्ती व ड्रेनेज, पावसाळी लाईनची साफसफाई करणे व नाले साफ करणे</t>
  </si>
  <si>
    <t>प्रभाग क्र.२८ मराठा महासंघ व विविध ठिकाणी ड्रेनेज लाईन टाकणे  व शौचालय दुरुस्ती करणे.</t>
  </si>
  <si>
    <t>प्रभाग क्र.२८  विविध ठिकाणी सुलभ शौचालयाची दुरुस्ती करणे.</t>
  </si>
  <si>
    <t>प्रभाग क्र.२८ शाळा व समाजमंदिर दुरुस्त करणे व रंगरंगोटी करणे.</t>
  </si>
  <si>
    <t>प्र.क्र.२९, भुसारी कॉलनमधील खराब झालेले रस्ते डांबरीकरण करणे</t>
  </si>
  <si>
    <t>प्र.क्र.२९, बावधन परिसरातील खराब झालेले रस्ते डांबरीकरण करणे</t>
  </si>
  <si>
    <t>प्र.क्र.२९, विविध रस्त्यांवर झेब्रा क्रॉसिंगचे पट्टे मारणे व ट्रॅफिक विषयक कामे करणे</t>
  </si>
  <si>
    <t>प्र.क्र.२९, विविध ठिकाणी पेव्हिंग ब्लॉक बसविणे व दुरूस्ती करणे.</t>
  </si>
  <si>
    <t>प्र.क्र.२९, विविध ठिकाणच्या पावसाळी व ड्रेनेज चेंबर्सची दुरूस्ती व ड्रेनेज लाईन व पावसाळी लाईन साफसाफई करणे</t>
  </si>
  <si>
    <t>प्र.क्र.३४ मध्ये विद्युत विषयक कामे करणे</t>
  </si>
  <si>
    <t>प्र.क्र.३४, भूमिगत केबल विषयक कामे करणे</t>
  </si>
  <si>
    <t>प्रभाग क्र.२६ मधील आदर्श चौक येथील विठ्टल पासलकर यांच्या घराजवळील ड्रेनेज लाईन बदलणे.</t>
  </si>
  <si>
    <t>प्र.क्र.२७ मध्ये विद्युत विषयक कामे करणे</t>
  </si>
  <si>
    <t>प्रभाग क्र.२८ म्हातोबानगर व विविध ठिकाणी ड्रेनेज लाईन टाकणे व कॉक्रीट करणे</t>
  </si>
  <si>
    <t>प्रभाग क्र.२८ सागर कॉलनी मधील व विवधि ठिकाणचे ड्रेनेज लाईन टाकणे  व कॉक्रीट करणे.</t>
  </si>
  <si>
    <t>प्रभाग क्र.२८ शिवांजली मित्र मंडळ  व विविध ठिकाणी कॉक्रीटीकरण करणे</t>
  </si>
  <si>
    <t xml:space="preserve">प्रभाग क्र.२८ आरमान सोसायटी, नवभूमी, मराठा महासंघ येथे कॉक्रीट करणे </t>
  </si>
  <si>
    <t>प्र.क्र.२९, नाले साफसफाई करणे</t>
  </si>
  <si>
    <t>प्र.क्र.२९, बावधन येथील रामनदीची स्वच्छता करणे</t>
  </si>
  <si>
    <t>प्र.क्र.२९ मध्ये विद्युत विषयक कामे करणे</t>
  </si>
  <si>
    <t>प्र.क्र.२९, भूमिगत केबल विषयक कामे करणे</t>
  </si>
  <si>
    <t>प्रभाग क्र.२ मध्ये ड्रेनेज लाईन जेटींग मशीनच्या साहयाने साफ करणे</t>
  </si>
  <si>
    <t>प्रभाग क्र.२ मध्ये ड्रेनेज लाईन  दुरुस्ती  करणे</t>
  </si>
  <si>
    <t>प्रभाग क्र.२ क्रांती नगर यशवंत नगर बेग नगर, आपले घर थिटे वस्ती जुन्या व नादुरूस्त मल वाहिन्या बदलणे</t>
  </si>
  <si>
    <t>प्रभाग क्र.२ विविध ठिकाणी डे्रनेज लाईन टाकणे</t>
  </si>
  <si>
    <t>प्रभाग क्र.२ मध्ये सार्वजनिक शौचालय देखभाल दुरूस्ती करणे.</t>
  </si>
  <si>
    <t>प्रभाग क्र. २ खुळेवाडी मध्ये डे्रनेज लाईन व कॉक्रिट करणे</t>
  </si>
  <si>
    <t>प्रभाग क्र.२ मनपा शाळा मध्ये विविध विकास कामे करणे</t>
  </si>
  <si>
    <t>प्रभाग क्र.२ मध्ये म.न.पा. इमारतीमध्ये विविध विकास कामे करणे.</t>
  </si>
  <si>
    <t>प्रभाग क्र.२ क्रांती नगर व परिसरा मध्ये रस्ते विकसित करणे</t>
  </si>
  <si>
    <t>प्रभाग क्र.२चंदननगर परिरसरात रस्ते विकसित करणे.</t>
  </si>
  <si>
    <t>प्रभाग क्र.२ विविध ठिकाणी रस्ते विकसित करणे.</t>
  </si>
  <si>
    <t>प्रभाग क्र.२ विदयुत विषयक विकास कामे करणे</t>
  </si>
  <si>
    <t>प्रभाग क्र.०३ संजयपार्क गल्ली क्र. २ ते ५ डांबरीकरण करणे</t>
  </si>
  <si>
    <t>प्रभाग क्र.३ मध्ये डे्रनेज लाईन साफसफाई करणे व चेंबर कव्हर रस्त्याच्या समपातळीत घेणे.</t>
  </si>
  <si>
    <t>प्रभाग क्र. ३ वैकफिल्ड झोपडपटटीमध्ये सार्वजनिक शौचालय दुरूस्त करणे व डे्रनेज लाईन साफसफाई करणे.</t>
  </si>
  <si>
    <t>प्रभाग क्र.३ कृष्णा व्हेज हॉटेल ते एअरपोर्ट रोड पर्यत पदपथ दुरूस्त करणे.</t>
  </si>
  <si>
    <t>प्रभाग क्र.३ विमाननगर पोलीस चौकी समोरील रस्ता साईडपटटी डांबरीकरण करणे.</t>
  </si>
  <si>
    <t>प्रभाग क्र. ०३ मध्ये विविध ठिकाणी पेडस्ट्रिअन कॉसिंग करणे.</t>
  </si>
  <si>
    <t>प्रभाग क्र.३ मधील समाज मंदिरांची दुरूस्ती विषयक कामे करणे.</t>
  </si>
  <si>
    <t>प्रभाग क्र. ३ मध्ये विविध ठिकाणी थर्मोप्लास्टीक पेंट मारणे</t>
  </si>
  <si>
    <t>प्रभाग क्र.३ मध्ये विविध ठिकाणी विदयुत विषयक कामे करणे</t>
  </si>
  <si>
    <t>प्रभाग क्र. ३ मध्ये विविध ठिकाणी दिशादर्शक फलक बसविणे</t>
  </si>
  <si>
    <t>प्रभाग क्र.०३ मधील कोणार्क कॉटेज ते ऑप्टीमस मिळकती पर्यत रस्ता डांबरीकरण करणे.</t>
  </si>
  <si>
    <t>प्रभाग क्र.०३ कोणार्क कॉटेजेस ते ऑप्टीमस मिळकतीपर्यत डे्रनेज लाईन टाकणे</t>
  </si>
  <si>
    <t>प्रभाग क्र.३ संजयपार्क  मधील विविध ठिकाणी डांबरीकरण करणे</t>
  </si>
  <si>
    <t>प्रभाग क्र.३ मधील यमुनानगर, सिध्दार्थनगर, संजयपार्क, व वैकफिल्ड झोपडपटटी मध्ये डे्रनेज लाईन टाकणे व कॉक्रिटीकरण करणे.</t>
  </si>
  <si>
    <t>प्रभाग क्र.०३ सुप्रभात गल्ली नं १ डांबरीकरण करणे.</t>
  </si>
  <si>
    <t>प्रभाग क्र ४ मध्ये विविध ठिकाणी फु टपाथ दुरुस्त करणे</t>
  </si>
  <si>
    <t>प्रभाग क्र ४ मध्ये चेबर दुरुस्ती करणे</t>
  </si>
  <si>
    <t>प्रभाग क्र.४ मध्ये विविध व्यासाच्या डे्रनेज लाईन, चेंबर,नाला साफ सफ ाई करणे</t>
  </si>
  <si>
    <t>प्रभाग क्र ४ मध्ये विविध समाजमंदिराचे विविध कामे करणे</t>
  </si>
  <si>
    <t>प्रभाग क्र.४ मध्ये ट्रिमिक्स  काँक्रीट करणे</t>
  </si>
  <si>
    <t>प्रभाग क्र.४ मधील रस्ते विकसित करणे</t>
  </si>
  <si>
    <t>प्रभाग क्र.४ मध्ये राडारोडा उचलणे व तद्‌ नुषगिक कामे करणे</t>
  </si>
  <si>
    <t>प्रभाग क्र ४ मध्ये विविध ड्रेनेज विषयक  कामे करणे</t>
  </si>
  <si>
    <t>प्रभाग क्र ४ मधील शौचालयांची दुरुस्ती करणे</t>
  </si>
  <si>
    <t>प्रभाग क्र ४ मध्ये विविध ठिकाणी डांबरीकरण करणे</t>
  </si>
  <si>
    <t>प्रभाग क्र ४ मध्ये विविध ठिकाणी  गल्लीबोळात काँक्रीट करण  करणे</t>
  </si>
  <si>
    <t>प्रभाग क्र.४ मध्ये विविध ठिकाणी डे्रनेज टाकुण काँक्रीट करणे</t>
  </si>
  <si>
    <t>प्रभाग क्र.४ मध्ये विविध ठिकाणी विदयुत विषयक कामे करणे.</t>
  </si>
  <si>
    <t>प्रभाग क्र१७ मध्ये विविध ठिकाणी फु टपाथ दुरुस्त करणे</t>
  </si>
  <si>
    <t>प्रभाग क्र १७ मध्ये चेबर दुरुस्ती करणे</t>
  </si>
  <si>
    <t>प्रभाग क्र.१७ मध्ये विविध व्यासाच्या डे्रनेज लाईन, चेंबर,नाला साफ सफ ाई करणे</t>
  </si>
  <si>
    <t>प्रभाग क्र १७ मध्ये विविध समाजमंदिराचे विविध कामे करणे</t>
  </si>
  <si>
    <t>प्रभाग क्र.१७ मध्ये ट्रिमिक्स  काँक्रीट करणे</t>
  </si>
  <si>
    <t>प्रभाग क्र.१७ मधील रस्ते विकसित करणे</t>
  </si>
  <si>
    <t>प्रभाग क्र.१७ मध्ये राडारोडा उचलणे व तद्‌ नुषगिक कामे करणे</t>
  </si>
  <si>
    <t>प्रभाग क्र १७ मध्ये विविध ड्रेनेज विषयक  कामे करणे</t>
  </si>
  <si>
    <t>प्रभाग क्र १७ मधील शौचालयांची दुरुस्ती करणे</t>
  </si>
  <si>
    <t>प्रभाग क्र १७ मध्ये विविध ठिकाणी डांबरीकरण करणे</t>
  </si>
  <si>
    <t>प्रभाग क्र १७ मध्ये विविध ठिकाणी  गल्लीबोळात काँक्रीटकरण  करणे</t>
  </si>
  <si>
    <t>प्रभाग क्र.१७ मध्ये विविध ठिकाणी डे्रनेज टाकून काँक्रीट करणे</t>
  </si>
  <si>
    <t>प्रभाग क्र.१८ स्मशानभुमी,दफनभुमी विविध विकास कामे करणे</t>
  </si>
  <si>
    <t>प्रभाग क्र.१८ लोकमान्य टिळक शाळा विविध विकास कामे करणे</t>
  </si>
  <si>
    <t>प्रभाग क्र.१८ फुटपाथ विकसित करणे</t>
  </si>
  <si>
    <t>प्रभाग क्र.१८ डे्रनेज लाईन जेंटीग मशिनच्या साहयाने साफ करणे</t>
  </si>
  <si>
    <t>प्रभाग क्र.१८ डे्रनेज लाईन दुरूस्त करणे</t>
  </si>
  <si>
    <t>प्रभाग क्र.१८ विविध ठिकाणी डे्रनेज लाईन टाकणे</t>
  </si>
  <si>
    <t>प्रभाग क्र.१८ विविध ठिकाणी कॉक्रिटीकरण करणे</t>
  </si>
  <si>
    <t>प्रभाग क्र.१८ खचलेले ब्लॉक काढून नविन ब्लॉक बसविणे.</t>
  </si>
  <si>
    <t>प्रभाग क्र.१८ मध्ये घाटाचे उर्वरित काम पुर्ण करणे.</t>
  </si>
  <si>
    <t>प्रभाग क्र.१८ इनामदार शाळा व परिसर रस्ते विकसित करणे.</t>
  </si>
  <si>
    <t>प्रभाग क्र.१८ म.न.पा. इमारतीमध्ये विविध विकास कामे करणे.</t>
  </si>
  <si>
    <t>प्रभाग क्र.१९ मध्ये गणेशनगर परिसरात डांबरीकरण करणे.</t>
  </si>
  <si>
    <t>प्रभाग क्र.१९ विविध ठिकाणी येथे रस्ते विषयक कामे करणे.</t>
  </si>
  <si>
    <t>प्रभाग क्र.१९ बोराटेवस्ती, तुकारामनगर येथे रस्ते विषयक कामे करणे.</t>
  </si>
  <si>
    <t>प्रभाग क्र.१९ विविध ठिकणी ड्रेनेज विषयक कामे करणे.</t>
  </si>
  <si>
    <t>प्रभाग क्र.१९ राघवेंद्रनगर, तुकारामनगर, बोराटेवस्ती येथे ड्रेनेज विषयक कामे करणे.</t>
  </si>
  <si>
    <t>प्रभाग क्र.१९ वाढेश्वरनगर , महादेवनगर वडगावशेरी गावठाण परिसर येथे ड्रेनेज विषयक कामे करणे.</t>
  </si>
  <si>
    <t>प्रभाग क्र.१९ राजश्री कॉलनी, संभाजीनगर, माळवाडी येथिल साईनाथनगर येथिल जुन्या ड्रेनेज लाईन बदलणे.</t>
  </si>
  <si>
    <t>प्रभाग क्र.१९ मध्ये विविध ठिकाणी काँक्रीटीकरण करणे.</t>
  </si>
  <si>
    <t>प्रभाग क्र.१९ मध्ये विविध ठिकाणी अंतर्गत रस्ते डांबरीकरण करणे.</t>
  </si>
  <si>
    <t>प्रभाग क्र.१९ मध्ये तुकारामनगर परिसरात रस्ते डांबरीकरण करणे.</t>
  </si>
  <si>
    <t>प्रभाग क्र.१९ मध्ये विविध ठिकाणी ड्रेनेज विषयक कामे करणे.</t>
  </si>
  <si>
    <t>प्रभाग क्र.२ मध्ये कचरा वर्गीकरण करणेसाठी लहान व मोठ्या बकेट मिळाव्यात</t>
  </si>
  <si>
    <t>प्रभाग क्र.२ मध्ये कचरा व्यवस्थापन करण्यासाठी व साफसफाई साठी तरतुद करावी</t>
  </si>
  <si>
    <t>प्रभाग क्र.२ मध्ये खराडी-चंदननगर मध्ये विविध ठिकाणी असलेली गटारे साफ करून मिळणे</t>
  </si>
  <si>
    <t>प्रभाग क्र.२ मध्ये आपले घर येथे असलेल्या व्यायामशाळेत जिमचे साहित्य उपलब्ध करण्यात यावे</t>
  </si>
  <si>
    <t>प्रभाग क्र.२ मध्ये खुळेवाडी परीसरात ड्रेनेजची व गटारांची समस्या असून सर्व गटारांची साफसफाई करण्यात यावी.</t>
  </si>
  <si>
    <t>प्रभाग क्र.२ मध्ये प्रभाग क्र.२ मध्ये परिसरातील राडारोडा उचलण्याबाबत</t>
  </si>
  <si>
    <t>प्रभाग क्र.२ मध्ये थिटेवस्ती पार्क खराडकर पार्क रोडवरील राडारोडा उचलणेबाबत</t>
  </si>
  <si>
    <t>प्रभाग क्र.२ मध्ये खराडी-चंदननगर मधील काही ठिकाणी डांबरीकरण करणेबाबत व डागडुजी करणेबाबत</t>
  </si>
  <si>
    <t>प्रभाग क्र.२ मध्ये प्रभाग क्र.२ मध्ये काही एलईडी दिवे स्ट्रीट लाईट बसविणेबाबत.</t>
  </si>
  <si>
    <t>प्रभाग क्र.२ मध्ये खराडी चंदननगर मध्ये ज्या परिसरात ड्रेनेज लाईन व ड्रेनेजचे प्लॅस्टर करणेबाबत</t>
  </si>
  <si>
    <t>प्रभाग क्र.३ अ विविध ठिकाणी फुटपाथ तयार करणे</t>
  </si>
  <si>
    <t>प्रभाग क्र.३ अ वैकफिल्ड झोपडपटटी मध्ये विविध गल्लीबोळ ट्रीमिक्स करणे</t>
  </si>
  <si>
    <t>प्रभाग क्र.३ अ बजाज फिनसर्व्हे ते नेक्सा शौरूम पर्यत फुटपाथ दुरूस्त करणे</t>
  </si>
  <si>
    <t>प्रभाग क्र.३ अ सोमनाथ नगर येथे स्पीड ब्रेकर बसविणे</t>
  </si>
  <si>
    <t>प्रभाग क्र.३ अ बॉम्बे सॅपर्स उानामध्ये शौचालय दुरूस्ती करणे व इतर कामे करणे</t>
  </si>
  <si>
    <t>प्रभाग क्र. ३ ब गंगा स्पेस येथे डिव्हाडर व झाडे लावणे</t>
  </si>
  <si>
    <t>प्रभाग क्र.३ ब साकोरेनगर परिसरामध्ये पाण्याचे लाईन टाकणे</t>
  </si>
  <si>
    <t>प्रभाग क्र.३ ब राजीवनगर नॉर्थ येथे पाणी पुरवठा विषयक कामे करणे</t>
  </si>
  <si>
    <t>प्रभाग क्र.३ ब झाडण काम करणा-या महिलांना व्हिल बॅरो पुरविणे</t>
  </si>
  <si>
    <t>प्रभाग क्र.३ ब गणेश नगर परिसरामध्ये डे्रनेज लाईन साफ करणे व चेंबर दुरूस्त करणे</t>
  </si>
  <si>
    <t>प्रभाग क्र. ४   बुध्द विहार दुरुस्ती करणे, पेव्हिंग काम व लाईट काम</t>
  </si>
  <si>
    <t>प्रभाग क्र. ४ विविध ठिकाणी ड्रेनेज लाईन साफ करणे.पंचशिलनगर,हिरामण मोझे नगर,कामगार नगर</t>
  </si>
  <si>
    <t>प्रभाग क्र. ४  जाधव नगर/ सैनिकनगर/ प्रतिकनगर/कामगारनगर येथील फूटपाथ दुरुस्ती करणे</t>
  </si>
  <si>
    <t>प्र.क्र.४  स्पिड ब्रेकर बसविणे</t>
  </si>
  <si>
    <t>प्रभाग क्र. ४  पंचशील नगर,श्रमिक वसाहत येथील शौचालय दुरुस्तीबाबत</t>
  </si>
  <si>
    <t>प्रभाग क्र ४ लाईट दुरुस्ती करणे</t>
  </si>
  <si>
    <t>प्रभाग क्र ४ मस्जिद चेंबर दुरुस्ती करणे व लाईन टाकणे</t>
  </si>
  <si>
    <t>प्रभाग क्र ४  धम्म ज्योती संघटना  बुध्द विहाराजवळील गल्ल्या कॉक्रीट करणे</t>
  </si>
  <si>
    <t>प्रभाग क्र ४ तक्षशिला बुध्दविहाराजवळील गल्ल्यामध्ये  डे्रनेज लाईन टाकणे.</t>
  </si>
  <si>
    <t>प्रभाग क्र ४  समाजमंदीराची दुरुस्ती करणे</t>
  </si>
  <si>
    <t>प्रभाग क्र.१७  गांधीनगर-जयप्रकाशनगर भागातील चेंबर दुरुस्ती करणे</t>
  </si>
  <si>
    <t>प्रभाग क्र.१७  प्रभागामध्ये विविध ठिकाणी वाहतूक नियमनाचे बोर्ड बसविणे</t>
  </si>
  <si>
    <t>प्रभाग क्र.१७  कल्याणीनगर आगाखान पॅलेस परिसरामध्ये नविन पाण्याची लाईन टाकणे</t>
  </si>
  <si>
    <t>प्रभाग क्र.१७  कल्याणीनगरआगाखान पॅलेस परिसरामध्ये रस्त्यांवर पांढरे पट्‌टे मारणे व कॅटस्‌ आय बसविणे</t>
  </si>
  <si>
    <t>प्रभाग क्र.१७  शांतीरक्षक परिसरातील जुन्या डे्रनेज लाईन बदलणे</t>
  </si>
  <si>
    <t>प्रभाग क्र.१७  कल्याणीनगर आगाखान पॅलेस  परिसरातील फुटपाथ दुरुस्ती करणे</t>
  </si>
  <si>
    <t>प्रभाग क्र.१७  महात्मा गांधीनगर पथदिवे बदलणे व फि टीग बदलणे</t>
  </si>
  <si>
    <t>प्रभाग क्र.१७  महात्मा गांधीनगर  मध्ये ड्रेनेज दुरुस्ती व चेबर दुरुस्तीची कामे करणे</t>
  </si>
  <si>
    <t>प्रभाग क्र.१७  स.नं. क्र१७ जयप्रकाशनगर मध्ये अनेक ठिकाणी कमी प्रेशरने येते त्याभागात पाण्याच्या लाईल टाकणे</t>
  </si>
  <si>
    <t>प्रभाग क्र.१७  शांतीरक्षक परिसरात रस्ते कॉक्रीट करणे</t>
  </si>
  <si>
    <t>प्रभाग क्र.१७  त्रिदलनगर  मध्ये पावसाळी लाईन टाकणे</t>
  </si>
  <si>
    <t>प्रभाग क्र.१८ सनसिटी समोरील उानामध्ये बसण्यासाठी बेचेंस खरेदी करणे</t>
  </si>
  <si>
    <t>प्रभाग क्र.१८ विविध ठिकाणी डे्रनेज दुरूस्ती विषयक कामे करणे</t>
  </si>
  <si>
    <t>प्रभाग क्र.१८ आशिष सोसायटी येथे रस्ते विकसित करणे.</t>
  </si>
  <si>
    <t>प्रभाग क्र.१८ गार्डनमध्ये विविध सुधारणा कामे करणे.</t>
  </si>
  <si>
    <t>प्रभाग क्र.१८ सर्व्हे नं ४१ उर्जा सोसायटी व जयहिंद सोसायटी येथील रस्ते विकसीत करणे.</t>
  </si>
  <si>
    <t>प्रभाग क्र.१८ स नं २९ रामवाडी गावठाणातील सार्वजनिक शौचालयाची दुरूस्ती करणे.</t>
  </si>
  <si>
    <t>प्रभाग क्र.१८ सैनिकवाडी येथील रस्त्याच्या कडेला फुटपाथ करणे</t>
  </si>
  <si>
    <t>प्रभाग क्र.१८ वडगावशेरी येथील स नं ३७ टेम्पो चौक समर्थ नगर समोरील ३० दशलक्ष लिटर पाणी क्षमता असलेल्या पाण्याच्या टाकी परिसरातील सिमाभिंतीची दुरावस्था झालेला असून नवीन पक्की कपांऊड भिंत बांधुन टाकी परिसर संरक्षित करावा.</t>
  </si>
  <si>
    <t>प्रभाग क्र.१८ हिंदु, मुस्लीम, ख्रिश्चन दफनभुमीमध्ये पदपथ व इतर विकासाची कामे करणे.</t>
  </si>
  <si>
    <t>प्र.क्र.१८ सर्व्हे नं ४१ मुरलीधर सोसायटी पोलीस लाईन विदयानगर मधील पथदिवे एलएडिसह विदयत पोल बसविणे</t>
  </si>
  <si>
    <t>प्रभाग क्र.१९ मध्ये सर्वे नं.२९/३,२६,२८ मधिल विुत तारा भुमिगत करणे अंतर्गत व प्रमुख रस्त्यावर आणि चौकात एलईडी दिवे बसवावेत</t>
  </si>
  <si>
    <t>प्रभाग क्र.१९ मध्ये स्टॉर्म वॉटर/ड्रेनेज वॉटर लाईन स्वतंत्र टाकणे बोराटेनगर, बोराटेवस्ती</t>
  </si>
  <si>
    <t>प्रभाग क्र.१९ मध्ये गणेशनगर येथे सिमेंट काँक्रीट करणे.</t>
  </si>
  <si>
    <t>प्रभाग क्र.१९ मध्ये ड्रेनेज लाईन साफसफाई व दुरुस्ती करणे.</t>
  </si>
  <si>
    <t>प्रभाग क्र.१९ मध्ये समाजमंदिर देखभाल दुरूस्ती करणे.</t>
  </si>
  <si>
    <t>प्रभाग क्र.१९ मध्ये दवाखाना व ज्येष्ट नागरिकांसाठीच्या हॉलची देखभाल दुरूस्ती करणे.</t>
  </si>
  <si>
    <t>प्रभाग क्र.१९ मध्ये सर्वे नं.३२ येथील विश्वलिला सोसायटी मधील रस्ता डांबरीकरण करणे.</t>
  </si>
  <si>
    <t>प्रभाग क्र.१९ मध्ये स.नं.९ तुकारामनगर येथील खराब झालेली पावसाळी लाईन व ड्रनेज लाईन साफ करणे.</t>
  </si>
  <si>
    <t>प्रभाग क्र.१९ मध्ये सर्व्हे नं.१०/११ संभाजीनगर गणपती मंदिर परिसर गल्ली नं.२ व ३ मधील गटारे दुरूस्ती करणे.</t>
  </si>
  <si>
    <t>प्रभाग क्र.१९  स.नं.२९/३ मधील डांबरी रोडचे काम करणे</t>
  </si>
  <si>
    <t>प्रभाग क्र. 1 मधील पावसाळी जाळ्या नाला साफसफार्इ करणे.</t>
  </si>
  <si>
    <t>प्रभाग क्र. 1 मधील परिसरात गल्लीबोळ कॉंक्रीट करणे</t>
  </si>
  <si>
    <t>प्रभाग क्र. 1 मध्ये विविध ठिकाणी विद्युत विषयक कामे करणे</t>
  </si>
  <si>
    <t>प्रभाग क्र. 1 मध्ये एल.र्इ.डी फिटिंग ड्रायव्हर बदलणे व अनुषंगिक कामे करणे</t>
  </si>
  <si>
    <t>प्रभाग क्र. 1 मध्ये फिडर पिलर बसविणे, दुरूस्ती करणे व अनुषंगिक कामे करणे</t>
  </si>
  <si>
    <t>प्रभाग क्र. 1 मध्ये मनपा शाळा ,दवाखाने व मनपा इमारती मध्ये वायरिंग व इतर अनुषंगिक कामे करणे</t>
  </si>
  <si>
    <t>प्रभाग क्र. 5 मधील विसज्रन घाट येथे मांडव व्यवस्था करणे व विविध विकास कामे करणे</t>
  </si>
  <si>
    <t>प्रभाग क्र. 5 मधील मनपा दवखाना मध्ये देखभाल दुरूस्ती व विविध विकास कामे करणे</t>
  </si>
  <si>
    <t>प्रभाग क्र. 5 मधील मनपा शाळेचे मध्ये देखभाल दुरूस्ती व विविध विकास कामे करणे</t>
  </si>
  <si>
    <t>प्रभाग क्र. 5 मधील एकता नगर, भीमनगर व विशाल परिसर सुलभ शौचालय देखभाल दुरूस्ती करणे</t>
  </si>
  <si>
    <t>प्रभाग क्र. 5 मध्ये विविध ठिकाणी ड्रेनेज लार्इन टाकणे व साफसफार्इ करणे</t>
  </si>
  <si>
    <t>प्रभाग क्र. 5 मध्ये विविध ठिकाणी फुटपाथ दुरूस्ती करणे</t>
  </si>
  <si>
    <t>श्री. संत ज्ञानेश्वर महाराज पालखी उत्सवनिमित्त मांडव उभारणे व तदनुषंगिक कामे करणे</t>
  </si>
  <si>
    <t>प्रभाग क्र. 5 मध्ये ट्रिनिटी शाळेसमोरील अंतर्गत बोळ मधील ड्रेनेज लार्इन टाकणे व कॉंक्रीट करणे</t>
  </si>
  <si>
    <t xml:space="preserve">प्रभाग क्र. 5 मध्ये विविध ठिकाणी विद्युत विषयक कामे करणे </t>
  </si>
  <si>
    <t>प्रभाग क्र. 5 मध्ये एल.र्इ.डी फिटिंग ड्रायव्हर बदलणे व अनुषंगिक कामे करणे</t>
  </si>
  <si>
    <t>प्रभाग क्र. 5 मध्ये फिडर पिलर बसविणे, दुरूस्ती करणे व अनुषंगिक कामे करणे</t>
  </si>
  <si>
    <t>प्रभाग क्र. 5 मध्ये मनपा शाळा ,दवाखाने व मनपा इमारती मध्ये वायरिंग व इतर अनुषंगिक कामे करणे</t>
  </si>
  <si>
    <t>प्रभाग क्र. 14 पांडुलमाणवस्ती गल्ली बोळ कॉंक्रीट करणे</t>
  </si>
  <si>
    <t>प्रभाग क्र. 14 मधील विविध ठिकाणी डे्नेज लार्इन व चेंबर दुरूस्ती करणे</t>
  </si>
  <si>
    <t>प्रभाग क्र. 14 ममध्ये शाळा दवाखाने व पुणे मनपाच्या मालकीच्या इमारती मध्ये दुरूस्ती विषयक कामे करणे</t>
  </si>
  <si>
    <t>प्रभाग क्र. 14 मधील पावसाळी लार्इन साफ करणे व चेंबर दुरूस्ती करणे व चेंबर उचलणे</t>
  </si>
  <si>
    <t>प्रभाग क्र. 14 मध्ये गवणी परिसरात शौचालयाची देखभाल दुरूस्ती विषयक आवश्यक कामे करणे</t>
  </si>
  <si>
    <t>प्रभाग क्र. 14 मॅनहोल चेंबर दुरूस्ती व प्लॉस्टर करणे</t>
  </si>
  <si>
    <t>प्रभाग क्र. 14 विविध ठिकाणची पावसाळी नादुरूस्ती लार्इन काढुन नविन टाकणे</t>
  </si>
  <si>
    <t>प्रभाग क्र. 14 मधील विविध ठिकाणची जुनी डे्नेज लार्इन काढुन नविन ड्रेनेज लार्इन टाकणे. (छोट्या व मोठ्या व्यासाची)</t>
  </si>
  <si>
    <t>प्रभाग क्र. 14 मधील विविध ठिकाणी गल्लीबोळ कॉंक्रीट करणे.</t>
  </si>
  <si>
    <t xml:space="preserve">प्रभाग क्र. 14 मध्ये विविध ठिकाणी विद्युत विषयक कामे करणे </t>
  </si>
  <si>
    <t>प्रभाग क्र. 14 मध्ये एल.र्इ.डी फिटिंग ड्रायव्हर बदलणे व अनुषंगिक कामे करणे</t>
  </si>
  <si>
    <t>प्रभाग क्र. 14 मध्ये फिडर पिलर बसविणे, दुरूस्ती करणे व अनुषंगिक कामे करणे</t>
  </si>
  <si>
    <t>प्रभाग क्र. 14 मध्ये मनपा शाळा ,दवाखाने व मनपा इमारती मध्ये वायरिंग व इतर अनुषंगिक कामे करणे</t>
  </si>
  <si>
    <t>प्रभाग क्र. 15 बालाजी नगर गणेश नगर मध्ये नविन 12'' इंची ड्रेनेज लार्इन टाकणे व कोबा करणे</t>
  </si>
  <si>
    <t xml:space="preserve">प्रभाग क्र. 15 बालाजी नगर , बिडी कामगार वसाहत येथे मोठ्या व्यासाची ड्रेनेज लार्इन टाकणे </t>
  </si>
  <si>
    <t>प्रभाग क्र. 15 बालाजी नगर , बिडी कामगार वसाहत येथे रस्ते ट्रिमिक्स पध्दतीने कॉंक्रीट करणे</t>
  </si>
  <si>
    <t>प्रभाग क्र. 15 अशोक नगर येथिल बनसोडे चौक बिडकाम वसाहतीतील रस्ता ट्रिमिक्स पध्दतीने कॉंक्रीट करणे</t>
  </si>
  <si>
    <t>प्रभाग क्र. 15 यशवंत नगर येथील रस्ता  ट्रिमिक्स पध्दतीने कॉंक्रीट करणे</t>
  </si>
  <si>
    <t>प्रभाग क्र. 15 यशवंत नगर ते भाट वस्ती पर्यंत रस्ता  ट्रिमिक्स पध्दतीने कॉंक्रीट करणे</t>
  </si>
  <si>
    <t>प्रभाग क्र. 15 मधील नेताजी सुभाष चंद्र भोस विद्यालय शाळेची दुरूस्ती करणे</t>
  </si>
  <si>
    <t xml:space="preserve">प्रभाग क्र. 15 मध्ये विविध ठिकाणी विद्युत विषयक कामे करणे </t>
  </si>
  <si>
    <t>प्रभाग क्र. 15 मध्ये एल.र्इ.डी फिटिंग ड्रायव्हर बदलणे व अनुषंगिक कामे करणे</t>
  </si>
  <si>
    <t>प्रभाग क्र. 15 मध्ये फिडर पिलर बसविणे, दुरूस्ती करणे व अनुषंगिक कामे करणे</t>
  </si>
  <si>
    <t>प्रभाग क्र. 15 मध्ये मनपा शाळा ,दवाखाने व मनपा इमारती मध्ये वायरिंग व इतर अनुषंगिक कामे करणे</t>
  </si>
  <si>
    <t>प्रभाग क्र. 16 मधील विविध ठिकाणी पदपथ विषयक कामे करणे</t>
  </si>
  <si>
    <t>प्रभाग क्र. 16 मधील विविध सार्वजनिक शौचालये दुरूस्ती कामे करणे</t>
  </si>
  <si>
    <t>प्रभाग क्र. 16 मधील आर्दश नगर इंदिरानगर, भारतनगर, शांतीनगर येथे कॉंक्रीटीकरण करणे</t>
  </si>
  <si>
    <t>प्रभाग क्र. 16 मधील आर्दश नगर इंदिरानगर, भारतनगर, शांतीनगर येथे ड्रेनेज विषयक कामे करणे</t>
  </si>
  <si>
    <t>प्रभाग क्र. 16 मधील विविध ठिकाणी ड्रेनेज विषयक कामे करणे</t>
  </si>
  <si>
    <t>प्रभाग क्र. 16 मधील नाले साफसफार्इ करणे</t>
  </si>
  <si>
    <t xml:space="preserve">प्रभाग क्र. 16 मधील राजीव गांधीनगर येथे ड्रेनेज कॉंक्रीटकरणे </t>
  </si>
  <si>
    <t>प्रभाग क्र. 16 मधील आर्दश नगर इंदिरानगर येथे ड्रेनेज कॉंक्रीट करणे</t>
  </si>
  <si>
    <t>प्रभाग क्र. 16 मधील शाळा व समाज मंदिर यांची दुरूस्ती विषयक कामे करणे</t>
  </si>
  <si>
    <t>प्रभाग क्र. 16 मधील ड्रेनेज व पावसाळी लार्इन साफसफार्इ करणे</t>
  </si>
  <si>
    <t xml:space="preserve">प्रभाग क्र. 16 मध्ये विविध ठिकाणी विद्युत विषयक कामे करणे </t>
  </si>
  <si>
    <t>प्रभाग क्र. 16 मध्ये एल.र्इ.डी फिटिंग ड्रायव्हर बदलणे व अनुषंगिक कामे करणे</t>
  </si>
  <si>
    <t>प्रभाग क्र. 16 मध्ये फिडर पिलर बसविणे, दुरूस्ती करणे व अनुषंगिक कामे करणे</t>
  </si>
  <si>
    <t>प्रभाग क्र. 16 मध्ये मनपा शाळा ,दवाखाने व मनपा इमारती मध्ये वायरिंग व इतर अनुषंगिक कामे करणे</t>
  </si>
  <si>
    <t xml:space="preserve">प्रभाग क्र. 1 लोहगाव स.नं. 258 1 2 खेसे पार्क येथील अंतर्गत रस्ते डांबरीकरण करणे. </t>
  </si>
  <si>
    <t>प्रभाग क्र. 1 धानोरी स.नं. 14 रिजेन्सी मेडोज समोरील रस्ता गाऊंट करणे.</t>
  </si>
  <si>
    <t>प्रभाग क्र. 1 धानोरी स.नं. 17 मधील पुणे मनपाच्या ताब्यात असलेले रस्ते गाऊंट करणे.</t>
  </si>
  <si>
    <t>प्रभाग क्र. 1 धानोरी भैरव नगर परिसरात आयप्पा मंदिरा जवळ फुटपाथ विकसीत करणे</t>
  </si>
  <si>
    <t>प्रभाग क्र. 1 मध्ये आनंदमंगल कार्यालय जवळील रस्ते यु.टी.ड्ब्ल्यु.टी .पध्दतीने कॉंक्रीट करणे</t>
  </si>
  <si>
    <t>प्रभाग क्र. 1 मधील कलवड वस्ती येथे 300 मिमी व्यासाची ड्रेनेज लार्इन टाकणे</t>
  </si>
  <si>
    <t>प्रभाग क्र. 1 मध्ये मुंजबा वस्ती परिसरात 300 मिमी व्यासाची ड्रेनेज लार्इन टाकणे</t>
  </si>
  <si>
    <t>प्रभाग क्र. 1 मधील धानोरी जकात नाका ते कलवड रस्ता डांबरीकरण करणे</t>
  </si>
  <si>
    <t>प्रभाग क्र. 5 मधील भीमनगर येथे ड्रेनेज लार्इन टाकणे व कॉंक्रीट करणे</t>
  </si>
  <si>
    <t>प्रभाग क्र. 5  मधील कै. विठ्ठलराव गाडगीळ शाळा व विद्यानिकेतन क्र. 17 मध्ये वॉचमन कॉर्टर बांधणे</t>
  </si>
  <si>
    <t>प्रभाग क्र. 5  मधील स.नं. 111/स.नं. 112 मध्ये ड्रेनेज लार्इन टाकणे व कॉंक्रीट करणे</t>
  </si>
  <si>
    <t>प्रभाग क्र. 5 कळस माळवाडी येथे बांप्पुजी बुवा मंदिर ते राजगड बंगल्या पर्यंत रस्ता कॉंक्रीट करणे</t>
  </si>
  <si>
    <t>प्रभाग क्र. 5 मध्ये विविध ठिकाणी डे्नेज लार्इन टाकणे</t>
  </si>
  <si>
    <t>प्रभाग क्र. 14 नार्इक नगर वखारा जवळ व इतर ठिकाणी सी.सी. काँक्रीट करणे</t>
  </si>
  <si>
    <t>प्रभाग क्र. 14 नार्इक नगर कदम निवास समोरील रस्ता सी.सी. काँक्रीट करणे</t>
  </si>
  <si>
    <t>प्रभाग क्र. 14 लक्ष्मीनगर रणवीर शिवाजी मित्रमंडळ पोलीस चौकी मागे शौचालय बांधणे व इतर शौचालयाची दुरूस्ती करणे</t>
  </si>
  <si>
    <t>प्रभाग क्र. 14 जयजवान नगर गुरूव्दार मागे कॉंक्रीट करणे</t>
  </si>
  <si>
    <t>प्रभाग क्र. 14 लक्ष्मीनगर बनसोडे चौक परिसर व अमृतेश्वर मंदिर परिसर काँक्रीट करणे</t>
  </si>
  <si>
    <t xml:space="preserve">प्रभाग क्र. 14 मधील निळा झेंडा चौक ते अमृतेश्वर मंदिर तसेच येरवडा बाजारा मधील करपे वडेवाले समोरील रस्ता ट्रिमिक्स कॉंक्रीट करणे </t>
  </si>
  <si>
    <t>प्रभाग क्र. 14 मधील शाळा दवाखाने समाज मंदिर व शौचालय दुरूस्ती  व वॉटर प्रुफींगची कामे करणे</t>
  </si>
  <si>
    <t>प्रभाग क्र. 14 मधील मुख्य रस्त्यावरील मुतारी व शौचालयाचे देखभाल व दुरूस्ती करणे</t>
  </si>
  <si>
    <t>प्रभाग क्र. 14 मधील इराणी मार्केट व मटण मार्केटची देखभाल दुरूस्ती विषयक कामे करणे</t>
  </si>
  <si>
    <t>प्रभाग क्र. 15 मध्ये मांगीर बाबा मंदिर ते एकता सोसायटी मुख्य रस्ता पर्यंत 18'' इंची ड्रेनेज लार्इन टाकणे</t>
  </si>
  <si>
    <t>प्रभाग क्र. 15 सेवक चौक ते देवकर सप्लायर्स पर्यंत 18'' इंची ड्रेनेज लार्इन टाकणे</t>
  </si>
  <si>
    <t>प्रभाग क्र. 15 आर के चौक ऊर्दु शाळे समोर भागा मध्ये ट्रिमिक्स कॉंक्रीट करणे.</t>
  </si>
  <si>
    <t>प्रभाग क्र. 16 मधील शांतीनगर टॅक रोड सार्इडपट्टी विकसीत करणे</t>
  </si>
  <si>
    <t>प्रभाग क्र. 16 मधील भारतनगर येथे कॉंक्रीटीकरण करणे</t>
  </si>
  <si>
    <t>प्रभाग क्र. 16 मधील पोरवाल पार्क येथील उर्वरीत रस्ते यु.टी.डब्लु.टी करणे</t>
  </si>
  <si>
    <t>स.न. 67 भैरवनगर रोड 15 मधील अंतर्गत गल्या सिमेंट कॉंक्रीट करणे</t>
  </si>
  <si>
    <t>कळस माळवाडी येथील पुलावरती दोन्ही बाजुस जाळी बसवणे</t>
  </si>
  <si>
    <t>आळंदी रोड वरील साठे बिस्कीट रोड वरील असलेल्या पुलाला दोन्ही बाजुस लोखंडी जाळी बसविणे</t>
  </si>
  <si>
    <t>विश्रांतवाडी ते 509 टिंगरे नगर रोडवर असणाऱ्या पुलाला दोन्ही बाजुस लोखंडी जाळी बसविणे</t>
  </si>
  <si>
    <t>प्रभाग क्र. 14 अ प्रभागा मध्ये चेंबर दुरूस्ती व प्लास्टर करणे व साफसफार्इ करणे</t>
  </si>
  <si>
    <t>प्रभाग क्र. 14 ब मध्ये नार्इक नगर जयजवान नगर येथे ड्रेनेज लार्इन टाकणे</t>
  </si>
  <si>
    <t>प्रभाग क्र. 15 मध्ये अर्धवट राहिलेल्या समाजमंदिराचे काम पुर्ण करणे</t>
  </si>
  <si>
    <t>प्रभाग क्र. 15 प्रभागातील विविध ठिकाणी भिंती वर समाजविषयक प्रबोधनकार घोश वाक्य लिहणे व चित्र काढणे</t>
  </si>
  <si>
    <t>प्रभाग क्र. 15 मधील विविध ठिकाणी फुटपाथ दुरूस्ती करणे</t>
  </si>
  <si>
    <t>प्रभाग क्र. 15 मधील जुन्या ड्रेनेज लार्इन बदलणे (आर्दश इंदिरानगर, सुरक्षानगर)</t>
  </si>
  <si>
    <t>प्रभाग क्र. 15 मधील कलव्हट ब्रीज व नाल्यालगत जाळी बसविणे</t>
  </si>
  <si>
    <t>प्रभाग क्र. 15 मधील गवनि भागातील शौचालय दुरूस्ती करणे</t>
  </si>
  <si>
    <t>प्रभाग क्र. 15 मधील गवनि भागातील कॉंक्रीट करणे</t>
  </si>
  <si>
    <t>प्रभाग क्र. 15 प्रभागातील विविध ठिकाणी चेंबर लार्इन बदलणे व दुरूस्ती करणे</t>
  </si>
  <si>
    <t>प्रभाग क्र. 15 प्रभागातील शौचालयाची दुरूस्ती व रंगरंगोटी करणे</t>
  </si>
  <si>
    <t>प्रभाग क्र. 16 मधील विविध ठिकाणी फुटपाथ दुरूस्ती करणे</t>
  </si>
  <si>
    <t>प्रभाग क्र. 16 मधील जुन्या ड्रेनेज लार्इन बदलणे (आर्दश इंदिरानगर, सुरक्षानगर)</t>
  </si>
  <si>
    <t>प्रभाग क्र. 16 मधील कलव्हट ब्रीज व नाल्यालगत जाळी बसविणे</t>
  </si>
  <si>
    <t>प्रभाग क्र. 16 मधील गवनि भागातील शौचालय दुरूस्ती करणे</t>
  </si>
  <si>
    <t>प्रभाग क्र. 16 मधील गवनि भागातील कॉंक्रीट करणे</t>
  </si>
  <si>
    <t xml:space="preserve">प्रभाग क्र. 16 प्रभागातील विविध ठिकाणी दिवे व पोल बसविणे </t>
  </si>
  <si>
    <t xml:space="preserve">प्रभाग क्र. 16 प्रभागातील विविध ठिकाणी भिंती वर समाजविषयक प्रबोधनकार घोश वाक्य लिहणे </t>
  </si>
  <si>
    <t>प्रभाग क्र. 16 स्टार एलेव्हन मित्र मंडळापासुन नदी रस्ता कॉंक्रीट करणे</t>
  </si>
  <si>
    <t>प्रभाग क्र. 16 प्रभागातील विविध ठिकाणी चेंबर लार्इन बदलणे व दुरूस्ती करणे</t>
  </si>
  <si>
    <t>मुंजबा वस्ती येथिल अॅटरिया सोसायटी समोर रस्त्याच्या बाजुस फुटपाथ विकसित करणे</t>
  </si>
  <si>
    <t>स.न. 30/7 मुंजबा वस्ती हरेकृष्ण पार्क येथील रस्ता ते खाताडे यांच्या घरापर्यंतचा रस्ता विकसीत करणे</t>
  </si>
  <si>
    <t>स..न. 167 संत नगर लोहगाव र्इ स्ट्रिट शुभम मंगल कार्यालय समोरील रस्त्यांवर ड्रेनेज लार्इन टाकणे व विविध विकास कामे करणे</t>
  </si>
  <si>
    <t>प्रभाग क्र. 1 स.नं. 29 मुंजाबा वस्ती दाजी निकम ते ठाकुर निवास रस्ता डांबरीकरण करणे</t>
  </si>
  <si>
    <t>स. 51 भैरवगन येथे पदपथ करणे</t>
  </si>
  <si>
    <t>धानोरी स.नं. 52 गगनगिरी कार्यालय शेजारीचा रस्ता करणे</t>
  </si>
  <si>
    <t>हिमगिरीशाळे समोरील रस्त्याच्या फुटपाथ विकसित करणे</t>
  </si>
  <si>
    <t>मुंजबा वस्ती धानोरी अॅटरिया सोसा समोर पथदिप बसविणे</t>
  </si>
  <si>
    <t>धानोरी स.नं. 25 मध्ये गाल्ली बोला मध्ये विद्युत पोल लावुन प्रकाश व्यवस्था करणे</t>
  </si>
  <si>
    <t>स.न. 30/1 मुंजबा वस्ती हरेकृष्ण पार्क धानोरी रस्ते ते खताडे यांचे घरापर्यंत विद्युत पोल लावुन प्रकाश व्यवस्था करणे</t>
  </si>
  <si>
    <t>भारत गॅस गोडावुन भरत टाक्या जवळ विद्युत पोल लावुन प्रकाश व्यवस्था करणे.</t>
  </si>
  <si>
    <t>रिंगवस्ती मेडोज ते ग्लोबल मेडोज पर्यंत विद्युत पोल लावुन प्रकाश व्यवस्था करणे.</t>
  </si>
  <si>
    <t>सिध्दार्थ नगर येथे पथदिप बसविणे स.न. 17 धानोरी</t>
  </si>
  <si>
    <t>विश्रांतवाडी चौक ते शिवाजीराव भोसले बॅंक पर्यंत रस्ते विकसित करणे</t>
  </si>
  <si>
    <t>भिमनगर मधील भुमिगत केबलचे काम 75% झाले असुन बाकीचे काम पुर्ण करणे</t>
  </si>
  <si>
    <t xml:space="preserve">एकता नगर झोपडपट्टी पासून ते धानोरी नाल्यापर्यंत असणाऱ्या विद्युत वाहिनी भुमिगत करणे </t>
  </si>
  <si>
    <t>प्रभाग क्र. 14 अ येरवडा वॉर्ड ऑफिस शेजारी चांदशाहावली दर्गा परिसरात दोन सिटर शौचालय बनवुण देणे</t>
  </si>
  <si>
    <t>प्रभाग क्र. 14 अ येरवडा वॉर्ड ऑफिस शेजारी चांदशाहावली दर्गा परिसरात सिमाभिंत बाधुन व परिसरात बसण्याकरीता लाकडी अभासाचे बाकडे बसविणे</t>
  </si>
  <si>
    <t>प्रभाग क्र. 14 अ मदर टेरीसा हॉल समोरील बंद अवस्थेत असलेल्या शौचालयाला दुरूस्त करून चालु करणे</t>
  </si>
  <si>
    <t xml:space="preserve">प्रभाग क्र. 14 ब मध्ये रामनगर, पांडुलमाणवस्ती , जयजवान नगर मधील शौचालय दुरूस्ती करणे </t>
  </si>
  <si>
    <t>प्रभाग क्र. 14 ब लक्ष्मीनगर संभाजी चौक परदेशी चाळ येथे रस्ता कॉंक्रीट करणे</t>
  </si>
  <si>
    <t xml:space="preserve">प्रभाग क्र. 14 ब मध्ये रामनगर, पांडुलमाणवस्ती येथे विद्युत फिटींग बसविणे </t>
  </si>
  <si>
    <t>प्र.क्र. 14 अ लक्ष्मीनगर मातोश्री रमाबार्इ आंबेडकर अभ्यासिका मध्ये बसण्यासाठी बाकडे व फर्निचर विषयक कामे करणे</t>
  </si>
  <si>
    <t>प्रभाग क्र. 15 मधील इंद्रपस्थ उद्यान येथिल वॉकिंग  टॅ्क वर स्टम्प कॉंक्रीट करणे</t>
  </si>
  <si>
    <t xml:space="preserve">प्रभाग क्र. 15 मध्ये माणिक नगर , लक्ष्मीनगर , अशोकनगर परिसरात पथदिवे बसविणे </t>
  </si>
  <si>
    <t>प्रभाग क्र. ५७  मधीललक्ष्मीनगर पर्वती गाव लक्ष्मीनगरलक्ष्मीनगर येथील विविध ठिकाणी ड्रेनेज लाईन दुरुस्ती व चेंबर दुरुस्ती करणे</t>
  </si>
  <si>
    <t>प्रभाग क्र. ५७  लक्ष्मीनगर,पर्वतीगाव येथील पावसाळी लाईन साफ करणे व चेंबर दुरुस्ती करणे</t>
  </si>
  <si>
    <t>प्रभाग क्र. ५७   मधील लक्ष्मीनगर सोसायटी सोना पापड कंपनी जवळ कचरा वर्गीकरणासाठी  सॉर्टिंग शेड करणे</t>
  </si>
  <si>
    <t>प्रभाग क्र. ५७ मध्ये विुत दिव्यांच्या  खराब झालेल्या केबल बदलणे</t>
  </si>
  <si>
    <t>प्रभाग क्र. ५७ मध्ये मजुरांमार्फत एल.ई.डी. दिवे दुरुस्ती करणे</t>
  </si>
  <si>
    <t>प्रभाग क्र. ५७ मध्ये विविध ठिकाणी नविन लाईट पोल बसविणे</t>
  </si>
  <si>
    <t>प्रभाग क्र. ६६ मध्ये विविध ठिकाणी विुत विषयक कामे करणे</t>
  </si>
  <si>
    <t>प्रभाग क्र. ६६ मध्ये मजुरा मार्फत विुत विषयक कामे करणे</t>
  </si>
  <si>
    <t>प्रभाग क्र. ६६ मध्ये विविध ठिकाणी नविन लाईट पोल बसविणे</t>
  </si>
  <si>
    <t>प्रभाग क्र. ६७  मधील विविध ठिकाणची पावसाळी लाईन साफ करणे</t>
  </si>
  <si>
    <t>प्रभाग क्र. ६७  पद्‌मावती अरण्येश्वर तावरे कॉलनी परिसरात पावसाळी लाईन साफसफाई करणे</t>
  </si>
  <si>
    <t>प्रभाग क्र. ६७ अरण्येश्वर,तावरे कॉलनी इत्यादी परिसरात  मजुरां मार्फत आऊट सोर्सिंग द्वारे काम करून घेणे</t>
  </si>
  <si>
    <t>प्रभाग क्र. ६७ येथील पोटे दवाखाना गाडगीळ उान,पद्‌मावती इत्यादी  परिसरात मजुरांमार्फत आऊट सोर्सिंग द्वारे काम करून घेणे</t>
  </si>
  <si>
    <t>प्रभाग क्र. ६७  मधील गजानन महाराज मंदिर ते अरण्येश्वर पर्यंत नाल्यावरील संरक्षणासाठी लोखंडी जाळ्या दुरुस्ती व नव्याने बसविणे.</t>
  </si>
  <si>
    <t>प्रभाग क्र. ६७   मधील गजानन महाराज ते अरण्येश्वर पर्यंत नाला साफसफाई करणे.</t>
  </si>
  <si>
    <t>प्रभाग क्र. ६७ मधील अरण्येश्वर ते पद्‌मावती परिसर येथे नाला साफसफाई करणे</t>
  </si>
  <si>
    <t>प्रभाग क्र. ६७  मध्ये विविध ठिकाणी विुत विषयक कामे करणे</t>
  </si>
  <si>
    <t>प्रभाग क्र. ६७  मध्ये मजुरांमार्फत विुत विषयक कामे करणे</t>
  </si>
  <si>
    <t>प्रभाग क्र. ६८  तळजाई सहकारनगर नं. २,धोमकर पथ परिसरातील  फुटपाथ दुरुस्ती करणे.</t>
  </si>
  <si>
    <t>प्रभाग क्र. ६८  तळजाई सहकारनगर नं. २ परिसरातील पावसाळी लाईन दुरुस्ती व कव्हर बदलणे.</t>
  </si>
  <si>
    <t>प्रभाग क्र. ६८  तळजाई परिसरातील शौचालय दुरुस्ती करणे</t>
  </si>
  <si>
    <t>प्रभाग क्र. ६८   तळजाई नगर परिसरातील शौचालय साफसफाई व अनुषंगिक कामे करणे.</t>
  </si>
  <si>
    <t>प्रभाग क्र. ६८  मधील तळजाई वसाहत, सहकार नगर परिसरातील आऊटसार्सिंग द्वारे मजुरांमार्फत कामे करणे</t>
  </si>
  <si>
    <t>प्रभाग क्र. ६८  शाहु वसाहत मधील शाळेत विविध दुरुस्ती विषयक कामे करणे</t>
  </si>
  <si>
    <t>प्रभाग क्र. ६८   तळजाई वसाहत,शाहू वसाहत,महात्मा फुले वसाहत सहकारनगर नं. २ येथे आऊटसोर्सिंग करणे.</t>
  </si>
  <si>
    <t>प्रभाग क्र. ६८  तळजाई दाते वस्ती सहकारन नं. २ परिसरातील नाला साफसफाई करणे व अनुषंगिक कामे करणे.</t>
  </si>
  <si>
    <t>प्रभाग क्र. ६८ तळजाई सहकारनगर नं. २ शाहु वसाहत परिसरातील पावसाळी चेंबर साफसफाई करणे</t>
  </si>
  <si>
    <t>प्रभाग क्र. ६८  शाहु वसाहत परिसरात ड्रेनेज विषयक दुरुस्ती व साफसफाईची कामे करणे</t>
  </si>
  <si>
    <t>प्रभाग क्र. ६८  तळजाई,शाहू वसाहत परिसरातील चेंबर दुरुस्ती व जुने कव्हर बदलणे.</t>
  </si>
  <si>
    <t>प्रभाग क्र. ६८ मध्ये विुत दिव्यांच्या  खराब झालेल्या केबल बदलणे</t>
  </si>
  <si>
    <t>प्रभाग क्र. ६८ मध्ये विविध ठिकाणी विुत विषयक कामे करणे</t>
  </si>
  <si>
    <t>प्रभाग क्र. ६८ मध्ये मजुरांमार्फत एल.ई.डी. दिवे दुरुस्ती करणे</t>
  </si>
  <si>
    <t>प्रभाग क्र. ५७  स.नं. ३८ व ३९ पर्वती दर्शन,गोलघर इत्यादी भागामधील रस्ते कॉक्रिंटीकरण करणे</t>
  </si>
  <si>
    <t>प्रभाग क्र. ५७ मधील आंबेडकर वसाहत या ठिकाणी रस्ते कॉक्रिंट करणे</t>
  </si>
  <si>
    <t>प्रभाग क्र. ५७  मधील सणस ग्राऊंड,नेहरू स्टेडियम,गणेश कला येथील देखभाल दुरुस्ती विषयक कामे करणे</t>
  </si>
  <si>
    <t>प्रभाग क्र. ५७  अंतर्गत मनपा शाळा व दवाखाने मधील देखभाल दुरुस्ती करणे</t>
  </si>
  <si>
    <t>प्रभाग क्र. ५७   मधील पर्वती दर्शन येथील म.न.पाची. पथ विभागाचे कोठी करिता  इमारत बांधणे</t>
  </si>
  <si>
    <t>प्रभाग क्र. ५७  मधील गजानन महाराज चौक ते अंबिल ओढा पर्यंत नाला साफसफाई करणे.</t>
  </si>
  <si>
    <t>प्रभाग क्र. ५७  लक्ष्मीनगर,दत्तवाडी पोलीस चौकी ते कृष्ण प्रभू हॉस्पिटल पर्यंत ड्रेनेज लाईन टाकणे</t>
  </si>
  <si>
    <t>प्रभाग क्र. ५७   मधील पर्वती दर्शन स.नं. ३९ गोलघर एस.टी. कॉलनी परिसरा येथील ड्रेनेज लाईन दुरुस्ती व चेंबर दुरुस्ती करणे.</t>
  </si>
  <si>
    <t>प्रभाग क्र. ५७ मधील पर्वती दर्शन मित्र मंडळ कॉलनी वेलनकर कॉलनी, लक्ष्मीनारायण थिअटर ते मित्रमंडळ चौक स्वारगेट  या ठिकाणची पावसाळी लाईन साफ करणे.</t>
  </si>
  <si>
    <t>प्रभाग क्र. ५७  मधील लक्ष्मीनगर आंबेडकर वसाहत  परिसरातील असलेल्या रस्त्याचे आऊटसोर्सिंगन  मजुरांमार्फत काम करून घेणे</t>
  </si>
  <si>
    <t>प्रभाग क्र. ५७ मधील नेहरू स्टेडिअम, पर्वतीदर्शन ,सारसबाग, स्वारगेट परिसरातील आऊटसार्सिंग द्वारे मजुरांमार्फत काम करून घेणे</t>
  </si>
  <si>
    <t>प्रभाग क्र. ६६   मुकुंदनगर परिसरातील रस्ते डांबरीकरण करणे</t>
  </si>
  <si>
    <t>प्रभाग क्र. ६६ इंदिरानगर वसाहतीतील गल्लीबोळ कॉक्रिंट करणे</t>
  </si>
  <si>
    <t>प्रभाग क्र. ६६ मधील शाळा,दवाखाना यांची दुरुस्ती विषयक कामे करणे</t>
  </si>
  <si>
    <t>प्रभाग क्र. ६६ मधील कलाभूमी आरोग्य कोठीचे आर.सी.सी. बांधकाम करणे</t>
  </si>
  <si>
    <t>प्रभाग क्र. ६६  आरोग्य कोठीजवळ १० शीट शौचालय बांधणे</t>
  </si>
  <si>
    <t>प्रभाग क्र. ६६  मधील मुकुंदनगर,प्रेमनगर,महर्षीनगर व परिसरात झाडण विषयक कामे करणे</t>
  </si>
  <si>
    <t>प्रभाग क्र. ६६ मधील शौचालयांची दुरुस्ती करणे</t>
  </si>
  <si>
    <t>प्रभाग क्र. ६६  पॉवर हाऊस शेजारील जुने बंद शौचालयाचे जागेवर नवीन शौचालय बांधणे</t>
  </si>
  <si>
    <t>प्रभाग क्र. ६६   मधील मुकुंदनगर येथील ड्रेनेज लाईन बदलून नवीन टाकणे</t>
  </si>
  <si>
    <t>प्रभाग क्र. ६६   औोगिक वसाहत,महर्षीनगर,प्रेमनगर,मुकुंदनगर मधील ड्रेनेज लाईन मधील गाळ काढणे व साफ करणे</t>
  </si>
  <si>
    <t>प्रभाग क्र. ६६ मधील गोवर्धन सोसायटी मकुंदनगर येथे ड्रेनेज लाईन टाकणे</t>
  </si>
  <si>
    <t>प्रभाग क्र. ६६ इंदिरानगर वसाहतीमधील जुन्या ड्रेनेज लाईन बदलणे व कॉक्रिंटीकरण करणे</t>
  </si>
  <si>
    <t>प्रभाग क्र. ६६ मध्ये विुत दिव्यांच्या खराब झालेल्या केबल बदलणे</t>
  </si>
  <si>
    <t>प्रभाग क्र. ६७ मधील शौचालय दुरुस्ती विषयक कामे करणे</t>
  </si>
  <si>
    <t>प्रभाग क्र. ६७ मधील मनपा शाळा व दवाखाना मधील दुरुस्ती विषयक कामे करणे</t>
  </si>
  <si>
    <t>प्रभाग क्र. ६७ मंदार सोसायटी येथे अस्तित्वातील आरोग्य कोठी पकक्या स्वरुपात बांधणे</t>
  </si>
  <si>
    <t>प्रभाग क्र. ६७  शिवदर्शन परिसरात ड्रेनेज लाईन दुरुस्ती व चेंबर दुरुस्ती करणे</t>
  </si>
  <si>
    <t>प्रभाग क्र. ६७ मधील वेदांत हॉटेल ते निर्मलबाग सोसायटी पर्यंत ड्रेनेज लाईन टाकणे.</t>
  </si>
  <si>
    <t>प्रभाग क्र. ६७ मधील ड्रेनेज लाईन, चेंबर साफसफाई करणे</t>
  </si>
  <si>
    <t>प्रभाग क्र. ६७ ब अरण्येश्वर तावरे कॉलनी परिसरातील ब्लॉक दुरुस्ती करणे,कॉक्रिंटीकरण करणे, चेंबर दुरुस्ती करणे</t>
  </si>
  <si>
    <t>प्रभाग क्र. ६७ मध्ये विुत दिव्यांच्या  खराब झालेल्या केबल बदलणे</t>
  </si>
  <si>
    <t>प्रभाग क्र. ६८   तळजाई नगर गल्ली नं. २ ते १५ महात्मा गांधी तरूण मित्र मंडळ परिसरातील गल्लीबोळ ड्रेनेज लाईन व कॉक्रिंटीकरण करणे.</t>
  </si>
  <si>
    <t>प्रभाग क्र. ६८   तळजाई नगर तेल गल्ली व खंडाळे चौक परिसरातील ड्रेनेज लाईन व गल्लीबोळ कॉक्रिंटीकरण करणे.</t>
  </si>
  <si>
    <t>प्रभाग क्र. ६८   तळजाई नगर बालाजी धान्य भांडार परिसरातील ड्रेनेज लाईन व गल्लीबोळ कॉक्रिंटीकरण करणे.</t>
  </si>
  <si>
    <t>प्रभाग क्र. ६८ अण्णाभाऊ साठे वसाहत, आंबेडकरनगर वसाहत गल्लीबोळ ड्रेनेज लाईन व कॉक्रिंटीकरण करणे.</t>
  </si>
  <si>
    <t>प्रभाग क्र. ६८  तळजाई म्हसोबा मंदिर रोड परिसरातील गल्लीबोळ ड्रेनेज लाईन कॉक्रिंटीकरण करणे</t>
  </si>
  <si>
    <t>प्रभाग क्र. ६८ तळजाई शनिमंदिरा मागील परिसरातील गल्लीबोळ ड्रेनेज लाईन कॉक्रिंट करणे</t>
  </si>
  <si>
    <t>प्रभाग क्र. ६८   तळजाई नगर वनशीव वस्ती रोड परिसरातील ड्रेनेज लाईन गल्लीबोळ कॉक्रिंट करणे</t>
  </si>
  <si>
    <t>प्रभाग क्र.५७ मधील पर्वतीदर्शन प्लॅट नं.३८,३९ येथील ठिकाणचे शौचालय दुरूस्त करणे</t>
  </si>
  <si>
    <t>प्रभाग क्र.५७ पर्वती गांव राऊत अपार्टमेंट जवळ  ड्रेनेज लाईन टाकणे</t>
  </si>
  <si>
    <t>प्रभाग क्र.५७ पर्वती दर्शन गल्ली नं.१०६ येथे ड्रेनेज लाईन बदलणे</t>
  </si>
  <si>
    <t>प्रभाग क्र.५७ लक्ष्मीनगर ५३/४१४ पर्वती येथे ड्रेनेज लाईन टाकणे</t>
  </si>
  <si>
    <t>प्रभाग क्र.५७ पर्वती दर्शन परीसर मधील विविध ठिकाणचे ड्रेनेज दुरूस्त करणे.</t>
  </si>
  <si>
    <t>प्रभाग क्र.५७ मधील महालक्ष्मी अपार्टमेंट ते निलायम ब्रिज अंबिलओढा ,पेशवेपार्क येथील नाले सफाई करणे</t>
  </si>
  <si>
    <t>प्रभाग क्र.५७ पर्वती दर्शन गल्ली नं.१०२ येथे फरशी बदलणे</t>
  </si>
  <si>
    <t>प्रभाग क्र.५७ आंबेडकर वसाहत लक्ष्मीनगर रस्ता यु.टी.डब्लू.टी कॉक्रीट करणे</t>
  </si>
  <si>
    <t>प्रभाग क्र.५७ पर्वती दर्शन परिसर ,मित्र मंउळ परीसर या ठिकाणचे रस्ते दुरूस्त करणे</t>
  </si>
  <si>
    <t>प्रभाग क्र.५७ मधील पर्वती दर्शन परीसर,मित्रमंडळ,पर्वती गाव पदपथ दुरूस्त करणे</t>
  </si>
  <si>
    <t>प्रभाग क्र.६६ महर्षिनगर व मुंकुंदनगर परिसरातील पावसाळी लाईन साफसफाई करणे</t>
  </si>
  <si>
    <t>प्रभाग क्र.६६ आदर्शनगर मध्ये तारांगण बंगल्याजवळ पावसाळी लाइन टाकणे व पावसाळी लाईन विषयक कामे  करणे.</t>
  </si>
  <si>
    <t>प्रभाग क्र.६६ आदर्शनगर सोसायटी तारांगण बंगल्याजवळ पेव्हिंग ब्लॉक चे काम करणे</t>
  </si>
  <si>
    <t>प्रभाग क्र.६६ मधील इंदीरानगर,मुकुंदनगर व महर्षिनगर ठिकाणचा राडारोडा उचलणे</t>
  </si>
  <si>
    <t>प्रभाग क्र.६६ मुकुंदनगर स्वस्थ सदन ते मुकुंदनगर गणपती मंदिरापर्यंत टाईप १ च्या बाजूने पावसाळी गटार करणे</t>
  </si>
  <si>
    <t>प्रभाग क्र.६६ नेहरू रस्ता वर भिंतीवर पाणी वाचवा पाणी जिरवा ,स्वच्छ पुणे अशी घोषवाक्य लिहिणे</t>
  </si>
  <si>
    <t>प्रभाग क्र.६७ शिवदर्शन चाळ नं.११७,१२१,१२४ सार्वजनिक शौचालयासाठी आवश्यक कामे करणे</t>
  </si>
  <si>
    <t>प्रभाग क्र.६७अण्णाभाऊ साठे वसाहत जय मल्हार वसाहत येथे सार्वजनिक शौचालय विषयक कामे करणे</t>
  </si>
  <si>
    <t>प्रभाग क्र.६७ जय मल्हार वसाहत येथे ड्रेनेज लाईन टाकणे.</t>
  </si>
  <si>
    <t>प्रभाग क्र.६७ संतनगर जय मल्हार वसाहत सर्व चेंबर विषयक करणे</t>
  </si>
  <si>
    <t>प्रभाग क्र.६७ भोईराज सोसायटी ज्योती सोसायटी ते मंदार सोसायटी  येथील नाला साफसफाई करणे</t>
  </si>
  <si>
    <t>प्रभाग क्र.६७ नाला  साफसफाई करणे (बागुल उान ते गजानन महाराज चौक )</t>
  </si>
  <si>
    <t>प्रभाग क्र.६७ किरण सोसायटी सहकारनगर नं.१ पुणे ९ आणि ज्योती सोसायटी सहकारनगर नं.१ (खांडेकर शाळेजवळ) यांच्या मधून जाणा-या ओढयामध्ये सांडपाण्याची पॅक लाईन टाकणे</t>
  </si>
  <si>
    <t>प्रभाग क्र.६७ पद्‌मावती अरणेश्वर रस्त्यावरील प्लॉट नं.३०२ गणेश सोसायटी समोर पावसाळी लाइन टाकणे</t>
  </si>
  <si>
    <t>प्रभाग क्र.६७ अध्यापक कॉलनी सहकारनगर नं.१ पुणे (महाजनी,इंगळे) घरासमोरील रस्ता डांबरीकरण करणे</t>
  </si>
  <si>
    <t>प्रभाग क्र.६७ राडारोडा उचलणे (अण्णाभाउ साठे नगर ,विणकर सभागृह)</t>
  </si>
  <si>
    <t>प्रभाग क्र.६७ संजयनगर सी ३१२ सहकारनगर येथे चेंबर विषयक कामे  करणे</t>
  </si>
  <si>
    <t>प्रभाग क्र.६७ संजयनगर सी ३१२ सहकारनगर येथे पदपथ बसविणे</t>
  </si>
  <si>
    <t>प्रभाग क्र.६७ शिवदर्शन चाळ नं११६/११७ येथे फरशी बसविणे</t>
  </si>
  <si>
    <t>प्रभाग क्र.६७  मध्ये समाजमंदिराची विकास कामे करणे</t>
  </si>
  <si>
    <t>प्रभाग क्र.६७ विरंगुळा केंद्राच्या बाहेरील रस्ता दुरस्त करणे (संतनगर पूल)</t>
  </si>
  <si>
    <t>प्र.क्र.६८ विविध ठिकाणी ड्रेनेज लाईन /चेंबर साफसफाई करणे</t>
  </si>
  <si>
    <t>प्र.क्र.६८ लक्ष्मीनगर वसाहत परिसरात ड्रेनेज लाईन विषयक कामे करणे</t>
  </si>
  <si>
    <t>प्र.क्र.६८ तळजाई वसाहत येथे विविध ठिकाणी पावसाळी व मॅनहोल चेंबर  व कव्हर बदलणे</t>
  </si>
  <si>
    <t>प्र.क्र.६८ शाहु वसाहत ड्रेनेज लाईन व कॉक्रीटींग करणे</t>
  </si>
  <si>
    <t>प्र.क्र.६८ तळजाई वसाहत वनशिव वस्ती रोड लगतच्या परिसरात ड्रेनेज विषयक कामे करणे</t>
  </si>
  <si>
    <t>प्र.क्र६८ तेलगल्ली परिसरात ड्रेनेज लाईन दुरूस्ती करणे</t>
  </si>
  <si>
    <t>प्रभाग क्र.६८ महात्मा फुले वसाहत ड्रेनेज लाईन टाकणे व कॉक्रीट करणे</t>
  </si>
  <si>
    <t>प्रभाग क्र.६८ शाहु वसाहत येथे ड्रेनेज लाईन टाकणे व कॉक्रीट करणे</t>
  </si>
  <si>
    <t>प्रभाग क्र.६८ विविध ठिकाणी पावसाळी जाळया,पावसाळी लाईन साफसफाई करणे. (शाहू वसाहत ,तळजाई सहकारनगर नं.२)</t>
  </si>
  <si>
    <t>प्र.क्र.६८ तळजाई वसाहत खंडाळे चौक परिसरात ड्रेनेज लाईन चेंबर दुरूस्ती,साफसफाई व गल्लीबोळ कॉक्रीटींग करणे</t>
  </si>
  <si>
    <t>प्र.क्र.६८ आंबेडकर वसाहत येथे गल्ली बोळ कॉक्रीटींग व फरशी बसविणे</t>
  </si>
  <si>
    <t>प्र.क्र.६८ तळजाई वसाहत म्हसोबा मंदिर परिसरात गल्ली बोळ कॉक्रीटींग करणे</t>
  </si>
  <si>
    <t>यादी क्र. वाय1</t>
  </si>
  <si>
    <t>FE17A277/Y1-</t>
  </si>
  <si>
    <t>प्रभाग क्र.२६ गवणी घोषीत झोपडपट्टीमध्ये चेंबर दुरुस्ती करणे, हनुमान नगर,राऊतवाडी, केळेवाडी इ.दुरुस्ती करणे</t>
  </si>
  <si>
    <t>प्रभाग क्र.२६ सार्वजनिक शौचालय, हनुमान नगर,केळेवाडी, राऊत वाडी, मोरे श्रमिक वसाहत इ.दुरुस्ती करणे</t>
  </si>
  <si>
    <t>प्रभाग क्र.२६ पावसाळी चेंबर दुरुस्त, फुटपाथ दुरुस्ती बोर्ड लावणे इ. हनुमान नगर,केळेवाडी, मोरे श्रमिक वसाहत इ.दुरुस्ती करणे</t>
  </si>
  <si>
    <t>प्रभाग क्र.२६ गिरीजा सोसायटी चेंबर रस्त्यावरचे उचलून घेणे व सावली सोसायटी साईड पट्टी काँक्रीटकरण करणे व गिरीजा सोसायटी  फुटपाथ दुरुस्ती करणे.</t>
  </si>
  <si>
    <t>प्रभाग क्र.२६ खडकेश्वर मंदिरापासुन विटेकर यांचा दुकानापर्यंत ड्रेनेज लाईन बदलणे (वसंतनगर परिसर) काँक्रीटीकरण करणे.</t>
  </si>
  <si>
    <t>प्रभाग क्र.२६ स.नं.४४, क्रांतीवीर चौक, केळेवाडी येथील ढमाले यांच्या दुकानाजवळील सार्वजनिक शौचालयाची आऊटलाईन बदलणे व पाण्याचरूा टाकीचे झाकण बदलणे व किरकोळ दुरुस्ती करणे.</t>
  </si>
  <si>
    <t>प्रभाग क्र.२६ केळेवाडी सुलभ शौचालयाजवळील रघुनाथ भगत घराजवळ ड्रेनेज व चेंबर दुरुस्ती करणे</t>
  </si>
  <si>
    <t>प्रभाग क्र.२६ केळेवाडी इंदिरापार्क राजीवगांधी पार्क व पार्क मधील सुलभ शौचालय व सार्वजनिक शौचालयातील  विद्युत विषयक कामे करणे</t>
  </si>
  <si>
    <t>प्रभाग क्र.२६ वसंतनगर येतील विविध परिसरात पथ दिवे दुरुस्त करणे व नविन बसवणे.</t>
  </si>
  <si>
    <t>प्रभाग क्र.२7 मध्ये सुतारदरा येथे वाहून आलेला राडारोडा उचलणे.</t>
  </si>
  <si>
    <t>प्रभाग क्र.२7 मध्ये  किष्किंधानगर येथील डोंगर भागाताल गोल व चौकोनी चेंबर्सचे गाळ काढणे.</t>
  </si>
  <si>
    <t>प्रभाग क्र.२7 मध्ये किष्किंधानगर येथील  गोल व चौकोनी दुरूस्त करणे.</t>
  </si>
  <si>
    <t>प्रभाग क्र.२7 मध्ये जयभवानीनगर येथील गोल व चौकीनी चेंबर साफ करणे</t>
  </si>
  <si>
    <t>प्रभाग क्र.२7 मध्ये जयभवानीनगर येथील गोल व चौकीनी चेंबर दुरूस्ती करणे</t>
  </si>
  <si>
    <t>प्रभाग क्र.२7 मध्ये सुतारदरा येथे गोल व चौकोनी चेंबर गाळ काढणे</t>
  </si>
  <si>
    <t>रभाग क्र.२६ मध्ये  हनुमान नगर,मोरे श्रमिक ,वसंतनगर, राऊतवाडी इ परिसरातील पथदिप पिवळ्या काढून पांढèया लावणे</t>
  </si>
  <si>
    <t>प्रभाग क्र.२7 मध्ये किष्किंधानगर येथील सार्वजनिक शौचालय दुरूस्त करणे</t>
  </si>
  <si>
    <t>प्रभाग क्र.२7 मध्ये  जयभवानीनगर येथील सार्वजनिक शौचालय दुरूस्ती करणे</t>
  </si>
  <si>
    <t>प्रभाग क्र.२८ मराठा महासंघ येथील व विविध ठिकाणचे शौचालय दुरूस्ती करणे</t>
  </si>
  <si>
    <t>प्रभाग क्र.२८ विविध ठिकाणी विद्युत विषयक कामे करणे</t>
  </si>
  <si>
    <t>प्रभाग क्र.३४ मध्ये झाला सोसायटी व विविध ठिकाणी फुटपाथ वरील ब्लॉक बसविणे व दुरूस्त करणे.</t>
  </si>
  <si>
    <t>प्रभाग क्र.३४ मध्ये मयुर कॉलनी रस्त्यावरील पावसाळी लाईन चेंबर दुरूस्त करणे.</t>
  </si>
  <si>
    <t>प्रभाग क्र.३४ ऋतुपर्णा सोसायटी, महागणेश कॉलनी येथील पावसाळी व ड्रेनेज चेंबर्स दुरूस्ती व साफसफाई करणे.</t>
  </si>
  <si>
    <t>प्रभाग क्र.३४ गुजराथ कॉलनी येथे फुटपाथ दुरूस्ती करणे.</t>
  </si>
  <si>
    <t>प्रभाग क्र.३४ मध्ये गुजरात कॉलनी येथील पावसाळी चेंबर दुरूस्त करणे.</t>
  </si>
  <si>
    <t>प्रभाग क्र.३४ मध्ये  गुरूराज सोसायटी, आयडीयल कॉलनी येथील ड्रेनेज लाईन चेंबर्सची दुरूस्ती व साफसफाई करणे.</t>
  </si>
  <si>
    <t>प्रभाग क्र.३४ मध्ये आयडीयल कॉलनी व विविध ठिकाणी ज्येष्ठ नागरिकांसाठी बसण्यासाठी बाके बसविणे.</t>
  </si>
  <si>
    <t>प्र.क्र. २६ जयश्रीराम तरूण मंडळ ते आदर्श चौकापर्यत कॉक्रीटीकरणे करणे.</t>
  </si>
  <si>
    <t>प्र.क्र. २६ स.नं.४४ आदर्श चौक केळेवाडी चौकातील काँक्रीटीकरण करणे. (डॉ. सुनिता कुलकर्णी ते सोनार घर)</t>
  </si>
  <si>
    <t xml:space="preserve">प्र.क्र. २६ मधील गिरीजा सोसायटी, माणिक बंगला समोरील खचलेले सर्व चेंबर उचलणे </t>
  </si>
  <si>
    <t>प्र.क्र. २६ स.नं.४४ बालतरुण मंडळ , भगत अळी केळेवाडी येथील अशोक भगत यांच्या घराजवळ क्राँकीटीकरण करणे.</t>
  </si>
  <si>
    <t>प्र.क्र. २६ केळेवाडी मंगलमुर्ती दुकानासमोर,विलास हारपुडे घराजवळ नविन ड्रेनेज लाईन  टाकणे</t>
  </si>
  <si>
    <t>प्र.क्र. २६ केळेवाडी मराठा मित्र मंडळ कैलास मारणे घराजवळ ड्रेनेज लाईन टाकणे.</t>
  </si>
  <si>
    <t>प्र.क्र. २६ विलास खळे यांच्या घरापासुन ते संपत भोसले यांच्या घरापर्यंत ड्रेनेज लाइृन टाकणे</t>
  </si>
  <si>
    <t xml:space="preserve">प्र.क्र. २६ स.नं.४४ विश्वशांती चौक, केळेवाडी पोड रोड, पुणे येथील मंगलमुर्ती सुपर मार्केटच्या शेजारील गल्ली मध्ये क्रॉकिट सिमेंट टाकुन गल्ली क्रॉकीटीकरणे करणे. </t>
  </si>
  <si>
    <t>प्र.क्र. २६ राऊतवाडी हनुमान नगर मोरे श्रमिक वसाहत येथील खराब विद्युत खांबावरच्या लाईट बदलून नविन लाईट बसवणे व नविन लाईट पोल बसवणे.</t>
  </si>
  <si>
    <t>प्र.क्र.२७ मध्ये किष्किंधानगर येथील पाण्याची टाकीजवळ सिमेंट काँक्रीटीकरण करणे</t>
  </si>
  <si>
    <t>प्र.क्र.२७ मध्ये जयभवानीनगर येथे विविध ठिकाणी काँक्रीटीकरण करणे</t>
  </si>
  <si>
    <t>प्र.क्र.२७ मध्ये किष्किंधानगर येथील काँक्रीटीकरण करणे</t>
  </si>
  <si>
    <t>प्र.क्र.२७ मध्ये सुतारदरा येथील डोंगर भागात काँक्रीटीकरण करणे</t>
  </si>
  <si>
    <t>प्र.क्र.२७ मध्ये सुतारदरा येथे विविध ठिकाणी काँक्रीटीकरण करणे.</t>
  </si>
  <si>
    <t>प्र.क्र.२७ मध्ये किष्किंधानगर येथील गल्लीबोळात प्रकाश व्यवस्था करणे.</t>
  </si>
  <si>
    <t>प्र.क्र.२९, सोबा पार्क जवळील पडलेली भिंत बांधणे</t>
  </si>
  <si>
    <t>प्रभाग क्र.३४ भेलकेनगर व गुजरात कॉलनी येथील रस्त्यांवर झेब्रा क्रॉसिंग पट्टे मारणे व ट्रॅफिक विषयक कामे करणे.</t>
  </si>
  <si>
    <t>प्रभाग क्र.३४ मध्ये सिध्दार्थनगर, लक्ष्मीनगर व आयडियल कॉलनी रस्ते डांबरीकरण करणे व  पॅचवर्क करणे.</t>
  </si>
  <si>
    <t>प्रभाग क्र.३४ मध्ये आयडीयल कॉलनीमधील मुख्य रस्त्यावर स्पिडब्रेक कर व पी.१ पी २ चे बोर्ड बसविणे.</t>
  </si>
  <si>
    <t>प्रभाग क्र.३४ मध्ये कचरा गोळा करण्यासाठी ढकलगाडी पुरविणे.</t>
  </si>
  <si>
    <t>पुणे शहरातील पथ दिवे प्रणाली सक्षम व अद्ययावत करणेसाठी पोलला आवश्यक अर्थिंग करणे, केबल बदलणे, फीडर पिलर दुरुस्ती व इतर कामे करणे.</t>
  </si>
  <si>
    <t>शहरातील विविध रस्त्यांवरील प्रकाश व्यवस्थेमध्ये अस्तित्वातील दिव्यांसाठी व फीडर पिलर साठी नवीन तंत्रज्ञान व स्काडा वापरून सुधारणा करणे.</t>
  </si>
  <si>
    <t>वैकुंठ स्मशानभूमी येथील विद्युत दाहिनीसाठी १०० केव्हीए क्षमतेचा  जनरेटर पुरविणे, बसविणे व तदनुषंगिक कामे करणे.</t>
  </si>
  <si>
    <t>पुणे महानगरपालिकेच्या स्वा. सावरकरभवन येथील इमारतीमध्ये विद्युत विषयक कामे करणे</t>
  </si>
  <si>
    <t>मनपा भवनातील रिवायरींग करणे.</t>
  </si>
  <si>
    <t>पुणे मनपाच्या विविध इमारतीमध्ये  सी.सी.टी.व्ही. बसविणे.</t>
  </si>
  <si>
    <t>मनपाच्या मुख्य इमारतीमध्ये मागणी नुसार तातडीचे साहित्य पुरविणे व विविध विद्युतविषयक कामे करणे.</t>
  </si>
  <si>
    <t xml:space="preserve">स्ट्रीट लाईट करिता पथ दिवे जी.पी.एस. यंत्रणा उभारणे. ऑपरेटिंग करणे व तदनुशांगिक कामे करणे.   </t>
  </si>
  <si>
    <t xml:space="preserve">पुणे मनपाच्या इमारतीवर सौर उर्जा निर्मितीसाठी सोलर पॅनल व  अत्याधुनिक उपकरणे पुरविणे, बसविणे. </t>
  </si>
  <si>
    <t>प्रभाग क्र.३० मध्ये पडीक हद्दीच्या झाडणकामासाठी मजुर पुरविणे</t>
  </si>
  <si>
    <t>प्रभाग क्र.३० ब मध्ये विविध ठिकाणी फुटपाथ दुरुस्ती विषयक कामे करणे.</t>
  </si>
  <si>
    <t>प्रभाग क्र.३० ब मध्ये वारजे परिसरात विविध ठिकाणी ड्रेनेज लाईन बदलणे व चेंबर दुरुस्ती करणे</t>
  </si>
  <si>
    <t>प्र.क्र.३० मध्ये विुत विभागाकडील कामांसाठी मजुर पुरविणे</t>
  </si>
  <si>
    <t>प्र.क्र.३० ब विठ्ठलनगर व लगतच्या परिसरात प्रकाश व्यवस्थेत सुधारणा करणे.</t>
  </si>
  <si>
    <t>प्रभाग क्र.३० ब मध्ये विविध ठिकाणी डांबरीकरण करणे.</t>
  </si>
  <si>
    <t>प्रभाग क्र.३० अ मध्ये विविध ठिकाणी  पेव्हिंग ब्लॅाक दुरुस्ती करणे.</t>
  </si>
  <si>
    <t>प्र.क्र.३० ब मध्ये चेंबर दुरुस्ती करणे व कॅाक्रीटीकरण करणे</t>
  </si>
  <si>
    <t>प्र.क्र.३० ब वारजे माळवाडीतील सोसायटी रस्त्यावर प्रकाश व्यवस्था करणे.</t>
  </si>
  <si>
    <t>प्रभाग क्र.३० अ मध्ये पावसाळी लाईन साफसफाई करणे</t>
  </si>
  <si>
    <t>प्रभाग क्र.३० अ मध्ये विविध ठिकाणी  ड्रेनेज लाईन टाकणे व साफसफाई करणे</t>
  </si>
  <si>
    <t>प्रभाग क्र.३० अ मध्ये वारजे परिसरात नविन ड्रेनेज लाईन टाकणे व साफसफाई करणे</t>
  </si>
  <si>
    <t>प्रभाग क्र.३० अ मध्ये विविध ठिकाणी डांबरीकरण करणे.</t>
  </si>
  <si>
    <t>प्रभाग क्र.३० अ मध्ये विविध ड्रेनेज लाईन साफसफाई करणे व चेंबर बांधणे</t>
  </si>
  <si>
    <t>प्रभाग क्र.३० अ मध्ये वारजे येथे कॅाक्रीटीकरण करणे व पेव्हिंग ब्लॅाक बसविणे</t>
  </si>
  <si>
    <t>प्रभाग क्र.३१  मध्ये विविध ठिकाणी ड्रेनेज लाईन टाकणे.</t>
  </si>
  <si>
    <t>प्रभाग क्र.३१  मध्ये विविध ठिकाणी पावसाळी लाईन साफसफाई करणे</t>
  </si>
  <si>
    <t>प्रभाग क्र.३१  मध्ये विविध ठिकाणी ड्रेनेज लाईन टाकणे व चेंबर टाकणे व कॅाक्रीट करणे.</t>
  </si>
  <si>
    <t>प्र.क्र.३१ मध्ये विुद्युत भागाकडील विविध कामांसाठी मजुर पुरविणे</t>
  </si>
  <si>
    <t>प्रभाग क्र.३१  मध्ये विविध ठिकाणी फुटपाथ दुरुस्ती विषयक कामे करणे.</t>
  </si>
  <si>
    <t>प्र. क्र. ३१  मध्ये पडीक हद्दीच्या झाडणकामासाठी मजुर पुरविणे</t>
  </si>
  <si>
    <t>प्रभाग क्र.३१ मध्ये विविध ठिकाणी डांबरीकरण करणे.</t>
  </si>
  <si>
    <t>प्रभाग क्र.३१  मध्ये चेंबर दुरुस्ती व कॅाक्रीटीकरण करणे.</t>
  </si>
  <si>
    <t>प्र.क्र.३१  येथे विविध ठिकाणी प्रकाश व्यवस्था करणे</t>
  </si>
  <si>
    <t>प्र. क्र. ३२ अ मावळे आळी नवीन शिवणे प्रकाश व्यवस्था करणे</t>
  </si>
  <si>
    <t>प्र. क्र.३२ ब मधील सम्राट अशोक शाळा येथे देखभाल दुरूस्ती विषयक कामे करणे.</t>
  </si>
  <si>
    <t>प्र. क्र.३२ मध्ये विुद्युत विभागाकडील विविध देखभाल दुरूस्तीच्या कामांसाठी मजुर पुरविणे</t>
  </si>
  <si>
    <t>प्र.क्र. ३२ ब मध्ये पावसाळी लाईन   साफसफाई करणे.</t>
  </si>
  <si>
    <t>प्र.क्र. ३२ ब मधील ड्रेनेज लाईन साफसफाई करणे.</t>
  </si>
  <si>
    <t>प्र. क्र. ३२  मध्ये पडीक हद्दीच्या झाडणकामासाठी मजुर पुरविणे</t>
  </si>
  <si>
    <t>प्र.क्र. ३२ अ मध्ये कामना वसाहत परिसरात ड्रेनेज लाईन साफसफाई करणे</t>
  </si>
  <si>
    <t>प्र. क्र. ३२ मध्ये मावळे आळी परिसरात ड्रेनेज लाईन साफसफाई करणे.</t>
  </si>
  <si>
    <t>प्र. क्र. ३२ अ मधील विविध ठिकाणी चेंबर्स दुरूस्ती व समपातळीत आणणे.</t>
  </si>
  <si>
    <t>प्र.क्र. ३२ ब मधील सम्राट अशोक शाळा येथे विविध विकास कामे करणे.</t>
  </si>
  <si>
    <t>प्र. क्र.  ३३ अ मध्ये विविध ठिकाणी नाले साफसफाई करणे</t>
  </si>
  <si>
    <t>प्र. क्र. ३३ वुडलॅन्ड सोसायटी उषाप्रभा टेरीस नाला साफसफाई करणे.</t>
  </si>
  <si>
    <t>प्र. क्र. ३३ अ विविध ठिकाणी पावसाळी लाईन साफसफाई व चेंबर दुरूस्ती करणे.</t>
  </si>
  <si>
    <t>प्र. क्र. ३३ अ कोथरूड गावठाण, तेजसनगर, गणंजय सोसायटी थर्मोप्लास्टिक पेंटचे पट्टे मारणे.</t>
  </si>
  <si>
    <t>प्र. क्र. ३३ कोथरूड गावठाण व इतर   ठिकाणी ड्रेनेज लाईन साफसफाई करणे.</t>
  </si>
  <si>
    <t>प्र. क्र. ३३  मध्ये पडीक हद्दीच्या झाडणकामासाठी मजुर पुरविणे</t>
  </si>
  <si>
    <t>प्र. क्र. ३३ अ विविध ठिकाणी कॉक्रीटीकरण व पेव्हिंग ब्लॉक दुरूस्ती करणे.</t>
  </si>
  <si>
    <t>प्र. क्र. ३३ ब लक्ष्मीनगर स्वच्छतागृह दुरूस्ती विषयक कामे करणे</t>
  </si>
  <si>
    <t>प्र. क्र. ३३ ब समाजमंदिर, विरंगुळा केंद्र देखभाल दुरूस्ती विषयक कामे करणे.</t>
  </si>
  <si>
    <t>प्र. क्र. ३३ ब  ड्रेनेज लाईन साफसफाई करणे.</t>
  </si>
  <si>
    <t>प्र. क्र. ३३ ब डहाणुकर कॉलनी येथे पव्हिंग ब्लॉक दुरुस्ती करण.</t>
  </si>
  <si>
    <t>प्र. क्र. ३३ ब विविध ठिकाणी  कॉक्रीटीकरण व पेव्हिंग दुरूस्ती करणे</t>
  </si>
  <si>
    <t>प्र. क्र. ३३  ब डहाणुकर कॉलनी व इतर  ठिकाणी पावसाळी लाईन साफसफाई करणे.</t>
  </si>
  <si>
    <t>प्र. क्र. ३३ मध्ये विद्युत विभागाकडील देखभाल दुरूस्तीच्या कामांसाठी मजुर पुरविणे.</t>
  </si>
  <si>
    <t>प्र. क्र. ३३ ब डहाणुकर कॉलनी थर्मोप्लॉस्टिक पेंटचे पट्टे मारणे.</t>
  </si>
  <si>
    <t>प्र.क्र. ३५ ब मध्ये विविध ठिकाणी विुत विषयक कामे करणे व प्रकाश व्यवस्थेत सुधारणा करणे.</t>
  </si>
  <si>
    <t>प्रभाग क्र.३५ अ मध्ये विविध ठिकाणी ड्रेनेज लाईन टाकणे.</t>
  </si>
  <si>
    <t>प्रभाग क्र.३५ अ मध्ये  ड्रेनेज लाईन दुरूस्ती व साफसफाई करणे.</t>
  </si>
  <si>
    <t>प्रभाग क्र. ३५ अ मधील पुरग्रस्त वसाहतींमध्ये विुत विषयक कामे करणे.</t>
  </si>
  <si>
    <t>प्रभाग क्र.३५ विुत विभागाकडील देखभाल दुरूस्तीच्या कामांसाठी मजुर पुरविणे.</t>
  </si>
  <si>
    <t>प्रभाग क्र.३० अ मध्ये वारजे परिसरातील साई कॅालनी येथे ड्रेनेज लाईन टाकणे व साफसफाई करणे.</t>
  </si>
  <si>
    <t>प्र.क्र.३० अ श्रीराम सोसायटी मैदानालगत प्रकाश व्यवस्था करणे</t>
  </si>
  <si>
    <t>प्र.क्र.३० अ वारजे जकात नाका ते तिरुपतीनगर पर्यंतच्या रस्त्यावर अ‍ॅक्टोगोनल पोल उभारुन प्रकाश व्यवस्था करणे.</t>
  </si>
  <si>
    <t>प्रभाग क्र.३० ब मध्ये अक्षय पॅलेस ते आदित्य गार्डन येथे नाला साफसफाई करणे.</t>
  </si>
  <si>
    <t>प्रभाग क्र.३० ब मध्ये दिगंबरवाडी शाळा येथे दुरुस्ती विषयक कामे करणे.</t>
  </si>
  <si>
    <t>प्रभाग क्र.३१  मध्ये अक्षय पॅलेस ते नदी पात्रापर्यंत नाले साफसफाई करणे</t>
  </si>
  <si>
    <t>प्रभाग क्र.३१  मध्ये वारजे गावठाण व इतर ठिकाणी ड्रेनेज लाईन साफसफाई करणे.</t>
  </si>
  <si>
    <t>प्रभाग क्र.३१  मध्ये  वारजे परिसर विविध ठिकाणी डांबरीकरण करणे.</t>
  </si>
  <si>
    <t>प्रभाग क्र.३१  मध्ये रामनगर, न्यु अहिरे गाव येथे ड्रेनेज लाईन साफसफाई करणे.</t>
  </si>
  <si>
    <t>प्र. क्र. ३१  डबरखान , मांग वाडा , खानवस्ती येथे प्रकाशव्यवस्था करणे</t>
  </si>
  <si>
    <t>प्रभाग क्र.३१  मध्ये भारत कॅालनी,नवचैतन्य सोसायटी,कर्वेनगर स्मशानभूमी , नदी पात्र पर्यंत व अक्षय पॅलेस  येथे नाले साफसफाई करणे</t>
  </si>
  <si>
    <t>प्रभाग क्र.३१  मध्ये कर्वेनगर परिसरात ड्रेनेज लाईन बदलणे व चेंबर दुरुस्ती करणे.</t>
  </si>
  <si>
    <t>प्रभाग क्र.३१  कर्वेनगर मध्ये खचलेले पेव्हिंग ब्लॅाक  दुरुस्ती करणे.</t>
  </si>
  <si>
    <t>प्र.क्र.३१  आनंद कॅालनी हायवे सर्व्हिस रस्त्यावर प्रकाश व्यवस्था करणे</t>
  </si>
  <si>
    <t>प्र.क्र.३१  शाहू कॅालनी येथे प्रकाश व्यवस्था करणे</t>
  </si>
  <si>
    <t>प्र. क्र. ३२ ब मध्ये कर्वेनगर परिसरात ड्रेनेज विषयक कामे करणे.</t>
  </si>
  <si>
    <t>प्र. क्र. ३२ ब मध्ये कुलश्री, श्रीमान इ. सोसायटयांचे परिसरातील रस्ते डांबरकरण करणे.</t>
  </si>
  <si>
    <t>प्र. क्र. ३२ ब मध्ये मुख्य रस्ते व अंतर्गत रस्त्याच्या साईडपट्या कॉक्रीट करणे</t>
  </si>
  <si>
    <t>प्र. क्र. ३२ ब मध्ये कर्वेनगर गल्ल्या, मावळे आळी, ताठे पथ परिसर या भागात ड्रेनेज लाईन टाकणे</t>
  </si>
  <si>
    <t>प्र. क्र. ३२ अ मध्ये कामाना वसाहत  परिसर येथे ड्रेनेज लाईन टाकणे</t>
  </si>
  <si>
    <t>प्र. क्र. ३२ अ मध्ये मावळे आळी परिसरात येथे ड्रेनेज लाईन टाकणे</t>
  </si>
  <si>
    <t>प्र. क्र. ३२ अ मध्ये विविध ठिकाणी कॉक्रीट करणे.</t>
  </si>
  <si>
    <t>प्र. क्र. ३२ अ पंचशील मित्र मंडळ  परिसर, अजिंक्य मित्र मंडळ,नवजीवन मित्रमंडळ परिसरात ड्रेनेज लाईन टाकणे.</t>
  </si>
  <si>
    <t>प्र. क्र. ३२ ब स्पेन्सर्स चौक ते कर्वेनगर गल्ली नं. १ रस्ता प्रकाश व्यवस्था करणे.</t>
  </si>
  <si>
    <t>प्र. क्र.  ३३ कोथरूड गावठाण, श्रावणधारा , तेजसनगर प्रकाश व्यवस्था करणे.</t>
  </si>
  <si>
    <t>प्र. क्र. ३३  अ पंचरत्न टॉवर, शिवतारा गार्डन, मोतीराम पार्क प्रकाश व्यवस्था करणे.</t>
  </si>
  <si>
    <t>प्रभाग क्र.३५ अ विविध ठिकाणी फुटपाथ दुरूस्ती करणे.</t>
  </si>
  <si>
    <t>प्रभाग क्र.३५ ब विविध ठिकाणी फुटपाथ दुरूस्तीची कामे करणे.</t>
  </si>
  <si>
    <t>प्रभाग क्र.३५ अ मध्ये अलंकार पोलीस चौकी ते गुळवणी महाराज पथ  डांबरीकरण करणे.</t>
  </si>
  <si>
    <t>प्रभाग क्र.३५ अ मध्ये पं.दिनदयाळ शाळेमध्ये वर्गखोल्या बांधणे व विविध सुधारणा कामे करणे.</t>
  </si>
  <si>
    <t>प्रभाग क्र.३५ ब मध्ये इंदिरा हाईट्‌स समोरील रस्ता डांबरीकरण करणे.</t>
  </si>
  <si>
    <t>प्रभाग क्र.३५ जोशी रेल्वे संग्रहालयालगतचे रस्ते डांबरीकरण करणे.</t>
  </si>
  <si>
    <t>प्रभाग क्र.३५ सहकारनगर परिसरात प्रकाश व्यवस्था करणे.</t>
  </si>
  <si>
    <t>प्रभाग क्र.३५, ३चाळ,७चाळ व १० चाळ या  पुरग्रस्त वसाहत परिसरात काँक्रीटीकरण करणे.</t>
  </si>
  <si>
    <t>प्रभाग क्र.३५, पटवर्धन बाग परिसरात प्रकाश व्यवस्था करणे.</t>
  </si>
  <si>
    <t>प्रभाग क्र.३५, शैलेश सोसायटी व मनिषा सोसायटी परिसरात प्रकाश व्यवस्था करणे.</t>
  </si>
  <si>
    <t>प्र.क्र.३० अ मध्ये शाळा दवाखाने दुरूस्तीविषयक कामे करणे</t>
  </si>
  <si>
    <t>प्र.क्र.३० अ मध्ये हिंगणे होम कॅालनी परिसरात रस्ते डांबरीकरण करणे.</t>
  </si>
  <si>
    <t>प्रभाग क्र.३० अ मधील सुलभ शौचालया मध्ये विद्युतविषयक कामे करणे</t>
  </si>
  <si>
    <t>प्रभाग क्र.३० अ मध्ये रस्त्यावर पांढरे पट्टे मारणे.</t>
  </si>
  <si>
    <t>प्र. क्र. 30 ब मध्ये अष्टविनायक चौक परिसरत रस्ता कॅाक्रीट</t>
  </si>
  <si>
    <t>प्र.क्र. 30 ब मध्ये सुरभी कॅलनी परिसरात रस्ता कॅाक्रीटकरण करणे.</t>
  </si>
  <si>
    <t>प्रभाग क्र.३१  मध्ये  शाहु कॅालनी विविध ठिकाणी खचलेले ब्लॅाक दुरुस्ती करणे.</t>
  </si>
  <si>
    <t>प्रभाग क्र.३१  मध्ये  शाहु कॅालनी विविध ठिकाणी गल्लीबोळ कॅाक्रीट  करणे.</t>
  </si>
  <si>
    <t>प्रभाग क्र. 32 अ मध्ये आकाश मित्रमंडळ, गोसावी वस्ती येथे शौचालय   दुरूस्ती करणे.</t>
  </si>
  <si>
    <t>प्रभाग क्र. 32 अ ममध्ये हॅप्पी कॉनी गोसावी वस्ती येथे ड्रेनेज  लाईन साफसफार्इ करणे.</t>
  </si>
  <si>
    <t>प्र. क्र. ३३ अ कोथरूड गावठाण, तेजसनगर, राहुलनगर परिसरात जेटींग व चॅपियन मशिनद्वारे ड्रेनेज लाईन साफसफाई करणे.</t>
  </si>
  <si>
    <t>प्र. क्र. ३३  अ गणजंय परिसर पेव्हिंग ब्लॉक दुरूस्ती करणे</t>
  </si>
  <si>
    <t>प्र. क्र. ३३ अ कोथरूड गावठाण वरची आळी पेव्हिंग ब्लॉक दुरूस्ती करणे.</t>
  </si>
  <si>
    <t>प्र. क्र. ३5, विविध ठिकाणी फुटपाथ दुरूस्ती करणे.</t>
  </si>
  <si>
    <t>प्र. क्र. ३5, प्रभागात विविध ठिकाणी कॅाक्रीट साईडपट्ट्या करणे</t>
  </si>
  <si>
    <t>प्र. क्र. ३5, संगमप्रेस जवळ्च्या परिसरातील विद्युत वाहक केबल अंडरग्राऊंड करणे .</t>
  </si>
  <si>
    <t>प्र. क्र. ३5, सातचाळ पुरग्रस्त वसाहत परिसरात विद्युत विषयक कामे करणे.</t>
  </si>
  <si>
    <t>प्र. क्र. ३5, पुरसग्रस्त वसाहती मध्ये गल्लीबोळ कॅाक्रीट करणे.</t>
  </si>
  <si>
    <t>प्रभाग क्र.३० अ मध्ये वडारवस्ती व होम कॅालनी येथे ड्रेनेज लाईन टाकणे.</t>
  </si>
  <si>
    <t>प्र.क्र.३० ब मध्ये विठ्ठलनगर परिसरात मोठ्या व्यासाची ड्रेनेज लाईन टाकणे</t>
  </si>
  <si>
    <t>प्र.क्र.३० ब मध्ये आर.एम.डी. कॅालेज ते रोजरी स्कूल पर्यंतच्या उर्वरीत रस्त्याचे काम पुर्ण करणे.</t>
  </si>
  <si>
    <t>प्र.क्र.३० ब मध्ये आर एम डी कॅालेजच्या मागे असलेल्या रस्त्यास खडीकरण करणे</t>
  </si>
  <si>
    <t>प्रभाग क्र.३१  मध्ये बॅड मिंटल हॅाल जावळकर वस्ती येथील सिमा भिंत बांधणे .</t>
  </si>
  <si>
    <t>प्रभाग क्र.३१  मध्ये योगा हॅाल दत्तदिंगाबर कॅालनी पाण्याची टाकी बांधणे .</t>
  </si>
  <si>
    <t>प्रभाग क्र.३१  मधील  शाहु कॅालनी , कर्वेनग र स्मशान भुमी परिसरात लाईट व्यवस्था करणे.</t>
  </si>
  <si>
    <t>प्र. क्र. ३१ रामनगर वारजे येथे श्रीराम चाक येथे ड्रेनेज लाईन टाकणे</t>
  </si>
  <si>
    <t>प्र. क्र. ३१ शिवाजी चौक येथे जुन्या ड्रेनेज लाईन बदलुन नविन टाकणे</t>
  </si>
  <si>
    <t>प्र. क्र. ३१ इंडस्टिअल इंस्टेट वारजे येथे नाला साफसफाई करणे तसेच चेंबर दुरूस्त करणे.</t>
  </si>
  <si>
    <t>प्र. क्र. ३१ रामनगर गणेशपुरी आहिरे गाव खान वस्ती चेंबर दुरूस्ती करणे व लाईन साफसफाई करणे</t>
  </si>
  <si>
    <t>प्र. क्र. ३१ अहिरे गाव परिसरात प्रकाश व्यवस्था करणे.</t>
  </si>
  <si>
    <t>प्र. क्र. ३२ अ मध्ये मावळे आळी येथे नवजीवन तरूण मंडळाशेजारी ड्रेनेज लाईन टाकुन, कॉक्रीटीकरण करेण</t>
  </si>
  <si>
    <t>प्र.क्र. ३२ अ मध्ये गोसावी वस्ती येथे ड्रेनेज लाईन टाकणे.</t>
  </si>
  <si>
    <t>प्र.क्र. ३२ अ मधील सहवास सोसयाटी, विद्यापीठ सोसायटी , क्षिप्रा सोसायटी येथे प्रकाश व्यवस्था करणे.</t>
  </si>
  <si>
    <t>प्र. क्र. ३२ ब मधील कॅनॉल खाली गल्ली क्र. १ ते १० पर्यत प्रकाश व्यवस्था करणे.</t>
  </si>
  <si>
    <t>प्र. क्र ३२ ब मधील महालक्ष्मी मंदिर ते मावळे आळी चौक कॅनॉल रस्त्याने पावसाळी लाईन टाकणे.</t>
  </si>
  <si>
    <t>प्र.क्र. ३२ ब मधील कर्वेनगर परिसरात गल्लीबोळ कॉक्रीटीकरण करणे</t>
  </si>
  <si>
    <t>प्र. क्र. ३२ ब मधील मावळेआळी , कामना वसाहत येथे ड्रेनेज लाईन टाकणे</t>
  </si>
  <si>
    <t>प्र. क्र.  ३३ अ कोथरूड गावठाण, व इतर ठिकाणी लोखंडी बाके बसविणे.</t>
  </si>
  <si>
    <t>प्र. क्र. ३३ अ राहुलनगर ते कर्वेपुतळा चौक येथे रस्त्यालगत पेव्हिंग ब्लॉक बसविणे.</t>
  </si>
  <si>
    <t>प्र. क्र. ३३ ब लक्ष्मीनगर येथे पोल बसवुन प्रकाश व्यवस्था करणे.</t>
  </si>
  <si>
    <t>प्र. क्र. ३३ ब डहाणुकर कॉलनी परिसरात लाईट  व्यवस्था करणे.</t>
  </si>
  <si>
    <t>प्र. क्र. ३३ डहाणुकर कॉलनी रस्ता क्र. १७, १९ येथे पेव्हिंग ब्लॉक बसविणे.</t>
  </si>
  <si>
    <t>प्र. क्र. ३३ डहाणुकर कॉलनी रस्ता क्र. ९  येथे पेव्हिंग ब्लॉक बसविणे.</t>
  </si>
  <si>
    <t>प्र. क्र. ३३ डहाणुकर कॉलनी रस्ता क्र. ५,७  येथे पेव्हिंग ब्लॉक बसविणे.</t>
  </si>
  <si>
    <t>प्र. क्र.  ३५, ताथवडे उानासमोरील साईडपट्टया काँक्रीट करणे.</t>
  </si>
  <si>
    <t>प्र. क्र.  ३५, पटवर्धनबाग परिसरात प्रकाश व्यवस्था सुधारणे</t>
  </si>
  <si>
    <t>प्र. क्र.  ३५, एरंडवने पूरग्रस्त वसाहत परिसरात विद्युत विषयक कामे करणे</t>
  </si>
  <si>
    <t>प्र. क्र. ३५, गणेशनगर ओटा वसाहत येथील गल्लीबोळ काँक्रीट करणे व पेव्हींग ब्लॉक्स बसविणे.</t>
  </si>
  <si>
    <t>प्र. क्र.  ३५, गणेशनगर येथे फुटपाथ बनविणे.</t>
  </si>
  <si>
    <t>प्र. क्र.  ३५, पंडित दिनदयाळ शाळेमध्ये विविध सुधारणा कामे करणे.</t>
  </si>
  <si>
    <t>1 - अ : कळस – धानोरी</t>
  </si>
  <si>
    <t>1 - ब : कळस – धानोरी</t>
  </si>
  <si>
    <t>1 - क : कळस – धानोरी</t>
  </si>
  <si>
    <t>1 - ड : कळस – धानोरी</t>
  </si>
  <si>
    <t>2 - अ : नागपूर चाळ – फुले नगर</t>
  </si>
  <si>
    <t>2 - ब : नागपूर चाळ – फुले नगर</t>
  </si>
  <si>
    <t>2 - क : नागपूर चाळ – फुले नगर</t>
  </si>
  <si>
    <t>2 - ड : नागपूर चाळ – फुले नगर</t>
  </si>
  <si>
    <t>3 - अ : विमान नगर – सोमनाथ नगर</t>
  </si>
  <si>
    <t>3 - ब : विमान नगर – सोमनाथ नगर</t>
  </si>
  <si>
    <t>3 - क : विमान नगर – सोमनाथ नगर</t>
  </si>
  <si>
    <t>3 - ड : विमान नगर – सोमनाथ नगर</t>
  </si>
  <si>
    <t>4 - अ : खराडी – चंदन नगर</t>
  </si>
  <si>
    <t>4 - ब : खराडी – चंदन नगर</t>
  </si>
  <si>
    <t>4 - क : खराडी – चंदन नगर</t>
  </si>
  <si>
    <t>4 - ड : खराडी – चंदन नगर</t>
  </si>
  <si>
    <t>5 - अ : वडगावशेरी – कल्याणी नगर</t>
  </si>
  <si>
    <t>5 - ब : वडगावशेरी – कल्याणी नगर</t>
  </si>
  <si>
    <t>5 - क : वडगावशेरी – कल्याणी नगर</t>
  </si>
  <si>
    <t>5 - ड : वडगावशेरी – कल्याणी नगर</t>
  </si>
  <si>
    <t>6 - अ : येरवडा</t>
  </si>
  <si>
    <t>6 - ब : येरवडा</t>
  </si>
  <si>
    <t>6 - क : येरवडा</t>
  </si>
  <si>
    <t>6 - ड : येरवडा</t>
  </si>
  <si>
    <t>7 - अ : सावित्रीबाई फुले पुणे विद्यापीठ – वाकडेवाडी</t>
  </si>
  <si>
    <t>7 - ब : सावित्रीबाई फुले पुणे विद्यापीठ – वाकडेवाडी</t>
  </si>
  <si>
    <t>7 - क : सावित्रीबाई फुले पुणे विद्यापीठ – वाकडेवाडी</t>
  </si>
  <si>
    <t>7 - ड : सावित्रीबाई फुले पुणे विद्यापीठ – वाकडेवाडी</t>
  </si>
  <si>
    <t>8 - अ : औंध – बोपोडी</t>
  </si>
  <si>
    <t>8 - ब : औंध – बोपोडी</t>
  </si>
  <si>
    <t>8 - क : औंध – बोपोडी</t>
  </si>
  <si>
    <t>8 - ड : औंध – बोपोडी</t>
  </si>
  <si>
    <t>9 - अ : बाणेर बालेवाडी – पाषाण</t>
  </si>
  <si>
    <t>9 - ब : बाणेर बालेवाडी – पाषाण</t>
  </si>
  <si>
    <t>9 - क : बाणेर बालेवाडी – पाषाण</t>
  </si>
  <si>
    <t>9 - ड : बाणेर बालेवाडी – पाषाण</t>
  </si>
  <si>
    <t>10 - अ : बावधन खुर्द – कोथरूड डेपो</t>
  </si>
  <si>
    <t>10 - ब : बावधन खुर्द – कोथरूड डेपो</t>
  </si>
  <si>
    <t>10 - क : बावधन खुर्द – कोथरूड डेपो</t>
  </si>
  <si>
    <t>10 - ड : बावधन खुर्द – कोथरूड डेपो</t>
  </si>
  <si>
    <t>11 - अ : रामबाग कॉलनी – शिवतीर्थ नगर</t>
  </si>
  <si>
    <t>11 - ब : रामबाग कॉलनी – शिवतीर्थ नगर</t>
  </si>
  <si>
    <t>11 - क : रामबाग कॉलनी – शिवतीर्थ नगर</t>
  </si>
  <si>
    <t>11 - ड : रामबाग कॉलनी – शिवतीर्थ नगर</t>
  </si>
  <si>
    <t>12 - अ : मयूर कॉलनी – डहाणूकर कॉलनी</t>
  </si>
  <si>
    <t>12 - ब : मयूर कॉलनी – डहाणूकर कॉलनी</t>
  </si>
  <si>
    <t>12 - क : मयूर कॉलनी – डहाणूकर कॉलनी</t>
  </si>
  <si>
    <t>12 - ड : मयूर कॉलनी – डहाणूकर कॉलनी</t>
  </si>
  <si>
    <t>13 - अ : एरंडवणा – हॅपी कॉलनी</t>
  </si>
  <si>
    <t>13 - ब : एरंडवणा – हॅपी कॉलनी</t>
  </si>
  <si>
    <t>13 - क : एरंडवणा – हॅपी कॉलनी</t>
  </si>
  <si>
    <t>13 - ड : एरंडवणा – हॅपी कॉलनी</t>
  </si>
  <si>
    <t>14 - अ : डेक्कन जिमखाना – मॉडेल कॉलनी</t>
  </si>
  <si>
    <t>14 - ब : डेक्कन जिमखाना – मॉडेल कॉलनी</t>
  </si>
  <si>
    <t>14 - क : डेक्कन जिमखाना – मॉडेल कॉलनी</t>
  </si>
  <si>
    <t>14 - ड : डेक्कन जिमखाना – मॉडेल कॉलनी</t>
  </si>
  <si>
    <t>15 - अ : शनिवार पेठ – सदाशिव पेठ</t>
  </si>
  <si>
    <t>15 - ब : शनिवार पेठ – सदाशिव पेठ</t>
  </si>
  <si>
    <t>15 - क : शनिवार पेठ – सदाशिव पेठ</t>
  </si>
  <si>
    <t>15 - ड : शनिवार पेठ – सदाशिव पेठ</t>
  </si>
  <si>
    <t>16 - अ : कसबा पेठ – सोमवार पेठ</t>
  </si>
  <si>
    <t>16 - ब : कसबा पेठ – सोमवार पेठ</t>
  </si>
  <si>
    <t>16 - क : कसबा पेठ – सोमवार पेठ</t>
  </si>
  <si>
    <t>16 - ड : कसबा पेठ – सोमवार पेठ</t>
  </si>
  <si>
    <t>17 - अ : रास्ता पेठ – रविवार पेठ</t>
  </si>
  <si>
    <t>17 - ब : रास्ता पेठ – रविवार पेठ</t>
  </si>
  <si>
    <t>17 - क : रास्ता पेठ – रविवार पेठ</t>
  </si>
  <si>
    <t>17 - ड : रास्ता पेठ – रविवार पेठ</t>
  </si>
  <si>
    <t>18 - अ : खडकमाळ आळी – महात्मा फुले पेठ</t>
  </si>
  <si>
    <t>18 - ब : खडकमाळ आळी – महात्मा फुले पेठ</t>
  </si>
  <si>
    <t>18 - क : खडकमाळ आळी – महात्मा फुले पेठ</t>
  </si>
  <si>
    <t>18 - ड : खडकमाळ आळी – महात्मा फुले पेठ</t>
  </si>
  <si>
    <t>19 - अ : लोहीयानगर – कासेवाडी</t>
  </si>
  <si>
    <t>19 - ब : लोहीयानगर – कासेवाडी</t>
  </si>
  <si>
    <t>19 - क : लोहीयानगर – कासेवाडी</t>
  </si>
  <si>
    <t>19 - ड : लोहीयानगर – कासेवाडी</t>
  </si>
  <si>
    <t>20 - अ : ताडीवाला रोड – ससून हॉस्पिटल</t>
  </si>
  <si>
    <t>20 - ब : ताडीवाला रोड – ससून हॉस्पिटल</t>
  </si>
  <si>
    <t>20 - क : ताडीवाला रोड – ससून हॉस्पिटल</t>
  </si>
  <si>
    <t>20 - ड : ताडीवाला रोड – ससून हॉस्पिटल</t>
  </si>
  <si>
    <t>21 - अ : कोरेगाव पार्क – घोरपडी</t>
  </si>
  <si>
    <t>21 - ब : कोरेगाव पार्क – घोरपडी</t>
  </si>
  <si>
    <t>21 - क : कोरेगाव पार्क – घोरपडी</t>
  </si>
  <si>
    <t>21 - ड : कोरेगाव पार्क – घोरपडी</t>
  </si>
  <si>
    <t>22 - अ : मुंढवा – मगरपट्टा सिटी</t>
  </si>
  <si>
    <t>22 - ब : मुंढवा – मगरपट्टा सिटी</t>
  </si>
  <si>
    <t>22 - क : मुंढवा – मगरपट्टा सिटी</t>
  </si>
  <si>
    <t>22 - ड : मुंढवा – मगरपट्टा सिटी</t>
  </si>
  <si>
    <t>23 - अ : हडपसर गावठाण – सातववाडी</t>
  </si>
  <si>
    <t>23 - ब : हडपसर गावठाण – सातववाडी</t>
  </si>
  <si>
    <t>23 - क : हडपसर गावठाण – सातववाडी</t>
  </si>
  <si>
    <t>23 - ड : हडपसर गावठाण – सातववाडी</t>
  </si>
  <si>
    <t>24 - अ : रामटेकडी – सय्यदनगर</t>
  </si>
  <si>
    <t>24 - ब : रामटेकडी – सय्यदनगर</t>
  </si>
  <si>
    <t>24 - क : रामटेकडी – सय्यदनगर</t>
  </si>
  <si>
    <t>25 - अ : वानवडी</t>
  </si>
  <si>
    <t>25 - ब : वानवडी</t>
  </si>
  <si>
    <t>25 - क : वानवडी</t>
  </si>
  <si>
    <t>25 - ड : वानवडी</t>
  </si>
  <si>
    <t>26 - अ : महम्मदवाडी – कौसर बाग</t>
  </si>
  <si>
    <t>26 - ब : महम्मदवाडी – कौसर बाग</t>
  </si>
  <si>
    <t>26 - क : महम्मदवाडी – कौसर बाग</t>
  </si>
  <si>
    <t>26 - ड : महम्मदवाडी – कौसर बाग</t>
  </si>
  <si>
    <t>27 - अ : कोंढवा खुर्द – मिठानगर</t>
  </si>
  <si>
    <t>27 - ब : कोंढवा खुर्द – मिठानगर</t>
  </si>
  <si>
    <t>27 - क : कोंढवा खुर्द – मिठानगर</t>
  </si>
  <si>
    <t>27 - ड : कोंढवा खुर्द – मिठानगर</t>
  </si>
  <si>
    <t>28 - अ : सॅलीसबरी पार्क – महर्षी नगर</t>
  </si>
  <si>
    <t>28 - ब : सॅलीसबरी पार्क – महर्षी नगर</t>
  </si>
  <si>
    <t>28 - क : सॅलीसबरी पार्क – महर्षी नगर</t>
  </si>
  <si>
    <t>28 - ड : सॅलीसबरी पार्क – महर्षी नगर</t>
  </si>
  <si>
    <t>29 - अ : नवी पेठ – पर्वती</t>
  </si>
  <si>
    <t>29 - ब : नवी पेठ – पर्वती</t>
  </si>
  <si>
    <t>29 - क : नवी पेठ – पर्वती</t>
  </si>
  <si>
    <t>29 - ड : नवी पेठ – पर्वती</t>
  </si>
  <si>
    <t>30 - अ : जनता वसाहत – दत्तवाडी</t>
  </si>
  <si>
    <t>30 - ब : जनता वसाहत – दत्तवाडी</t>
  </si>
  <si>
    <t>30 - क : जनता वसाहत – दत्तवाडी</t>
  </si>
  <si>
    <t>30 - ड : जनता वसाहत – दत्तवाडी</t>
  </si>
  <si>
    <t>31 - अ : कर्वेनगर</t>
  </si>
  <si>
    <t>31 - ब : कर्वेनगर</t>
  </si>
  <si>
    <t>31 - क : कर्वेनगर</t>
  </si>
  <si>
    <t>31 - ड : कर्वेनगर</t>
  </si>
  <si>
    <t>32 - अ : वारजे – माळवाडी</t>
  </si>
  <si>
    <t>32 - ब : वारजे – माळवाडी</t>
  </si>
  <si>
    <t>32 - क : वारजे – माळवाडी</t>
  </si>
  <si>
    <t>32 - ड : वारजे – माळवाडी</t>
  </si>
  <si>
    <t>33 - अ : वडगाव धायरी – वडगाव बुद्रुक</t>
  </si>
  <si>
    <t>33 - ब : वडगाव धायरी – वडगाव बुद्रुक</t>
  </si>
  <si>
    <t>33 - क : वडगाव धायरी – वडगाव बुद्रुक</t>
  </si>
  <si>
    <t>33 - ड : वडगाव धायरी – वडगाव बुद्रुक</t>
  </si>
  <si>
    <t>34 - अ : सनसिटी – हिंगणे खुर्द</t>
  </si>
  <si>
    <t>34 - ब : सनसिटी – हिंगणे खुर्द</t>
  </si>
  <si>
    <t>34 - क : सनसिटी – हिंगणे खुर्द</t>
  </si>
  <si>
    <t>34 - ड : सनसिटी – हिंगणे खुर्द</t>
  </si>
  <si>
    <t>35 - अ : सहकारनगर – पद्मावती</t>
  </si>
  <si>
    <t>35 - ब : सहकारनगर – पद्मावती</t>
  </si>
  <si>
    <t>35 - क : सहकारनगर – पद्मावती</t>
  </si>
  <si>
    <t>35 - ड : सहकारनगर – पद्मावती</t>
  </si>
  <si>
    <t>36 - अ : मार्केट यार्ड – इंदिरा नगर</t>
  </si>
  <si>
    <t>36 - ब : मार्केट यार्ड – इंदिरा नगर</t>
  </si>
  <si>
    <t>36 - क : मार्केट यार्ड – इंदिरा नगर</t>
  </si>
  <si>
    <t>36 - ड : मार्केट यार्ड – इंदिरा नगर</t>
  </si>
  <si>
    <t>37 - अ : अप्पर सुपर - इंदिरा नगर</t>
  </si>
  <si>
    <t>37 - ब : अप्पर सुपर - इंदिरा नगर</t>
  </si>
  <si>
    <t>37 - क : अप्पर सुपर - इंदिरा नगर</t>
  </si>
  <si>
    <t>38 - अ : बालाजी नगर – राजीव गांधी नगर</t>
  </si>
  <si>
    <t>38 - ब : बालाजी नगर – राजीव गांधी नगर</t>
  </si>
  <si>
    <t>38 - क : बालाजी नगर – राजीव गांधी नगर</t>
  </si>
  <si>
    <t>38 - ड : बालाजी नगर – राजीव गांधी नगर</t>
  </si>
  <si>
    <t>39 - अ : धनकवडी – आंबेगाव पठार</t>
  </si>
  <si>
    <t>39 - ब : धनकवडी – आंबेगाव पठार</t>
  </si>
  <si>
    <t>39 - क : धनकवडी – आंबेगाव पठार</t>
  </si>
  <si>
    <t>39 - ड : धनकवडी – आंबेगाव पठार</t>
  </si>
  <si>
    <t>40 - अ : आंबेगाव दत्तनगर – कात्रज गावठाण</t>
  </si>
  <si>
    <t>40 - ब : आंबेगाव दत्तनगर – कात्रज गावठाण</t>
  </si>
  <si>
    <t>40 - क : आंबेगाव दत्तनगर – कात्रज गावठाण</t>
  </si>
  <si>
    <t>40 - ड : आंबेगाव दत्तनगर – कात्रज गावठाण</t>
  </si>
  <si>
    <t>41 - अ : कोंढवा बुद्रुक – येवलेवाडी</t>
  </si>
  <si>
    <t>41 - ब : कोंढवा बुद्रुक – येवलेवाडी</t>
  </si>
  <si>
    <t>41 - क : कोंढवा बुद्रुक – येवलेवाडी</t>
  </si>
  <si>
    <t>41 - ड : कोंढवा बुद्रुक – येवलेवाडी</t>
  </si>
  <si>
    <t>वॉर्डस्तरीय करावयाची विकासाची कामे (41 प्रभाग)</t>
  </si>
  <si>
    <t>ZE16A104/A/S5-1866</t>
  </si>
  <si>
    <t>ZE16A104/A/S5-303</t>
  </si>
  <si>
    <t>ZE16A104A/P2-238+</t>
  </si>
  <si>
    <t>स्वारगेट पाणीपुरवठा विभागा अंतर्गतची मागील बिले अदा करणे (कॉमन)</t>
  </si>
  <si>
    <t>रामटेकडी येथे ६० लक्ष लिटर्स क्षमतेची पाणी
 साठवण टाकी बांधणे.</t>
  </si>
  <si>
    <t>कार्यकारी अभियंता क्र. 1 यांचे कार्यकक्षेतील साठवण टाक्यांवर सुरक्षा उपकरणे बसविणे, लेव्हल इंडिकेटर फ्लो मीटर बसविणे व दुरूस्ती कामे करणे</t>
  </si>
  <si>
    <t>घोरपडी पुणे येथे पुणे सोलापूर व पुणे -मिरज रेल्वे लाईनवर उड्‌डाणपूल बांधणे.</t>
  </si>
  <si>
    <t>मुंबई- पुणे राष्ट्रीय महामार्ग क्र. 4 वर सूस रोड येथे उड्‌डाणपूल बांधणे.</t>
  </si>
  <si>
    <t>बोपोडी चौक मुंबई - पुणे रस्ता येथे वाहन भूयारी व पादचारी मार्ग करणे.</t>
  </si>
  <si>
    <t>पुणे शहरातील विविध चौकातील व रस्त्यावरील अडथळा ठरणारे विद्युत पोल काढणे व विुत वाहिन्या भूमिगत करणे</t>
  </si>
  <si>
    <t>सन 2016-17 मध्ये विविध कामांचे वर्कऑर्डर दिलेल्या कामांकरिता बिल अदा करणेसाठी सन 2017-18 च्या अंदाजपत्रकात विशेष तरतूद करणे.</t>
  </si>
  <si>
    <t>डेंगळे पुलास नवीन समांतर पूल तयार करणे</t>
  </si>
  <si>
    <t>प्रभाग क्रं. 69 ब , गिरीजा शंकर सोसायटी येथे पूल बांधणे</t>
  </si>
  <si>
    <t>प्रभाग क्रं. 48 अ मध्ये अल्पना टॉकीज व बाबा आढाव पूल कर्ल्व्टचे कामे करणे</t>
  </si>
  <si>
    <t>प्रभाग क्र. 70 अ मध्ये ट्रक टर्मिनल विकसित करणे.</t>
  </si>
  <si>
    <t>पुणे शहरामध्ये विविध ठिकाणी वाहनतळ विकसित करणे/ बांधणे</t>
  </si>
  <si>
    <t>मोकाट डुकरांचा बंदोबस्त करणे</t>
  </si>
  <si>
    <t>स्वामी विवेकानंद पुरस्कार</t>
  </si>
  <si>
    <t>.</t>
  </si>
  <si>
    <t>अ. विद्यार्थी निवड प्रक्रिया व विविध क्रिडा सहभाग</t>
  </si>
  <si>
    <t>१६. विद्यानिकेतन शाळा</t>
  </si>
  <si>
    <t>विद्यार्थ्यांसाठी  समुपदेशन</t>
  </si>
  <si>
    <t>विद्यार्थी अपघात सहाय्य योजना</t>
  </si>
  <si>
    <t>कोठयांवरील रोलर्स, मिक्‍सर्स, पेव्हर अन्य यंत्रसामुग्री दुरुस्ती करणे</t>
  </si>
  <si>
    <t>मनपाच्या वाहनांना स्पीड गवर्नर बसविणे</t>
  </si>
  <si>
    <t>जन्म मृत्यूच्या नोंदी नवीन सीआरएक प्रणालीमध्ये नोंद करणेसाठी ठेकेदारी /टेंडर पध्दतीने सेवक घेणेबाबत</t>
  </si>
  <si>
    <t>पुणे मनपाच्या सर्व रूग्णालयांकडील प्रयोगशाळा आउटसोसिंग पद्धतीने चालविणे</t>
  </si>
  <si>
    <t>पुणे मनपाच्या विविध रूग्णालयाकरिता फार्मासि करिता सोफ्टवेअर व हॉर्डवेअर प्रणाली बसविणे</t>
  </si>
  <si>
    <t>पुणे शहरातील भटकी व मोकाट कुत्र्याची गणना करणेकामी</t>
  </si>
  <si>
    <t>सेन्ट्रल स्टराईल सप्लाय डेपो कार्यान्वित करणे</t>
  </si>
  <si>
    <t>पुणे शहरातील मृत्यु पावणांर्‍या छोटया प्राण्यासाठी इंनसिनेटर चालविणे</t>
  </si>
  <si>
    <t>विद्यार्थ्यांसाठी  संगणक प्रशिक्षण</t>
  </si>
  <si>
    <t>पुणे शहरात तंत्रशुध्द पध्दतीने पाणीपुरवठा करण्याची योजना (24x7) अंतर्गत जलवाहिन्या टाकणे</t>
  </si>
  <si>
    <t>पुणे शहरात तंत्रशुध्द पध्दतीने पाणीपुरवठा करण्याची योजना (24x7) अंतर्गत भूसंपादनासाठी</t>
  </si>
  <si>
    <t>पुणे शहरात तंत्रशुध्द पध्दतीने पाणीपुरवठा करण्याची योजना (24x7) अंतर्गत पाण्याचे मीटर बसविणे</t>
  </si>
  <si>
    <t>पुणे शहरात तंत्रशुध्द पध्दतीने पाणीपुरवठा करण्याची योजना (24x7) अंतर्गत विविध ठिकाणी पाण्याच्या टाक्या बांधणे</t>
  </si>
  <si>
    <t>FE14C125/SM1-35</t>
  </si>
  <si>
    <t>स.नं. 114 / 115 बाणेर येथे वर्किंग हॉस्टेल बांधणे</t>
  </si>
  <si>
    <t>क. सर्वसाधारण कर बेरीज</t>
  </si>
  <si>
    <t>राज्यशासनाकडून एल.बी.टी.साठी सहाय्यक अनुदान</t>
  </si>
  <si>
    <t>क.१ मतदार याद्या विक्री (म.स.आ.)</t>
  </si>
  <si>
    <t>क.२ इतर किरकोळ जमा</t>
  </si>
  <si>
    <t>२. झोपडपट्टीतील वेगवेगळ्या धंद्यांचे परवाना शुल्क</t>
  </si>
  <si>
    <t>९. पार्किंग शुल्क / आय.टी.एस. माध्यमातून वसुली (वाहतूक नियोजन)</t>
  </si>
  <si>
    <t>डॉ. बाबासाहेब आंबेडकर जलतरण तलाव, सहकारनगर - भाडे</t>
  </si>
  <si>
    <t xml:space="preserve">टँकर चलन </t>
  </si>
  <si>
    <t>टँकर चलन (मनपाकरिता)</t>
  </si>
  <si>
    <t>ग. ड्रेनेज / सलेज कनेक्शन व सेवावाढ आकार नियोजित बांधकाम क्षेत्रफळावर रु. ११ चौ. मि.</t>
  </si>
  <si>
    <t>थोर व्यक्तींच्या जयंती / पुण्यतिथी साजरी करणे (यादी R1)</t>
  </si>
  <si>
    <t>शहरामध्ये विविध कार्यक्रम, उत्सव, महोत्सव, संमेलन/ सहप्रायोजक तत्वावर कार्यक्रम साजरे करणे (यादी R2)</t>
  </si>
  <si>
    <t>सत्कार, अभिनंदन, पुरस्कार, बक्षिसे यासारखे कार्यक्रम साजरे करणे (यादी R3)</t>
  </si>
  <si>
    <t>शहरातील विविध स्मशानभूमी, दफनभूमीमध्ये देखभालदुरूस्तीची कामे करणे (यादी R4)</t>
  </si>
  <si>
    <t>पथ विभागाकडील योजनेतर (नॉन प्लॅन) कामे (यादी R12)</t>
  </si>
  <si>
    <t>वाहतूक नियंत्रण विभागाकडील योजनेतर (नॉन प्लॅन) कामे (यादी R13)</t>
  </si>
  <si>
    <t>पुणे शहरातील हेरिटेज्‌ स्ट्रक्चरबाबत अनुषंगिक कामे करणे (यादी R7)</t>
  </si>
  <si>
    <t>उद्यान विभागाकडील देखभाल दुरूस्तीची कामे (यादी R8)</t>
  </si>
  <si>
    <t>२१.वॉर्डस्तरीय करावयाची विकासाची कामे (यादी R5)</t>
  </si>
  <si>
    <t>प्रभाग क्र.६अ मध्ये संगणक दुरुस्ती करणे व खरेदी करणे</t>
  </si>
  <si>
    <t>प्र.क्र.१४अ मधील मनपा शाळांमध्ये संगणक संच पुरविणे</t>
  </si>
  <si>
    <t>प्रभाग क्र.२५ब प्रभागातील विविध शाळांमध्ये संगणक खरेदी करणे</t>
  </si>
  <si>
    <t>प्रभाग क्र.५०अ मध्ये संगणक योजना राबविणे</t>
  </si>
  <si>
    <t>प्र.क्र. १५ब मधील विविध मनपा शाळांमध्ये संगणक पुरविणे</t>
  </si>
  <si>
    <t>प्रभाग क्र.३८ब, मध्ये संगणक वर्ग चालू करणे व शासनमान्य शाळांना संगणक पुरविणे</t>
  </si>
  <si>
    <t>प्रभाग क्र.२६मधील सर्व शासन मान्यता प्राप्त प्राथ./माध्य.शाळांना व महाविद्यालयांना संगणक संच, रंगीत दुरदर्शन संच पुरवणे</t>
  </si>
  <si>
    <t>शहरातील सुंदर वास्तुकला (architectural) असलेल्या इमारती व पर्यावरण पुरक (Green Building) इमारतींसाठी स्पर्धा घेणे व बक्षिस देणे</t>
  </si>
  <si>
    <t>ड्‌. भूमीप्रापण (Land Acquisition)</t>
  </si>
  <si>
    <t>ख१. खडकी व SNDT चतुःश्रृंगी पाणीपुरवठा</t>
  </si>
  <si>
    <t>ख२. खडकी व SNDT चतुःश्रृंगी पाणीपुरवठा (विभा. कार्या.)</t>
  </si>
  <si>
    <t>१-अ. पुणे लष्कर व खडकी व SNDT चतुःश्रृंगी पाणीपुरवठा योजना  एकूण बेरीज</t>
  </si>
  <si>
    <t>च. JNNURM कोरेगाव पार्क (प्रकल्प १)</t>
  </si>
  <si>
    <t>ज. स्मार्ट सिटी सेल</t>
  </si>
  <si>
    <t>Smart City Cell</t>
  </si>
  <si>
    <t>RE20G102</t>
  </si>
  <si>
    <r>
      <t xml:space="preserve">सार्वजनिक वाहतूक सुधारणा कामे :- </t>
    </r>
    <r>
      <rPr>
        <sz val="11"/>
        <color rgb="FFFF0000"/>
        <rFont val="Kokila"/>
        <family val="2"/>
      </rPr>
      <t>(Comprehensive Mobility Plan)</t>
    </r>
  </si>
  <si>
    <r>
      <t xml:space="preserve">विविध प्रकारच्या प्रकल्पांच्या अभ्यासासाठी तरतूद </t>
    </r>
    <r>
      <rPr>
        <sz val="11"/>
        <color rgb="FFFF0000"/>
        <rFont val="Kokila"/>
        <family val="2"/>
      </rPr>
      <t>(feasibility report, techno-economical report, environmental report &amp; other reports)</t>
    </r>
  </si>
  <si>
    <r>
      <t xml:space="preserve">पुणे शहरात आवश्यक तेथे भुयारी मार्ग / उड्डाणपूल रेल्वे बांधकाम करणे :-                        </t>
    </r>
    <r>
      <rPr>
        <sz val="11"/>
        <color rgb="FFFF0000"/>
        <rFont val="Kokila"/>
        <family val="2"/>
      </rPr>
      <t>(Non Comprehensive Mobility Plan)</t>
    </r>
  </si>
  <si>
    <t>शिल्लक</t>
  </si>
  <si>
    <t>तूट</t>
  </si>
  <si>
    <t>Deficit</t>
  </si>
  <si>
    <t>मुख्य लेखा व वित्त विभागाकडील रेकॉर्ड जतन करणेसाठी अद्ययावत व्हर्टिकल स्टोरेज करोजल बसविणे</t>
  </si>
  <si>
    <t>पुणे महानगरपालिकेच्या विविध खात्यांतील रेकॉर्ड जतन करणेसाठी अद्ययावत व्हर्टिकल स्टोरेज करोजल बसविणे</t>
  </si>
  <si>
    <t>58. पुणे महानगर प्रदेश क्षेत्र विकास प्राधिकरणाच्या बीज भांडवलापोटी मनपा हिस्सा</t>
  </si>
  <si>
    <t>59. अंदाजपत्रक 'क' कडे वर्ग</t>
  </si>
  <si>
    <t>1.  मुख्य देखरेख वसुली वगैरे ते
58. 'क' अंदाजपत्रकाकडे वर्ग खर्च बेरीज</t>
  </si>
  <si>
    <t>पुणे मनपा हद्दीतील कर आकारणी न झालेल्या मिळकती मनपास कळविण्यार्‍या संथेस अगर व्यक्तीस मुशाहिरा आदा करणे</t>
  </si>
  <si>
    <t>उद्‌वाहक (विद्युत), ट्रान्सफॉर्मर, जनरेटर व यु.पी.एस.देखभाल दुरूस्ती</t>
  </si>
  <si>
    <t>पुणे मनपाच्या विविध इमारतीमध्ये पॉवर फॅक्टर यंत्रणा पुरविणे आवश्यक कंट्रोल पॅनल्स व तदनुषंगिक काम करणे</t>
  </si>
  <si>
    <t>पुणे मनपा माध्यमिक विद्यालयातील विद्यार्थीनिंकरीता सॅनिटरी नॅपकिन सुविधा पुरविणे</t>
  </si>
  <si>
    <t>आयुर्मान संपलेली वाहणे बदलणे</t>
  </si>
  <si>
    <t>CE19A152A</t>
  </si>
  <si>
    <t>कचरा गोळा करण्यासाठी घंटागाडया खरेदी करणे (3 मे. टन किंवा त्यापेक्षा जास्त)</t>
  </si>
  <si>
    <t>CE19A152B</t>
  </si>
  <si>
    <t>उरुळी देवाची साठी आग विझविण्यासाठी फायर इंजिन आणि वॉटर ब्राउझर</t>
  </si>
  <si>
    <t>सार्वजनीक स्वच्छतागृह बांधणे</t>
  </si>
  <si>
    <t>जुन्या बसचे स्वच्छतागृहामध्ये रूपांतर करणे</t>
  </si>
  <si>
    <t>Project Management Unit स्थापन करणे</t>
  </si>
  <si>
    <t>गणपती उत्सवासाठी अमोनियम बाय कार्बोनेट खरेदी करणे</t>
  </si>
  <si>
    <t>नागरी घनकचरा बंदिस्त कंटेनरमध्ये गोळा करून वाहतूक करणे (Bin &amp; Fleet Management)</t>
  </si>
  <si>
    <t>कचरा हस्तांतरण केंद्रावरून बी आर सी द्वारे कचरा वाहतूक करणे (Collection and transportation of Municipal Solid Waste (MSW) from transfer stations of PMC to processing plants and/or Sanitary Land fill site for a period of 5 years)</t>
  </si>
  <si>
    <t>नदी सुधारणा प्रकल्प राबविणे (पी.पी.पी./कर्ज/अनुदान/इतर वित्तीय माध्यामातून नदी व नदीकाठ विकसित करणे/सुधारणा करणे)</t>
  </si>
  <si>
    <t>( टीप :- आर्थिक वर्षात सार्वजनिक वाहतूक सुधारणा व विशेष प्रकल्पासाठी अतिरिक्त निधीची गरज भासल्यास जागतिक बँक, जपान बँक व वित्त संस्थांकडून कर्ज घेऊन तरतूद उपलब्ध करता येईल. )</t>
  </si>
  <si>
    <t>Pedestrian Policy  व Urban Street Design Guideline  प्रमाणे सुधारणा कामे करणे</t>
  </si>
  <si>
    <t>पेशवे पार्क येथील साहसी खेळ देखभाल व दुरुस्तीची कामे करणे</t>
  </si>
  <si>
    <t>पुणे शहराचे स्ट्रॉम वॉटर ड्रेनेज प्रकल्पातील एकोणीस बेसीनमध्ये तातडीने करावयाची कामे</t>
  </si>
  <si>
    <t>ऊर्जा बचतीसाठी LED दिवे बसविणे व तद्‌नुषंगिक कामे करणे (PRA)</t>
  </si>
  <si>
    <t>घनकचरा व्यवस्थापन विषयक आधुनिक तंत्रज्ञान प्राप्त करण्याकरिता सेमिनार, चर्चासत्र व प्रशिक्षणवर्ग आयोजित करणे व उपस्थित राहणे</t>
  </si>
  <si>
    <t>स्व.पु.ल.देशपांडे उद्यान येथे हॉर्टीकल्चरविषयक कामे करणे</t>
  </si>
  <si>
    <t>तळजाई टेकडी येथे जैवविविधता उद्यान विकसित करणे</t>
  </si>
  <si>
    <t>कै.बाळासाहेब ठाकरे उद्यान डहाणुकर कॉलनी, कोथरुड येथे स्थापत्य/ हॉर्टिकल्चर/विद्युत विषयक व सुशोभिकरण अंतर्गत विविध विकास कामे करणे</t>
  </si>
  <si>
    <t>सारसबाग, हंगामी फुले झाडे व बाग उद्यान हॉर्टीकल्चरविषयक कामे करणे</t>
  </si>
  <si>
    <t>स्व.पु.ल.देशपांडे उद्यान येथे स्थापत्य/विद्युत विषयक कामे करणे</t>
  </si>
  <si>
    <t>उपआयुक्त क्र १ अंतर्गत घोलेरोड क्षेत्रिय कार्यालयामधील विविध उद्यानात स्थापत्य/हॉर्टिकल्चर/विद्युतविषयक सुधारणा कामे करणे</t>
  </si>
  <si>
    <t>उपआयुक्त क्र १ अंतर्गत कोथरुड क्षेत्रिय कार्यालयामधील  विविध उद्यानात स्थापत्य/हॉर्टिकल्चर/विद्युतविषयक सुधारणा कामे करणे</t>
  </si>
  <si>
    <t>उपआयुक्त क्र १ अंतर्गत वारजे कर्वेनगर क्षेत्रिय कार्यालयामधील  विविध उद्यानात स्थापत्य/हॉर्टिकल्चर/विद्युतविषयक सुधारणा कामे करणे</t>
  </si>
  <si>
    <t>उपआयुक्त क्र २ अंतर्गत ढोले पाटील क्षेत्रिय कार्यालयामधील  विविध उद्यानात स्थापत्य/हॉर्टिकल्चर/विद्युतविषयक सुधारणा कामे करणे</t>
  </si>
  <si>
    <t>उपआयुक्त क्र २ अंतर्गत नगररोड-वडगाव शेरी क्षेत्रिय कार्यालयामधील  विविध उद्यानात स्थापत्य/हॉर्टिकल्चर/विद्युतविषयक सुधारणा कामे करणे</t>
  </si>
  <si>
    <t>उपआयुक्त क्र २ अंतर्गत संगमवाडी-येरवडा क्षेत्रिय कार्यालयामधील  विविध उद्यानात स्थापत्य/हॉर्टिकल्चर/विद्युतविषयक सुधारणा कामे करणे</t>
  </si>
  <si>
    <t>उपआयुक्त क्र ३ अंतर्गत भवानी पेठ क्षेत्रिय कार्यालयामधील  विविध उद्यानात स्थापत्य/हॉर्टिकल्चर/विद्युतविषयक सुधारणा कामे करणे</t>
  </si>
  <si>
    <t>उपआयुक्त क्र ३ अंतर्गत विश्रामबागवाडा क्षेत्रिय कार्यालयामधील  विविध उद्यानात स्थापत्य/हॉर्टिकल्चर/विद्युतविषयक सुधारणा कामे करणे</t>
  </si>
  <si>
    <t>उपआयुक्त क्र ३ अंतर्गत सहकारनगर क्षेत्रिय कार्यालयामधील  विविध उद्यानात स्थापत्य/हॉर्टिकल्चर/विद्युतविषयक सुधारणा कामे करणे</t>
  </si>
  <si>
    <t>उपआयुक्त क्र ३ अंतर्गत टिळकरोड क्षेत्रिय कार्यालयामधील  विविध उद्यानात स्थापत्य/हॉर्टिकल्चर/विद्युतविषयक सुधारणा कामे करणे</t>
  </si>
  <si>
    <t>उपआयुक्त क्र ४ अंतर्गत हडपसर क्षेत्रिय कार्यालयामधील  विविध उद्यानात स्थापत्य/हॉर्टिकल्चर/विद्युतविषयक सुधारणा कामे करणे</t>
  </si>
  <si>
    <t>उपआयुक्त क्र ४ अंतर्गत बिबवेवाडी क्षेत्रिय कार्यालयामधील  विविध उद्यानात स्थापत्य/हॉर्टिकल्चर/विद्युतविषयक सुधारणा कामे करणे</t>
  </si>
  <si>
    <t>उपआयुक्त क्र ४ अंतर्गत कोंढवा-वानवडी क्षेत्रिय कार्यालयामधील  विविध उद्यानात स्थापत्य/हॉर्टिकल्चर/विद्युतविषयक सुधारणा कामे करणे</t>
  </si>
  <si>
    <t>उपआयुक्त क्र ४ अंतर्गत धनकवडी क्षेत्रिय कार्यालयामधील  विविध उद्यानात स्थापत्य/हॉर्टिकल्चर/विद्युतविषयक सुधारणा कामे करणे</t>
  </si>
  <si>
    <t>पुणे महानगरपालिकेच्या विविध उद्यानात विुत विषयक कामे करणे</t>
  </si>
  <si>
    <t>उपआयुक्त क्र १ अंतर्गत औंध क्षेत्रिय कार्यालयामधील विविध उद्यानात स्थापत्य/हॉर्टिकल्चर/विद्युतविषयक सुधारणा कामे करणे</t>
  </si>
  <si>
    <t>CE26A396/SU1-108+</t>
  </si>
  <si>
    <t>वडगाव बु धायरी सनसिटी परिसरात उदयान विकसित करणे</t>
  </si>
  <si>
    <t>पुणे शहरात तंत्रशुध्द पध्दतीने पाणीपुरवठा करण्याची योजना (24x7) अनुदान</t>
  </si>
  <si>
    <t>पुणे शहरात तंत्रशुध्द पध्दतीने पाणीपुरवठा करण्याची योजना (24x7) कर्जरोखे विक्री</t>
  </si>
  <si>
    <t>C&amp;D Waste वर प्रक्रिया व व्यवस्थापण करणे</t>
  </si>
  <si>
    <t>C&amp;D Waste गोळा करून वाहतूक करणे</t>
  </si>
  <si>
    <t>Waste Park उभारणे</t>
  </si>
  <si>
    <t>थेट खरेदी पद्धतीने 800 बसेस खरेदी करणे (पुणे मनपा हिस्सा : 60%)</t>
  </si>
  <si>
    <t>स.क्र.१३७/१, पाषाण येथे महिला भवन बांधणे</t>
  </si>
  <si>
    <t>सातारा रोड बीआरटी मार्ग विकसित करणे</t>
  </si>
  <si>
    <t>सोलापुर रोड बीआरटी मार्ग विकसित करणे</t>
  </si>
  <si>
    <t>सार्वजनिक वाहतुकीसाठी पुणे मनपा, कर्वे रोड, पौड रोड, कोथरुड (कुंबेरपार्क), बिबवेवाडी, वाघोली व इतर उपलब्ध जागेवर टर्मिनल व इतर अनुषंगिक कामे करणे</t>
  </si>
  <si>
    <t>यादी क्र. R1</t>
  </si>
  <si>
    <t>यादी क्र. R2</t>
  </si>
  <si>
    <t>यादी क्र. R3</t>
  </si>
  <si>
    <t>यादी क्र. R4</t>
  </si>
  <si>
    <t>यादी क्र. R7</t>
  </si>
  <si>
    <t>यादी क्र. R8</t>
  </si>
  <si>
    <t>यादी क्र. R5</t>
  </si>
  <si>
    <t>यादी क्र. R12</t>
  </si>
  <si>
    <t>यादी क्र. R13</t>
  </si>
  <si>
    <t>यादी क्र. R14</t>
  </si>
  <si>
    <t xml:space="preserve">पुणे मनपा विस्तारित इमारतीसाठी नव्याने अग्निशामक यंत्रणा उभारणे </t>
  </si>
  <si>
    <t>पुणे शहरातील नदी नाल्यांमध्ये उघड्यावर वाहणारे मैलापाणी बंदिस्त नालीकेद्वारे नजीकच्या मैलापाणी शुद्धीकरण केंद्रापर्यंत वाहून नेणे व तद्‌नुषंगिक कामे करणे</t>
  </si>
  <si>
    <t xml:space="preserve">पुणे शहरातील रस्तायांवरील मुलांकरिता मोबाईल स्कुल सुरु करणे </t>
  </si>
  <si>
    <t>नागरी वाहतूक मंत्रालय विभागाअंतर्गत तयार होणा-या एकात्मिक सायकल योजनेसाठी सायकल मार्ग, स्टेशन्स, सल्लागार फी इ. करणे</t>
  </si>
  <si>
    <t>एकात्मिक सायकल योजना कार्यान्वित करणे</t>
  </si>
  <si>
    <t>पंपाचे स्पेअर पार्टस्‌ पुरविणे व बसविणे</t>
  </si>
  <si>
    <t>सॉफ्ट स्टार्टर, एच.टी. एल.टी.पॅनेल पुरविणे बसविणे</t>
  </si>
  <si>
    <t>स्टँडबाय पंप मोटर सेट, ब्रेकर, स्टार्टर पॅनेल पुरविणे</t>
  </si>
  <si>
    <t>पुणे शहरातील विविध जलकेंद्र व पंपिंग स्टेशन व टाक्या येथे सी.सी.टी.व्ही .बसविणे</t>
  </si>
  <si>
    <t>पुणे शहरातील विविध जलकेंद्र व पंपिंग स्टेशन येथे एच.टी.बे्रकर, पॅनेल, आर.एम.यु. पुरविणे व बसविणे</t>
  </si>
  <si>
    <t>बुस्टर पंपिंग यंत्रणा पुरविणे,बसविणे</t>
  </si>
  <si>
    <t>फिल्टर व केमिकल टाकया येथील विविध कामे करणे</t>
  </si>
  <si>
    <t>मुख्य इमारतीत रौप्य ग्रेडिंग मिळणेकरिता IGBC अंतर्गत मुख्य इमारतीत विविध विकासाची कामे करणे</t>
  </si>
  <si>
    <t>बाणेर परिसरामध्ये पुणे महानगरपालिकेच्या मालकीच्या जागेवर रोलबॉल खेळाकरिता क्रीडांगण विकसित करणे</t>
  </si>
  <si>
    <t>CE20A1249/SA6-179</t>
  </si>
  <si>
    <t>आर टी ओ ते आंबेडकर सेतु जाहगींर हॉस्पीटल</t>
  </si>
  <si>
    <t>सन 2016 - 2017 मधील कामे पुर्ण करणेसाठी व जुने देयकासाठी (पेडींग बिलासाठी)</t>
  </si>
  <si>
    <t>महापालिकेच्या शाळेत शिकणार्‍या विद्यार्थ्यांची ITI, AIEEE आणि NDA या शैक्षणिक अभ्यासक्रमासाठी निवड झाल्यास प्रत्येकी एक लाख रुपये शिष्यवृत्ती देणे</t>
  </si>
  <si>
    <t>पुणे महानगरपालिकेच्या माध्यमिक शाळेतील इ. ८ वी तील ५०० गुणवान विद्यार्थ्यांना MESC प्रशिक्षण</t>
  </si>
  <si>
    <t>२३. मनपा शाळेतील विद्यार्थ्यांना PMPML हद्दीपर्यंत PMPML ने सहल आयोजित करण्यासाठी</t>
  </si>
  <si>
    <t>२७. मनपा इयत्ता ५ वी ते १० वी च्या विद्यार्थ्यांना मोफत PMPML सेवा</t>
  </si>
  <si>
    <t>पुणे महानगरपालिकेच्या माध्यमिक व उच्च माध्यमिक शाळांमधील विद्यार्थ्यांची तपासणी, पौष्टिक आहार व लस देणे</t>
  </si>
  <si>
    <t>अ. प्रतिबंधात्मक (Preventive)</t>
  </si>
  <si>
    <t>I.C.D.S. योजना</t>
  </si>
  <si>
    <t>ब. असांसर्गिक (Promotive)</t>
  </si>
  <si>
    <t>५. PCPNDT कायद्याची अंमलबजावणी करणेसाठी आवश्यक ती कामे करणे</t>
  </si>
  <si>
    <t>क. इलाजात्मक (Curative)</t>
  </si>
  <si>
    <t>१०. ठेकेदारी पध्दतीने नेमलेल्या सेवकवर्गाचे वेतन (Mosquito free city)</t>
  </si>
  <si>
    <t>शिवाजीनगर डेंगळे पूल ते झाशीची राणी चौक आणि घोलेरोड या रस्त्यावर रस्ता सुशोभीकरण व पादचारी व्यवस्थेच्या दृष्टीने कामकाज करणे</t>
  </si>
  <si>
    <t>हिंगणे वडगाव विश्रांतीनगर ते तुकार्इनगर 24 मी.डी.पी. रस्ता कॅनॉल व नाल्यावरील कल्व्हर्टसह रूंदीकरण व विकसीत करणे</t>
  </si>
  <si>
    <t>3,4</t>
  </si>
  <si>
    <t>पाटील इस्टेट  जंक्शन ते संगमवाडी   पर्यंत येथे रस्ता रुंदीकरण करणे, बीआरटी मार्ग विकसित करणे व इतर तद्‌नुषंगिक कामे करणे</t>
  </si>
  <si>
    <t>सिमला ऑफिस चौक ते राजीव गांधी पुल, औंध, गणेश खिंड रस्ता, येथे रस्ता रुंदीकरण करणे, बीआरटी मार्ग विकसित करणे व इतर तद्‌नुषंगिक कामे करणे</t>
  </si>
  <si>
    <t>पाटील इस्टेट जंक्शन ते हॅरिज ब्रीज पुणे-मुंबई रस्ता पर्यंत येथे रस्ता रुंदीकरण करणे, बीआरटी मार्ग विकसित करणे व इतर तद्‌नुषंगिक कामे करणे</t>
  </si>
  <si>
    <t>येरवडा सर्व्हे ऑफ इंडिया ते कॉमर झोन ते जेल वसाहतीमधून एअरपोर्टकडे जाणारा 20 मीटर डी.पी. रस्ता विकसित करणे</t>
  </si>
  <si>
    <t>क्षेत्रिय कार्यालय अंतर्गत नागरी सुविधाकेंद्र (CFC) प्रकल्पासाठी विविध विकासाची कामे करणे</t>
  </si>
  <si>
    <t>प्रभाग क्र.39अ गणेशपेठ घर क्र.444 येथे दुधभट्टी बांधणे</t>
  </si>
  <si>
    <t xml:space="preserve">पुणे महानगरपालिकेच्या मुख्य इमारत, 4 झोनल ऑफीसेस, सावरकर भवन व 15 क्षेत्रीय कार्यालयामधील स्वच्छतागृहे नूतनीकरण करणे    </t>
  </si>
  <si>
    <t>कोथरूड, बिबवेवाडी, स्वारगेट, कात्रज, पुणे स्टेशन, हडपसर, वाघोली या ठिकाणचे PMPML डेपोसाठी विविध सुधारणा कामे करणे</t>
  </si>
  <si>
    <t xml:space="preserve">मायक्रो ऑरगॅनिझम कम्पोस्टिंग प्रकल्प राबविणे </t>
  </si>
  <si>
    <t>CE27A241/SJ24-48</t>
  </si>
  <si>
    <t>प्र. क्र.६४अ मध्ये स.नं. ५८५ येथील क्रीडा संकुल व ग्राउंड विकसित करणे</t>
  </si>
  <si>
    <t>पठ्ठे बापूराव पुरस्कारकरिता</t>
  </si>
  <si>
    <t>१ ऑक्टोंबर - जागतिक ज्येष्ठ नागरिक दिनाच्या मेळाव्याकरता आच्छादित मंडप टाकणे व स्मृतिचिन्हे देणे</t>
  </si>
  <si>
    <t xml:space="preserve">यांत्रिक पध्दतीने रस्त्यांची सफाई करणे / इलेक्ट्रिक व्ह्याकुम रोड स्वीपिंग मशीन बिओटी / भाडे तत्वावर घेणे </t>
  </si>
  <si>
    <t>RE14B301/W5-201</t>
  </si>
  <si>
    <t>RE14B301/W5-202</t>
  </si>
  <si>
    <t>XE23A301/W7-301</t>
  </si>
  <si>
    <t>XE23A301/W7-302</t>
  </si>
  <si>
    <t>XE23A301/W7-303</t>
  </si>
  <si>
    <t>XE23A301/W7-304</t>
  </si>
  <si>
    <t>XE23A301/W7-305</t>
  </si>
  <si>
    <t>RE20A301/W2-402</t>
  </si>
  <si>
    <t>RE20A301/W2-403</t>
  </si>
  <si>
    <t>RE20A301/W2-404</t>
  </si>
  <si>
    <t>RE20A301/W2-405</t>
  </si>
  <si>
    <t>RE20A301/W2-406</t>
  </si>
  <si>
    <t>RE20A301/W2-407</t>
  </si>
  <si>
    <t>RE20A301/W2-408</t>
  </si>
  <si>
    <t>RE20A301/W2-409</t>
  </si>
  <si>
    <t>RE22C301/W4-201</t>
  </si>
  <si>
    <t>RE22C301/W4-202</t>
  </si>
  <si>
    <t>RE22C301/W4-203</t>
  </si>
  <si>
    <t>RE22C301/W4-204</t>
  </si>
  <si>
    <t>RE20C301/W1-302</t>
  </si>
  <si>
    <t>RE20C301/W1-303</t>
  </si>
  <si>
    <t>RE20C301/W1-304</t>
  </si>
  <si>
    <t>RE14B301/W5-203</t>
  </si>
  <si>
    <t>RE14B301/W5-204</t>
  </si>
  <si>
    <t>RE14B301/W5-205</t>
  </si>
  <si>
    <t>RE14B301/W5-206</t>
  </si>
  <si>
    <t>RE14B301/W5-207</t>
  </si>
  <si>
    <t>RE14B301/W5-208</t>
  </si>
  <si>
    <t>XE23A301/W7-306</t>
  </si>
  <si>
    <t>XE23A301/W7-307</t>
  </si>
  <si>
    <t>XE23A301/W7-308</t>
  </si>
  <si>
    <t>XE23A301/W7-309</t>
  </si>
  <si>
    <t>XE23A301/W7-310</t>
  </si>
  <si>
    <t>XE23A301/W7-311</t>
  </si>
  <si>
    <t>XE23A301/W7-312</t>
  </si>
  <si>
    <t>XE23A301/W7-313</t>
  </si>
  <si>
    <t>XE23A301/W7-314</t>
  </si>
  <si>
    <t>RE20A301/W2-410</t>
  </si>
  <si>
    <t>RE20A301/W2-411</t>
  </si>
  <si>
    <t>RE20A301/W2-412</t>
  </si>
  <si>
    <t>RE20A301/W2-413</t>
  </si>
  <si>
    <t>RE20A301/W2-414</t>
  </si>
  <si>
    <t>RE22C301/W4-205</t>
  </si>
  <si>
    <t>RE22C301/W4-206</t>
  </si>
  <si>
    <t>RE22C301/W4-207</t>
  </si>
  <si>
    <t>RE20C301/W1-305</t>
  </si>
  <si>
    <t>RE20C301/W1-306</t>
  </si>
  <si>
    <t>RE14B301/W5-209</t>
  </si>
  <si>
    <t>XE23A301/W7-315</t>
  </si>
  <si>
    <t>XE23A301/W7-316</t>
  </si>
  <si>
    <t>XE23A301/W7-317</t>
  </si>
  <si>
    <t>XE23A301/W7-318</t>
  </si>
  <si>
    <t>XE23A301/W7-319</t>
  </si>
  <si>
    <t>RE20A301/W2-415</t>
  </si>
  <si>
    <t>RE20A301/W2-416</t>
  </si>
  <si>
    <t>RE20A301/W2-417</t>
  </si>
  <si>
    <t>RE20A301/W2-418</t>
  </si>
  <si>
    <t>RE20A301/W2-419</t>
  </si>
  <si>
    <t>RE20A301/W2-420</t>
  </si>
  <si>
    <t>RE22C301/W4-208</t>
  </si>
  <si>
    <t>RE22C301/W4-209</t>
  </si>
  <si>
    <t>RE22C301/W4-210</t>
  </si>
  <si>
    <t>RE20C301/W1-307</t>
  </si>
  <si>
    <t>RE20C301/W1-308</t>
  </si>
  <si>
    <t>RE14B301/W5-210</t>
  </si>
  <si>
    <t>XE23A301/W7-320</t>
  </si>
  <si>
    <t>XE23A301/W7-321</t>
  </si>
  <si>
    <t>XE23A301/W7-322</t>
  </si>
  <si>
    <t>XE23A301/W7-323</t>
  </si>
  <si>
    <t>XE23A301/W7-324</t>
  </si>
  <si>
    <t>XE23A301/W7-325</t>
  </si>
  <si>
    <t>XE23A301/W7-326</t>
  </si>
  <si>
    <t>RE20A301/W2-421</t>
  </si>
  <si>
    <t>RE20A301/W2-422</t>
  </si>
  <si>
    <t>RE20A301/W2-423</t>
  </si>
  <si>
    <t>RE20A301/W2-424</t>
  </si>
  <si>
    <t>RE20A301/W2-425</t>
  </si>
  <si>
    <t>RE20A301/W2-426</t>
  </si>
  <si>
    <t>RE20A301/W2-427</t>
  </si>
  <si>
    <t>RE20A301/W2-428</t>
  </si>
  <si>
    <t>RE22C301/W4-211</t>
  </si>
  <si>
    <t>RE22C301/W4-212</t>
  </si>
  <si>
    <t>RE22C301/W4-213</t>
  </si>
  <si>
    <t>RE20C301/W1-309</t>
  </si>
  <si>
    <t>RE20C301/W1-310</t>
  </si>
  <si>
    <t>RE14B301/W5-211</t>
  </si>
  <si>
    <t>XE23A301/W7-327</t>
  </si>
  <si>
    <t>XE23A301/W7-328</t>
  </si>
  <si>
    <t>XE23A301/W7-329</t>
  </si>
  <si>
    <t>RE14B301/W5-212</t>
  </si>
  <si>
    <t>XE23A301/W7-330</t>
  </si>
  <si>
    <t>XE23A301/W7-331</t>
  </si>
  <si>
    <t>RE20A301/W2-429</t>
  </si>
  <si>
    <t>RE20A301/W2-430</t>
  </si>
  <si>
    <t>RE20A301/W2-431</t>
  </si>
  <si>
    <t>RE20A301/W2-432</t>
  </si>
  <si>
    <t>RE20A301/W2-433</t>
  </si>
  <si>
    <t>RE20A301/W2-434</t>
  </si>
  <si>
    <t>RE20A301/W2-435</t>
  </si>
  <si>
    <t>RE20A301/W2-436</t>
  </si>
  <si>
    <t>RE20A301/W2-437</t>
  </si>
  <si>
    <t>RE20A301/W2-438</t>
  </si>
  <si>
    <t>RE20A301/W2-439</t>
  </si>
  <si>
    <t>RE20A301/W2-440</t>
  </si>
  <si>
    <t>RE20A301/W2-441</t>
  </si>
  <si>
    <t>RE20A301/W2-442</t>
  </si>
  <si>
    <t>RE22C301/W4-214</t>
  </si>
  <si>
    <t>RE22C301/W4-215</t>
  </si>
  <si>
    <t>RE20C301/W1-311</t>
  </si>
  <si>
    <t>RE20C301/W1-312</t>
  </si>
  <si>
    <t>RE20A301/W2-443</t>
  </si>
  <si>
    <t>RE20A301/W2-444</t>
  </si>
  <si>
    <t>XE23A301/W7-332</t>
  </si>
  <si>
    <t>XE23A301/W7-333</t>
  </si>
  <si>
    <t>XE23A301/W7-334</t>
  </si>
  <si>
    <t>XE23A301/W7-335</t>
  </si>
  <si>
    <t>XE23A301/W7-336</t>
  </si>
  <si>
    <t>RE22C301/W4-216</t>
  </si>
  <si>
    <t>RE20C301/W1-313</t>
  </si>
  <si>
    <t>RE20C301/W1-314</t>
  </si>
  <si>
    <t>RE14B301/W5-213</t>
  </si>
  <si>
    <t>XE23A301/W7-337</t>
  </si>
  <si>
    <t>RE22C301/W4-217</t>
  </si>
  <si>
    <t>RE14B301/W5-214</t>
  </si>
  <si>
    <t>XE23A301/W7-338</t>
  </si>
  <si>
    <t>RE22C301/W4-218</t>
  </si>
  <si>
    <t>RE22C301/W4-219</t>
  </si>
  <si>
    <t>XE23A301/W7-339</t>
  </si>
  <si>
    <t>RE14B301/W5-215</t>
  </si>
  <si>
    <t>RE20C301/W1-315</t>
  </si>
  <si>
    <t>RE20A301/W2-445</t>
  </si>
  <si>
    <t>XE23A301/W7-340</t>
  </si>
  <si>
    <t>RE22C301/W4-220</t>
  </si>
  <si>
    <t>RE14B301/W5-216</t>
  </si>
  <si>
    <t>RE20C301/W1-316</t>
  </si>
  <si>
    <t>RE20A301/W2-446</t>
  </si>
  <si>
    <t>RE20A301/W2-447</t>
  </si>
  <si>
    <t>RE20A301/W2-448</t>
  </si>
  <si>
    <t>XE23A301/W7-341</t>
  </si>
  <si>
    <t>XE23A301/W7-342</t>
  </si>
  <si>
    <t>XE23A301/W7-343</t>
  </si>
  <si>
    <t>RE22C301/W4-221</t>
  </si>
  <si>
    <t>RE20C301/W1-317</t>
  </si>
  <si>
    <t>RE20A301/W2-449</t>
  </si>
  <si>
    <t>RE20A301/W2-450</t>
  </si>
  <si>
    <t>RE20A301/W2-451</t>
  </si>
  <si>
    <t>RE20A301/W2-452</t>
  </si>
  <si>
    <t>RE20A301/W2-453</t>
  </si>
  <si>
    <t>XE23A301/W7-344</t>
  </si>
  <si>
    <t>XE23A301/W7-345</t>
  </si>
  <si>
    <t>RE22C301/W4-222</t>
  </si>
  <si>
    <t>RE14B301/W5-217</t>
  </si>
  <si>
    <t>RE20C301/W1-318</t>
  </si>
  <si>
    <t>RE20C301/W1-319</t>
  </si>
  <si>
    <t>RE20A301/W2-454</t>
  </si>
  <si>
    <t>RE20A301/W2-455</t>
  </si>
  <si>
    <t>RE20A301/W2-456</t>
  </si>
  <si>
    <t>RE20A301/W2-457</t>
  </si>
  <si>
    <t>RE20A301/W2-458</t>
  </si>
  <si>
    <t>XE23A301/W7-346</t>
  </si>
  <si>
    <t>XE23A301/W7-347</t>
  </si>
  <si>
    <t>RE22C301/W4-223</t>
  </si>
  <si>
    <t>RE14B301/W5-218</t>
  </si>
  <si>
    <t>RE20C301/W1-320</t>
  </si>
  <si>
    <t>RE20C301/W1-321</t>
  </si>
  <si>
    <t>RE14B301/W5-219</t>
  </si>
  <si>
    <t>RE14B301/W5-220</t>
  </si>
  <si>
    <t>XE23A301/W7-348</t>
  </si>
  <si>
    <t>XE23A301/W7-349</t>
  </si>
  <si>
    <t>RE14B301/W5-221</t>
  </si>
  <si>
    <t>RE14B301/W5-222</t>
  </si>
  <si>
    <t>XE23A301/W7-350</t>
  </si>
  <si>
    <t>XE23A301/W7-351</t>
  </si>
  <si>
    <t>XE23A301/W7-352</t>
  </si>
  <si>
    <t>RE20A301/W2-459</t>
  </si>
  <si>
    <t>RE22C301/W4-224</t>
  </si>
  <si>
    <t>RE22C301/W4-225</t>
  </si>
  <si>
    <t>RE20A301/W2-460</t>
  </si>
  <si>
    <t>RE20A301/W2-461</t>
  </si>
  <si>
    <t>RE20A301/W2-462</t>
  </si>
  <si>
    <t>RE14B301/W5-223</t>
  </si>
  <si>
    <t>RE20C301/W1-322</t>
  </si>
  <si>
    <t>RE20C301/W1-323</t>
  </si>
  <si>
    <t>RE20C301/W1-324</t>
  </si>
  <si>
    <t>RE20C301/W1-325</t>
  </si>
  <si>
    <t>RE20C301/W1-326</t>
  </si>
  <si>
    <t>RE20A301/W2-463</t>
  </si>
  <si>
    <t>RE20A301/W2-464</t>
  </si>
  <si>
    <t>RE20A301/W2-465</t>
  </si>
  <si>
    <t>XE23A301/W7-353</t>
  </si>
  <si>
    <t>XE23A301/W7-354</t>
  </si>
  <si>
    <t>XE23A301/W7-355</t>
  </si>
  <si>
    <t>RE22C301/W4-226</t>
  </si>
  <si>
    <t>RE22C301/W4-227</t>
  </si>
  <si>
    <t>RE14B301/W5-224</t>
  </si>
  <si>
    <t>RE20A301/W2-466</t>
  </si>
  <si>
    <t>RE20A301/W2-467</t>
  </si>
  <si>
    <t>RE20A301/W2-468</t>
  </si>
  <si>
    <t>RE20A301/W2-469</t>
  </si>
  <si>
    <t>RE20C301/W1-327</t>
  </si>
  <si>
    <t>RE20C301/W1-328</t>
  </si>
  <si>
    <t>RE22C301/W4-228</t>
  </si>
  <si>
    <t>RE22C301/W4-229</t>
  </si>
  <si>
    <t>RE22C301/W4-230</t>
  </si>
  <si>
    <t>RE20A301/W2-470</t>
  </si>
  <si>
    <t>RE20A301/W2-471</t>
  </si>
  <si>
    <t>XE23A301/W7-356</t>
  </si>
  <si>
    <t>XE23A301/W7-357</t>
  </si>
  <si>
    <t>RE14B301/W5-225</t>
  </si>
  <si>
    <t>RE14B301/W5-226</t>
  </si>
  <si>
    <t>RE14B301/W5-227</t>
  </si>
  <si>
    <t>RE22C301/W4-231</t>
  </si>
  <si>
    <t>XE23A301/W7-358</t>
  </si>
  <si>
    <t>RE14B301/W5-228</t>
  </si>
  <si>
    <t>RE14B301/W5-229</t>
  </si>
  <si>
    <t>RE20C301/W1-329</t>
  </si>
  <si>
    <t>RE20C301/W1-330</t>
  </si>
  <si>
    <t>RE20C301/W1-331</t>
  </si>
  <si>
    <t>RE20C301/W1-332</t>
  </si>
  <si>
    <t>RE14B301/W5-230</t>
  </si>
  <si>
    <t>RE22C301/W4-232</t>
  </si>
  <si>
    <t>RE20A301/W2-472</t>
  </si>
  <si>
    <t>RE20A301/W2-473</t>
  </si>
  <si>
    <t>XE23A301/W7-359</t>
  </si>
  <si>
    <t>RE14B301/W5-231</t>
  </si>
  <si>
    <t>RE20A301/W2-474</t>
  </si>
  <si>
    <t>RE20A301/W2-475</t>
  </si>
  <si>
    <t>RE20A301/W2-476</t>
  </si>
  <si>
    <t>RE20A301/W2-477</t>
  </si>
  <si>
    <t>RE22C301/W4-233</t>
  </si>
  <si>
    <t>XE23A301/W7-360</t>
  </si>
  <si>
    <t>RE20A301/W2-478</t>
  </si>
  <si>
    <t>RE20A301/W2-479</t>
  </si>
  <si>
    <t>RE20A301/W2-480</t>
  </si>
  <si>
    <t>RE14B301/W5-232</t>
  </si>
  <si>
    <t>XE23A301/W7-361</t>
  </si>
  <si>
    <t>RE20C301/W1-333</t>
  </si>
  <si>
    <t>RE20C301/W1-334</t>
  </si>
  <si>
    <t>RE20C301/W1-335</t>
  </si>
  <si>
    <t>RE22C301/W4-234</t>
  </si>
  <si>
    <t>RE20A301/W2-481</t>
  </si>
  <si>
    <t>XE23A301/W7-362</t>
  </si>
  <si>
    <t>RE20A301/W2-482</t>
  </si>
  <si>
    <t>RE14B301/W5-233</t>
  </si>
  <si>
    <t>RE22C301/W4-235</t>
  </si>
  <si>
    <t>RE14B301/W5-234</t>
  </si>
  <si>
    <t>RE14B301/W5-235</t>
  </si>
  <si>
    <t>RE20C301/W1-336</t>
  </si>
  <si>
    <t>RE20C301/W1-337</t>
  </si>
  <si>
    <t>RE20C301/W1-338</t>
  </si>
  <si>
    <t>RE20C301/W1-339</t>
  </si>
  <si>
    <t>RE20C301/W1-340</t>
  </si>
  <si>
    <t>RE20C301/W1-341</t>
  </si>
  <si>
    <t>RE22C301/W4-236</t>
  </si>
  <si>
    <t>RE22C301/W4-237</t>
  </si>
  <si>
    <t>RE20A301/W2-483</t>
  </si>
  <si>
    <t>XE23A301/W7-363</t>
  </si>
  <si>
    <t>XE23A301/W7-364</t>
  </si>
  <si>
    <t>RE20A301/W2-484</t>
  </si>
  <si>
    <t>RE20A301/W2-485</t>
  </si>
  <si>
    <t>RE14B301/W5-236</t>
  </si>
  <si>
    <t>RE20A301/W2-486</t>
  </si>
  <si>
    <t>RE20A301/W2-487</t>
  </si>
  <si>
    <t>RE20A301/W2-488</t>
  </si>
  <si>
    <t>RE20A301/W2-489</t>
  </si>
  <si>
    <t>RE20A301/W2-490</t>
  </si>
  <si>
    <t>RE14B301/W5-237</t>
  </si>
  <si>
    <t>RE20C301/W1-301</t>
  </si>
  <si>
    <t>RE20C301/W1-342</t>
  </si>
  <si>
    <t>RE20C301/W1-343</t>
  </si>
  <si>
    <t>RE20C301/W1-344</t>
  </si>
  <si>
    <t>RE20A301/W2-491</t>
  </si>
  <si>
    <t>RE20A301/W2-492</t>
  </si>
  <si>
    <t>XE23A301/W7-365</t>
  </si>
  <si>
    <t>RE20C301/W1-345</t>
  </si>
  <si>
    <t>RE20C301/W1-346</t>
  </si>
  <si>
    <t>RE20A301/W2-493</t>
  </si>
  <si>
    <t>RE20A301/W2-494</t>
  </si>
  <si>
    <t>XE23A301/W7-366</t>
  </si>
  <si>
    <t>RE20C301/W1-347</t>
  </si>
  <si>
    <t>XE23A301/W7-367</t>
  </si>
  <si>
    <t>XE23A301/W7-368</t>
  </si>
  <si>
    <t>XE23A301/W7-369</t>
  </si>
  <si>
    <t>RE20A301/W2-495</t>
  </si>
  <si>
    <t>XE23A301/W7-370</t>
  </si>
  <si>
    <t>RE20A301/W2-496</t>
  </si>
  <si>
    <t>XE23A301/W7-371</t>
  </si>
  <si>
    <t>XE23A301/W7-372</t>
  </si>
  <si>
    <t>XE23A301/W7-373</t>
  </si>
  <si>
    <t>RE20C301/W1-348</t>
  </si>
  <si>
    <t>RE20A301/W2-497</t>
  </si>
  <si>
    <t>RE20A301/W2-498</t>
  </si>
  <si>
    <t>RE20A301/W2-499</t>
  </si>
  <si>
    <t>XE23A301/W7-374</t>
  </si>
  <si>
    <t>RE20C301/W1-349</t>
  </si>
  <si>
    <t>RE20C301/W1-350</t>
  </si>
  <si>
    <t>RE22C301/W4-238</t>
  </si>
  <si>
    <t>RE20C301/W1-351</t>
  </si>
  <si>
    <t>RE20A301/W2-500</t>
  </si>
  <si>
    <t>XE23A301/W7-375</t>
  </si>
  <si>
    <t>RE20A301/W2-501</t>
  </si>
  <si>
    <t>RE14B301/W5-238</t>
  </si>
  <si>
    <t>RE14B301/W5-239</t>
  </si>
  <si>
    <t>RE20A301/W2-502</t>
  </si>
  <si>
    <t>RE22C301/W4-239</t>
  </si>
  <si>
    <t>XE23A301/W7-376</t>
  </si>
  <si>
    <t>XE23A301/W7-377</t>
  </si>
  <si>
    <t>XE23A301/W7-378</t>
  </si>
  <si>
    <t>RE20A301/W2-503</t>
  </si>
  <si>
    <t>XE23A301/W7-379</t>
  </si>
  <si>
    <t>RE20A301/W2-504</t>
  </si>
  <si>
    <t>RE20A301/W2-505</t>
  </si>
  <si>
    <t>RE14B301/W5-240</t>
  </si>
  <si>
    <t>RE22C301/W4-240</t>
  </si>
  <si>
    <t>XE23A301/W7-380</t>
  </si>
  <si>
    <t>RE20A301/W2-506</t>
  </si>
  <si>
    <t>RE20A301/W2-507</t>
  </si>
  <si>
    <t>XE23A301/W7-381</t>
  </si>
  <si>
    <t>RE20C301/W1-352</t>
  </si>
  <si>
    <t>RE20A301/W2-508</t>
  </si>
  <si>
    <t>XE23A301/W7-382</t>
  </si>
  <si>
    <t>XE23A301/W7-383</t>
  </si>
  <si>
    <t>RE20A301/W2-509</t>
  </si>
  <si>
    <t>RE20A301/W2-510</t>
  </si>
  <si>
    <t>RE20C301/W1-353</t>
  </si>
  <si>
    <t>RE20A301/W2-511</t>
  </si>
  <si>
    <t>RE20C301/W1-354</t>
  </si>
  <si>
    <t>RE20C301/W1-355</t>
  </si>
  <si>
    <t>XE23A301/W7-384</t>
  </si>
  <si>
    <t>XE23A301/W7-385</t>
  </si>
  <si>
    <t>XE23A301/W7-386</t>
  </si>
  <si>
    <t>RE14B301/W5-241</t>
  </si>
  <si>
    <t>RE14B301/W5-242</t>
  </si>
  <si>
    <t>RE14B301/W5-243</t>
  </si>
  <si>
    <t>XE23A301/W7-387</t>
  </si>
  <si>
    <t>XE23A301/W7-388</t>
  </si>
  <si>
    <t>RE20A301/W2-512</t>
  </si>
  <si>
    <t>RE20A301/W2-513</t>
  </si>
  <si>
    <t>RE22C301/W4-241</t>
  </si>
  <si>
    <t>RE20A301/W2-514</t>
  </si>
  <si>
    <t>RE20A301/W2-515</t>
  </si>
  <si>
    <t>RE20A301/W2-516</t>
  </si>
  <si>
    <t>RE20A301/W2-517</t>
  </si>
  <si>
    <t>RE20A301/W2-518</t>
  </si>
  <si>
    <t>RE20C301/W1-356</t>
  </si>
  <si>
    <t>RE22C301/W4-242</t>
  </si>
  <si>
    <t>RE22C301/W4-243</t>
  </si>
  <si>
    <t>RE22C301/W4-244</t>
  </si>
  <si>
    <t>RE22C301/W4-245</t>
  </si>
  <si>
    <t>RE22C301/W4-246</t>
  </si>
  <si>
    <t>RE22C301/W4-247</t>
  </si>
  <si>
    <t>RE20A301/W2-519</t>
  </si>
  <si>
    <t>RE20A301/W2-520</t>
  </si>
  <si>
    <t>RE20A301/W2-521</t>
  </si>
  <si>
    <t>RE20A301/W2-522</t>
  </si>
  <si>
    <t>XE23A301/W7-389</t>
  </si>
  <si>
    <t>RE14B301/W5-244</t>
  </si>
  <si>
    <t>RE14B301/W5-245</t>
  </si>
  <si>
    <t>RE20C301/W1-357</t>
  </si>
  <si>
    <t>RE22C301/W4-248</t>
  </si>
  <si>
    <t>XE23A301/W7-390</t>
  </si>
  <si>
    <t>XE23A301/W7-391</t>
  </si>
  <si>
    <t>RE14B301/W5-246</t>
  </si>
  <si>
    <t>RE22C301/W4-249</t>
  </si>
  <si>
    <t>RE22C301/W4-250</t>
  </si>
  <si>
    <t>RE14B301/W5-247</t>
  </si>
  <si>
    <t>XE23A301/W7-392</t>
  </si>
  <si>
    <t>RE14B301/W5-248</t>
  </si>
  <si>
    <t>RE14B301/W5-249</t>
  </si>
  <si>
    <t>RE22C301/W4-251</t>
  </si>
  <si>
    <t>RE22C301/W4-252</t>
  </si>
  <si>
    <t>RE20C301/W1-358</t>
  </si>
  <si>
    <t>RE20C301/W1-359</t>
  </si>
  <si>
    <t>RE20C301/W1-360</t>
  </si>
  <si>
    <t>RE20C301/W1-361</t>
  </si>
  <si>
    <t>RE22C301/W4-253</t>
  </si>
  <si>
    <t>XE23A301/W7-393</t>
  </si>
  <si>
    <t>RE20A301/W2-523</t>
  </si>
  <si>
    <t>RE14B301/W5-250</t>
  </si>
  <si>
    <t>XE23A301/W7-394</t>
  </si>
  <si>
    <t>RE22C301/W4-254</t>
  </si>
  <si>
    <t>RE22C301/W4-255</t>
  </si>
  <si>
    <t>XE23A301/W7-395</t>
  </si>
  <si>
    <t>RE20C301/W1-362</t>
  </si>
  <si>
    <t>XE23A301/W7-396</t>
  </si>
  <si>
    <t>RE20A301/W2-524</t>
  </si>
  <si>
    <t>XE23A301/W7-397</t>
  </si>
  <si>
    <t>RE14B301/W5-251</t>
  </si>
  <si>
    <t>XE23A301/W7-398</t>
  </si>
  <si>
    <t>RE20C301/W1-363</t>
  </si>
  <si>
    <t>XE23A301/W7-399</t>
  </si>
  <si>
    <t>RE20A301/W2-525</t>
  </si>
  <si>
    <t>XE23A301/W7-400</t>
  </si>
  <si>
    <t>XE23A301/W7-401</t>
  </si>
  <si>
    <t>RE20C301/W1-364</t>
  </si>
  <si>
    <t>RE22C301/W4-256</t>
  </si>
  <si>
    <t>RE22C301/W4-257</t>
  </si>
  <si>
    <t>XE23A301/W7-402</t>
  </si>
  <si>
    <t>XE23A301/W7-403</t>
  </si>
  <si>
    <t>RE20A301/W2-526</t>
  </si>
  <si>
    <t>RE20A301/W2-527</t>
  </si>
  <si>
    <t>RE20A301/W2-528</t>
  </si>
  <si>
    <t>RE20A301/W2-529</t>
  </si>
  <si>
    <t>RE22C301/W4-258</t>
  </si>
  <si>
    <t>RE22C301/W4-259</t>
  </si>
  <si>
    <t>RE14B301/W5-252</t>
  </si>
  <si>
    <t>RE14B301/W5-253</t>
  </si>
  <si>
    <t>RE22C301/W4-260</t>
  </si>
  <si>
    <t>RE20C301/W1-365</t>
  </si>
  <si>
    <t>RE22C301/W4-261</t>
  </si>
  <si>
    <t>XE23A301/W7-404</t>
  </si>
  <si>
    <t>XE23A301/W7-405</t>
  </si>
  <si>
    <t>XE23A301/W7-406</t>
  </si>
  <si>
    <t>XE23A301/W7-407</t>
  </si>
  <si>
    <t>XE23A301/W7-408</t>
  </si>
  <si>
    <t>XE23A301/W7-409</t>
  </si>
  <si>
    <t>RE22C301/W4-262</t>
  </si>
  <si>
    <t>RE22C301/W4-263</t>
  </si>
  <si>
    <t>RE20A301/W2-530</t>
  </si>
  <si>
    <t>RE20A301/W2-531</t>
  </si>
  <si>
    <t>RE20A301/W2-532</t>
  </si>
  <si>
    <t>RE20C301/W1-366</t>
  </si>
  <si>
    <t>RE20A301/W2-533</t>
  </si>
  <si>
    <t>XE23A301/W7-410</t>
  </si>
  <si>
    <t>RE14B301/W5-254</t>
  </si>
  <si>
    <t>RE20A301/W2-534</t>
  </si>
  <si>
    <t>RE20A301/W2-535</t>
  </si>
  <si>
    <t>RE20A301/W2-536</t>
  </si>
  <si>
    <t>RE20A301/W2-537</t>
  </si>
  <si>
    <t>RE22C301/W4-264</t>
  </si>
  <si>
    <t>RE20A301/W2-538</t>
  </si>
  <si>
    <t>RE20C301/W1-367</t>
  </si>
  <si>
    <t>RE20A301/W2-539</t>
  </si>
  <si>
    <t>RE20A301/W2-540</t>
  </si>
  <si>
    <t>XE23A301/W7-411</t>
  </si>
  <si>
    <t>RE20A301/W2-541</t>
  </si>
  <si>
    <t>RE14B301/W5-255</t>
  </si>
  <si>
    <t>RE20A301/W2-542</t>
  </si>
  <si>
    <t>XE23A301/W7-412</t>
  </si>
  <si>
    <t>XE23A301/W7-413</t>
  </si>
  <si>
    <t>RE22C301/W4-265</t>
  </si>
  <si>
    <t>RE20A301/W2-543</t>
  </si>
  <si>
    <t>RE20A301/W2-544</t>
  </si>
  <si>
    <t>RE20A301/W2-545</t>
  </si>
  <si>
    <t>XE23A301/W7-414</t>
  </si>
  <si>
    <t>RE14B301/W5-256</t>
  </si>
  <si>
    <t>RE20A301/W2-546</t>
  </si>
  <si>
    <t>RE20A301/W2-547</t>
  </si>
  <si>
    <t>XE23A301/W7-415</t>
  </si>
  <si>
    <t>RE20C301/W1-368</t>
  </si>
  <si>
    <t>RE20A301/W2-548</t>
  </si>
  <si>
    <t>XE23A301/W7-416</t>
  </si>
  <si>
    <t>XE23A301/W7-417</t>
  </si>
  <si>
    <t>RE22C301/W4-266</t>
  </si>
  <si>
    <t>RE20A301/W2-549</t>
  </si>
  <si>
    <t>RE20A301/W2-550</t>
  </si>
  <si>
    <t>RE20A301/W2-551</t>
  </si>
  <si>
    <t>XE23A301/W7-418</t>
  </si>
  <si>
    <t>XE23A301/W7-419</t>
  </si>
  <si>
    <t>RE20A301/W2-552</t>
  </si>
  <si>
    <t>RE20A301/W2-553</t>
  </si>
  <si>
    <t>XE23A301/W7-420</t>
  </si>
  <si>
    <t>RE20C301/W1-369</t>
  </si>
  <si>
    <t>RE14B301/W5-257</t>
  </si>
  <si>
    <t>RE14B301/W5-258</t>
  </si>
  <si>
    <t>RE20A301/W2-554</t>
  </si>
  <si>
    <t>XE23A301/W7-421</t>
  </si>
  <si>
    <t>XE23A301/W7-422</t>
  </si>
  <si>
    <t>XE23A301/W7-423</t>
  </si>
  <si>
    <t>RE20A301/W2-555</t>
  </si>
  <si>
    <t>RE20A301/W2-556</t>
  </si>
  <si>
    <t>RE22C301/W4-267</t>
  </si>
  <si>
    <t>RE20A301/W2-557</t>
  </si>
  <si>
    <t>RE22C301/W4-268</t>
  </si>
  <si>
    <t>RE20C301/W1-370</t>
  </si>
  <si>
    <t>RE20A301/W2-558</t>
  </si>
  <si>
    <t>RE20A301/W2-559</t>
  </si>
  <si>
    <t>RE20A301/W2-560</t>
  </si>
  <si>
    <t>XE23A301/W7-424</t>
  </si>
  <si>
    <t>XE23A301/W7-425</t>
  </si>
  <si>
    <t>XE23A301/W7-426</t>
  </si>
  <si>
    <t>XE23A301/W7-427</t>
  </si>
  <si>
    <t>RE20A301/W2-561</t>
  </si>
  <si>
    <t>RE20C301/W1-371</t>
  </si>
  <si>
    <t>RE20A301/W2-562</t>
  </si>
  <si>
    <t>RE20A301/W2-563</t>
  </si>
  <si>
    <t>XE23A301/W7-428</t>
  </si>
  <si>
    <t>XE23A301/W7-429</t>
  </si>
  <si>
    <t>RE14B301/W5-259</t>
  </si>
  <si>
    <t>RE20C301/W1-372</t>
  </si>
  <si>
    <t>RE20C301/W1-373</t>
  </si>
  <si>
    <t>RE20C301/W1-374</t>
  </si>
  <si>
    <t>RE20C301/W1-375</t>
  </si>
  <si>
    <t>RE22C301/W4-269</t>
  </si>
  <si>
    <t>RE22C301/W4-270</t>
  </si>
  <si>
    <t>RE22C301/W4-271</t>
  </si>
  <si>
    <t>RE22C301/W4-272</t>
  </si>
  <si>
    <t>XE23A301/W7-430</t>
  </si>
  <si>
    <t>RE20A301/W2-564</t>
  </si>
  <si>
    <t>RE22C301/W4-273</t>
  </si>
  <si>
    <t>XE23A301/W7-431</t>
  </si>
  <si>
    <t>RE20C301/W1-376</t>
  </si>
  <si>
    <t>RE20C301/W1-377</t>
  </si>
  <si>
    <t>RE20C301/W1-378</t>
  </si>
  <si>
    <t>RE20C301/W1-379</t>
  </si>
  <si>
    <t>RE20A301/W2-565</t>
  </si>
  <si>
    <t>XE23A301/W7-432</t>
  </si>
  <si>
    <t>RE22C301/W4-274</t>
  </si>
  <si>
    <t>XE23A301/W7-433</t>
  </si>
  <si>
    <t>RE14B301/W5-260</t>
  </si>
  <si>
    <t>XE23A301/W7-434</t>
  </si>
  <si>
    <t>RE20A301/W2-566</t>
  </si>
  <si>
    <t>XE23A301/W7-435</t>
  </si>
  <si>
    <t>RE20A301/W2-567</t>
  </si>
  <si>
    <t>RE20C301/W1-380</t>
  </si>
  <si>
    <t>RE20C301/W1-381</t>
  </si>
  <si>
    <t>RE20C301/W1-382</t>
  </si>
  <si>
    <t>RE20C301/W1-383</t>
  </si>
  <si>
    <t>XE23A301/W7-436</t>
  </si>
  <si>
    <t>XE23A301/W7-437</t>
  </si>
  <si>
    <t>RE20A301/W2-568</t>
  </si>
  <si>
    <t>RE20A301/W2-569</t>
  </si>
  <si>
    <t>RE20A301/W2-570</t>
  </si>
  <si>
    <t>RE20A301/W2-571</t>
  </si>
  <si>
    <t>RE22C301/W4-275</t>
  </si>
  <si>
    <t>RE20C301/W1-384</t>
  </si>
  <si>
    <t>RE20C301/W1-385</t>
  </si>
  <si>
    <t>RE20C301/W1-386</t>
  </si>
  <si>
    <t>RE20C301/W1-387</t>
  </si>
  <si>
    <t>RE20A301/W2-572</t>
  </si>
  <si>
    <t>RE14B301/W5-261</t>
  </si>
  <si>
    <t>RE14B301/W5-262</t>
  </si>
  <si>
    <t>XE23A301/W7-438</t>
  </si>
  <si>
    <t>XE23A301/W7-439</t>
  </si>
  <si>
    <t>XE23A301/W7-440</t>
  </si>
  <si>
    <t>XE23A301/W7-441</t>
  </si>
  <si>
    <t>XE23A301/W7-442</t>
  </si>
  <si>
    <t>RE22C301/W4-276</t>
  </si>
  <si>
    <t>XE23A301/W7-443</t>
  </si>
  <si>
    <t>RE20C301/W1-388</t>
  </si>
  <si>
    <t>RE20C301/W1-389</t>
  </si>
  <si>
    <t>RE20C301/W1-390</t>
  </si>
  <si>
    <t>RE20C301/W1-391</t>
  </si>
  <si>
    <t>RE20A301/W2-573</t>
  </si>
  <si>
    <t>RE20A301/W2-574</t>
  </si>
  <si>
    <t>RE20A301/W2-575</t>
  </si>
  <si>
    <t>RE20A301/W2-576</t>
  </si>
  <si>
    <t>RE20A301/W2-577</t>
  </si>
  <si>
    <t>RE20A301/W2-578</t>
  </si>
  <si>
    <t>XE23A301/W7-444</t>
  </si>
  <si>
    <t>XE23A301/W7-445</t>
  </si>
  <si>
    <t>RE20C301/W1-392</t>
  </si>
  <si>
    <t>RE20C301/W1-393</t>
  </si>
  <si>
    <t>RE20A301/W2-579</t>
  </si>
  <si>
    <t>RE20A301/W2-580</t>
  </si>
  <si>
    <t>RE20A301/W2-581</t>
  </si>
  <si>
    <t>RE20A301/W2-582</t>
  </si>
  <si>
    <t>RE20A301/W2-583</t>
  </si>
  <si>
    <t>RE20A301/W2-584</t>
  </si>
  <si>
    <t>RE22C301/W4-277</t>
  </si>
  <si>
    <t>XE23A301/W7-446</t>
  </si>
  <si>
    <t>XE23A301/W7-447</t>
  </si>
  <si>
    <t>XE23A301/W7-448</t>
  </si>
  <si>
    <t>XE23A301/W7-449</t>
  </si>
  <si>
    <t>RE14B301/W5-263</t>
  </si>
  <si>
    <t>RE14B301/W5-264</t>
  </si>
  <si>
    <t>RE14B301/W5-265</t>
  </si>
  <si>
    <t>RE20C301/W1-394</t>
  </si>
  <si>
    <t>RE20C301/W1-395</t>
  </si>
  <si>
    <t>RE20A301/W2-585</t>
  </si>
  <si>
    <t>RE20A301/W2-586</t>
  </si>
  <si>
    <t>RE20A301/W2-587</t>
  </si>
  <si>
    <t>RE22C301/W4-278</t>
  </si>
  <si>
    <t>XE23A301/W7-450</t>
  </si>
  <si>
    <t>XE23A301/W7-451</t>
  </si>
  <si>
    <t>XE23A301/W7-452</t>
  </si>
  <si>
    <t>RE14B301/W5-266</t>
  </si>
  <si>
    <t>RE14B301/W5-267</t>
  </si>
  <si>
    <t>RE20C301/W1-396</t>
  </si>
  <si>
    <t>RE20C301/W1-397</t>
  </si>
  <si>
    <t>RE20C301/W1-398</t>
  </si>
  <si>
    <t>XE12B301/W6-21</t>
  </si>
  <si>
    <t>RE20A301/W2-588</t>
  </si>
  <si>
    <t>RE20A301/W2-589</t>
  </si>
  <si>
    <t>RE20A301/W2-590</t>
  </si>
  <si>
    <t>RE20A301/W2-591</t>
  </si>
  <si>
    <t>RE20A301/W2-592</t>
  </si>
  <si>
    <t>RE20A301/W2-593</t>
  </si>
  <si>
    <t>RE20A301/W2-594</t>
  </si>
  <si>
    <t>RE22C301/W4-279</t>
  </si>
  <si>
    <t>RE22C301/W4-280</t>
  </si>
  <si>
    <t>XE23A301/W7-453</t>
  </si>
  <si>
    <t>XE23A301/W7-454</t>
  </si>
  <si>
    <t>XE23A301/W7-455</t>
  </si>
  <si>
    <t>XE23A301/W7-456</t>
  </si>
  <si>
    <t>RE14B301/W5-268</t>
  </si>
  <si>
    <t>RE14B301/W5-269</t>
  </si>
  <si>
    <t>RE14B301/W5-270</t>
  </si>
  <si>
    <t>RE14B301/W5-271</t>
  </si>
  <si>
    <t>RE20C301/W1-399</t>
  </si>
  <si>
    <t>RE20C301/W1-400</t>
  </si>
  <si>
    <t>RE20A301/W2-595</t>
  </si>
  <si>
    <t>RE20A301/W2-596</t>
  </si>
  <si>
    <t>RE20A301/W2-597</t>
  </si>
  <si>
    <t>RE22C301/W4-281</t>
  </si>
  <si>
    <t>RE22C301/W4-282</t>
  </si>
  <si>
    <t>XE23A301/W7-457</t>
  </si>
  <si>
    <t>XE23A301/W7-458</t>
  </si>
  <si>
    <t>XE23A301/W7-459</t>
  </si>
  <si>
    <t>XE23A301/W7-460</t>
  </si>
  <si>
    <t>XE23A301/W7-461</t>
  </si>
  <si>
    <t>RE14B301/W5-272</t>
  </si>
  <si>
    <t>RE20C301/W1-401</t>
  </si>
  <si>
    <t>RE20C301/W1-402</t>
  </si>
  <si>
    <t>RE20A301/W2-598</t>
  </si>
  <si>
    <t>RE20A301/W2-599</t>
  </si>
  <si>
    <t>RE20A301/W2-600</t>
  </si>
  <si>
    <t>RE20A301/W2-601</t>
  </si>
  <si>
    <t>RE20A301/W2-602</t>
  </si>
  <si>
    <t>RE22C301/W4-283</t>
  </si>
  <si>
    <t>RE22C301/W4-284</t>
  </si>
  <si>
    <t>XE23A301/W7-462</t>
  </si>
  <si>
    <t>XE23A301/W7-463</t>
  </si>
  <si>
    <t>XE23A301/W7-464</t>
  </si>
  <si>
    <t>XE23A301/W7-465</t>
  </si>
  <si>
    <t>RE14B301/W5-273</t>
  </si>
  <si>
    <t>RE14B301/W5-274</t>
  </si>
  <si>
    <t>RE20C301/W1-403</t>
  </si>
  <si>
    <t>XE12B301/W6-22</t>
  </si>
  <si>
    <t>RE20A301/W2-603</t>
  </si>
  <si>
    <t>RE20A301/W2-604</t>
  </si>
  <si>
    <t>RE20A301/W2-605</t>
  </si>
  <si>
    <t>RE20A301/W2-606</t>
  </si>
  <si>
    <t>XE23A301/W7-466</t>
  </si>
  <si>
    <t>XE23A301/W7-467</t>
  </si>
  <si>
    <t>RE20A301/W2-607</t>
  </si>
  <si>
    <t>RE14B301/W5-275</t>
  </si>
  <si>
    <t>RE20A301/W2-608</t>
  </si>
  <si>
    <t>RE20A301/W2-609</t>
  </si>
  <si>
    <t>RE20A301/W2-610</t>
  </si>
  <si>
    <t>RE20A301/W2-611</t>
  </si>
  <si>
    <t>RE20A301/W2-612</t>
  </si>
  <si>
    <t>XE23A301/W7-468</t>
  </si>
  <si>
    <t>RE20A301/W2-613</t>
  </si>
  <si>
    <t>XE23A301/W7-469</t>
  </si>
  <si>
    <t>XE23A301/W7-470</t>
  </si>
  <si>
    <t>XE23A301/W7-471</t>
  </si>
  <si>
    <t>XE23A301/W7-472</t>
  </si>
  <si>
    <t>RE20A301/W2-614</t>
  </si>
  <si>
    <t>RE20A301/W2-615</t>
  </si>
  <si>
    <t>RE22C301/W4-285</t>
  </si>
  <si>
    <t>RE22C301/W4-286</t>
  </si>
  <si>
    <t>RE22C301/W4-287</t>
  </si>
  <si>
    <t>XE23A301/W7-473</t>
  </si>
  <si>
    <t>RE22C301/W4-288</t>
  </si>
  <si>
    <t>RE22C301/W4-289</t>
  </si>
  <si>
    <t>RE22C301/W4-290</t>
  </si>
  <si>
    <t>RE22C301/W4-291</t>
  </si>
  <si>
    <t>RE20A301/W2-616</t>
  </si>
  <si>
    <t>RE20A301/W2-617</t>
  </si>
  <si>
    <t>XE23A301/W7-474</t>
  </si>
  <si>
    <t>XE23A301/W7-475</t>
  </si>
  <si>
    <t>RE22C301/W4-292</t>
  </si>
  <si>
    <t>RE22C301/W4-293</t>
  </si>
  <si>
    <t>RE20A301/W2-618</t>
  </si>
  <si>
    <t>RE20A301/W2-619</t>
  </si>
  <si>
    <t>RE20A301/W2-620</t>
  </si>
  <si>
    <t>XE23A301/W7-476</t>
  </si>
  <si>
    <t>XE23A301/W7-477</t>
  </si>
  <si>
    <t>RE20A301/W2-621</t>
  </si>
  <si>
    <t>RE20A301/W2-622</t>
  </si>
  <si>
    <t>RE20C301/W1-404</t>
  </si>
  <si>
    <t>RE20A301/W2-623</t>
  </si>
  <si>
    <t>RE20A301/W2-624</t>
  </si>
  <si>
    <t>RE20A301/W2-625</t>
  </si>
  <si>
    <t>RE20A301/W2-626</t>
  </si>
  <si>
    <t>XE23A301/W7-478</t>
  </si>
  <si>
    <t>XE23A301/W7-479</t>
  </si>
  <si>
    <t>RE20A301/W2-627</t>
  </si>
  <si>
    <t>RE14B301/W5-276</t>
  </si>
  <si>
    <t>RE20A301/W2-628</t>
  </si>
  <si>
    <t>RE20A301/W2-629</t>
  </si>
  <si>
    <t>RE20A301/W2-630</t>
  </si>
  <si>
    <t>RE20A301/W2-631</t>
  </si>
  <si>
    <t>RE20A301/W2-632</t>
  </si>
  <si>
    <t>XE23A301/W7-480</t>
  </si>
  <si>
    <t>XE23A301/W7-481</t>
  </si>
  <si>
    <t>RE20A301/W2-633</t>
  </si>
  <si>
    <t>RE20A301/W2-634</t>
  </si>
  <si>
    <t>RE22C301/W4-294</t>
  </si>
  <si>
    <t>RE20C301/W1-405</t>
  </si>
  <si>
    <t>RE20A301/W2-635</t>
  </si>
  <si>
    <t>RE20A301/W2-636</t>
  </si>
  <si>
    <t>RE20A301/W2-637</t>
  </si>
  <si>
    <t>RE20A301/W2-638</t>
  </si>
  <si>
    <t>RE20C301/W1-406</t>
  </si>
  <si>
    <t>RE20C301/W1-407</t>
  </si>
  <si>
    <t>RE20C301/W1-408</t>
  </si>
  <si>
    <t>RE22C301/W4-295</t>
  </si>
  <si>
    <t>RE14B301/W5-277</t>
  </si>
  <si>
    <t>XE23A301/W7-482</t>
  </si>
  <si>
    <t>XE23A301/W7-483</t>
  </si>
  <si>
    <t>RE20A301/W2-639</t>
  </si>
  <si>
    <t>RE22C301/W4-296</t>
  </si>
  <si>
    <t>RE20A301/W2-640</t>
  </si>
  <si>
    <t>RE20A301/W2-641</t>
  </si>
  <si>
    <t>RE20A301/W2-642</t>
  </si>
  <si>
    <t>RE20A301/W2-643</t>
  </si>
  <si>
    <t>RE20A301/W2-644</t>
  </si>
  <si>
    <t>RE20C301/W1-409</t>
  </si>
  <si>
    <t>RE20C301/W1-410</t>
  </si>
  <si>
    <t>RE20C301/W1-411</t>
  </si>
  <si>
    <t>RE20A301/W2-645</t>
  </si>
  <si>
    <t>RE20A301/W2-646</t>
  </si>
  <si>
    <t>RE20A301/W2-647</t>
  </si>
  <si>
    <t>RE20A301/W2-648</t>
  </si>
  <si>
    <t>RE22C301/W4-297</t>
  </si>
  <si>
    <t>RE22C301/W4-298</t>
  </si>
  <si>
    <t>RE14B301/W5-278</t>
  </si>
  <si>
    <t>RE14B301/W5-279</t>
  </si>
  <si>
    <t>XE23A301/W7-484</t>
  </si>
  <si>
    <t>XE23A301/W7-485</t>
  </si>
  <si>
    <t>XE23A301/W7-486</t>
  </si>
  <si>
    <t>XE23A301/W7-487</t>
  </si>
  <si>
    <t>RE20C301/W1-412</t>
  </si>
  <si>
    <t>RE20C301/W1-413</t>
  </si>
  <si>
    <t>RE20C301/W1-414</t>
  </si>
  <si>
    <t>RE22C301/W4-299</t>
  </si>
  <si>
    <t>RE22C301/W4-300</t>
  </si>
  <si>
    <t>RE22C301/W4-301</t>
  </si>
  <si>
    <t>RE20A301/W2-649</t>
  </si>
  <si>
    <t>RE20A301/W2-650</t>
  </si>
  <si>
    <t>RE20A301/W2-651</t>
  </si>
  <si>
    <t>XE23A301/W7-488</t>
  </si>
  <si>
    <t>RE20A301/W2-652</t>
  </si>
  <si>
    <t>XE12B301/W6-23</t>
  </si>
  <si>
    <t>RE20A301/W2-653</t>
  </si>
  <si>
    <t>RE22C301/W4-302</t>
  </si>
  <si>
    <t>RE14B301/W5-280</t>
  </si>
  <si>
    <t>XE23A301/W7-489</t>
  </si>
  <si>
    <t>XE23A301/W7-490</t>
  </si>
  <si>
    <t>XE23A301/W7-491</t>
  </si>
  <si>
    <t>XE23A301/W7-492</t>
  </si>
  <si>
    <t>RE14B301/W5-281</t>
  </si>
  <si>
    <t>RE20A301/W2-654</t>
  </si>
  <si>
    <t>RE20C301/W1-415</t>
  </si>
  <si>
    <t>RE20C301/W1-416</t>
  </si>
  <si>
    <t>RE20C301/W1-417</t>
  </si>
  <si>
    <t>XE23A301/W7-493</t>
  </si>
  <si>
    <t>XE23A301/W7-494</t>
  </si>
  <si>
    <t>RE14B301/W5-282</t>
  </si>
  <si>
    <t>RE20C301/W1-418</t>
  </si>
  <si>
    <t>RE20C301/W1-419</t>
  </si>
  <si>
    <t>RE20C301/W1-420</t>
  </si>
  <si>
    <t>RE20C301/W1-421</t>
  </si>
  <si>
    <t>RE20C301/W1-422</t>
  </si>
  <si>
    <t>RE20C301/W1-423</t>
  </si>
  <si>
    <t>RE20A301/W2-655</t>
  </si>
  <si>
    <t>RE20A301/W2-656</t>
  </si>
  <si>
    <t>RE14B301/W5-283</t>
  </si>
  <si>
    <t>RE14B301/W5-284</t>
  </si>
  <si>
    <t>XE23A301/W7-495</t>
  </si>
  <si>
    <t>XE23A301/W7-496</t>
  </si>
  <si>
    <t>XE23A301/W7-497</t>
  </si>
  <si>
    <t>RE20C301/W1-424</t>
  </si>
  <si>
    <t>RE20C301/W1-425</t>
  </si>
  <si>
    <t>RE20A301/W2-657</t>
  </si>
  <si>
    <t>RE20A301/W2-658</t>
  </si>
  <si>
    <t>RE14B301/W5-285</t>
  </si>
  <si>
    <t>RE14B301/W5-286</t>
  </si>
  <si>
    <t>RE14B301/W5-287</t>
  </si>
  <si>
    <t>RE22C301/W4-303</t>
  </si>
  <si>
    <t>RE22C301/W4-304</t>
  </si>
  <si>
    <t>XE23A301/W7-498</t>
  </si>
  <si>
    <t>XE23A301/W7-499</t>
  </si>
  <si>
    <t>XE23A301/W7-500</t>
  </si>
  <si>
    <t>RE14B301/W5-288</t>
  </si>
  <si>
    <t>RE20C301/W1-426</t>
  </si>
  <si>
    <t>RE20C301/W1-427</t>
  </si>
  <si>
    <t>RE20C301/W1-428</t>
  </si>
  <si>
    <t>RE22C301/W4-305</t>
  </si>
  <si>
    <t>RE22C301/W4-306</t>
  </si>
  <si>
    <t>RE14B301/W5-289</t>
  </si>
  <si>
    <t>RE14B301/W5-290</t>
  </si>
  <si>
    <t>RE14B301/W5-291</t>
  </si>
  <si>
    <t>RE14B301/W5-292</t>
  </si>
  <si>
    <t>RE20C301/W1-429</t>
  </si>
  <si>
    <t>RE20C301/W1-430</t>
  </si>
  <si>
    <t>RE20C301/W1-431</t>
  </si>
  <si>
    <t>RE20C301/W1-432</t>
  </si>
  <si>
    <t>RE20C301/W1-433</t>
  </si>
  <si>
    <t>RE20C301/W1-434</t>
  </si>
  <si>
    <t>RE20A301/W2-401</t>
  </si>
  <si>
    <t>RE20C301/W1-435</t>
  </si>
  <si>
    <t>RE20C301/W1-436</t>
  </si>
  <si>
    <t>RE20C301/W1-437</t>
  </si>
  <si>
    <t>RE22C301/W4-307</t>
  </si>
  <si>
    <t>RE22C301/W4-308</t>
  </si>
  <si>
    <t>RE22C301/W4-309</t>
  </si>
  <si>
    <t>RE20C301/W1-438</t>
  </si>
  <si>
    <t>RE20C301/W1-439</t>
  </si>
  <si>
    <t>RE20C301/W1-440</t>
  </si>
  <si>
    <t>RE20C301/W1-441</t>
  </si>
  <si>
    <t>RE20C301/W1-442</t>
  </si>
  <si>
    <t>RE20A301/W2-659</t>
  </si>
  <si>
    <t>RE20A301/W2-660</t>
  </si>
  <si>
    <t>RE20C301/W1-443</t>
  </si>
  <si>
    <t>RE14B301/W5-293</t>
  </si>
  <si>
    <t>RE20A301/W2-661</t>
  </si>
  <si>
    <t>RE14B301/W5-294</t>
  </si>
  <si>
    <t>RE20A301/W2-662</t>
  </si>
  <si>
    <t>RE22C301/W4-310</t>
  </si>
  <si>
    <t>RE22C301/W4-311</t>
  </si>
  <si>
    <t>RE20C301/W1-444</t>
  </si>
  <si>
    <t>RE20A301/W2-663</t>
  </si>
  <si>
    <t>RE20A301/W2-664</t>
  </si>
  <si>
    <t>RE20C301/W1-445</t>
  </si>
  <si>
    <t>RE20C301/W1-446</t>
  </si>
  <si>
    <t>RE20A301/W2-665</t>
  </si>
  <si>
    <t>RE20A301/W2-666</t>
  </si>
  <si>
    <t>RE20C301/W1-447</t>
  </si>
  <si>
    <t>RE20A301/W2-667</t>
  </si>
  <si>
    <t>RE20A301/W2-668</t>
  </si>
  <si>
    <t>RE22C301/W4-312</t>
  </si>
  <si>
    <t>RE22C301/W4-313</t>
  </si>
  <si>
    <t>RE20A301/W2-669</t>
  </si>
  <si>
    <t>RE20A301/W2-670</t>
  </si>
  <si>
    <t>RE20C301/W1-448</t>
  </si>
  <si>
    <t>RE20A301/W2-671</t>
  </si>
  <si>
    <t>RE20A301/W2-672</t>
  </si>
  <si>
    <t>RE20C301/W1-449</t>
  </si>
  <si>
    <t>RE20A301/W2-673</t>
  </si>
  <si>
    <t>RE20A301/W2-674</t>
  </si>
  <si>
    <t>RE20A301/W2-675</t>
  </si>
  <si>
    <t>RE20A301/W2-676</t>
  </si>
  <si>
    <t>RE20A301/W2-677</t>
  </si>
  <si>
    <t>RE20A301/W2-678</t>
  </si>
  <si>
    <t>RE20C301/W1-450</t>
  </si>
  <si>
    <t>RE20C301/W1-451</t>
  </si>
  <si>
    <t>RE20C301/W1-452</t>
  </si>
  <si>
    <t>RE20A301/W2-679</t>
  </si>
  <si>
    <t>RE20C301/W1-453</t>
  </si>
  <si>
    <t>RE22C301/W4-314</t>
  </si>
  <si>
    <t>RE22C301/W4-315</t>
  </si>
  <si>
    <t>RE20C301/W1-454</t>
  </si>
  <si>
    <t>RE20C301/W1-455</t>
  </si>
  <si>
    <t>RE22C301/W4-316</t>
  </si>
  <si>
    <t>RE22C301/W4-317</t>
  </si>
  <si>
    <t>RE20A301/W2-680</t>
  </si>
  <si>
    <t>RE20A301/W2-681</t>
  </si>
  <si>
    <t>RE20C301/W1-456</t>
  </si>
  <si>
    <t>RE20C301/W1-457</t>
  </si>
  <si>
    <t>RE22C301/W4-318</t>
  </si>
  <si>
    <t>RE20A301/W2-682</t>
  </si>
  <si>
    <t>RE20A301/W2-683</t>
  </si>
  <si>
    <t>RE20A301/W2-684</t>
  </si>
  <si>
    <t>RE22C301/W4-319</t>
  </si>
  <si>
    <t>RE14B301/W5-295</t>
  </si>
  <si>
    <t>RE14B301/W5-296</t>
  </si>
  <si>
    <t>RE20C301/W1-458</t>
  </si>
  <si>
    <t>RE20C301/W1-459</t>
  </si>
  <si>
    <t>RE20C301/W1-460</t>
  </si>
  <si>
    <t>RE20C301/W1-461</t>
  </si>
  <si>
    <t>RE20C301/W1-462</t>
  </si>
  <si>
    <t>RE20C301/W1-463</t>
  </si>
  <si>
    <t>RE20C301/W1-464</t>
  </si>
  <si>
    <t>RE20A301/W2-685</t>
  </si>
  <si>
    <t>RE20A301/W2-686</t>
  </si>
  <si>
    <t>RE20A301/W2-687</t>
  </si>
  <si>
    <t>RE20A301/W2-688</t>
  </si>
  <si>
    <t>RE20A301/W2-689</t>
  </si>
  <si>
    <t>RE20A301/W2-690</t>
  </si>
  <si>
    <t>RE20A301/W2-691</t>
  </si>
  <si>
    <t>RE22C301/W4-320</t>
  </si>
  <si>
    <t>RE22C301/W4-321</t>
  </si>
  <si>
    <t>RE22C301/W4-322</t>
  </si>
  <si>
    <t>RE22C301/W4-323</t>
  </si>
  <si>
    <t>RE22C301/W4-324</t>
  </si>
  <si>
    <t>RE22C301/W4-325</t>
  </si>
  <si>
    <t>RE22C301/W4-326</t>
  </si>
  <si>
    <t>RE20C301/W1-465</t>
  </si>
  <si>
    <t>RE20C301/W1-466</t>
  </si>
  <si>
    <t>RE20C301/W1-467</t>
  </si>
  <si>
    <t>RE20C301/W1-468</t>
  </si>
  <si>
    <t>RE20C301/W1-469</t>
  </si>
  <si>
    <t>RE20C301/W1-470</t>
  </si>
  <si>
    <t>RE20C301/W1-471</t>
  </si>
  <si>
    <t>RE20C301/W1-472</t>
  </si>
  <si>
    <t>RE20C301/W1-473</t>
  </si>
  <si>
    <t>RE20C301/W1-474</t>
  </si>
  <si>
    <t>RE20A301/W2-692</t>
  </si>
  <si>
    <t>RE20A301/W2-693</t>
  </si>
  <si>
    <t>RE20A301/W2-694</t>
  </si>
  <si>
    <t>RE22C301/W4-327</t>
  </si>
  <si>
    <t>RE14B301/W5-297</t>
  </si>
  <si>
    <t>RE14B301/W5-298</t>
  </si>
  <si>
    <t>RE20C301/W1-475</t>
  </si>
  <si>
    <t>RE20C301/W1-476</t>
  </si>
  <si>
    <t>RE20C301/W1-477</t>
  </si>
  <si>
    <t>RE20C301/W1-478</t>
  </si>
  <si>
    <t>RE20C301/W1-479</t>
  </si>
  <si>
    <t>RE20C301/W1-480</t>
  </si>
  <si>
    <t>RE20C301/W1-481</t>
  </si>
  <si>
    <t>RE20C301/W1-482</t>
  </si>
  <si>
    <t>RE20C301/W1-483</t>
  </si>
  <si>
    <t>RE20A301/W2-695</t>
  </si>
  <si>
    <t>RE20A301/W2-696</t>
  </si>
  <si>
    <t>RE20A301/W2-697</t>
  </si>
  <si>
    <t>RE20A301/W2-698</t>
  </si>
  <si>
    <t>RE20A301/W2-699</t>
  </si>
  <si>
    <t>RE22C301/W4-328</t>
  </si>
  <si>
    <t>RE22C301/W4-329</t>
  </si>
  <si>
    <t>RE22C301/W4-330</t>
  </si>
  <si>
    <t>RE14B301/W5-299</t>
  </si>
  <si>
    <t>RE20C301/W1-484</t>
  </si>
  <si>
    <t>RE20C301/W1-485</t>
  </si>
  <si>
    <t>RE20C301/W1-486</t>
  </si>
  <si>
    <t>RE20C301/W1-487</t>
  </si>
  <si>
    <t>RE20C301/W1-488</t>
  </si>
  <si>
    <t>RE20C301/W1-489</t>
  </si>
  <si>
    <t>RE20C301/W1-490</t>
  </si>
  <si>
    <t>RE20C301/W1-491</t>
  </si>
  <si>
    <t>RE20C301/W1-492</t>
  </si>
  <si>
    <t>RE20C301/W1-493</t>
  </si>
  <si>
    <t>RE20C301/W1-494</t>
  </si>
  <si>
    <t>RE20A301/W2-700</t>
  </si>
  <si>
    <t>RE20A301/W2-701</t>
  </si>
  <si>
    <t>RE20A301/W2-702</t>
  </si>
  <si>
    <t>RE22C301/W4-331</t>
  </si>
  <si>
    <t>RE14B301/W5-300</t>
  </si>
  <si>
    <t>RE20C301/W1-495</t>
  </si>
  <si>
    <t>RE20C301/W1-496</t>
  </si>
  <si>
    <t>RE20C301/W1-497</t>
  </si>
  <si>
    <t>RE20C301/W1-498</t>
  </si>
  <si>
    <t>RE20C301/W1-499</t>
  </si>
  <si>
    <t>RE20C301/W1-500</t>
  </si>
  <si>
    <t>RE20A301/W2-703</t>
  </si>
  <si>
    <t>RE20A301/W2-704</t>
  </si>
  <si>
    <t>RE20A301/W2-705</t>
  </si>
  <si>
    <t>RE20A301/W2-706</t>
  </si>
  <si>
    <t>RE20A301/W2-707</t>
  </si>
  <si>
    <t>RE20A301/W2-708</t>
  </si>
  <si>
    <t>RE20A301/W2-709</t>
  </si>
  <si>
    <t>RE22C301/W4-332</t>
  </si>
  <si>
    <t>RE22C301/W4-333</t>
  </si>
  <si>
    <t>RE22C301/W4-334</t>
  </si>
  <si>
    <t>RE14B301/W5-301</t>
  </si>
  <si>
    <t>CE22A114/W4-251</t>
  </si>
  <si>
    <t>CE22A114/W4-252</t>
  </si>
  <si>
    <t>FE14A118/W5-221</t>
  </si>
  <si>
    <t>FE14A118/W5-222</t>
  </si>
  <si>
    <t>FE14A118/W5-223</t>
  </si>
  <si>
    <t>CE20A176/W2-351</t>
  </si>
  <si>
    <t>ZE16B113/W7-301</t>
  </si>
  <si>
    <t>ZE16B113/W7-302</t>
  </si>
  <si>
    <t>FE14A118/W5-224</t>
  </si>
  <si>
    <t>CE20A176/W2-352</t>
  </si>
  <si>
    <t>CE20A176/W2-353</t>
  </si>
  <si>
    <t>ZE16B113/W7-303</t>
  </si>
  <si>
    <t>CE20C118/W1-301</t>
  </si>
  <si>
    <t>CE20C118/W1-302</t>
  </si>
  <si>
    <t>CE20A176/W2-354</t>
  </si>
  <si>
    <t>CE20A176/W2-355</t>
  </si>
  <si>
    <t>CE20A176/W2-356</t>
  </si>
  <si>
    <t>ZE16B113/W7-304</t>
  </si>
  <si>
    <t>ZE16B113/W7-305</t>
  </si>
  <si>
    <t>CE20A176/W2-357</t>
  </si>
  <si>
    <t>ZE16B113/W7-306</t>
  </si>
  <si>
    <t>CE20A176/W2-358</t>
  </si>
  <si>
    <t>CE20A176/W2-359</t>
  </si>
  <si>
    <t>ZE16B113/W7-307</t>
  </si>
  <si>
    <t>ZE16B113/W7-308</t>
  </si>
  <si>
    <t>ZE16B113/W7-309</t>
  </si>
  <si>
    <t>CE20A176/W2-360</t>
  </si>
  <si>
    <t>CE20A176/W2-361</t>
  </si>
  <si>
    <t>CE20A176/W2-362</t>
  </si>
  <si>
    <t>ZE16B113/W7-310</t>
  </si>
  <si>
    <t>CE20C118/W1-303</t>
  </si>
  <si>
    <t>CE20C118/W1-304</t>
  </si>
  <si>
    <t>CE20C118/W1-305</t>
  </si>
  <si>
    <t>ZE16B113/W7-311</t>
  </si>
  <si>
    <t>CE22A114/W4-253</t>
  </si>
  <si>
    <t>ZE16B113/W7-312</t>
  </si>
  <si>
    <t>ZE16B113/W7-313</t>
  </si>
  <si>
    <t>CE20A176/W2-363</t>
  </si>
  <si>
    <t>ZE16B113/W7-314</t>
  </si>
  <si>
    <t>CE20C118/W1-306</t>
  </si>
  <si>
    <t>ZE16B113/W7-315</t>
  </si>
  <si>
    <t>ZE16B113/W7-316</t>
  </si>
  <si>
    <t>ZE16B113/W7-317</t>
  </si>
  <si>
    <t>CE20A176/W2-364</t>
  </si>
  <si>
    <t>CE20C118/W1-307</t>
  </si>
  <si>
    <t>CE20C118/W1-308</t>
  </si>
  <si>
    <t>ZE16B113/W7-318</t>
  </si>
  <si>
    <t>CE20A176/W2-365</t>
  </si>
  <si>
    <t>CE20A176/W2-366</t>
  </si>
  <si>
    <t>ZE16B113/W7-319</t>
  </si>
  <si>
    <t>ZE16B113/W7-320</t>
  </si>
  <si>
    <t>ZE16B113/W7-321</t>
  </si>
  <si>
    <t>ZE16B113/W7-322</t>
  </si>
  <si>
    <t>ZE16B113/W7-323</t>
  </si>
  <si>
    <t>CE20C118/W1-309</t>
  </si>
  <si>
    <t>ZE16B113/W7-324</t>
  </si>
  <si>
    <t>CE20C118/W1-310</t>
  </si>
  <si>
    <t>CE20A176/W2-367</t>
  </si>
  <si>
    <t>CE22A114/W4-254</t>
  </si>
  <si>
    <t>CE20A176/W2-368</t>
  </si>
  <si>
    <t>CE20C118/W1-311</t>
  </si>
  <si>
    <t>CE20A176/W2-369</t>
  </si>
  <si>
    <t>CE20A176/W2-370</t>
  </si>
  <si>
    <t>CE20C118/W1-312</t>
  </si>
  <si>
    <t>CE20C118/W1-313</t>
  </si>
  <si>
    <t>CE20A176/W2-371</t>
  </si>
  <si>
    <t>CE20A176/W2-372</t>
  </si>
  <si>
    <t>CE20A176/W2-373</t>
  </si>
  <si>
    <t>CE20A176/W2-374</t>
  </si>
  <si>
    <t>CE20A176/W2-375</t>
  </si>
  <si>
    <t>ZE16B113/W7-325</t>
  </si>
  <si>
    <t>ZE16B113/W7-326</t>
  </si>
  <si>
    <t>CE20A176/W2-376</t>
  </si>
  <si>
    <t>ZE16B113/W7-327</t>
  </si>
  <si>
    <t>CE22A114/W4-255</t>
  </si>
  <si>
    <t>ZE16B113/W7-328</t>
  </si>
  <si>
    <t>CE20A176/W2-377</t>
  </si>
  <si>
    <t>ZE16B113/W7-329</t>
  </si>
  <si>
    <t>CE20A176/W2-378</t>
  </si>
  <si>
    <t>CE20A176/W2-379</t>
  </si>
  <si>
    <t>FE14A118/W5-225</t>
  </si>
  <si>
    <t>CE20A176/W2-380</t>
  </si>
  <si>
    <t>CE20A176/W2-381</t>
  </si>
  <si>
    <t>CE20A176/W2-382</t>
  </si>
  <si>
    <t>CE22A114/W4-256</t>
  </si>
  <si>
    <t>FE14A118/W5-226</t>
  </si>
  <si>
    <t>CE22A114/W4-257</t>
  </si>
  <si>
    <t>ZE16B113/W7-330</t>
  </si>
  <si>
    <t>ZE16B113/W7-331</t>
  </si>
  <si>
    <t>CE20A176/W2-383</t>
  </si>
  <si>
    <t>CE20A176/W2-384</t>
  </si>
  <si>
    <t>CE20A176/W2-385</t>
  </si>
  <si>
    <t>CE20A176/W2-386</t>
  </si>
  <si>
    <t>CE20A176/W2-387</t>
  </si>
  <si>
    <t>CE20A176/W2-388</t>
  </si>
  <si>
    <t>CE20A176/W2-389</t>
  </si>
  <si>
    <t>ZE16B113/W7-332</t>
  </si>
  <si>
    <t>ZE16B113/W7-333</t>
  </si>
  <si>
    <t>ZE16B113/W7-334</t>
  </si>
  <si>
    <t>FE14A118/W5-227</t>
  </si>
  <si>
    <t>FE14A118/W5-228</t>
  </si>
  <si>
    <t>FE14A118/W5-229</t>
  </si>
  <si>
    <t>CE22A114/W4-258</t>
  </si>
  <si>
    <t>CE22A114/W4-259</t>
  </si>
  <si>
    <t>CE22A114/W4-260</t>
  </si>
  <si>
    <t>CE22A114/W4-261</t>
  </si>
  <si>
    <t>CE20A176/W2-390</t>
  </si>
  <si>
    <t>CE20A176/W2-391</t>
  </si>
  <si>
    <t>CE20A176/W2-392</t>
  </si>
  <si>
    <t>CE22A114/W4-262</t>
  </si>
  <si>
    <t>CE22A114/W4-263</t>
  </si>
  <si>
    <t>CE22A114/W4-264</t>
  </si>
  <si>
    <t>ZE16B113/W7-335</t>
  </si>
  <si>
    <t>ZE16B113/W7-336</t>
  </si>
  <si>
    <t>ZE16B113/W7-337</t>
  </si>
  <si>
    <t>ZE16B113/W7-338</t>
  </si>
  <si>
    <t>FE14A118/W5-230</t>
  </si>
  <si>
    <t>FE14A118/W5-231</t>
  </si>
  <si>
    <t>CE20A176/W2-393</t>
  </si>
  <si>
    <t>CE20A176/W2-394</t>
  </si>
  <si>
    <t>CE22A114/W4-265</t>
  </si>
  <si>
    <t>CE22A114/W4-266</t>
  </si>
  <si>
    <t>FE14A118/W5-232</t>
  </si>
  <si>
    <t>CE20A176/W2-395</t>
  </si>
  <si>
    <t>FE14A118/W5-233</t>
  </si>
  <si>
    <t>FE14A118/W5-234</t>
  </si>
  <si>
    <t>ZE16B113/W7-339</t>
  </si>
  <si>
    <t>ZE16B113/W7-340</t>
  </si>
  <si>
    <t>ZE16B113/W7-341</t>
  </si>
  <si>
    <t>ZE16B113/W7-342</t>
  </si>
  <si>
    <t>CE20C118/W1-314</t>
  </si>
  <si>
    <t>FE14A118/W5-235</t>
  </si>
  <si>
    <t>CE22A114/W4-267</t>
  </si>
  <si>
    <t>CE22A114/W4-268</t>
  </si>
  <si>
    <t>ZE16B113/W7-343</t>
  </si>
  <si>
    <t>ZE16B113/W7-344</t>
  </si>
  <si>
    <t>ZE16B113/W7-345</t>
  </si>
  <si>
    <t>CE20A176/W2-396</t>
  </si>
  <si>
    <t>CE20C118/W1-315</t>
  </si>
  <si>
    <t>ZE16B113/W7-346</t>
  </si>
  <si>
    <t>CE20A176/W2-397</t>
  </si>
  <si>
    <t>CE20A176/W2-398</t>
  </si>
  <si>
    <t>ZE16B113/W7-347</t>
  </si>
  <si>
    <t>ZE16B113/W7-348</t>
  </si>
  <si>
    <t>ZE16B113/W7-349</t>
  </si>
  <si>
    <t>ZE16B113/W7-350</t>
  </si>
  <si>
    <t>ZE16B113/W7-351</t>
  </si>
  <si>
    <t>ZE16B113/W7-352</t>
  </si>
  <si>
    <t>CE22A114/W4-269</t>
  </si>
  <si>
    <t>CE20A176/W2-399</t>
  </si>
  <si>
    <t>CE20A176/W2-400</t>
  </si>
  <si>
    <t>FE14A118/W5-236</t>
  </si>
  <si>
    <t>CE20A176/W2-401</t>
  </si>
  <si>
    <t>CE20A176/W2-402</t>
  </si>
  <si>
    <t>CE20A176/W2-403</t>
  </si>
  <si>
    <t>CE20A176/W2-404</t>
  </si>
  <si>
    <t>CE20A176/W2-405</t>
  </si>
  <si>
    <t>ZE16B113/W7-353</t>
  </si>
  <si>
    <t>ZE16B113/W7-354</t>
  </si>
  <si>
    <t>CE20A176/W2-406</t>
  </si>
  <si>
    <t>CE20A176/W2-407</t>
  </si>
  <si>
    <t>CE20A176/W2-408</t>
  </si>
  <si>
    <t>CE20A176/W2-409</t>
  </si>
  <si>
    <t>CE22A114/W4-270</t>
  </si>
  <si>
    <t>CE22A114/W4-271</t>
  </si>
  <si>
    <t>CE22A114/W4-272</t>
  </si>
  <si>
    <t>CE20A176/W2-410</t>
  </si>
  <si>
    <t>CE20A176/W2-411</t>
  </si>
  <si>
    <t>CE20A176/W2-412</t>
  </si>
  <si>
    <t>ZE16B113/W7-355</t>
  </si>
  <si>
    <t>ZE16B113/W7-356</t>
  </si>
  <si>
    <t>ZE16B113/W7-357</t>
  </si>
  <si>
    <t>ZE16B113/W7-358</t>
  </si>
  <si>
    <t>CE20C118/W1-316</t>
  </si>
  <si>
    <t>CE20C118/W1-317</t>
  </si>
  <si>
    <t>CE20A176/W2-413</t>
  </si>
  <si>
    <t>CE20A176/W2-414</t>
  </si>
  <si>
    <t>CE20A176/W2-415</t>
  </si>
  <si>
    <t>CE20A176/W2-416</t>
  </si>
  <si>
    <t>CE20A176/W2-417</t>
  </si>
  <si>
    <t>CE20A176/W2-418</t>
  </si>
  <si>
    <t>CE20A176/W2-419</t>
  </si>
  <si>
    <t>CE20A176/W2-420</t>
  </si>
  <si>
    <t>CE20A176/W2-421</t>
  </si>
  <si>
    <t>CE20C118/W1-318</t>
  </si>
  <si>
    <t>CE20C118/W1-319</t>
  </si>
  <si>
    <t>ZE16B113/W7-359</t>
  </si>
  <si>
    <t>ZE16B113/W7-360</t>
  </si>
  <si>
    <t>CE20A176/W2-422</t>
  </si>
  <si>
    <t>CE20A176/W2-423</t>
  </si>
  <si>
    <t>CE20A176/W2-424</t>
  </si>
  <si>
    <t>ZE16B113/W7-361</t>
  </si>
  <si>
    <t>ZE16B113/W7-362</t>
  </si>
  <si>
    <t>CE20A176/W2-425</t>
  </si>
  <si>
    <t>CE20A176/W2-426</t>
  </si>
  <si>
    <t>CE20A176/W2-427</t>
  </si>
  <si>
    <t>CE20A176/W2-428</t>
  </si>
  <si>
    <t>CE20A176/W2-429</t>
  </si>
  <si>
    <t>CE20C118/W1-320</t>
  </si>
  <si>
    <t>CE20A176/W2-430</t>
  </si>
  <si>
    <t>ZE16B113/W7-363</t>
  </si>
  <si>
    <t>CE20A176/W2-431</t>
  </si>
  <si>
    <t>CE20A176/W2-432</t>
  </si>
  <si>
    <t>CE20C118/W1-321</t>
  </si>
  <si>
    <t>CE20A176/W2-433</t>
  </si>
  <si>
    <t>CE20A176/W2-434</t>
  </si>
  <si>
    <t>CE20A176/W2-435</t>
  </si>
  <si>
    <t>CE20A176/W2-436</t>
  </si>
  <si>
    <t>CE20C118/W1-322</t>
  </si>
  <si>
    <t>CE20A176/W2-437</t>
  </si>
  <si>
    <t>CE20A176/W2-438</t>
  </si>
  <si>
    <t>CE20A176/W2-439</t>
  </si>
  <si>
    <t>CE20A176/W2-440</t>
  </si>
  <si>
    <t>CE20C118/W1-323</t>
  </si>
  <si>
    <t>CE20A176/W2-441</t>
  </si>
  <si>
    <t>CE20A176/W2-442</t>
  </si>
  <si>
    <t>ZE16B113/W7-364</t>
  </si>
  <si>
    <t>ZE16B113/W7-365</t>
  </si>
  <si>
    <t>ZE16B113/W7-366</t>
  </si>
  <si>
    <t>CE20C118/W1-324</t>
  </si>
  <si>
    <t>CE20A176/W2-443</t>
  </si>
  <si>
    <t>CE20A176/W2-444</t>
  </si>
  <si>
    <t>ZE16B113/W7-367</t>
  </si>
  <si>
    <t>ZE16B113/W7-368</t>
  </si>
  <si>
    <t>CE20C118/W1-325</t>
  </si>
  <si>
    <t>CE20A176/W2-445</t>
  </si>
  <si>
    <t>CE20A176/W2-446</t>
  </si>
  <si>
    <t>CE20A176/W2-447</t>
  </si>
  <si>
    <t>CE20A176/W2-448</t>
  </si>
  <si>
    <t>CE20A176/W2-449</t>
  </si>
  <si>
    <t>CE20A176/W2-450</t>
  </si>
  <si>
    <t>CE20A176/W2-451</t>
  </si>
  <si>
    <t>CE22A114/W4-273</t>
  </si>
  <si>
    <t>ZE16B113/W7-369</t>
  </si>
  <si>
    <t>CE22A114/W4-274</t>
  </si>
  <si>
    <t>CE22A114/W4-275</t>
  </si>
  <si>
    <t>CE20A176/W2-452</t>
  </si>
  <si>
    <t>CE20A176/W2-453</t>
  </si>
  <si>
    <t>CE20A176/W2-454</t>
  </si>
  <si>
    <t>CE22A114/W4-276</t>
  </si>
  <si>
    <t>CE20A176/W2-455</t>
  </si>
  <si>
    <t>CE20A176/W2-456</t>
  </si>
  <si>
    <t>CE20A176/W2-457</t>
  </si>
  <si>
    <t>CE20A176/W2-458</t>
  </si>
  <si>
    <t>CE20C118/W1-326</t>
  </si>
  <si>
    <t>CE20A176/W2-459</t>
  </si>
  <si>
    <t>CE20A176/W2-460</t>
  </si>
  <si>
    <t>CE20A176/W2-461</t>
  </si>
  <si>
    <t>CE20A176/W2-462</t>
  </si>
  <si>
    <t>CE20A176/W2-463</t>
  </si>
  <si>
    <t>CE22A114/W4-277</t>
  </si>
  <si>
    <t>CE22A114/W4-278</t>
  </si>
  <si>
    <t>CE22A114/W4-279</t>
  </si>
  <si>
    <t>CE20A176/W2-464</t>
  </si>
  <si>
    <t>CE20A176/W2-465</t>
  </si>
  <si>
    <t>CE20A176/W2-466</t>
  </si>
  <si>
    <t>CE22A114/W4-280</t>
  </si>
  <si>
    <t>RE20C302/C1-151</t>
  </si>
  <si>
    <t>RE20A302/C2-201</t>
  </si>
  <si>
    <t>RE20C302/C1-152</t>
  </si>
  <si>
    <t>RE14B302/C5-101</t>
  </si>
  <si>
    <t>RE22C302/C4-101</t>
  </si>
  <si>
    <t>XE23A302/C7-151</t>
  </si>
  <si>
    <t>XE23A302/C7-152</t>
  </si>
  <si>
    <t>XE23A302/C7-153</t>
  </si>
  <si>
    <t>XE23A302/C7-154</t>
  </si>
  <si>
    <t>RE14B302/C5-102</t>
  </si>
  <si>
    <t>RE14B302/C5-103</t>
  </si>
  <si>
    <t>XE23A302/C7-155</t>
  </si>
  <si>
    <t>XE23A302/C7-156</t>
  </si>
  <si>
    <t>XE23A302/C7-157</t>
  </si>
  <si>
    <t>XE23A302/C7-158</t>
  </si>
  <si>
    <t>XE23A302/C7-159</t>
  </si>
  <si>
    <t>RE20A302/C2-202</t>
  </si>
  <si>
    <t>XE12B302/C6-51</t>
  </si>
  <si>
    <t>XE12B302/C6-52</t>
  </si>
  <si>
    <t>RE20A302/C2-203</t>
  </si>
  <si>
    <t>RE20A302/C2-204</t>
  </si>
  <si>
    <t>XE12B302/C6-53</t>
  </si>
  <si>
    <t>XE23A302/C7-160</t>
  </si>
  <si>
    <t>RE20A302/C2-205</t>
  </si>
  <si>
    <t>RE20A302/C2-206</t>
  </si>
  <si>
    <t>RE20C302/C1-153</t>
  </si>
  <si>
    <t>RE22C302/C4-102</t>
  </si>
  <si>
    <t>RE22C302/C4-103</t>
  </si>
  <si>
    <t>RE20A302/C2-207</t>
  </si>
  <si>
    <t>RE20A302/C2-208</t>
  </si>
  <si>
    <t>RE20A302/C2-209</t>
  </si>
  <si>
    <t>RE22C302/C4-104</t>
  </si>
  <si>
    <t>RE14B302/C5-104</t>
  </si>
  <si>
    <t>RE20A302/C2-210</t>
  </si>
  <si>
    <t>RE22C302/C4-105</t>
  </si>
  <si>
    <t>RE20A302/C2-211</t>
  </si>
  <si>
    <t>RE20A302/C2-212</t>
  </si>
  <si>
    <t>RE20A302/C2-213</t>
  </si>
  <si>
    <t>RE20A302/C2-214</t>
  </si>
  <si>
    <t>RE20A302/C2-215</t>
  </si>
  <si>
    <t>RE20A302/C2-216</t>
  </si>
  <si>
    <t>RE22C302/C4-106</t>
  </si>
  <si>
    <t>RE20C302/C1-154</t>
  </si>
  <si>
    <t>RE20C302/C1-155</t>
  </si>
  <si>
    <t>RE22C302/C4-107</t>
  </si>
  <si>
    <t>RE22C302/C4-108</t>
  </si>
  <si>
    <t>RE22C302/C4-109</t>
  </si>
  <si>
    <t>RE14B302/C5-105</t>
  </si>
  <si>
    <t>RE14B302/C5-106</t>
  </si>
  <si>
    <t>XE12B302/C6-54</t>
  </si>
  <si>
    <t>RE20C302/C1-156</t>
  </si>
  <si>
    <t>RE22C302/C4-110</t>
  </si>
  <si>
    <t>RE22C302/C4-111</t>
  </si>
  <si>
    <t>RE22C302/C4-112</t>
  </si>
  <si>
    <t>RE20A302/C2-217</t>
  </si>
  <si>
    <t>RE20A302/C2-218</t>
  </si>
  <si>
    <t>RE14B302/C5-107</t>
  </si>
  <si>
    <t>XE23A302/C7-161</t>
  </si>
  <si>
    <t>RE22C302/C4-113</t>
  </si>
  <si>
    <t>RE14B302/C5-108</t>
  </si>
  <si>
    <t>RE14B302/C5-109</t>
  </si>
  <si>
    <t>XE23A302/C7-162</t>
  </si>
  <si>
    <t>RE20A302/C2-219</t>
  </si>
  <si>
    <t>RE20A302/C2-220</t>
  </si>
  <si>
    <t>RE14B302/C5-110</t>
  </si>
  <si>
    <t>RE22C302/C4-114</t>
  </si>
  <si>
    <t>RE20C302/C1-157</t>
  </si>
  <si>
    <t>RE20C302/C1-158</t>
  </si>
  <si>
    <t>RE20C302/C1-159</t>
  </si>
  <si>
    <t>RE22C302/C4-115</t>
  </si>
  <si>
    <t>RE22C302/C4-116</t>
  </si>
  <si>
    <t>RE20A302/C2-221</t>
  </si>
  <si>
    <t>XE23A302/C7-163</t>
  </si>
  <si>
    <t>XE23A302/C7-164</t>
  </si>
  <si>
    <t>XE23A302/C7-165</t>
  </si>
  <si>
    <t>XE23A302/C7-166</t>
  </si>
  <si>
    <t>XE23A302/C7-167</t>
  </si>
  <si>
    <t>RE22C302/C4-117</t>
  </si>
  <si>
    <t>RE22C302/C4-118</t>
  </si>
  <si>
    <t>RE22C302/C4-119</t>
  </si>
  <si>
    <t>RE22C302/C4-120</t>
  </si>
  <si>
    <t>RE20C302/C1-160</t>
  </si>
  <si>
    <t>RE20A302/C2-222</t>
  </si>
  <si>
    <t>RE20A302/C2-223</t>
  </si>
  <si>
    <t>RE20A302/C2-224</t>
  </si>
  <si>
    <t>RE20A302/C2-225</t>
  </si>
  <si>
    <t>XE23A302/C7-168</t>
  </si>
  <si>
    <t>RE20A302/C2-226</t>
  </si>
  <si>
    <t>XE23A302/C7-169</t>
  </si>
  <si>
    <t>XE23A302/C7-170</t>
  </si>
  <si>
    <t>RE20A302/C2-227</t>
  </si>
  <si>
    <t>XE23A302/C7-171</t>
  </si>
  <si>
    <t>XE23A302/C7-172</t>
  </si>
  <si>
    <t>RE20A302/C2-228</t>
  </si>
  <si>
    <t>RE20A302/C2-229</t>
  </si>
  <si>
    <t>XE23A302/C7-173</t>
  </si>
  <si>
    <t>RE14B302/C5-111</t>
  </si>
  <si>
    <t>RE22C302/C4-121</t>
  </si>
  <si>
    <t>RE22C302/C4-122</t>
  </si>
  <si>
    <t>RE20A302/C2-230</t>
  </si>
  <si>
    <t>RE20C302/C1-161</t>
  </si>
  <si>
    <t>RE20A302/C2-231</t>
  </si>
  <si>
    <t>RE20A302/C2-232</t>
  </si>
  <si>
    <t>XE23A302/C7-174</t>
  </si>
  <si>
    <t>RE22C302/C4-123</t>
  </si>
  <si>
    <t>XE23A302/C7-175</t>
  </si>
  <si>
    <t>RE20A302/C2-233</t>
  </si>
  <si>
    <t>XE23A302/C7-176</t>
  </si>
  <si>
    <t>RE14B302/C5-112</t>
  </si>
  <si>
    <t>RE20A302/C2-234</t>
  </si>
  <si>
    <t>XE23A302/C7-177</t>
  </si>
  <si>
    <t>RE20C302/C1-162</t>
  </si>
  <si>
    <t>RE14B302/C5-113</t>
  </si>
  <si>
    <t>RE20A302/C2-235</t>
  </si>
  <si>
    <t>RE20A302/C2-236</t>
  </si>
  <si>
    <t>RE14B302/C5-114</t>
  </si>
  <si>
    <t>XE23A302/C7-178</t>
  </si>
  <si>
    <t>RE20C302/C1-163</t>
  </si>
  <si>
    <t>RE20A302/C2-237</t>
  </si>
  <si>
    <t>XE23A302/C7-179</t>
  </si>
  <si>
    <t>RE14B302/C5-115</t>
  </si>
  <si>
    <t>RE14B302/C5-116</t>
  </si>
  <si>
    <t>RE20A302/C2-238</t>
  </si>
  <si>
    <t>RE20A302/C2-239</t>
  </si>
  <si>
    <t>RE22C302/C4-124</t>
  </si>
  <si>
    <t>XE23A302/C7-180</t>
  </si>
  <si>
    <t>XE23A302/C7-181</t>
  </si>
  <si>
    <t>RE14B302/C5-117</t>
  </si>
  <si>
    <t>RE14B302/C5-118</t>
  </si>
  <si>
    <t>XE23A302/C7-182</t>
  </si>
  <si>
    <t>XE23A302/C7-183</t>
  </si>
  <si>
    <t>RE20C302/C1-164</t>
  </si>
  <si>
    <t>XE23A302/C7-184</t>
  </si>
  <si>
    <t>XE23A302/C7-185</t>
  </si>
  <si>
    <t>XE23A302/C7-186</t>
  </si>
  <si>
    <t>XE23A302/C7-187</t>
  </si>
  <si>
    <t>XE23A302/C7-188</t>
  </si>
  <si>
    <t>RE14B302/C5-119</t>
  </si>
  <si>
    <t>XE23A302/C7-189</t>
  </si>
  <si>
    <t>XE23A302/C7-190</t>
  </si>
  <si>
    <t>XE23A302/C7-191</t>
  </si>
  <si>
    <t>RE14B302/C5-120</t>
  </si>
  <si>
    <t>RE22C302/C4-125</t>
  </si>
  <si>
    <t>XE23A302/C7-192</t>
  </si>
  <si>
    <t>RE20C302/C1-165</t>
  </si>
  <si>
    <t>RE20A302/C2-240</t>
  </si>
  <si>
    <t>XE23A302/C7-193</t>
  </si>
  <si>
    <t>RE22C302/C4-126</t>
  </si>
  <si>
    <t>RE22C302/C4-127</t>
  </si>
  <si>
    <t>RE22C302/C4-128</t>
  </si>
  <si>
    <t>RE20A302/C2-241</t>
  </si>
  <si>
    <t>XE23A302/C7-194</t>
  </si>
  <si>
    <t>RE20A302/C2-242</t>
  </si>
  <si>
    <t>RE20A302/C2-243</t>
  </si>
  <si>
    <t>XE23A302/C7-195</t>
  </si>
  <si>
    <t>RE20A302/C2-244</t>
  </si>
  <si>
    <t>RE20C302/C1-166</t>
  </si>
  <si>
    <t>RE20C302/C1-167</t>
  </si>
  <si>
    <t>RE20A302/C2-245</t>
  </si>
  <si>
    <t>RE20A302/C2-246</t>
  </si>
  <si>
    <t>RE20A302/C2-247</t>
  </si>
  <si>
    <t>RE20C302/C1-168</t>
  </si>
  <si>
    <t>RE20A302/C2-248</t>
  </si>
  <si>
    <t>RE20C302/C1-169</t>
  </si>
  <si>
    <t>RE22C302/C4-129</t>
  </si>
  <si>
    <t>RE20A302/C2-249</t>
  </si>
  <si>
    <t>RE20C302/C1-170</t>
  </si>
  <si>
    <t>RE20A302/C2-250</t>
  </si>
  <si>
    <t>RE20A302/C2-251</t>
  </si>
  <si>
    <t>RE20A302/C2-252</t>
  </si>
  <si>
    <t>RE20A302/C2-253</t>
  </si>
  <si>
    <t>RE20A302/C2-254</t>
  </si>
  <si>
    <t>RE14B302/C5-121</t>
  </si>
  <si>
    <t>XE23A302/C7-196</t>
  </si>
  <si>
    <t>XE23A302/C7-197</t>
  </si>
  <si>
    <t>RE20A302/C2-255</t>
  </si>
  <si>
    <t>RE20A302/C2-256</t>
  </si>
  <si>
    <t>RE20A302/C2-257</t>
  </si>
  <si>
    <t>RE20A302/C2-258</t>
  </si>
  <si>
    <t>RE20C302/C1-171</t>
  </si>
  <si>
    <t>RE20C302/C1-172</t>
  </si>
  <si>
    <t>RE20A302/C2-259</t>
  </si>
  <si>
    <t>RE20A302/C2-260</t>
  </si>
  <si>
    <t>XE23A302/C7-198</t>
  </si>
  <si>
    <t>RE20A302/C2-261</t>
  </si>
  <si>
    <t>RE20A302/C2-262</t>
  </si>
  <si>
    <t>RE14B302/C5-122</t>
  </si>
  <si>
    <t>RE14B302/C5-123</t>
  </si>
  <si>
    <t>RE22C302/C4-130</t>
  </si>
  <si>
    <t>XE23A302/C7-199</t>
  </si>
  <si>
    <t>RE20A302/C2-263</t>
  </si>
  <si>
    <t>RE20C302/C1-173</t>
  </si>
  <si>
    <t>XE23A302/C7-200</t>
  </si>
  <si>
    <t>RE22C302/C4-131</t>
  </si>
  <si>
    <t>XE23A302/C7-201</t>
  </si>
  <si>
    <t>XE23A302/C7-202</t>
  </si>
  <si>
    <t>RE20C302/C1-174</t>
  </si>
  <si>
    <t>RE22C302/C4-132</t>
  </si>
  <si>
    <t>RE20A302/C2-264</t>
  </si>
  <si>
    <t>RE20A302/C2-265</t>
  </si>
  <si>
    <t>RE14B302/C5-124</t>
  </si>
  <si>
    <t>XE23A302/C7-203</t>
  </si>
  <si>
    <t>RE14B302/C5-125</t>
  </si>
  <si>
    <t>RE20C302/C1-175</t>
  </si>
  <si>
    <t>RE22C302/C4-133</t>
  </si>
  <si>
    <t>RE22C302/C4-134</t>
  </si>
  <si>
    <t>RE14B302/C5-126</t>
  </si>
  <si>
    <t>RE14B302/C5-127</t>
  </si>
  <si>
    <t>RE14B302/C5-128</t>
  </si>
  <si>
    <t>RE14B302/C5-129</t>
  </si>
  <si>
    <t>RE22C302/C4-135</t>
  </si>
  <si>
    <t>RE20C302/C1-176</t>
  </si>
  <si>
    <t>RE14B302/C5-130</t>
  </si>
  <si>
    <t>RE14B302/C5-131</t>
  </si>
  <si>
    <t>RE22C302/C4-136</t>
  </si>
  <si>
    <t>RE20A302/C2-266</t>
  </si>
  <si>
    <t>RE22C302/C4-137</t>
  </si>
  <si>
    <t>XE12B302/C6-55</t>
  </si>
  <si>
    <t>RE20A302/C2-267</t>
  </si>
  <si>
    <t>XE23A302/C7-204</t>
  </si>
  <si>
    <t>XE23A302/C7-205</t>
  </si>
  <si>
    <t>XE12B302/C6-56</t>
  </si>
  <si>
    <t>RE14B302/C5-132</t>
  </si>
  <si>
    <t>RE20A302/C2-268</t>
  </si>
  <si>
    <t>RE22C302/C4-138</t>
  </si>
  <si>
    <t>RE22C302/C4-139</t>
  </si>
  <si>
    <t>RE14B302/C5-133</t>
  </si>
  <si>
    <t>XE23A302/C7-206</t>
  </si>
  <si>
    <t>RE22C302/C4-140</t>
  </si>
  <si>
    <t>RE20A302/C2-269</t>
  </si>
  <si>
    <t>XE23A302/C7-207</t>
  </si>
  <si>
    <t>RE20A302/C2-270</t>
  </si>
  <si>
    <t>RE14B302/C5-134</t>
  </si>
  <si>
    <t>RE20C302/C1-177</t>
  </si>
  <si>
    <t>RE20C302/C1-178</t>
  </si>
  <si>
    <t>RE20A302/C2-271</t>
  </si>
  <si>
    <t>RE22C302/C4-141</t>
  </si>
  <si>
    <t>RE20A302/C2-272</t>
  </si>
  <si>
    <t>RE20A302/C2-273</t>
  </si>
  <si>
    <t>RE20A302/C2-274</t>
  </si>
  <si>
    <t>RE14B302/C5-135</t>
  </si>
  <si>
    <t>RE22C302/C4-142</t>
  </si>
  <si>
    <t>RE22C302/C4-143</t>
  </si>
  <si>
    <t>XE23A302/C7-208</t>
  </si>
  <si>
    <t>RE22C302/C4-144</t>
  </si>
  <si>
    <t>XE23A302/C7-209</t>
  </si>
  <si>
    <t>XE23A302/C7-210</t>
  </si>
  <si>
    <t>RE20A302/C2-275</t>
  </si>
  <si>
    <t>RE20A302/C2-276</t>
  </si>
  <si>
    <t>RE20A302/C2-277</t>
  </si>
  <si>
    <t>RE20C302/C1-179</t>
  </si>
  <si>
    <t>RE20A302/C2-278</t>
  </si>
  <si>
    <t>RE14B302/C5-136</t>
  </si>
  <si>
    <t>RE20A302/C2-279</t>
  </si>
  <si>
    <t>RE20A302/C2-280</t>
  </si>
  <si>
    <t>XE23A302/C7-211</t>
  </si>
  <si>
    <t>RE22C302/C4-145</t>
  </si>
  <si>
    <t>XE12B302/C6-57</t>
  </si>
  <si>
    <t>XE12B302/C6-58</t>
  </si>
  <si>
    <t>RE22C302/C4-146</t>
  </si>
  <si>
    <t>XE23A302/C7-212</t>
  </si>
  <si>
    <t>RE20C302/C1-180</t>
  </si>
  <si>
    <t>XE23A302/C7-213</t>
  </si>
  <si>
    <t>RE20A302/C2-281</t>
  </si>
  <si>
    <t>RE20A302/C2-282</t>
  </si>
  <si>
    <t>RE14B302/C5-137</t>
  </si>
  <si>
    <t>RE20C302/C1-181</t>
  </si>
  <si>
    <t>XE23A302/C7-214</t>
  </si>
  <si>
    <t>RE20A302/C2-283</t>
  </si>
  <si>
    <t>XE23A302/C7-215</t>
  </si>
  <si>
    <t>RE22C302/C4-147</t>
  </si>
  <si>
    <t>XE23A302/C7-216</t>
  </si>
  <si>
    <t>RE20A302/C2-284</t>
  </si>
  <si>
    <t>XE12B302/C6-59</t>
  </si>
  <si>
    <t>RE20A302/C2-285</t>
  </si>
  <si>
    <t>XE23A302/C7-217</t>
  </si>
  <si>
    <t>RE20A302/C2-286</t>
  </si>
  <si>
    <t>RE20C302/C1-182</t>
  </si>
  <si>
    <t>XE23A302/C7-218</t>
  </si>
  <si>
    <t>RE20A302/C2-287</t>
  </si>
  <si>
    <t>XE12B302/C6-60</t>
  </si>
  <si>
    <t>RE20A302/C2-288</t>
  </si>
  <si>
    <t>RE22C302/C4-148</t>
  </si>
  <si>
    <t>XE23A302/C7-219</t>
  </si>
  <si>
    <t>RE20A302/C2-289</t>
  </si>
  <si>
    <t>RE22C302/C4-149</t>
  </si>
  <si>
    <t>RE20A302/C2-290</t>
  </si>
  <si>
    <t>RE20A302/C2-291</t>
  </si>
  <si>
    <t>RE22C302/C4-150</t>
  </si>
  <si>
    <t>XE23A302/C7-220</t>
  </si>
  <si>
    <t>RE20A302/C2-292</t>
  </si>
  <si>
    <t>RE20A302/C2-293</t>
  </si>
  <si>
    <t>RE20C302/C1-183</t>
  </si>
  <si>
    <t>XE23A302/C7-221</t>
  </si>
  <si>
    <t>RE20A302/C2-294</t>
  </si>
  <si>
    <t>RE20A302/C2-295</t>
  </si>
  <si>
    <t>XE23A302/C7-222</t>
  </si>
  <si>
    <t>RE22C302/C4-151</t>
  </si>
  <si>
    <t>RE22C302/C4-152</t>
  </si>
  <si>
    <t>RE20A302/C2-296</t>
  </si>
  <si>
    <t>XE23A302/C7-223</t>
  </si>
  <si>
    <t>XE23A302/C7-224</t>
  </si>
  <si>
    <t>RE20A302/C2-297</t>
  </si>
  <si>
    <t>XE23A302/C7-225</t>
  </si>
  <si>
    <t>RE20A302/C2-298</t>
  </si>
  <si>
    <t>RE20A302/C2-299</t>
  </si>
  <si>
    <t>XE23A302/C7-226</t>
  </si>
  <si>
    <t>RE14B302/C5-138</t>
  </si>
  <si>
    <t>RE22C302/C4-153</t>
  </si>
  <si>
    <t>RE20A302/C2-300</t>
  </si>
  <si>
    <t>XE23A302/C7-227</t>
  </si>
  <si>
    <t>RE20A302/C2-301</t>
  </si>
  <si>
    <t>XE23A302/C7-228</t>
  </si>
  <si>
    <t>RE20A302/C2-302</t>
  </si>
  <si>
    <t>RE14B302/C5-139</t>
  </si>
  <si>
    <t>XE23A302/C7-229</t>
  </si>
  <si>
    <t>RE22C302/C4-154</t>
  </si>
  <si>
    <t>RE20A302/C2-303</t>
  </si>
  <si>
    <t>RE20A302/C2-304</t>
  </si>
  <si>
    <t>XE23A302/C7-230</t>
  </si>
  <si>
    <t>RE20A302/C2-305</t>
  </si>
  <si>
    <t>XE23A302/C7-231</t>
  </si>
  <si>
    <t>RE20A302/C2-306</t>
  </si>
  <si>
    <t>RE14B302/C5-140</t>
  </si>
  <si>
    <t>XE23A302/C7-232</t>
  </si>
  <si>
    <t>RE20C302/C1-184</t>
  </si>
  <si>
    <t>RE20A302/C2-307</t>
  </si>
  <si>
    <t>RE20A302/C2-308</t>
  </si>
  <si>
    <t>RE20A302/C2-309</t>
  </si>
  <si>
    <t>RE20A302/C2-310</t>
  </si>
  <si>
    <t>RE20A302/C2-311</t>
  </si>
  <si>
    <t>RE20C302/C1-185</t>
  </si>
  <si>
    <t>RE20C302/C1-186</t>
  </si>
  <si>
    <t>RE22C302/C4-155</t>
  </si>
  <si>
    <t>XE12B302/C6-61</t>
  </si>
  <si>
    <t>XE23A302/C7-233</t>
  </si>
  <si>
    <t>XE23A302/C7-234</t>
  </si>
  <si>
    <t>RE14B302/C5-141</t>
  </si>
  <si>
    <t>RE20C302/C1-187</t>
  </si>
  <si>
    <t>RE22C302/C4-156</t>
  </si>
  <si>
    <t>RE14B302/C5-142</t>
  </si>
  <si>
    <t>RE14B302/C5-143</t>
  </si>
  <si>
    <t>RE14B302/C5-144</t>
  </si>
  <si>
    <t>RE14B302/C5-145</t>
  </si>
  <si>
    <t>XE23A302/C7-235</t>
  </si>
  <si>
    <t>XE23A302/C7-236</t>
  </si>
  <si>
    <t>XE23A302/C7-237</t>
  </si>
  <si>
    <t>XE23A302/C7-238</t>
  </si>
  <si>
    <t>XE23A302/C7-239</t>
  </si>
  <si>
    <t>XE23A302/C7-240</t>
  </si>
  <si>
    <t>RE20A302/C2-312</t>
  </si>
  <si>
    <t>RE20A302/C2-313</t>
  </si>
  <si>
    <t>RE20A302/C2-314</t>
  </si>
  <si>
    <t>RE20C302/C1-188</t>
  </si>
  <si>
    <t>RE22C302/C4-157</t>
  </si>
  <si>
    <t>RE22C302/C4-158</t>
  </si>
  <si>
    <t>RE14B302/C5-146</t>
  </si>
  <si>
    <t>XE23A302/C7-241</t>
  </si>
  <si>
    <t>XE23A302/C7-242</t>
  </si>
  <si>
    <t>XE23A302/C7-243</t>
  </si>
  <si>
    <t>XE23A302/C7-244</t>
  </si>
  <si>
    <t>XE12B302/C6-62</t>
  </si>
  <si>
    <t>RE20A302/C2-315</t>
  </si>
  <si>
    <t>RE20A302/C2-316</t>
  </si>
  <si>
    <t>RE20C302/C1-189</t>
  </si>
  <si>
    <t>RE20C302/C1-190</t>
  </si>
  <si>
    <t>RE20C302/C1-191</t>
  </si>
  <si>
    <t>RE22C302/C4-159</t>
  </si>
  <si>
    <t>RE14B302/C5-147</t>
  </si>
  <si>
    <t>RE14B302/C5-148</t>
  </si>
  <si>
    <t>XE23A302/C7-245</t>
  </si>
  <si>
    <t>XE23A302/C7-246</t>
  </si>
  <si>
    <t>XE23A302/C7-247</t>
  </si>
  <si>
    <t>XE23A302/C7-248</t>
  </si>
  <si>
    <t>XE12B302/C6-63</t>
  </si>
  <si>
    <t>RE20A302/C2-317</t>
  </si>
  <si>
    <t>RE20A302/C2-318</t>
  </si>
  <si>
    <t>RE20A302/C2-319</t>
  </si>
  <si>
    <t>RE20C302/C1-192</t>
  </si>
  <si>
    <t>RE22C302/C4-160</t>
  </si>
  <si>
    <t>RE14B302/C5-149</t>
  </si>
  <si>
    <t>RE14B302/C5-150</t>
  </si>
  <si>
    <t>XE23A302/C7-249</t>
  </si>
  <si>
    <t>XE23A302/C7-250</t>
  </si>
  <si>
    <t>XE23A302/C7-251</t>
  </si>
  <si>
    <t>XE23A302/C7-252</t>
  </si>
  <si>
    <t>RE20C302/C1-193</t>
  </si>
  <si>
    <t>RE20C302/C1-194</t>
  </si>
  <si>
    <t>RE14B302/C5-151</t>
  </si>
  <si>
    <t>RE14B302/C5-152</t>
  </si>
  <si>
    <t>RE14B302/C5-153</t>
  </si>
  <si>
    <t>RE14B302/C5-154</t>
  </si>
  <si>
    <t>RE14B302/C5-155</t>
  </si>
  <si>
    <t>RE14B302/C5-156</t>
  </si>
  <si>
    <t>RE14B302/C5-157</t>
  </si>
  <si>
    <t>RE14B302/C5-158</t>
  </si>
  <si>
    <t>RE14B302/C5-159</t>
  </si>
  <si>
    <t>RE14B302/C5-160</t>
  </si>
  <si>
    <t>RE20C302/C1-195</t>
  </si>
  <si>
    <t>XE12B302/C6-64</t>
  </si>
  <si>
    <t>XE23A302/C7-253</t>
  </si>
  <si>
    <t>XE23A302/C7-254</t>
  </si>
  <si>
    <t>XE23A302/C7-255</t>
  </si>
  <si>
    <t>RE20A302/C2-320</t>
  </si>
  <si>
    <t>RE22C302/C4-161</t>
  </si>
  <si>
    <t>RE22C302/C4-162</t>
  </si>
  <si>
    <t>RE20C302/C1-196</t>
  </si>
  <si>
    <t>RE20C302/C1-197</t>
  </si>
  <si>
    <t>RE20A302/C2-321</t>
  </si>
  <si>
    <t>RE22C302/C4-163</t>
  </si>
  <si>
    <t>RE22C302/C4-164</t>
  </si>
  <si>
    <t>RE14B302/C5-161</t>
  </si>
  <si>
    <t>RE22C302/C4-165</t>
  </si>
  <si>
    <t>RE20A302/C2-322</t>
  </si>
  <si>
    <t>RE22C302/C4-166</t>
  </si>
  <si>
    <t>RE22C302/C4-167</t>
  </si>
  <si>
    <t>RE22C302/C4-168</t>
  </si>
  <si>
    <t>RE20A302/C2-323</t>
  </si>
  <si>
    <t>RE20C302/C1-198</t>
  </si>
  <si>
    <t>XE23A302/C7-256</t>
  </si>
  <si>
    <t>RE20A302/C2-324</t>
  </si>
  <si>
    <t>RE20A302/C2-325</t>
  </si>
  <si>
    <t>RE22C302/C4-169</t>
  </si>
  <si>
    <t>RE20A302/C2-326</t>
  </si>
  <si>
    <t>RE20C302/C1-199</t>
  </si>
  <si>
    <t>XE12B302/C6-65</t>
  </si>
  <si>
    <t>RE22C302/C4-170</t>
  </si>
  <si>
    <t>RE20A302/C2-327</t>
  </si>
  <si>
    <t>XE23A302/C7-257</t>
  </si>
  <si>
    <t>RE20A302/C2-328</t>
  </si>
  <si>
    <t>XE12B302/C6-66</t>
  </si>
  <si>
    <t>XE12B302/C6-67</t>
  </si>
  <si>
    <t>RE20A302/C2-329</t>
  </si>
  <si>
    <t>RE14B302/C5-162</t>
  </si>
  <si>
    <t>RE20A302/C2-330</t>
  </si>
  <si>
    <t>RE22C302/C4-171</t>
  </si>
  <si>
    <t>RE20A302/C2-331</t>
  </si>
  <si>
    <t>RE20A302/C2-332</t>
  </si>
  <si>
    <t>XE23A302/C7-258</t>
  </si>
  <si>
    <t>RE20A302/C2-333</t>
  </si>
  <si>
    <t>RE20A302/C2-334</t>
  </si>
  <si>
    <t>RE20A302/C2-335</t>
  </si>
  <si>
    <t>XE23A302/C7-259</t>
  </si>
  <si>
    <t>RE20A302/C2-336</t>
  </si>
  <si>
    <t>RE22C302/C4-172</t>
  </si>
  <si>
    <t>RE20A302/C2-337</t>
  </si>
  <si>
    <t>RE20A302/C2-338</t>
  </si>
  <si>
    <t>XE23A302/C7-260</t>
  </si>
  <si>
    <t>RE20A302/C2-339</t>
  </si>
  <si>
    <t>XE23A302/C7-261</t>
  </si>
  <si>
    <t>RE20A302/C2-340</t>
  </si>
  <si>
    <t>XE23A302/C7-262</t>
  </si>
  <si>
    <t>XE23A302/C7-263</t>
  </si>
  <si>
    <t>XE23A302/C7-264</t>
  </si>
  <si>
    <t>RE22C302/C4-173</t>
  </si>
  <si>
    <t>XE23A302/C7-265</t>
  </si>
  <si>
    <t>RE20A302/C2-341</t>
  </si>
  <si>
    <t>RE20C302/C1-200</t>
  </si>
  <si>
    <t>RE20A302/C2-342</t>
  </si>
  <si>
    <t>XE23A302/C7-266</t>
  </si>
  <si>
    <t>RE20A302/C2-343</t>
  </si>
  <si>
    <t>RE22C302/C4-174</t>
  </si>
  <si>
    <t>XE23A302/C7-267</t>
  </si>
  <si>
    <t>XE23A302/C7-268</t>
  </si>
  <si>
    <t>RE20A302/C2-344</t>
  </si>
  <si>
    <t>RE20A302/C2-345</t>
  </si>
  <si>
    <t>RE20A302/C2-346</t>
  </si>
  <si>
    <t>RE20A302/C2-347</t>
  </si>
  <si>
    <t>XE23A302/C7-269</t>
  </si>
  <si>
    <t>RE20A302/C2-348</t>
  </si>
  <si>
    <t>RE20C302/C1-201</t>
  </si>
  <si>
    <t>RE20C302/C1-202</t>
  </si>
  <si>
    <t>RE20A302/C2-349</t>
  </si>
  <si>
    <t>RE20A302/C2-350</t>
  </si>
  <si>
    <t>XE12B302/C6-68</t>
  </si>
  <si>
    <t>RE22C302/C4-175</t>
  </si>
  <si>
    <t>XE23A302/C7-270</t>
  </si>
  <si>
    <t>XE23A302/C7-271</t>
  </si>
  <si>
    <t>RE14B302/C5-163</t>
  </si>
  <si>
    <t>RE14B302/C5-164</t>
  </si>
  <si>
    <t>RE14B302/C5-165</t>
  </si>
  <si>
    <t>XE23A302/C7-272</t>
  </si>
  <si>
    <t>RE20C302/C1-203</t>
  </si>
  <si>
    <t>RE20C302/C1-204</t>
  </si>
  <si>
    <t>RE20C302/C1-205</t>
  </si>
  <si>
    <t>RE20C302/C1-206</t>
  </si>
  <si>
    <t>RE20A302/C2-351</t>
  </si>
  <si>
    <t>RE20A302/C2-352</t>
  </si>
  <si>
    <t>RE20A302/C2-353</t>
  </si>
  <si>
    <t>RE20A302/C2-354</t>
  </si>
  <si>
    <t>RE20A302/C2-355</t>
  </si>
  <si>
    <t>XE23A302/C7-273</t>
  </si>
  <si>
    <t>XE23A302/C7-274</t>
  </si>
  <si>
    <t>RE14B302/C5-166</t>
  </si>
  <si>
    <t>RE22C302/C4-176</t>
  </si>
  <si>
    <t>RE20C302/C1-207</t>
  </si>
  <si>
    <t>RE20C302/C1-208</t>
  </si>
  <si>
    <t>RE20A302/C2-356</t>
  </si>
  <si>
    <t>RE20A302/C2-357</t>
  </si>
  <si>
    <t>RE20A302/C2-358</t>
  </si>
  <si>
    <t>RE20A302/C2-359</t>
  </si>
  <si>
    <t>RE20A302/C2-360</t>
  </si>
  <si>
    <t>RE20A302/C2-361</t>
  </si>
  <si>
    <t>RE20A302/C2-362</t>
  </si>
  <si>
    <t>RE20C302/C1-209</t>
  </si>
  <si>
    <t>RE20C302/C1-210</t>
  </si>
  <si>
    <t>RE20C302/C1-211</t>
  </si>
  <si>
    <t>RE22C302/C4-177</t>
  </si>
  <si>
    <t>RE22C302/C4-178</t>
  </si>
  <si>
    <t>RE22C302/C4-179</t>
  </si>
  <si>
    <t>RE20A302/C2-363</t>
  </si>
  <si>
    <t>RE20A302/C2-364</t>
  </si>
  <si>
    <t>RE20A302/C2-365</t>
  </si>
  <si>
    <t>RE20A302/C2-366</t>
  </si>
  <si>
    <t>RE20A302/C2-367</t>
  </si>
  <si>
    <t>RE20A302/C2-368</t>
  </si>
  <si>
    <t>RE20C302/C1-212</t>
  </si>
  <si>
    <t>XE12B302/C6-69</t>
  </si>
  <si>
    <t>XE12B302/C6-70</t>
  </si>
  <si>
    <t>XE23A302/C7-275</t>
  </si>
  <si>
    <t>XE23A302/C7-276</t>
  </si>
  <si>
    <t>RE14B302/C5-167</t>
  </si>
  <si>
    <t>RE14B302/C5-168</t>
  </si>
  <si>
    <t>RE14B302/C5-169</t>
  </si>
  <si>
    <t>RE14B302/C5-170</t>
  </si>
  <si>
    <t>RE14B302/C5-171</t>
  </si>
  <si>
    <t>RE20C302/C1-213</t>
  </si>
  <si>
    <t>RE14B302/C5-172</t>
  </si>
  <si>
    <t>XE23A302/C7-277</t>
  </si>
  <si>
    <t>XE23A302/C7-278</t>
  </si>
  <si>
    <t>XE23A302/C7-279</t>
  </si>
  <si>
    <t>XE23A302/C7-280</t>
  </si>
  <si>
    <t>XE23A302/C7-281</t>
  </si>
  <si>
    <t>RE20A302/C2-369</t>
  </si>
  <si>
    <t>RE20A302/C2-370</t>
  </si>
  <si>
    <t>RE20A302/C2-371</t>
  </si>
  <si>
    <t>RE20A302/C2-372</t>
  </si>
  <si>
    <t>RE20A302/C2-373</t>
  </si>
  <si>
    <t>RE20A302/C2-374</t>
  </si>
  <si>
    <t>RE20A302/C2-375</t>
  </si>
  <si>
    <t>RE20A302/C2-376</t>
  </si>
  <si>
    <t>RE20A302/C2-377</t>
  </si>
  <si>
    <t>RE20A302/C2-378</t>
  </si>
  <si>
    <t>RE22C302/C4-180</t>
  </si>
  <si>
    <t>RE14B302/C5-173</t>
  </si>
  <si>
    <t>RE14B302/C5-174</t>
  </si>
  <si>
    <t>XE23A302/C7-282</t>
  </si>
  <si>
    <t>XE23A302/C7-283</t>
  </si>
  <si>
    <t>XE23A302/C7-284</t>
  </si>
  <si>
    <t>XE23A302/C7-285</t>
  </si>
  <si>
    <t>XE23A302/C7-286</t>
  </si>
  <si>
    <t>RE20A302/C2-379</t>
  </si>
  <si>
    <t>RE20A302/C2-380</t>
  </si>
  <si>
    <t>RE20A302/C2-381</t>
  </si>
  <si>
    <t>RE20A302/C2-382</t>
  </si>
  <si>
    <t>RE20A302/C2-383</t>
  </si>
  <si>
    <t>RE20A302/C2-384</t>
  </si>
  <si>
    <t>RE20A302/C2-385</t>
  </si>
  <si>
    <t>RE20A302/C2-386</t>
  </si>
  <si>
    <t>RE22C302/C4-181</t>
  </si>
  <si>
    <t>XE23A302/C7-287</t>
  </si>
  <si>
    <t>XE23A302/C7-288</t>
  </si>
  <si>
    <t>XE23A302/C7-289</t>
  </si>
  <si>
    <t>XE23A302/C7-290</t>
  </si>
  <si>
    <t>XE23A302/C7-291</t>
  </si>
  <si>
    <t>XE23A302/C7-292</t>
  </si>
  <si>
    <t>RE20A302/C2-387</t>
  </si>
  <si>
    <t>RE20A302/C2-388</t>
  </si>
  <si>
    <t>RE20A302/C2-389</t>
  </si>
  <si>
    <t>RE20A302/C2-390</t>
  </si>
  <si>
    <t>RE20A302/C2-391</t>
  </si>
  <si>
    <t>RE20A302/C2-392</t>
  </si>
  <si>
    <t>RE14B302/C5-175</t>
  </si>
  <si>
    <t>RE14B302/C5-176</t>
  </si>
  <si>
    <t>RE14B302/C5-177</t>
  </si>
  <si>
    <t>RE14B302/C5-178</t>
  </si>
  <si>
    <t>RE22C302/C4-182</t>
  </si>
  <si>
    <t>XE23A302/C7-293</t>
  </si>
  <si>
    <t>RE20A302/C2-393</t>
  </si>
  <si>
    <t>RE20A302/C2-394</t>
  </si>
  <si>
    <t>RE20A302/C2-395</t>
  </si>
  <si>
    <t>RE22C302/C4-183</t>
  </si>
  <si>
    <t>XE23A302/C7-294</t>
  </si>
  <si>
    <t>RE20C302/C1-214</t>
  </si>
  <si>
    <t>RE20C302/C1-215</t>
  </si>
  <si>
    <t>RE20C302/C1-216</t>
  </si>
  <si>
    <t>RE20A302/C2-396</t>
  </si>
  <si>
    <t>RE20C302/C1-217</t>
  </si>
  <si>
    <t>RE20C302/C1-218</t>
  </si>
  <si>
    <t>RE20A302/C2-397</t>
  </si>
  <si>
    <t>RE20A302/C2-398</t>
  </si>
  <si>
    <t>RE20A302/C2-399</t>
  </si>
  <si>
    <t>RE20A302/C2-400</t>
  </si>
  <si>
    <t>RE20A302/C2-401</t>
  </si>
  <si>
    <t>RE20C302/C1-219</t>
  </si>
  <si>
    <t>RE14B302/C5-179</t>
  </si>
  <si>
    <t>RE14B302/C5-180</t>
  </si>
  <si>
    <t>RE20A302/C2-402</t>
  </si>
  <si>
    <t>RE20A302/C2-403</t>
  </si>
  <si>
    <t>RE20A302/C2-404</t>
  </si>
  <si>
    <t>RE20C302/C1-220</t>
  </si>
  <si>
    <t>RE20C302/C1-221</t>
  </si>
  <si>
    <t>RE22C302/C4-184</t>
  </si>
  <si>
    <t>RE22C302/C4-185</t>
  </si>
  <si>
    <t>XE23A302/C7-295</t>
  </si>
  <si>
    <t>XE23A302/C7-296</t>
  </si>
  <si>
    <t>XE23A302/C7-297</t>
  </si>
  <si>
    <t>XE23A302/C7-298</t>
  </si>
  <si>
    <t>XE23A302/C7-299</t>
  </si>
  <si>
    <t>XE23A302/C7-300</t>
  </si>
  <si>
    <t>RE20A302/C2-405</t>
  </si>
  <si>
    <t>RE20A302/C2-406</t>
  </si>
  <si>
    <t>RE20A302/C2-407</t>
  </si>
  <si>
    <t>RE20A302/C2-408</t>
  </si>
  <si>
    <t>RE20C302/C1-222</t>
  </si>
  <si>
    <t>RE20C302/C1-223</t>
  </si>
  <si>
    <t>XE23A302/C7-301</t>
  </si>
  <si>
    <t>RE20A302/C2-409</t>
  </si>
  <si>
    <t>RE20A302/C2-410</t>
  </si>
  <si>
    <t>RE20A302/C2-411</t>
  </si>
  <si>
    <t>RE20A302/C2-412</t>
  </si>
  <si>
    <t>RE20A302/C2-413</t>
  </si>
  <si>
    <t>RE20A302/C2-414</t>
  </si>
  <si>
    <t>RE20C302/C1-224</t>
  </si>
  <si>
    <t>RE20C302/C1-225</t>
  </si>
  <si>
    <t>RE20C302/C1-226</t>
  </si>
  <si>
    <t>RE20C302/C1-227</t>
  </si>
  <si>
    <t>RE20A302/C2-415</t>
  </si>
  <si>
    <t>RE20A302/C2-416</t>
  </si>
  <si>
    <t>RE20A302/C2-417</t>
  </si>
  <si>
    <t>RE20A302/C2-418</t>
  </si>
  <si>
    <t>RE20A302/C2-419</t>
  </si>
  <si>
    <t>RE20A302/C2-420</t>
  </si>
  <si>
    <t>RE20C302/C1-228</t>
  </si>
  <si>
    <t>RE22C302/C4-186</t>
  </si>
  <si>
    <t>XE12B302/C6-71</t>
  </si>
  <si>
    <t>XE23A302/C7-302</t>
  </si>
  <si>
    <t>XE23A302/C7-303</t>
  </si>
  <si>
    <t>XE12B302/C6-72</t>
  </si>
  <si>
    <t>RE20A302/C2-421</t>
  </si>
  <si>
    <t>RE20A302/C2-422</t>
  </si>
  <si>
    <t>RE20C302/C1-229</t>
  </si>
  <si>
    <t>XE23A302/C7-304</t>
  </si>
  <si>
    <t>RE20C302/C1-230</t>
  </si>
  <si>
    <t>RE20A302/C2-423</t>
  </si>
  <si>
    <t>RE20A302/C2-424</t>
  </si>
  <si>
    <t>XE12B302/C6-73</t>
  </si>
  <si>
    <t>XE23A302/C7-305</t>
  </si>
  <si>
    <t>RE14B302/C5-181</t>
  </si>
  <si>
    <t>RE20A302/C2-425</t>
  </si>
  <si>
    <t>RE20A302/C2-426</t>
  </si>
  <si>
    <t>RE20A302/C2-427</t>
  </si>
  <si>
    <t>RE22C302/C4-187</t>
  </si>
  <si>
    <t>RE14B302/C5-182</t>
  </si>
  <si>
    <t>RE20A302/C2-428</t>
  </si>
  <si>
    <t>RE20A302/C2-429</t>
  </si>
  <si>
    <t>RE20A302/C2-430</t>
  </si>
  <si>
    <t>RE14B302/C5-183</t>
  </si>
  <si>
    <t>RE20A302/C2-431</t>
  </si>
  <si>
    <t>RE20A302/C2-432</t>
  </si>
  <si>
    <t>RE20A302/C2-433</t>
  </si>
  <si>
    <t>XE23A302/C7-306</t>
  </si>
  <si>
    <t>RE20C302/C1-231</t>
  </si>
  <si>
    <t>RE20A302/C2-434</t>
  </si>
  <si>
    <t>RE20A302/C2-435</t>
  </si>
  <si>
    <t>RE20C302/C1-232</t>
  </si>
  <si>
    <t>RE20A302/C2-436</t>
  </si>
  <si>
    <t>RE20A302/C2-437</t>
  </si>
  <si>
    <t>RE20C302/C1-233</t>
  </si>
  <si>
    <t>RE20A302/C2-438</t>
  </si>
  <si>
    <t>RE20C302/C1-234</t>
  </si>
  <si>
    <t>RE20C302/C1-235</t>
  </si>
  <si>
    <t>XE23A302/C7-307</t>
  </si>
  <si>
    <t>XE23A302/C7-308</t>
  </si>
  <si>
    <t>RE20A302/C2-439</t>
  </si>
  <si>
    <t>XE23A302/C7-309</t>
  </si>
  <si>
    <t>RE20A302/C2-440</t>
  </si>
  <si>
    <t>XE23A302/C7-310</t>
  </si>
  <si>
    <t>XE23A302/C7-311</t>
  </si>
  <si>
    <t>RE20A302/C2-441</t>
  </si>
  <si>
    <t>RE20A302/C2-442</t>
  </si>
  <si>
    <t>RE20C302/C1-236</t>
  </si>
  <si>
    <t>XE23A302/C7-312</t>
  </si>
  <si>
    <t>RE20A302/C2-443</t>
  </si>
  <si>
    <t>RE20C302/C1-237</t>
  </si>
  <si>
    <t>RE20A302/C2-444</t>
  </si>
  <si>
    <t>XE23A302/C7-313</t>
  </si>
  <si>
    <t>RE20A302/C2-445</t>
  </si>
  <si>
    <t>RE20C302/C1-238</t>
  </si>
  <si>
    <t>RE22C302/C4-188</t>
  </si>
  <si>
    <t>RE20A302/C2-446</t>
  </si>
  <si>
    <t>RE20A302/C2-447</t>
  </si>
  <si>
    <t>RE20A302/C2-448</t>
  </si>
  <si>
    <t>RE20A302/C2-449</t>
  </si>
  <si>
    <t>RE20A302/C2-450</t>
  </si>
  <si>
    <t>RE20C302/C1-239</t>
  </si>
  <si>
    <t>RE22C302/C4-189</t>
  </si>
  <si>
    <t>RE20C302/C1-240</t>
  </si>
  <si>
    <t>RE20A302/C2-451</t>
  </si>
  <si>
    <t>XE23A302/C7-314</t>
  </si>
  <si>
    <t>XE23A302/C7-315</t>
  </si>
  <si>
    <t>RE20A302/C2-452</t>
  </si>
  <si>
    <t>RE20C302/C1-241</t>
  </si>
  <si>
    <t>RE22C302/C4-190</t>
  </si>
  <si>
    <t>RE22C302/C4-191</t>
  </si>
  <si>
    <t>XE23A302/C7-316</t>
  </si>
  <si>
    <t>ZE16B130/C7-51</t>
  </si>
  <si>
    <t>ZE16B130/C7-52</t>
  </si>
  <si>
    <t>ZE16B130/C7-53</t>
  </si>
  <si>
    <t>ZE16B130/C7-54</t>
  </si>
  <si>
    <t>ZE16B130/C7-55</t>
  </si>
  <si>
    <t>CE20C406/C1-101</t>
  </si>
  <si>
    <t>CE20C406/C1-102</t>
  </si>
  <si>
    <t>CE20C406/C1-103</t>
  </si>
  <si>
    <t>CE20C406/C1-104</t>
  </si>
  <si>
    <t>ZE16B130/C7-56</t>
  </si>
  <si>
    <t>ZE16B130/C7-57</t>
  </si>
  <si>
    <t>ZE16B130/C7-58</t>
  </si>
  <si>
    <t>ZE16B130/C7-59</t>
  </si>
  <si>
    <t>CE22A547/C4-51</t>
  </si>
  <si>
    <t>CE20C406/C1-105</t>
  </si>
  <si>
    <t>CE20C406/C1-106</t>
  </si>
  <si>
    <t>CE20C406/C1-107</t>
  </si>
  <si>
    <t>CE20C406/C1-108</t>
  </si>
  <si>
    <t>CE20C406/C1-109</t>
  </si>
  <si>
    <t>ZE16B130/C7-60</t>
  </si>
  <si>
    <t>ZE16B130/C7-61</t>
  </si>
  <si>
    <t>CE22A547/C4-52</t>
  </si>
  <si>
    <t>CE22A547/C4-53</t>
  </si>
  <si>
    <t>CE20C406/C1-110</t>
  </si>
  <si>
    <t>ZE16B130/C7-62</t>
  </si>
  <si>
    <t>ZE16B130/C7-63</t>
  </si>
  <si>
    <t>ZE16B130/C7-64</t>
  </si>
  <si>
    <t>ZE16B130/C7-65</t>
  </si>
  <si>
    <t>CE20C406/C1-111</t>
  </si>
  <si>
    <t>ZE16B130/C7-66</t>
  </si>
  <si>
    <t>FE14A121/C5-51</t>
  </si>
  <si>
    <t>CE20C406/C1-112</t>
  </si>
  <si>
    <t>CE20C406/C1-113</t>
  </si>
  <si>
    <t>ZE16B130/C7-67</t>
  </si>
  <si>
    <t>CE22A547/C4-54</t>
  </si>
  <si>
    <t>CE20C406/C1-114</t>
  </si>
  <si>
    <t>CE20C406/C1-115</t>
  </si>
  <si>
    <t>CE20C406/C1-116</t>
  </si>
  <si>
    <t>CE20C406/C1-117</t>
  </si>
  <si>
    <t>CE22A547/C4-55</t>
  </si>
  <si>
    <t>ZE16B130/C7-68</t>
  </si>
  <si>
    <t>CE20C406/C1-118</t>
  </si>
  <si>
    <t>CE20C406/C1-119</t>
  </si>
  <si>
    <t>CE20C406/C1-120</t>
  </si>
  <si>
    <t>CE20C406/C1-121</t>
  </si>
  <si>
    <t>CE20C406/C1-122</t>
  </si>
  <si>
    <t>CE20C406/C1-123</t>
  </si>
  <si>
    <t>CE20C406/C1-124</t>
  </si>
  <si>
    <t>CE20C406/C1-125</t>
  </si>
  <si>
    <t>CE22A547/C4-56</t>
  </si>
  <si>
    <t>CE22A547/C4-57</t>
  </si>
  <si>
    <t>CE22A547/C4-58</t>
  </si>
  <si>
    <t>FE14A121/C5-52</t>
  </si>
  <si>
    <t>FE14A121/C5-53</t>
  </si>
  <si>
    <t>FE14A121/C5-54</t>
  </si>
  <si>
    <t>CE20C406/C1-126</t>
  </si>
  <si>
    <t>CE22A547/C4-59</t>
  </si>
  <si>
    <t>CE20C406/C1-127</t>
  </si>
  <si>
    <t>CE22A547/C4-60</t>
  </si>
  <si>
    <t>CE20C406/C1-128</t>
  </si>
  <si>
    <t>CE22A547/C4-61</t>
  </si>
  <si>
    <t>CE22A547/C4-62</t>
  </si>
  <si>
    <t>CE22A547/C4-63</t>
  </si>
  <si>
    <t>CE22A547/C4-64</t>
  </si>
  <si>
    <t>ZE16B130/C7-69</t>
  </si>
  <si>
    <t>ZE16B130/C7-70</t>
  </si>
  <si>
    <t>ZE16B130/C7-71</t>
  </si>
  <si>
    <t>CE20C406/C1-129</t>
  </si>
  <si>
    <t>ZE16A117/C6-21</t>
  </si>
  <si>
    <t>CE20C406/C1-130</t>
  </si>
  <si>
    <t>CE20C406/C1-131</t>
  </si>
  <si>
    <t>CE20C406/C1-132</t>
  </si>
  <si>
    <t>CE22A547/C4-65</t>
  </si>
  <si>
    <t>CE20C406/C1-133</t>
  </si>
  <si>
    <t>CE22A547/C4-66</t>
  </si>
  <si>
    <t>FE14A121/C5-55</t>
  </si>
  <si>
    <t>CE22A547/C4-67</t>
  </si>
  <si>
    <t>CE22A547/C4-68</t>
  </si>
  <si>
    <t>ZE16B130/C7-72</t>
  </si>
  <si>
    <t>CE20C406/C1-134</t>
  </si>
  <si>
    <t>CE22A547/C4-69</t>
  </si>
  <si>
    <t>CE22A547/C4-70</t>
  </si>
  <si>
    <t>ZE16B130/C7-73</t>
  </si>
  <si>
    <t>ZE16A117/C6-22</t>
  </si>
  <si>
    <t>CE22A547/C4-71</t>
  </si>
  <si>
    <t>CE22A547/C4-72</t>
  </si>
  <si>
    <t>CE22A547/C4-73</t>
  </si>
  <si>
    <t>ZE16B130/C7-74</t>
  </si>
  <si>
    <t>ZE16B130/C7-75</t>
  </si>
  <si>
    <t>ZE16B130/C7-76</t>
  </si>
  <si>
    <t>ZE16B130/C7-77</t>
  </si>
  <si>
    <t>CE22A547/C4-74</t>
  </si>
  <si>
    <t>CE22A547/C4-75</t>
  </si>
  <si>
    <t>CE22A547/C4-76</t>
  </si>
  <si>
    <t>FE14A121/C5-56</t>
  </si>
  <si>
    <t>ZE16B130/C7-78</t>
  </si>
  <si>
    <t>ZE16B130/C7-79</t>
  </si>
  <si>
    <t>CE22A547/C4-77</t>
  </si>
  <si>
    <t>CE22A547/C4-78</t>
  </si>
  <si>
    <t>CE22A547/C4-79</t>
  </si>
  <si>
    <t>CE22A547/C4-80</t>
  </si>
  <si>
    <t>CE22A547/C4-81</t>
  </si>
  <si>
    <t>CE22A547/C4-82</t>
  </si>
  <si>
    <t>CE22A547/C4-83</t>
  </si>
  <si>
    <t>CE20C406/C1-135</t>
  </si>
  <si>
    <t>CE22A547/C4-84</t>
  </si>
  <si>
    <t>CE20C406/C1-136</t>
  </si>
  <si>
    <t>CE20C406/C1-137</t>
  </si>
  <si>
    <t>CE22A547/C4-85</t>
  </si>
  <si>
    <t>CE22A547/C4-86</t>
  </si>
  <si>
    <t>CE22A547/C4-87</t>
  </si>
  <si>
    <t>CE20C406/C1-138</t>
  </si>
  <si>
    <t>CE22A547/C4-88</t>
  </si>
  <si>
    <t>CE22A547/C4-89</t>
  </si>
  <si>
    <t>CE22A547/C4-90</t>
  </si>
  <si>
    <t>CE22A547/C4-91</t>
  </si>
  <si>
    <t>ZE16A117/C6-23</t>
  </si>
  <si>
    <t>CE20C406/C1-139</t>
  </si>
  <si>
    <t>FE14A121/C5-57</t>
  </si>
  <si>
    <t>क्षेत्रीय कार्यालयाने करावयाची योजनेतर कामे : सन 2017-18</t>
  </si>
  <si>
    <t>क्षेत्रीय कार्यालयाने करावयाची कामे : सन 2017-18</t>
  </si>
  <si>
    <t>क्षेत्रीय कार्यालयाने करावयाची योजनांतर्गत कामे : सन 2017-18</t>
  </si>
  <si>
    <t>क्षेत्रीय कार्यालयाने नागरिकांच्या सहभागातून करावयाची योजनेतर कामे : सन 2017-18</t>
  </si>
  <si>
    <t>क्षेत्रीय कार्यालयाने नागरिकांच्या सहभागातून करावयाची योजनांतर्गत कामे : सन 2017-18</t>
  </si>
  <si>
    <t>अप्पर सुपर इंदिरानगर परिसरातील रस्ते विकसित करणे</t>
  </si>
  <si>
    <t>दौलतनगर, निंबजनगर, सूर्यनगरी व सुंदरसहवास येथील रस्ते विकसित करणे</t>
  </si>
  <si>
    <t>अग्रवाल कॉलनी, सुजान पार्क व बिबवेवाडी परिसर येथील रस्ते विकसित करणे</t>
  </si>
  <si>
    <t>नागरीकाभिमुख प्रकल्पांच्या प्रसिद्धीकरिता व नागरिकांच्या सहभागाकरिता (Citizen Engagement &amp; Promotion)</t>
  </si>
  <si>
    <t>पथ विभागाकडील औंध, घोले रोड, कोथरूड, वारजे, येरवडा,  ढोले पाटील, नगररोड (वडगांवशेरी), सहकारनगर, धनकवडी, टिळकरोड, भवानी पेठ, विश्रामबागवाडा, बिबवेवाडी, हडपसर व कोंढवा वानवडी क्षेत्रिय कार्यालयांचे कार्यक्षेत्रात पुणे मनपाच्या बॅच मिक्‍स प्लॅन्टमार्फत  विविध रस्त्यांवर रिसर्फेसींगची कामे करणे.तसेच इतर तद्‌. कामे करणे.</t>
  </si>
  <si>
    <t>पुणे मनपा हद्दीतील मिळकतींचे GIS करणे</t>
  </si>
  <si>
    <t>प्र.क्र.४१ मध्ये बालाजीनगर, विकासनगर, पंचशीलनगर व इतर ठिकाणी ड्रेनेज लाईन टाकणे व तदनुषंगीक कामे करणे</t>
  </si>
  <si>
    <t>प्र.क्र.२३ येथील २५१ इंदिरानगर, ३३० भिमनगर येथील नविन ड्रेनेज लाईन व कॉक्रीटीकरण करणे व तदनुषंगिक कामे करणे</t>
  </si>
  <si>
    <t>प्र.क्र.५३, स.नं.१४/१५, विठ्ठल नगर कॉलनी, गुरूदत्त मिल ते सोळस्कर यांच्या घरापर्यंत ट्रीमिक्स कॉक्रीट रस्ता करणे</t>
  </si>
  <si>
    <t>एकतानगरी येथे अपुर्ण (डांबरीकरण) रस्ता पुर्ण करणे</t>
  </si>
  <si>
    <t>प्रभाग क्र.६६ चाळ क्र.७ ते १२ व १३ ते १८ महर्षिनगर परिसरात पावसाळी गटारे करणे</t>
  </si>
  <si>
    <t>प्र.क्र.६७ पद्‌मावती येथील निर्मल पार्क समोरील शेवाळे सर्व्हिस स्टेंशनच्या पुढील भागापासून ते वरपर्यंत फुटपाथ करणे</t>
  </si>
  <si>
    <t>प्रभाग क्र.51 मधील अंबिल ओढा कॉलनी इमारत क्र.1 ते 11 दारे, खिडक्या, डाउनटेक पार्इप बदलणे व रंगरंगोटी करणे</t>
  </si>
  <si>
    <t>प्र.क्र.२६ मधील केळेवाडी राजीव गांधी पार्क व इंदिरापार्क मध्ये जुन्या विद्युत लाईट काढुन नवीन विद्युत लाईट बसवणे</t>
  </si>
  <si>
    <t>प्रभाग क्र.10 सुतारवाडी दफनभुमी येथे बेंचेस बसविणे.</t>
  </si>
  <si>
    <t>ज.ने.रा.श.पु.अ. फेज 2 अंतर्गत असलेल्या मार्गदर्शक सुचनांशी सुसंगत अशा कामांना जर 2016-17 च्या अंदाजपत्रकात तरतुद केलेली असेल व अशा कामांचे प्रस्ताव सन 2017-18 मध्ये ज.ने.रा.श.पु.अ. फेज 2 मध्ये मान्य झाले तर, अशा कामांवरील खर्च हा ज.ने.रा.श.पु.अ. फेज 2 अंतर्गत प्राप्त होणार्‍या अनुदानामधून अनुज्ञेय आहे, असे समजण्यात यावे, असे प्रस्तावित करण्यात येत आहे.</t>
  </si>
  <si>
    <t>( टीप 1 :- जवाहरलाल नेहरू नागरी पुनर्निर्माण योजना निधीतून काम पूर्ण होण्यासाठी आवश्यक असलेल्या रकमेपर्यंत खर्च करण्यात येईल.)</t>
  </si>
  <si>
    <t>( टीप 2 :- केंद्र शासनाकडून प्रकल्प मान्य होऊन पहिला हप्ता प्राप्त झाल्यानंतरच खर्च करण्यात येईल.)</t>
  </si>
  <si>
    <t>FE61A118/B-110</t>
  </si>
  <si>
    <t>FE61A118/B-111</t>
  </si>
  <si>
    <t>FE61A118/B-112</t>
  </si>
  <si>
    <t>FE61A118/B-113</t>
  </si>
  <si>
    <t>RE11F111</t>
  </si>
  <si>
    <t>RE11F112</t>
  </si>
  <si>
    <t>RE35A101B</t>
  </si>
  <si>
    <t>RE11N124</t>
  </si>
  <si>
    <t>RE12A133</t>
  </si>
  <si>
    <t>RE12A134</t>
  </si>
  <si>
    <t>RE12A135</t>
  </si>
  <si>
    <t>कर्जरोखे उभारण्यासाठी खर्च, फी, चार्जेस व तदनुषंगिक खर्च</t>
  </si>
  <si>
    <t>RE17D114A</t>
  </si>
  <si>
    <t>RE17D114B</t>
  </si>
  <si>
    <t>पुणे शहरातील मृत्यु पावणार्‍या व्यक्तीचे अत्यंसस्कार मोफत करणे</t>
  </si>
  <si>
    <t>पुणे शहरामध्ये वस्ती क्लिनिक सुरू करणेसाठी कंत्राटी पध्दतीने सेवकांच्या नेमणूकी</t>
  </si>
  <si>
    <t>पुणे शहरामध्ये सिटी हेल्थ प्लान अंतर्गत रेफेरेन्स सेंटरमधील उपकरणे खरेदी व इतर खर्च</t>
  </si>
  <si>
    <t>RE17F147R</t>
  </si>
  <si>
    <t>RE17F147S</t>
  </si>
  <si>
    <t>RE17F147T</t>
  </si>
  <si>
    <t>RE17F147U</t>
  </si>
  <si>
    <t>RE17F147V</t>
  </si>
  <si>
    <t>RE17F167B</t>
  </si>
  <si>
    <t>RE19A154</t>
  </si>
  <si>
    <t>RE19A155</t>
  </si>
  <si>
    <t>RE19A156</t>
  </si>
  <si>
    <t>RE19A157</t>
  </si>
  <si>
    <t>RE19A158</t>
  </si>
  <si>
    <t>RE19A159</t>
  </si>
  <si>
    <t>RE20C116</t>
  </si>
  <si>
    <t>RE21C139</t>
  </si>
  <si>
    <t>RE69A101</t>
  </si>
  <si>
    <t>१३. कामगार नुकसान भरपाई अधिनियम 1923 अंतर्गत नुकसान भरपाई देणे</t>
  </si>
  <si>
    <t>101 इन्फट्री बटालियन</t>
  </si>
  <si>
    <t>ZI12A111</t>
  </si>
  <si>
    <t>ZI12A112</t>
  </si>
  <si>
    <t>MLP च्या अहवाला प्रमाणे मनपाची व राज्य सरकारचे अनुदान येईपर्यत खर्च करावयाची कामे</t>
  </si>
  <si>
    <t>SNDT पंपिंग स्टेशन</t>
  </si>
  <si>
    <t>SNDT पंपिंग स्टेशन एकूण बेरीज</t>
  </si>
  <si>
    <t>CE19A170</t>
  </si>
  <si>
    <t>CE19A171</t>
  </si>
  <si>
    <t>CE19A172</t>
  </si>
  <si>
    <t>CE19A173</t>
  </si>
  <si>
    <t>CE19A174</t>
  </si>
  <si>
    <t>CE19A175</t>
  </si>
  <si>
    <t>CE19A176</t>
  </si>
  <si>
    <t>मनपा मुख्य भवन येथे जनरेटर पुरविणे, बसविणे व तद्‌नुषंगिक विद्युत विषयक कामे करणे</t>
  </si>
  <si>
    <t>FE14B128</t>
  </si>
  <si>
    <t>FE14C208</t>
  </si>
  <si>
    <t>FE14D134</t>
  </si>
  <si>
    <t>FE14D135</t>
  </si>
  <si>
    <t>FE14D136</t>
  </si>
  <si>
    <t>FE17A103-32</t>
  </si>
  <si>
    <t>RE11A276/R3-20</t>
  </si>
  <si>
    <t>RE11A276/R3-21</t>
  </si>
  <si>
    <t>RE11A276/R3-22</t>
  </si>
  <si>
    <t>RE11A276/R3-23</t>
  </si>
  <si>
    <t>RE11A276/R3-24</t>
  </si>
  <si>
    <t>RE11A276/R3-25</t>
  </si>
  <si>
    <t>RE11A276/R3-26</t>
  </si>
  <si>
    <t>RE26A120/R8-11</t>
  </si>
  <si>
    <t>RE26A120/R8-12</t>
  </si>
  <si>
    <t>RE26A120/R8-13</t>
  </si>
  <si>
    <t>RE26A120/R8-14</t>
  </si>
  <si>
    <t>RE26A120/R8-15</t>
  </si>
  <si>
    <t>RE26A120/R8-16</t>
  </si>
  <si>
    <t>RE26A120/R8-17</t>
  </si>
  <si>
    <t>RE26A120/R8-18</t>
  </si>
  <si>
    <t>RE26A120/R8-19</t>
  </si>
  <si>
    <t>RE26A120/R8-20</t>
  </si>
  <si>
    <t>RE31F/R5-</t>
  </si>
  <si>
    <t>RE31F/R5-1</t>
  </si>
  <si>
    <t>RE31F/R5-2</t>
  </si>
  <si>
    <t>RE31F/R5-3</t>
  </si>
  <si>
    <t>RE31F/R5-4</t>
  </si>
  <si>
    <t>RE31F/R5-5</t>
  </si>
  <si>
    <t>RE31F/R5-6</t>
  </si>
  <si>
    <t>RE31F/R5-7</t>
  </si>
  <si>
    <t>RE31F/R5-8</t>
  </si>
  <si>
    <t>RE31F/R5-9</t>
  </si>
  <si>
    <t>RE31F/R5-10</t>
  </si>
  <si>
    <t>RE31F/R5-11</t>
  </si>
  <si>
    <t>RE31F/R5-12</t>
  </si>
  <si>
    <t>RE31F/R5-13</t>
  </si>
  <si>
    <t>RE31F/R5-14</t>
  </si>
  <si>
    <t>RE31F/R5-15</t>
  </si>
  <si>
    <t>RE31F/R5-16</t>
  </si>
  <si>
    <t>RE31F/R5-17</t>
  </si>
  <si>
    <t>RE31F/R5-18</t>
  </si>
  <si>
    <t>RE31F/R5-19</t>
  </si>
  <si>
    <t>RE31F/R5-20</t>
  </si>
  <si>
    <t>RE31F/R5-21</t>
  </si>
  <si>
    <t>RE31F/R5-22</t>
  </si>
  <si>
    <t>RE31F/R5-23</t>
  </si>
  <si>
    <t>RE31F/R5-24</t>
  </si>
  <si>
    <t>RE31F/R5-25</t>
  </si>
  <si>
    <t>RE31F/R5-26</t>
  </si>
  <si>
    <t>RE31F/R5-27</t>
  </si>
  <si>
    <t>RE31F/R5-28</t>
  </si>
  <si>
    <t>RE31F/R5-29</t>
  </si>
  <si>
    <t>RE31F/R5-30</t>
  </si>
  <si>
    <t>RE31F/R5-31</t>
  </si>
  <si>
    <t>RE31F/R5-32</t>
  </si>
  <si>
    <t>RE31F/R5-33</t>
  </si>
  <si>
    <t>RE31F/R5-34</t>
  </si>
  <si>
    <t>RE31F/R5-35</t>
  </si>
  <si>
    <t>RE31F/R5-36</t>
  </si>
  <si>
    <t>RE31F/R5-37</t>
  </si>
  <si>
    <t>RE31F/R5-38</t>
  </si>
  <si>
    <t>RE31F/R5-39</t>
  </si>
  <si>
    <t>RE31F/R5-40</t>
  </si>
  <si>
    <t>RE31F/R5-41</t>
  </si>
  <si>
    <t>RE31F/R5-42</t>
  </si>
  <si>
    <t>RE31F/R5-43</t>
  </si>
  <si>
    <t>RE31F/R5-44</t>
  </si>
  <si>
    <t>RE31F/R5-45</t>
  </si>
  <si>
    <t>RE31F/R5-46</t>
  </si>
  <si>
    <t>RE31F/R5-47</t>
  </si>
  <si>
    <t>RE31F/R5-48</t>
  </si>
  <si>
    <t>RE31F/R5-49</t>
  </si>
  <si>
    <t>RE31F/R5-50</t>
  </si>
  <si>
    <t>RE31F/R5-51</t>
  </si>
  <si>
    <t>RE31F/R5-52</t>
  </si>
  <si>
    <t>RE31F/R5-53</t>
  </si>
  <si>
    <t>RE31F/R5-54</t>
  </si>
  <si>
    <t>RE31F/R5-55</t>
  </si>
  <si>
    <t>RE31F/R5-56</t>
  </si>
  <si>
    <t>RE31F/R5-57</t>
  </si>
  <si>
    <t>RE31F/R5-58</t>
  </si>
  <si>
    <t>RE31F/R5-59</t>
  </si>
  <si>
    <t>RE31F/R5-60</t>
  </si>
  <si>
    <t>RE31F/R5-61</t>
  </si>
  <si>
    <t>RE31F/R5-62</t>
  </si>
  <si>
    <t>RE31F/R5-63</t>
  </si>
  <si>
    <t>RE31F/R5-64</t>
  </si>
  <si>
    <t>RE31F/R5-65</t>
  </si>
  <si>
    <t>RE31F/R5-66</t>
  </si>
  <si>
    <t>RE31F/R5-67</t>
  </si>
  <si>
    <t>RE31F/R5-68</t>
  </si>
  <si>
    <t>RE31F/R5-69</t>
  </si>
  <si>
    <t>RE31F/R5-70</t>
  </si>
  <si>
    <t>RE31F/R5-71</t>
  </si>
  <si>
    <t>RE31F/R5-72</t>
  </si>
  <si>
    <t>RE31F/R5-73</t>
  </si>
  <si>
    <t>RE31F/R5-74</t>
  </si>
  <si>
    <t>RE31F/R5-75</t>
  </si>
  <si>
    <t>RE31F/R5-76</t>
  </si>
  <si>
    <t>RE31F/R5-77</t>
  </si>
  <si>
    <t>RE31F/R5-78</t>
  </si>
  <si>
    <t>RE31F/R5-79</t>
  </si>
  <si>
    <t>RE31F/R5-80</t>
  </si>
  <si>
    <t>RE31F/R5-81</t>
  </si>
  <si>
    <t>RE31F/R5-82</t>
  </si>
  <si>
    <t>RE31F/R5-83</t>
  </si>
  <si>
    <t>RE31F/R5-84</t>
  </si>
  <si>
    <t>RE31F/R5-85</t>
  </si>
  <si>
    <t>RE31F/R5-86</t>
  </si>
  <si>
    <t>RE31F/R5-87</t>
  </si>
  <si>
    <t>RE31F/R5-88</t>
  </si>
  <si>
    <t>RE31F/R5-89</t>
  </si>
  <si>
    <t>RE31F/R5-90</t>
  </si>
  <si>
    <t>RE31F/R5-91</t>
  </si>
  <si>
    <t>RE31F/R5-92</t>
  </si>
  <si>
    <t>RE31F/R5-93</t>
  </si>
  <si>
    <t>RE31F/R5-94</t>
  </si>
  <si>
    <t>RE31F/R5-95</t>
  </si>
  <si>
    <t>RE31F/R5-96</t>
  </si>
  <si>
    <t>RE31F/R5-97</t>
  </si>
  <si>
    <t>RE31F/R5-98</t>
  </si>
  <si>
    <t>RE31F/R5-99</t>
  </si>
  <si>
    <t>RE31F/R5-100</t>
  </si>
  <si>
    <t>RE31F/R5-101</t>
  </si>
  <si>
    <t>RE31F/R5-102</t>
  </si>
  <si>
    <t>RE31F/R5-103</t>
  </si>
  <si>
    <t>RE31F/R5-104</t>
  </si>
  <si>
    <t>RE31F/R5-105</t>
  </si>
  <si>
    <t>RE31F/R5-106</t>
  </si>
  <si>
    <t>RE31F/R5-107</t>
  </si>
  <si>
    <t>RE31F/R5-108</t>
  </si>
  <si>
    <t>RE31F/R5-109</t>
  </si>
  <si>
    <t>RE31F/R5-110</t>
  </si>
  <si>
    <t>RE31F/R5-111</t>
  </si>
  <si>
    <t>RE31F/R5-112</t>
  </si>
  <si>
    <t>RE31F/R5-113</t>
  </si>
  <si>
    <t>RE31F/R5-114</t>
  </si>
  <si>
    <t>RE31F/R5-115</t>
  </si>
  <si>
    <t>RE31F/R5-116</t>
  </si>
  <si>
    <t>RE31F/R5-117</t>
  </si>
  <si>
    <t>RE31F/R5-118</t>
  </si>
  <si>
    <t>RE31F/R5-119</t>
  </si>
  <si>
    <t>RE31F/R5-120</t>
  </si>
  <si>
    <t>RE31F/R5-121</t>
  </si>
  <si>
    <t>RE31F/R5-122</t>
  </si>
  <si>
    <t>RE31F/R5-123</t>
  </si>
  <si>
    <t>RE31F/R5-124</t>
  </si>
  <si>
    <t>RE31F/R5-125</t>
  </si>
  <si>
    <t>RE31F/R5-126</t>
  </si>
  <si>
    <t>RE31F/R5-127</t>
  </si>
  <si>
    <t>RE31F/R5-128</t>
  </si>
  <si>
    <t>RE31F/R5-129</t>
  </si>
  <si>
    <t>RE31F/R5-130</t>
  </si>
  <si>
    <t>RE31F/R5-131</t>
  </si>
  <si>
    <t>RE31F/R5-132</t>
  </si>
  <si>
    <t>RE31F/R5-133</t>
  </si>
  <si>
    <t>RE31F/R5-134</t>
  </si>
  <si>
    <t>RE31F/R5-135</t>
  </si>
  <si>
    <t>RE31F/R5-136</t>
  </si>
  <si>
    <t>RE31F/R5-137</t>
  </si>
  <si>
    <t>RE31F/R5-138</t>
  </si>
  <si>
    <t>RE31F/R5-139</t>
  </si>
  <si>
    <t>RE31F/R5-140</t>
  </si>
  <si>
    <t>RE31F/R5-141</t>
  </si>
  <si>
    <t>RE31F/R5-142</t>
  </si>
  <si>
    <t>RE31F/R5-143</t>
  </si>
  <si>
    <t>RE31F/R5-144</t>
  </si>
  <si>
    <t>RE31F/R5-145</t>
  </si>
  <si>
    <t>RE31F/R5-146</t>
  </si>
  <si>
    <t>RE31F/R5-147</t>
  </si>
  <si>
    <t>RE31F/R5-148</t>
  </si>
  <si>
    <t>RE31F/R5-149</t>
  </si>
  <si>
    <t>RE31F/R5-150</t>
  </si>
  <si>
    <t>RE31F/R5-151</t>
  </si>
  <si>
    <t>RE31F/R5-152</t>
  </si>
  <si>
    <t>RE31F/R5-153</t>
  </si>
  <si>
    <t>RE31F/R5-154</t>
  </si>
  <si>
    <t>RE31F/R5-155</t>
  </si>
  <si>
    <t>RE31F/R5-156</t>
  </si>
  <si>
    <t>RE31F/R5-157</t>
  </si>
  <si>
    <t>RE31F/R5-158</t>
  </si>
  <si>
    <t>RE31F/R5-159</t>
  </si>
  <si>
    <t>RE31F/R5-160</t>
  </si>
  <si>
    <t>RE31F/R5-161</t>
  </si>
  <si>
    <t>RE31F/R5-162</t>
  </si>
  <si>
    <t>RE31F/R5-163</t>
  </si>
  <si>
    <t>RE31F/R5-164</t>
  </si>
  <si>
    <t>RE31F/R5-165</t>
  </si>
  <si>
    <t>RE31F/R5-166</t>
  </si>
  <si>
    <t>RE31F/R5-167</t>
  </si>
  <si>
    <t>RE20B120/R12-119</t>
  </si>
  <si>
    <t>RE20B120/R12-120</t>
  </si>
  <si>
    <t>RE20B121/R13-113</t>
  </si>
  <si>
    <t>RE22A113/R14-1</t>
  </si>
  <si>
    <t>CE20A1249/A6-1</t>
  </si>
  <si>
    <t>CE20A1249/A6-2</t>
  </si>
  <si>
    <t>CE20A1249/A6-3</t>
  </si>
  <si>
    <t>CE20A1249/A6-4</t>
  </si>
  <si>
    <t>CE20A1249/A6-5</t>
  </si>
  <si>
    <t>CE20A1249/A6-6</t>
  </si>
  <si>
    <t>CE20A1249/A6-7</t>
  </si>
  <si>
    <t>CE20A1249/A6-8</t>
  </si>
  <si>
    <t>CE20A1249/A6-9</t>
  </si>
  <si>
    <t>CE20A1249/A6-10</t>
  </si>
  <si>
    <t>CE20A1249/A6-11</t>
  </si>
  <si>
    <t>CE20A1249/A6-12</t>
  </si>
  <si>
    <t>CE20A1249/A6-13</t>
  </si>
  <si>
    <t>CE20A1249/A6-14</t>
  </si>
  <si>
    <t>CE20A1249/A6-15</t>
  </si>
  <si>
    <t>CE20A1249/A6-16</t>
  </si>
  <si>
    <t>CE20A1249/A6-17</t>
  </si>
  <si>
    <t>CE20A1249/A6-18</t>
  </si>
  <si>
    <t>CE20A1249/A6-19</t>
  </si>
  <si>
    <t>CE20A103/A13-112</t>
  </si>
  <si>
    <t>CE20A103/A13-113</t>
  </si>
  <si>
    <t>CE20A103/A13-114</t>
  </si>
  <si>
    <t>CE20A103/A13-115</t>
  </si>
  <si>
    <t>CE20A103/A13-116</t>
  </si>
  <si>
    <t>CE20A103/A13-117</t>
  </si>
  <si>
    <t>CE20A103/A13-118</t>
  </si>
  <si>
    <t>CE20A103/A13-119</t>
  </si>
  <si>
    <t>CE20A1263/A16-11</t>
  </si>
  <si>
    <t>CE20A1263/A16-12</t>
  </si>
  <si>
    <t>CE20A1263/A16-13</t>
  </si>
  <si>
    <t>CE20A1263/A16-14</t>
  </si>
  <si>
    <t>CE20A1263/A16-15</t>
  </si>
  <si>
    <t>CE20A1263/A16-16</t>
  </si>
  <si>
    <t>CE20A1263/A16-17</t>
  </si>
  <si>
    <t>CE20A1264/A17-2</t>
  </si>
  <si>
    <t>CE20B102/T2-2</t>
  </si>
  <si>
    <t>CE20B108/T7-1</t>
  </si>
  <si>
    <t>CE20C352/B5-1</t>
  </si>
  <si>
    <t>CE20C352/B5-2</t>
  </si>
  <si>
    <t>CE20C551/B8-11</t>
  </si>
  <si>
    <t>CE20C551/B8-12</t>
  </si>
  <si>
    <t>CE20E101/F1-6</t>
  </si>
  <si>
    <t>CE20E101/F1-7</t>
  </si>
  <si>
    <t>CE20E101/F1-8</t>
  </si>
  <si>
    <t>CE11A129/J1-2</t>
  </si>
  <si>
    <t>CE11A129/J1-3</t>
  </si>
  <si>
    <t>CE12A422/J2-1</t>
  </si>
  <si>
    <t>CE12A422/J2-2</t>
  </si>
  <si>
    <t>CE17A242/J6-1</t>
  </si>
  <si>
    <t>CE22A548/J10-11</t>
  </si>
  <si>
    <t>CE22A548/J10-12</t>
  </si>
  <si>
    <t>CE22A548/J10-13</t>
  </si>
  <si>
    <t>CE22A548/J10-14</t>
  </si>
  <si>
    <t>CE22A370/J9-1</t>
  </si>
  <si>
    <t>CE24A141/J33-5</t>
  </si>
  <si>
    <t>CE27A241/J24-2</t>
  </si>
  <si>
    <t>CE29A246/J31-1</t>
  </si>
  <si>
    <t>CE26A336/U1-221</t>
  </si>
  <si>
    <t>CE26A336/U1-222</t>
  </si>
  <si>
    <t>CE26A336/U1-223</t>
  </si>
  <si>
    <t>CE26A336/U1-224</t>
  </si>
  <si>
    <t>CE26A336/U1-225</t>
  </si>
  <si>
    <t>CE26A336/U1-226</t>
  </si>
  <si>
    <t>CE26A336/U1-227</t>
  </si>
  <si>
    <t>CE26A336/U1-228</t>
  </si>
  <si>
    <t>CE26A336/U1-229</t>
  </si>
  <si>
    <t>CE26A336/U1-230</t>
  </si>
  <si>
    <t>CE26A336/U1-231</t>
  </si>
  <si>
    <t>CE26A336/U1-232</t>
  </si>
  <si>
    <t>CE26A336/U1-233</t>
  </si>
  <si>
    <t>CE26A336/U1-234</t>
  </si>
  <si>
    <t>CE26A336/U1-235</t>
  </si>
  <si>
    <t>CE26A336/U1-236</t>
  </si>
  <si>
    <t>CE26A336/U1-237</t>
  </si>
  <si>
    <t>CE26A336/U1-238</t>
  </si>
  <si>
    <t>CE26A336/U1-239</t>
  </si>
  <si>
    <t>CE26A336/U1-240</t>
  </si>
  <si>
    <t>CE26A336/U1-241</t>
  </si>
  <si>
    <t>CE26A336/U1-242</t>
  </si>
  <si>
    <t>CE26A336/U1-243</t>
  </si>
  <si>
    <t>CE26A336/U1-244</t>
  </si>
  <si>
    <t>CE26A336/U1-245</t>
  </si>
  <si>
    <t>CE26A336/U1-246</t>
  </si>
  <si>
    <t>CE26A336/U1-247</t>
  </si>
  <si>
    <t>CE26A336/U1-248</t>
  </si>
  <si>
    <t>CE26A336/U1-249</t>
  </si>
  <si>
    <t>CE26A336/U1-250</t>
  </si>
  <si>
    <t>CE26A336/U1-251</t>
  </si>
  <si>
    <t>FE14C125/M1-1</t>
  </si>
  <si>
    <t>वाहतूक नियंत्रण विभागाकडील कामाच्या याद्या</t>
  </si>
  <si>
    <t>XE12B115/X1-1</t>
  </si>
  <si>
    <t>XE12B115/X1-2</t>
  </si>
  <si>
    <t>XE12B115/X1-3</t>
  </si>
  <si>
    <t>XE12B115/X1-4</t>
  </si>
  <si>
    <t>XE12B115/X1-5</t>
  </si>
  <si>
    <t>XE23A117/X2-51</t>
  </si>
  <si>
    <t>XE23A117/X2-52</t>
  </si>
  <si>
    <t>XE23A117/X2-53</t>
  </si>
  <si>
    <t>XE23A117/X2-54</t>
  </si>
  <si>
    <t>XE23A117/X2-55</t>
  </si>
  <si>
    <t>XE23A117/X2-56</t>
  </si>
  <si>
    <t>XE23A117/X2-57</t>
  </si>
  <si>
    <t>XE23A117/X2-58</t>
  </si>
  <si>
    <t>XE23A117/X2-59</t>
  </si>
  <si>
    <t>XE23A117/X2-60</t>
  </si>
  <si>
    <t>XE23A117/X2-61</t>
  </si>
  <si>
    <t>XE23A117/X2-62</t>
  </si>
  <si>
    <t>XE23A117/X2-63</t>
  </si>
  <si>
    <t>XE23A117/X2-64</t>
  </si>
  <si>
    <t>XE23A117/X2-65</t>
  </si>
  <si>
    <t>XE23A117/X2-66</t>
  </si>
  <si>
    <t>XE23A117/X2-67</t>
  </si>
  <si>
    <t>XE23A117/X2-68</t>
  </si>
  <si>
    <t>XE23A117/X2-69</t>
  </si>
  <si>
    <t>XE23A117/X2-70</t>
  </si>
  <si>
    <t>XE23A117/X2-71</t>
  </si>
  <si>
    <t>XE23A117/X2-72</t>
  </si>
  <si>
    <t>XE23A117/X2-73</t>
  </si>
  <si>
    <t>XE23A117/X2-74</t>
  </si>
  <si>
    <t>XE23A117/X2-75</t>
  </si>
  <si>
    <t>XE23A117/X2-76</t>
  </si>
  <si>
    <t>ZE16A104/P2-111</t>
  </si>
  <si>
    <t>ZE16A106/P3-2</t>
  </si>
  <si>
    <t>ZE16A106/P3-3</t>
  </si>
  <si>
    <t>ZE16C103/PR3-3</t>
  </si>
  <si>
    <t>ZE16C103/PR3-4</t>
  </si>
  <si>
    <t>ZE16D102/MP2-21</t>
  </si>
  <si>
    <t>एस.एन.डी.टी. कॉलेज त रेक्सॉन कंपनी दरम्यानची १२०० मि.मी.व्यासाची जुनी प्रिस्ट्रेडलाईन बदलून नविन एम.एस.लाईन टाकणे</t>
  </si>
  <si>
    <t>वारजे रस्ता जलशुध्दीकरण केंद्राचे आवारामध्ये वारजे कर्वेनगर भागासाठी पाण्याची साठवण टाकी बांधणे व तदनुषंगीक कामे करणे (भाग ब इलेक्ट्रीकल / मेकॅनिकल वर्क)</t>
  </si>
  <si>
    <t>ZE16A107/P8-1</t>
  </si>
  <si>
    <t>ZE16A107/P8-2</t>
  </si>
  <si>
    <t>ZE16A107/P8-3</t>
  </si>
  <si>
    <t>ZE16A107/P8-4</t>
  </si>
  <si>
    <t>ZE16A107/P8-5</t>
  </si>
  <si>
    <t>ZE16A107/P8-6</t>
  </si>
  <si>
    <t>ZE16A107/P8-7</t>
  </si>
  <si>
    <t>ZE16A107/P8-8</t>
  </si>
  <si>
    <t>ZE16A107/P8-9</t>
  </si>
  <si>
    <t>ZE16A107/P8-10</t>
  </si>
  <si>
    <t>ZE16A107/P8-11</t>
  </si>
  <si>
    <t>ZE16A107/P8-12</t>
  </si>
  <si>
    <t>ZE16A107/P8-13</t>
  </si>
  <si>
    <t>ZE16A107/P8-14</t>
  </si>
  <si>
    <t>ZE16A107/P8-15</t>
  </si>
  <si>
    <t>ZE16A107/P8-16</t>
  </si>
  <si>
    <t>ZE16A107/P8-17</t>
  </si>
  <si>
    <t>ZE16A107/P8-18</t>
  </si>
  <si>
    <t>ZE16A107/P8-19</t>
  </si>
  <si>
    <t>ZE16A107/P8-20</t>
  </si>
  <si>
    <t>ZE16A107/P8-21</t>
  </si>
  <si>
    <t>ZE16A107/P8-22</t>
  </si>
  <si>
    <t>ZE16A107/P8-23</t>
  </si>
  <si>
    <t>ZE16A107/P8-24</t>
  </si>
  <si>
    <t>ZE16A107/P8-25</t>
  </si>
  <si>
    <t>ZE16A107/P8-26</t>
  </si>
  <si>
    <t>ZE16A107/P8-27</t>
  </si>
  <si>
    <t>ZE16A107/P8-28</t>
  </si>
  <si>
    <t>ZE16A107/P8-29</t>
  </si>
  <si>
    <t>ZE16A107/P8-30</t>
  </si>
  <si>
    <t>ZE16A107/P8-31</t>
  </si>
  <si>
    <t>ZE16A107/P8-32</t>
  </si>
  <si>
    <t>ZE16A107/P8-33</t>
  </si>
  <si>
    <t>ZE16A107/P8-34</t>
  </si>
  <si>
    <t>ZE16A107/P8-35</t>
  </si>
  <si>
    <t>ZE16A107/P8-36</t>
  </si>
  <si>
    <t>ZE16A107/P8-37</t>
  </si>
  <si>
    <t>ZE16A107/P8-38</t>
  </si>
  <si>
    <t>ZE16A107/P8-39</t>
  </si>
  <si>
    <t>भूसंपादन, संरक्षण खाते / अन्य खात्यांच्या परवानग्या अथवा अन्य स्वरुपाच्या तांत्रिक अडचणी / प्रश्न मार्गी लागल्यानंतर बंद असलेले / रखडलेले प्रकल्प सुरु करणेसाठी करावयाची तरतूद, उदा. हांडेवाडी ससाणेनगर अंडरपास, अलंकार टॉकीज रेल्वे ओव्हरब्रीज, अभियांत्रिकी महाविद्यालय उड्‌डाणपूल, बालेवाडी पूल, मुंढवा पूल इ.</t>
  </si>
  <si>
    <t>ZE16A107/P8-40</t>
  </si>
  <si>
    <t>ZE16A107/P8-41</t>
  </si>
  <si>
    <t>ZE16A107/P8-42</t>
  </si>
  <si>
    <t>FE61A118/B-114</t>
  </si>
  <si>
    <t>प्र.क्र. २८ब, सेव्हन लव्हज चौक ते वखार महामंडळ चौक उड्‌डाणपूल बांधणे</t>
  </si>
  <si>
    <t>पेशवेपार्क येथे शिवसृष्टी विकसीत करणे</t>
  </si>
  <si>
    <t>CE26A336/U1-252</t>
  </si>
  <si>
    <t>2016-17 वर्षाचा अंदाज</t>
  </si>
  <si>
    <t>2017-18 वर्षाचा अंदाज</t>
  </si>
  <si>
    <t>2016-17 वर्षाच्या मान्य अंदाजाशी 
तुलना केलेला 2017-18 वर्षाचा 
मा. महा. आयुक्त यांनी सुचविलेला अंदाज</t>
  </si>
  <si>
    <t>2015-16
शेवटची सहामाही</t>
  </si>
  <si>
    <t>2016-17
पहिली सहामाही</t>
  </si>
  <si>
    <t>मान्य अंदाज
2016-17</t>
  </si>
  <si>
    <t>नवीन अंदाज
2017-18</t>
  </si>
  <si>
    <t>सन 2017-18 चे योजनांतर्गत</t>
  </si>
  <si>
    <t>दि. 31 मार्च 2017 अखेरपर्यंत केलेली तरतूद</t>
  </si>
  <si>
    <t>दि. 31 मार्च 2016 पर्यंतचा खर्चाचा 
नक्‍की आकडा</t>
  </si>
  <si>
    <t>2016-17 मधील खर्चाची अंदाजी रक्कम</t>
  </si>
  <si>
    <t>2017-18 साठी अधिक तरतूद</t>
  </si>
  <si>
    <t>2017-18 साठी 
एकूण तरतूद</t>
  </si>
  <si>
    <t>सन 2017-18 चे अंदाजपत्रक - खास निधीतून करावयाची योजनांतर्गत कामे</t>
  </si>
  <si>
    <t>सन 2017-18 चे उपनगरे विकास निधीचे</t>
  </si>
  <si>
    <t>दि. 31 मार्च 2015 पर्यंतचा खर्चाचा 
नक्‍की आकडा</t>
  </si>
  <si>
    <t>2015-16
मधील खर्चाचा 
नक्‍की आकडा</t>
  </si>
  <si>
    <t>2016-17
मधील खर्चाची अंदाजी रक्‍कम</t>
  </si>
  <si>
    <t>2017-18 साठी एकूण तरतूद</t>
  </si>
  <si>
    <t>सन 2017-18 चे अंदाजपत्रक – खास निधीतून करावयाची योजनांतर्गत कामे</t>
  </si>
  <si>
    <t>ज.ने.रा.श.पु.अ., अमृत व स्मार्ट सिटी आभियान एकूण</t>
  </si>
  <si>
    <t>औंध क्षेत्रीय कार्यालय एकूण बेरीज</t>
  </si>
  <si>
    <t>कोथरूड क्षेत्रीय कार्यालय एकूण बेरीज</t>
  </si>
  <si>
    <t>घोले रोड क्षेत्रीय कार्यालय एकूण बेरीज</t>
  </si>
  <si>
    <t>वारजे कर्वेनगर क्षेत्रीय कार्यालय एकूण बेरीज</t>
  </si>
  <si>
    <t>ढोलेपाटील रोड क्षेत्रीय कार्यालय एकूण बेरीज</t>
  </si>
  <si>
    <t>नगररोड क्षेत्रीय कार्यालय एकूण बेरीज</t>
  </si>
  <si>
    <t>संगमवाडी क्षेत्रीय कार्यालय एकूण बेरीज</t>
  </si>
  <si>
    <t>भवानी पेठ क्षेत्रीय कार्यालय एकूण बेरीज</t>
  </si>
  <si>
    <t>कसबा विश्रामबाग वाडा क्षेत्रीय कार्यालय एकूण बेरीज</t>
  </si>
  <si>
    <t>टिळक रोड क्षेत्रीय कार्यालय एकूण बेरीज</t>
  </si>
  <si>
    <t>सहकारनगर क्षेत्रीय कार्यालय एकूण बेरीज</t>
  </si>
  <si>
    <t>हडपसर क्षेत्रीय कार्यालय एकूण बेरीज</t>
  </si>
  <si>
    <t>बिबवेवाडी क्षेत्रीय कार्यालय एकूण बेरीज</t>
  </si>
  <si>
    <t>धनकवडी क्षेत्रीय कार्यालय एकूण बेरीज</t>
  </si>
  <si>
    <t>कोंढवा वानवडी क्षेत्रीय कार्यालय एकूण बेरीज</t>
  </si>
  <si>
    <t>क्षेत्रीय कार्यालयाने नागरिकांच्या सहभागातून करावयाची योजनांतर्गत कामे : सन 2017-18 एकूण बेरीज</t>
  </si>
  <si>
    <t>क्षेत्रीय कार्यालयाने नागरिकांच्या सहभागातून करावयाची योजनेतर कामे : सन 2017-18 एकूण बेरीज</t>
  </si>
  <si>
    <t>क्षेत्रीय कार्यालयाने करावयाची योजनांतर्गत कामे : सन 2017-18 एकूण बेरीज</t>
  </si>
  <si>
    <t>क्षेत्रीय कार्यालयाने करावयाची योजनेतर कामे : सन 2017-18 एकूण बेरीज</t>
  </si>
  <si>
    <t>क्षेत्रीय कार्यालयाने करावयाची कामे : सन 2017-18 एकूण बेरीज</t>
  </si>
  <si>
    <t>FE61A118/C-105</t>
  </si>
  <si>
    <t>अभियांत्रिकी महाविालय चौक ते पाटील इस्टेट दरम्यान उड्डाणपूल बांधणे</t>
  </si>
</sst>
</file>

<file path=xl/styles.xml><?xml version="1.0" encoding="utf-8"?>
<styleSheet xmlns="http://schemas.openxmlformats.org/spreadsheetml/2006/main" xmlns:mc="http://schemas.openxmlformats.org/markup-compatibility/2006" xmlns:x14ac="http://schemas.microsoft.com/office/spreadsheetml/2009/9/ac" mc:Ignorable="x14ac">
  <fonts count="80">
    <font>
      <sz val="8"/>
      <color indexed="8"/>
      <name val="Arial"/>
    </font>
    <font>
      <sz val="11"/>
      <color theme="1"/>
      <name val="Calibri"/>
      <family val="2"/>
      <scheme val="minor"/>
    </font>
    <font>
      <sz val="8"/>
      <name val="Arial"/>
      <family val="2"/>
    </font>
    <font>
      <b/>
      <sz val="8"/>
      <color indexed="14"/>
      <name val="Arial"/>
      <family val="2"/>
    </font>
    <font>
      <b/>
      <sz val="8"/>
      <color indexed="53"/>
      <name val="Arial"/>
      <family val="2"/>
    </font>
    <font>
      <sz val="10"/>
      <color indexed="12"/>
      <name val="Shree-Dev-0708"/>
    </font>
    <font>
      <sz val="12"/>
      <color indexed="12"/>
      <name val="CTWNatrajLight"/>
    </font>
    <font>
      <sz val="12"/>
      <color indexed="8"/>
      <name val="CTWNatrajLight"/>
    </font>
    <font>
      <sz val="10"/>
      <name val="Geneva"/>
    </font>
    <font>
      <sz val="12"/>
      <color indexed="17"/>
      <name val="CTWNatrajLight"/>
    </font>
    <font>
      <sz val="12"/>
      <color indexed="14"/>
      <name val="CTWNatrajLight"/>
    </font>
    <font>
      <sz val="12"/>
      <color indexed="10"/>
      <name val="CTWNatrajLight"/>
    </font>
    <font>
      <sz val="12"/>
      <color indexed="12"/>
      <name val="Garamond Narrow"/>
    </font>
    <font>
      <b/>
      <sz val="8"/>
      <color indexed="12"/>
      <name val="Arial"/>
      <family val="2"/>
    </font>
    <font>
      <sz val="8"/>
      <color indexed="53"/>
      <name val="Arial"/>
      <family val="2"/>
    </font>
    <font>
      <b/>
      <sz val="8"/>
      <color indexed="17"/>
      <name val="Arial"/>
      <family val="2"/>
    </font>
    <font>
      <sz val="8"/>
      <color indexed="10"/>
      <name val="Arial"/>
      <family val="2"/>
    </font>
    <font>
      <sz val="8"/>
      <color indexed="17"/>
      <name val="Arial"/>
      <family val="2"/>
    </font>
    <font>
      <sz val="8"/>
      <color indexed="14"/>
      <name val="Arial"/>
      <family val="2"/>
    </font>
    <font>
      <sz val="11"/>
      <color indexed="14"/>
      <name val="Shree-Dev-0708"/>
    </font>
    <font>
      <sz val="11"/>
      <color indexed="12"/>
      <name val="Shree-Dev-0708"/>
    </font>
    <font>
      <sz val="11"/>
      <color indexed="17"/>
      <name val="Shree-Dev-0708"/>
    </font>
    <font>
      <sz val="11"/>
      <color indexed="10"/>
      <name val="Shree-Dev-0708"/>
    </font>
    <font>
      <b/>
      <sz val="11"/>
      <color indexed="53"/>
      <name val="Arial"/>
      <family val="2"/>
    </font>
    <font>
      <sz val="8"/>
      <color indexed="8"/>
      <name val="Arial"/>
      <family val="2"/>
    </font>
    <font>
      <b/>
      <sz val="6"/>
      <color indexed="14"/>
      <name val="Arial"/>
      <family val="2"/>
    </font>
    <font>
      <sz val="6"/>
      <color indexed="8"/>
      <name val="Arial"/>
      <family val="2"/>
    </font>
    <font>
      <b/>
      <sz val="6"/>
      <color indexed="49"/>
      <name val="Arial"/>
      <family val="2"/>
    </font>
    <font>
      <b/>
      <sz val="8"/>
      <color indexed="8"/>
      <name val="Arial"/>
      <family val="2"/>
    </font>
    <font>
      <b/>
      <sz val="6"/>
      <color indexed="53"/>
      <name val="Arial"/>
      <family val="2"/>
    </font>
    <font>
      <b/>
      <sz val="6"/>
      <color indexed="8"/>
      <name val="Arial"/>
      <family val="2"/>
    </font>
    <font>
      <sz val="8"/>
      <color indexed="12"/>
      <name val="Arial"/>
      <family val="2"/>
    </font>
    <font>
      <sz val="11"/>
      <color rgb="FF0000FF"/>
      <name val="Shree-Dev-0708"/>
    </font>
    <font>
      <sz val="8"/>
      <color rgb="FFFF0000"/>
      <name val="Arial"/>
      <family val="2"/>
    </font>
    <font>
      <b/>
      <sz val="6"/>
      <color rgb="FF0000FF"/>
      <name val="Arial"/>
      <family val="2"/>
    </font>
    <font>
      <sz val="12"/>
      <color rgb="FF009900"/>
      <name val="Shree-Dev-0708"/>
    </font>
    <font>
      <b/>
      <sz val="4"/>
      <color indexed="14"/>
      <name val="Arial"/>
      <family val="2"/>
    </font>
    <font>
      <sz val="4"/>
      <color indexed="8"/>
      <name val="Arial"/>
      <family val="2"/>
    </font>
    <font>
      <sz val="8"/>
      <name val="Arial"/>
      <family val="2"/>
    </font>
    <font>
      <sz val="10"/>
      <color indexed="12"/>
      <name val="Garamond Narrow"/>
    </font>
    <font>
      <b/>
      <sz val="4"/>
      <color indexed="8"/>
      <name val="Arial"/>
      <family val="2"/>
    </font>
    <font>
      <b/>
      <sz val="5"/>
      <color indexed="8"/>
      <name val="Arial"/>
      <family val="2"/>
    </font>
    <font>
      <sz val="5"/>
      <color indexed="8"/>
      <name val="Arial"/>
      <family val="2"/>
    </font>
    <font>
      <sz val="9"/>
      <color indexed="12"/>
      <name val="Shree-Dev-0708"/>
    </font>
    <font>
      <sz val="12"/>
      <color rgb="FF0000FF"/>
      <name val="Shree-Dev-0708"/>
    </font>
    <font>
      <b/>
      <sz val="5"/>
      <name val="Arial"/>
      <family val="2"/>
    </font>
    <font>
      <sz val="8"/>
      <color rgb="FF008000"/>
      <name val="Arial"/>
      <family val="2"/>
    </font>
    <font>
      <sz val="11"/>
      <color indexed="12"/>
      <name val="Kokila"/>
      <family val="2"/>
    </font>
    <font>
      <sz val="11"/>
      <color indexed="17"/>
      <name val="Kokila"/>
      <family val="2"/>
    </font>
    <font>
      <sz val="8"/>
      <color indexed="8"/>
      <name val="Kokila"/>
      <family val="2"/>
    </font>
    <font>
      <sz val="11"/>
      <color indexed="10"/>
      <name val="Kokila"/>
      <family val="2"/>
    </font>
    <font>
      <sz val="10.5"/>
      <color indexed="12"/>
      <name val="Kokila"/>
      <family val="2"/>
    </font>
    <font>
      <sz val="10"/>
      <color indexed="12"/>
      <name val="Kokila"/>
      <family val="2"/>
    </font>
    <font>
      <sz val="11"/>
      <color rgb="FF0000FF"/>
      <name val="Kokila"/>
      <family val="2"/>
    </font>
    <font>
      <sz val="11"/>
      <color rgb="FF008000"/>
      <name val="Kokila"/>
      <family val="2"/>
    </font>
    <font>
      <sz val="11"/>
      <color indexed="53"/>
      <name val="Kokila"/>
      <family val="2"/>
    </font>
    <font>
      <sz val="11"/>
      <color rgb="FFFF0000"/>
      <name val="Kokila"/>
      <family val="2"/>
    </font>
    <font>
      <sz val="12"/>
      <color rgb="FF0000FF"/>
      <name val="Kokila"/>
      <family val="2"/>
    </font>
    <font>
      <sz val="12"/>
      <color rgb="FF009900"/>
      <name val="Kokila"/>
      <family val="2"/>
    </font>
    <font>
      <sz val="12"/>
      <color rgb="FF008000"/>
      <name val="Kokila"/>
      <family val="2"/>
    </font>
    <font>
      <sz val="10.5"/>
      <color rgb="FF0000FF"/>
      <name val="Kokila"/>
      <family val="2"/>
    </font>
    <font>
      <sz val="10"/>
      <color indexed="14"/>
      <name val="Kokila"/>
      <family val="2"/>
    </font>
    <font>
      <sz val="10"/>
      <color rgb="FF008000"/>
      <name val="Kokila"/>
      <family val="2"/>
    </font>
    <font>
      <sz val="10"/>
      <color indexed="10"/>
      <name val="Kokila"/>
      <family val="2"/>
    </font>
    <font>
      <b/>
      <sz val="6"/>
      <name val="Kokila"/>
      <family val="2"/>
    </font>
    <font>
      <sz val="12"/>
      <color indexed="14"/>
      <name val="Kokila"/>
      <family val="2"/>
    </font>
    <font>
      <b/>
      <sz val="11"/>
      <color indexed="53"/>
      <name val="Kokila"/>
      <family val="2"/>
    </font>
    <font>
      <b/>
      <sz val="4"/>
      <color indexed="53"/>
      <name val="Arial"/>
      <family val="2"/>
    </font>
    <font>
      <sz val="12"/>
      <color indexed="12"/>
      <name val="Kokila"/>
      <family val="2"/>
    </font>
    <font>
      <sz val="8"/>
      <color indexed="14"/>
      <name val="Kokila"/>
      <family val="2"/>
    </font>
    <font>
      <sz val="4"/>
      <color indexed="12"/>
      <name val="Arial"/>
      <family val="2"/>
    </font>
    <font>
      <sz val="22"/>
      <color indexed="8"/>
      <name val="Arial"/>
      <family val="2"/>
    </font>
    <font>
      <b/>
      <sz val="22"/>
      <color indexed="53"/>
      <name val="Arial"/>
      <family val="2"/>
    </font>
    <font>
      <b/>
      <sz val="22"/>
      <color indexed="8"/>
      <name val="Arial"/>
      <family val="2"/>
    </font>
    <font>
      <b/>
      <sz val="22"/>
      <color indexed="14"/>
      <name val="Arial"/>
      <family val="2"/>
    </font>
    <font>
      <sz val="220"/>
      <color indexed="8"/>
      <name val="Arial"/>
      <family val="2"/>
    </font>
    <font>
      <b/>
      <sz val="220"/>
      <color indexed="53"/>
      <name val="Arial"/>
      <family val="2"/>
    </font>
    <font>
      <b/>
      <sz val="220"/>
      <color indexed="8"/>
      <name val="Arial"/>
      <family val="2"/>
    </font>
    <font>
      <b/>
      <sz val="220"/>
      <color indexed="14"/>
      <name val="Arial"/>
      <family val="2"/>
    </font>
    <font>
      <b/>
      <sz val="11"/>
      <color rgb="FFFF0000"/>
      <name val="Kokila"/>
      <family val="2"/>
    </font>
  </fonts>
  <fills count="5">
    <fill>
      <patternFill patternType="none"/>
    </fill>
    <fill>
      <patternFill patternType="gray125"/>
    </fill>
    <fill>
      <patternFill patternType="solid">
        <fgColor indexed="42"/>
        <bgColor indexed="64"/>
      </patternFill>
    </fill>
    <fill>
      <patternFill patternType="solid">
        <fgColor rgb="FFFFFF00"/>
        <bgColor indexed="64"/>
      </patternFill>
    </fill>
    <fill>
      <patternFill patternType="solid">
        <fgColor rgb="FFCCFFCC"/>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26">
    <xf numFmtId="4" fontId="0" fillId="0" borderId="0">
      <alignment vertical="center"/>
    </xf>
    <xf numFmtId="0" fontId="6" fillId="0" borderId="0" applyFont="0" applyAlignment="0">
      <alignment horizontal="justify" vertical="center"/>
    </xf>
    <xf numFmtId="0" fontId="6" fillId="0" borderId="0">
      <alignment vertical="center"/>
    </xf>
    <xf numFmtId="1" fontId="6" fillId="0" borderId="0">
      <alignment vertical="center" wrapText="1"/>
    </xf>
    <xf numFmtId="0" fontId="6" fillId="0" borderId="0">
      <alignment horizontal="right" vertical="center"/>
    </xf>
    <xf numFmtId="0" fontId="12" fillId="0" borderId="0">
      <alignment horizontal="justify" vertical="center"/>
    </xf>
    <xf numFmtId="0" fontId="6" fillId="0" borderId="0">
      <alignment vertical="center"/>
    </xf>
    <xf numFmtId="0" fontId="7" fillId="0" borderId="0">
      <alignment horizontal="right" vertical="center"/>
    </xf>
    <xf numFmtId="0" fontId="9" fillId="0" borderId="0">
      <alignment vertical="center"/>
    </xf>
    <xf numFmtId="0" fontId="10" fillId="0" borderId="0">
      <alignment horizontal="center" vertical="center"/>
    </xf>
    <xf numFmtId="0" fontId="11" fillId="0" borderId="0">
      <alignment vertical="center"/>
    </xf>
    <xf numFmtId="1" fontId="4" fillId="0" borderId="0">
      <alignment horizontal="left" vertical="center"/>
    </xf>
    <xf numFmtId="1" fontId="3" fillId="2" borderId="0">
      <alignment horizontal="center" vertical="center"/>
    </xf>
    <xf numFmtId="3" fontId="20" fillId="0" borderId="0">
      <alignment vertical="center" wrapText="1"/>
    </xf>
    <xf numFmtId="3" fontId="22" fillId="0" borderId="0">
      <alignment vertical="center" wrapText="1"/>
    </xf>
    <xf numFmtId="3" fontId="21" fillId="0" borderId="0">
      <alignment vertical="center" wrapText="1"/>
    </xf>
    <xf numFmtId="3" fontId="19" fillId="0" borderId="0">
      <alignment vertical="center" wrapText="1"/>
    </xf>
    <xf numFmtId="3" fontId="20" fillId="0" borderId="0">
      <alignment vertical="center" wrapText="1"/>
    </xf>
    <xf numFmtId="3" fontId="3" fillId="2" borderId="0">
      <alignment horizontal="center" vertical="center"/>
    </xf>
    <xf numFmtId="3" fontId="4" fillId="0" borderId="0">
      <alignment vertical="center"/>
    </xf>
    <xf numFmtId="0" fontId="38" fillId="0" borderId="0"/>
    <xf numFmtId="0" fontId="2" fillId="0" borderId="0"/>
    <xf numFmtId="0" fontId="2" fillId="0" borderId="0"/>
    <xf numFmtId="1" fontId="39" fillId="0" borderId="0">
      <alignment horizontal="left" vertical="center" wrapText="1"/>
    </xf>
    <xf numFmtId="4" fontId="24" fillId="0" borderId="0">
      <alignment vertical="center"/>
    </xf>
    <xf numFmtId="0" fontId="1" fillId="0" borderId="0"/>
  </cellStyleXfs>
  <cellXfs count="347">
    <xf numFmtId="4" fontId="0" fillId="0" borderId="0" xfId="0">
      <alignment vertical="center"/>
    </xf>
    <xf numFmtId="1" fontId="4" fillId="0" borderId="0" xfId="11">
      <alignment horizontal="left" vertical="center"/>
    </xf>
    <xf numFmtId="3" fontId="20" fillId="0" borderId="0" xfId="17">
      <alignment vertical="center" wrapText="1"/>
    </xf>
    <xf numFmtId="4" fontId="0" fillId="0" borderId="0" xfId="0" applyAlignment="1">
      <alignment horizontal="center" vertical="center"/>
    </xf>
    <xf numFmtId="4" fontId="0" fillId="0" borderId="0" xfId="0" applyFill="1">
      <alignment vertical="center"/>
    </xf>
    <xf numFmtId="3" fontId="20" fillId="0" borderId="0" xfId="17" applyAlignment="1">
      <alignment horizontal="left" vertical="center" wrapText="1"/>
    </xf>
    <xf numFmtId="1" fontId="4" fillId="0" borderId="0" xfId="11" applyAlignment="1">
      <alignment horizontal="center" vertical="center"/>
    </xf>
    <xf numFmtId="4" fontId="24" fillId="0" borderId="0" xfId="0" applyFont="1">
      <alignment vertical="center"/>
    </xf>
    <xf numFmtId="1" fontId="4" fillId="0" borderId="0" xfId="11" applyFont="1">
      <alignment horizontal="left" vertical="center"/>
    </xf>
    <xf numFmtId="1" fontId="4" fillId="0" borderId="0" xfId="11" applyFill="1">
      <alignment horizontal="left" vertical="center"/>
    </xf>
    <xf numFmtId="3" fontId="20" fillId="0" borderId="0" xfId="13" applyNumberFormat="1">
      <alignment vertical="center" wrapText="1"/>
    </xf>
    <xf numFmtId="3" fontId="20" fillId="0" borderId="0" xfId="13" applyFill="1">
      <alignment vertical="center" wrapText="1"/>
    </xf>
    <xf numFmtId="1" fontId="4" fillId="0" borderId="0" xfId="11" applyFont="1" applyFill="1">
      <alignment horizontal="left" vertical="center"/>
    </xf>
    <xf numFmtId="1" fontId="30" fillId="0" borderId="0" xfId="11" applyFont="1" applyAlignment="1">
      <alignment horizontal="center" vertical="center"/>
    </xf>
    <xf numFmtId="1" fontId="15" fillId="0" borderId="0" xfId="11" applyFont="1" applyAlignment="1">
      <alignment horizontal="center" vertical="center"/>
    </xf>
    <xf numFmtId="1" fontId="4" fillId="0" borderId="8" xfId="11" applyBorder="1" applyAlignment="1">
      <alignment horizontal="center" vertical="center"/>
    </xf>
    <xf numFmtId="1" fontId="4" fillId="0" borderId="0" xfId="11" applyFill="1" applyAlignment="1">
      <alignment horizontal="center" vertical="center"/>
    </xf>
    <xf numFmtId="4" fontId="0" fillId="0" borderId="0" xfId="0">
      <alignment vertical="center"/>
    </xf>
    <xf numFmtId="1" fontId="4" fillId="0" borderId="0" xfId="11">
      <alignment horizontal="left" vertical="center"/>
    </xf>
    <xf numFmtId="3" fontId="20" fillId="0" borderId="0" xfId="17">
      <alignment vertical="center" wrapText="1"/>
    </xf>
    <xf numFmtId="1" fontId="29" fillId="0" borderId="0" xfId="11" applyFont="1">
      <alignment horizontal="left" vertical="center"/>
    </xf>
    <xf numFmtId="1" fontId="4" fillId="0" borderId="0" xfId="11" applyFont="1" applyFill="1">
      <alignment horizontal="left" vertical="center"/>
    </xf>
    <xf numFmtId="4" fontId="24" fillId="0" borderId="0" xfId="24">
      <alignment vertical="center"/>
    </xf>
    <xf numFmtId="3" fontId="20" fillId="0" borderId="0" xfId="17" applyProtection="1">
      <alignment vertical="center" wrapText="1"/>
      <protection locked="0"/>
    </xf>
    <xf numFmtId="4" fontId="0" fillId="0" borderId="0" xfId="0" applyFill="1" applyBorder="1" applyProtection="1">
      <alignment vertical="center"/>
      <protection locked="0"/>
    </xf>
    <xf numFmtId="1" fontId="4" fillId="0" borderId="0" xfId="11" applyProtection="1">
      <alignment horizontal="left" vertical="center"/>
      <protection locked="0"/>
    </xf>
    <xf numFmtId="4" fontId="0" fillId="0" borderId="0" xfId="0" applyProtection="1">
      <alignment vertical="center"/>
      <protection locked="0"/>
    </xf>
    <xf numFmtId="1" fontId="4" fillId="0" borderId="0" xfId="11" applyFill="1" applyProtection="1">
      <alignment horizontal="left" vertical="center"/>
      <protection locked="0"/>
    </xf>
    <xf numFmtId="4" fontId="24" fillId="0" borderId="0" xfId="0" applyFont="1" applyProtection="1">
      <alignment vertical="center"/>
      <protection locked="0"/>
    </xf>
    <xf numFmtId="1" fontId="30" fillId="0" borderId="0" xfId="11" applyFont="1" applyProtection="1">
      <alignment horizontal="left" vertical="center"/>
      <protection locked="0"/>
    </xf>
    <xf numFmtId="1" fontId="4" fillId="0" borderId="0" xfId="11" applyFont="1" applyFill="1" applyProtection="1">
      <alignment horizontal="left" vertical="center"/>
      <protection locked="0"/>
    </xf>
    <xf numFmtId="1" fontId="29" fillId="0" borderId="0" xfId="11" applyFont="1" applyProtection="1">
      <alignment horizontal="left" vertical="center"/>
      <protection locked="0"/>
    </xf>
    <xf numFmtId="3" fontId="20" fillId="0" borderId="0" xfId="17" applyAlignment="1" applyProtection="1">
      <alignment horizontal="left" vertical="center" wrapText="1"/>
      <protection locked="0"/>
    </xf>
    <xf numFmtId="1" fontId="30" fillId="4" borderId="0" xfId="11" applyFont="1" applyFill="1" applyProtection="1">
      <alignment horizontal="left" vertical="center"/>
      <protection locked="0"/>
    </xf>
    <xf numFmtId="4" fontId="0" fillId="4" borderId="0" xfId="0" applyFill="1" applyProtection="1">
      <alignment vertical="center"/>
      <protection locked="0"/>
    </xf>
    <xf numFmtId="4" fontId="26" fillId="4" borderId="0" xfId="0" applyFont="1" applyFill="1" applyProtection="1">
      <alignment vertical="center"/>
      <protection locked="0"/>
    </xf>
    <xf numFmtId="4" fontId="26" fillId="0" borderId="0" xfId="0" applyFont="1" applyProtection="1">
      <alignment vertical="center"/>
      <protection locked="0"/>
    </xf>
    <xf numFmtId="3" fontId="20" fillId="0" borderId="0" xfId="17" applyFill="1" applyAlignment="1" applyProtection="1">
      <alignment horizontal="left" vertical="center" wrapText="1"/>
      <protection locked="0"/>
    </xf>
    <xf numFmtId="1" fontId="29" fillId="0" borderId="0" xfId="11" applyFont="1" applyFill="1" applyProtection="1">
      <alignment horizontal="left" vertical="center"/>
      <protection locked="0"/>
    </xf>
    <xf numFmtId="1" fontId="41" fillId="0" borderId="0" xfId="11" applyFont="1" applyFill="1" applyProtection="1">
      <alignment horizontal="left" vertical="center"/>
      <protection locked="0"/>
    </xf>
    <xf numFmtId="4" fontId="0" fillId="0" borderId="0" xfId="0" applyFill="1" applyProtection="1">
      <alignment vertical="center"/>
      <protection locked="0"/>
    </xf>
    <xf numFmtId="4" fontId="42" fillId="0" borderId="0" xfId="0" applyFont="1" applyProtection="1">
      <alignment vertical="center"/>
      <protection locked="0"/>
    </xf>
    <xf numFmtId="1" fontId="4" fillId="0" borderId="0" xfId="11" applyFill="1" applyAlignment="1" applyProtection="1">
      <alignment horizontal="center" vertical="center"/>
      <protection locked="0"/>
    </xf>
    <xf numFmtId="1" fontId="30" fillId="0" borderId="0" xfId="11" applyNumberFormat="1" applyFont="1" applyFill="1" applyAlignment="1" applyProtection="1">
      <alignment vertical="center"/>
      <protection locked="0"/>
    </xf>
    <xf numFmtId="3" fontId="31" fillId="0" borderId="0" xfId="13" applyFont="1" applyProtection="1">
      <alignment vertical="center" wrapText="1"/>
      <protection locked="0"/>
    </xf>
    <xf numFmtId="3" fontId="47" fillId="0" borderId="0" xfId="17" applyFont="1" applyProtection="1">
      <alignment vertical="center" wrapText="1"/>
      <protection locked="0"/>
    </xf>
    <xf numFmtId="4" fontId="49" fillId="0" borderId="0" xfId="0" applyFont="1" applyProtection="1">
      <alignment vertical="center"/>
      <protection locked="0"/>
    </xf>
    <xf numFmtId="3" fontId="47" fillId="0" borderId="0" xfId="17" applyFont="1" applyFill="1" applyProtection="1">
      <alignment vertical="center" wrapText="1"/>
      <protection locked="0"/>
    </xf>
    <xf numFmtId="3" fontId="47" fillId="0" borderId="0" xfId="17" applyFont="1">
      <alignment vertical="center" wrapText="1"/>
    </xf>
    <xf numFmtId="4" fontId="49" fillId="0" borderId="0" xfId="0" applyFont="1">
      <alignment vertical="center"/>
    </xf>
    <xf numFmtId="3" fontId="47" fillId="0" borderId="0" xfId="13" applyFont="1" applyAlignment="1">
      <alignment horizontal="center" vertical="center" wrapText="1"/>
    </xf>
    <xf numFmtId="3" fontId="47" fillId="0" borderId="0" xfId="17" applyFont="1" applyProtection="1">
      <alignment vertical="center" wrapText="1"/>
    </xf>
    <xf numFmtId="3" fontId="47" fillId="0" borderId="0" xfId="13" applyFont="1" applyProtection="1">
      <alignment vertical="center" wrapText="1"/>
    </xf>
    <xf numFmtId="3" fontId="50" fillId="0" borderId="0" xfId="14" applyFont="1" applyAlignment="1">
      <alignment horizontal="right" vertical="center" wrapText="1"/>
    </xf>
    <xf numFmtId="3" fontId="47" fillId="0" borderId="0" xfId="17" applyFont="1" applyAlignment="1">
      <alignment horizontal="center" vertical="center" wrapText="1"/>
    </xf>
    <xf numFmtId="3" fontId="53" fillId="0" borderId="0" xfId="17" applyFont="1" applyAlignment="1">
      <alignment horizontal="center" vertical="center" wrapText="1"/>
    </xf>
    <xf numFmtId="1" fontId="34" fillId="0" borderId="0" xfId="11" applyFont="1" applyAlignment="1">
      <alignment horizontal="center" vertical="top"/>
    </xf>
    <xf numFmtId="1" fontId="34" fillId="0" borderId="0" xfId="11" applyFont="1" applyAlignment="1">
      <alignment horizontal="center"/>
    </xf>
    <xf numFmtId="1" fontId="29" fillId="0" borderId="0" xfId="11" applyFont="1" applyAlignment="1">
      <alignment horizontal="center" vertical="center"/>
    </xf>
    <xf numFmtId="3" fontId="54" fillId="0" borderId="0" xfId="17" applyFont="1" applyAlignment="1">
      <alignment horizontal="center" vertical="center" wrapText="1"/>
    </xf>
    <xf numFmtId="3" fontId="55" fillId="0" borderId="0" xfId="15" applyFont="1">
      <alignment vertical="center" wrapText="1"/>
    </xf>
    <xf numFmtId="1" fontId="13" fillId="0" borderId="0" xfId="11" applyFont="1" applyAlignment="1">
      <alignment horizontal="center" vertical="center"/>
    </xf>
    <xf numFmtId="3" fontId="48" fillId="0" borderId="8" xfId="15" applyFont="1" applyBorder="1" applyAlignment="1">
      <alignment horizontal="right" vertical="center" wrapText="1"/>
    </xf>
    <xf numFmtId="3" fontId="47" fillId="0" borderId="0" xfId="17" applyNumberFormat="1" applyFont="1" applyAlignment="1">
      <alignment horizontal="left" vertical="center" wrapText="1"/>
    </xf>
    <xf numFmtId="4" fontId="0" fillId="0" borderId="0" xfId="0" applyProtection="1">
      <alignment vertical="center"/>
    </xf>
    <xf numFmtId="3" fontId="20" fillId="0" borderId="0" xfId="17" applyProtection="1">
      <alignment vertical="center" wrapText="1"/>
    </xf>
    <xf numFmtId="4" fontId="49" fillId="0" borderId="0" xfId="0" applyFont="1" applyProtection="1">
      <alignment vertical="center"/>
    </xf>
    <xf numFmtId="3" fontId="48" fillId="0" borderId="0" xfId="15" applyFont="1" applyProtection="1">
      <alignment vertical="center" wrapText="1"/>
    </xf>
    <xf numFmtId="1" fontId="4" fillId="0" borderId="0" xfId="11" applyProtection="1">
      <alignment horizontal="left" vertical="center"/>
    </xf>
    <xf numFmtId="1" fontId="28" fillId="0" borderId="0" xfId="11" applyFont="1" applyProtection="1">
      <alignment horizontal="left" vertical="center"/>
    </xf>
    <xf numFmtId="3" fontId="47" fillId="0" borderId="0" xfId="17" applyFont="1" applyFill="1" applyProtection="1">
      <alignment vertical="center" wrapText="1"/>
    </xf>
    <xf numFmtId="3" fontId="52" fillId="0" borderId="0" xfId="17" applyFont="1" applyFill="1" applyProtection="1">
      <alignment vertical="center" wrapText="1"/>
    </xf>
    <xf numFmtId="1" fontId="4" fillId="0" borderId="0" xfId="11" applyFill="1" applyProtection="1">
      <alignment horizontal="left" vertical="center"/>
    </xf>
    <xf numFmtId="3" fontId="51" fillId="0" borderId="0" xfId="17" applyFont="1" applyFill="1" applyProtection="1">
      <alignment vertical="center" wrapText="1"/>
    </xf>
    <xf numFmtId="3" fontId="47" fillId="0" borderId="0" xfId="17" applyFont="1" applyFill="1" applyBorder="1" applyProtection="1">
      <alignment vertical="center" wrapText="1"/>
    </xf>
    <xf numFmtId="1" fontId="4" fillId="0" borderId="0" xfId="11" applyFont="1" applyFill="1" applyProtection="1">
      <alignment horizontal="left" vertical="center"/>
    </xf>
    <xf numFmtId="1" fontId="28" fillId="0" borderId="0" xfId="11" applyFont="1" applyFill="1" applyProtection="1">
      <alignment horizontal="left" vertical="center"/>
    </xf>
    <xf numFmtId="3" fontId="50" fillId="0" borderId="0" xfId="14" applyFont="1" applyFill="1" applyAlignment="1" applyProtection="1">
      <alignment horizontal="right" vertical="center" wrapText="1"/>
    </xf>
    <xf numFmtId="1" fontId="27" fillId="0" borderId="0" xfId="11" applyFont="1" applyProtection="1">
      <alignment horizontal="left" vertical="center"/>
    </xf>
    <xf numFmtId="3" fontId="47" fillId="0" borderId="0" xfId="17" applyFont="1" applyFill="1" applyAlignment="1" applyProtection="1">
      <alignment vertical="center" wrapText="1"/>
      <protection locked="0"/>
    </xf>
    <xf numFmtId="3" fontId="57" fillId="3" borderId="9" xfId="16" applyFont="1" applyFill="1" applyBorder="1" applyAlignment="1" applyProtection="1">
      <alignment horizontal="center" vertical="center" wrapText="1"/>
    </xf>
    <xf numFmtId="3" fontId="61" fillId="0" borderId="0" xfId="16" applyFont="1" applyProtection="1">
      <alignment vertical="center" wrapText="1"/>
    </xf>
    <xf numFmtId="3" fontId="20" fillId="0" borderId="0" xfId="17" applyFont="1" applyProtection="1">
      <alignment vertical="center" wrapText="1"/>
    </xf>
    <xf numFmtId="1" fontId="23" fillId="0" borderId="0" xfId="11" applyFont="1" applyProtection="1">
      <alignment horizontal="left" vertical="center"/>
    </xf>
    <xf numFmtId="1" fontId="3" fillId="0" borderId="0" xfId="12" applyFill="1" applyProtection="1">
      <alignment horizontal="center" vertical="center"/>
      <protection locked="0"/>
    </xf>
    <xf numFmtId="3" fontId="54" fillId="4" borderId="9" xfId="15" applyFont="1" applyFill="1" applyBorder="1" applyAlignment="1" applyProtection="1">
      <alignment horizontal="center" vertical="center" wrapText="1"/>
    </xf>
    <xf numFmtId="3" fontId="57" fillId="3" borderId="9" xfId="16" applyFont="1" applyFill="1" applyBorder="1" applyAlignment="1" applyProtection="1">
      <alignment horizontal="center" vertical="center" wrapText="1"/>
    </xf>
    <xf numFmtId="3" fontId="47" fillId="0" borderId="0" xfId="17" applyFont="1" applyFill="1" applyAlignment="1" applyProtection="1">
      <alignment vertical="center"/>
      <protection locked="0"/>
    </xf>
    <xf numFmtId="3" fontId="47" fillId="0" borderId="0" xfId="17" applyFont="1" applyFill="1" applyAlignment="1" applyProtection="1">
      <alignment vertical="center"/>
    </xf>
    <xf numFmtId="4" fontId="49" fillId="0" borderId="0" xfId="0" applyFont="1" applyFill="1" applyProtection="1">
      <alignment vertical="center"/>
    </xf>
    <xf numFmtId="3" fontId="47" fillId="0" borderId="0" xfId="17" applyFont="1" applyFill="1" applyAlignment="1" applyProtection="1">
      <alignment vertical="center" wrapText="1"/>
    </xf>
    <xf numFmtId="3" fontId="48" fillId="0" borderId="0" xfId="15" applyFont="1" applyFill="1" applyProtection="1">
      <alignment vertical="center" wrapText="1"/>
      <protection locked="0"/>
    </xf>
    <xf numFmtId="4" fontId="49" fillId="0" borderId="0" xfId="0" applyFont="1" applyFill="1" applyProtection="1">
      <alignment vertical="center"/>
      <protection locked="0"/>
    </xf>
    <xf numFmtId="1" fontId="4" fillId="0" borderId="0" xfId="11" applyFont="1" applyFill="1" applyAlignment="1" applyProtection="1">
      <alignment horizontal="left" vertical="center"/>
      <protection locked="0"/>
    </xf>
    <xf numFmtId="3" fontId="50" fillId="0" borderId="8" xfId="14" applyFont="1" applyBorder="1">
      <alignment vertical="center" wrapText="1"/>
    </xf>
    <xf numFmtId="3" fontId="68" fillId="0" borderId="0" xfId="17" applyFont="1">
      <alignment vertical="center" wrapText="1"/>
    </xf>
    <xf numFmtId="3" fontId="47" fillId="3" borderId="0" xfId="17" applyFont="1" applyFill="1" applyAlignment="1">
      <alignment horizontal="center" vertical="center" wrapText="1"/>
    </xf>
    <xf numFmtId="3" fontId="47" fillId="0" borderId="0" xfId="13" applyNumberFormat="1" applyFont="1">
      <alignment vertical="center" wrapText="1"/>
    </xf>
    <xf numFmtId="3" fontId="48" fillId="0" borderId="8" xfId="15" applyFont="1" applyBorder="1">
      <alignment vertical="center" wrapText="1"/>
    </xf>
    <xf numFmtId="4" fontId="49" fillId="0" borderId="0" xfId="0" applyFont="1" applyFill="1" applyAlignment="1" applyProtection="1">
      <alignment vertical="center"/>
      <protection locked="0"/>
    </xf>
    <xf numFmtId="3" fontId="70" fillId="0" borderId="0" xfId="17" applyFont="1" applyFill="1" applyAlignment="1" applyProtection="1">
      <alignment vertical="center"/>
      <protection locked="0"/>
    </xf>
    <xf numFmtId="3" fontId="57" fillId="3" borderId="9" xfId="17" applyFont="1" applyFill="1" applyBorder="1" applyAlignment="1" applyProtection="1">
      <alignment vertical="center" wrapText="1"/>
    </xf>
    <xf numFmtId="3" fontId="2" fillId="0" borderId="0" xfId="17" applyFont="1" applyProtection="1">
      <alignment vertical="center" wrapText="1"/>
    </xf>
    <xf numFmtId="4" fontId="2" fillId="0" borderId="0" xfId="0" applyFont="1" applyProtection="1">
      <alignment vertical="center"/>
    </xf>
    <xf numFmtId="1" fontId="0" fillId="0" borderId="0" xfId="11" applyFont="1" applyFill="1" applyAlignment="1" applyProtection="1">
      <alignment horizontal="left" vertical="center" wrapText="1"/>
    </xf>
    <xf numFmtId="3" fontId="2" fillId="0" borderId="0" xfId="17" applyFont="1" applyFill="1" applyAlignment="1" applyProtection="1">
      <alignment vertical="center"/>
    </xf>
    <xf numFmtId="3" fontId="2" fillId="0" borderId="0" xfId="17" applyFont="1" applyAlignment="1" applyProtection="1">
      <alignment vertical="center"/>
      <protection locked="0"/>
    </xf>
    <xf numFmtId="3" fontId="2" fillId="0" borderId="0" xfId="17" applyFont="1" applyFill="1" applyAlignment="1" applyProtection="1">
      <alignment vertical="center"/>
      <protection locked="0"/>
    </xf>
    <xf numFmtId="4" fontId="2" fillId="4" borderId="0" xfId="0" applyFont="1" applyFill="1" applyAlignment="1" applyProtection="1">
      <alignment vertical="center"/>
      <protection locked="0"/>
    </xf>
    <xf numFmtId="4" fontId="2" fillId="0" borderId="0" xfId="0" applyFont="1" applyAlignment="1" applyProtection="1">
      <alignment vertical="center"/>
      <protection locked="0"/>
    </xf>
    <xf numFmtId="4" fontId="2" fillId="0" borderId="0" xfId="0" applyFont="1" applyAlignment="1">
      <alignment vertical="center"/>
    </xf>
    <xf numFmtId="3" fontId="2" fillId="0" borderId="0" xfId="17" applyFont="1" applyAlignment="1">
      <alignment vertical="center"/>
    </xf>
    <xf numFmtId="3" fontId="2" fillId="0" borderId="0" xfId="14" applyFont="1" applyAlignment="1">
      <alignment horizontal="right" vertical="center"/>
    </xf>
    <xf numFmtId="3" fontId="47" fillId="0" borderId="0" xfId="17" applyFont="1" applyFill="1" applyAlignment="1" applyProtection="1">
      <alignment horizontal="center" vertical="center" wrapText="1"/>
      <protection locked="0"/>
    </xf>
    <xf numFmtId="3" fontId="31" fillId="0" borderId="0" xfId="17" applyFont="1">
      <alignment vertical="center" wrapText="1"/>
    </xf>
    <xf numFmtId="3" fontId="16" fillId="0" borderId="8" xfId="14" applyFont="1" applyBorder="1">
      <alignment vertical="center" wrapText="1"/>
    </xf>
    <xf numFmtId="3" fontId="17" fillId="0" borderId="0" xfId="15" applyFont="1">
      <alignment vertical="center" wrapText="1"/>
    </xf>
    <xf numFmtId="3" fontId="17" fillId="0" borderId="0" xfId="15" applyFont="1" applyProtection="1">
      <alignment vertical="center" wrapText="1"/>
      <protection locked="0"/>
    </xf>
    <xf numFmtId="3" fontId="18" fillId="0" borderId="0" xfId="16" applyFont="1" applyProtection="1">
      <alignment vertical="center" wrapText="1"/>
      <protection locked="0"/>
    </xf>
    <xf numFmtId="3" fontId="17" fillId="0" borderId="0" xfId="15" applyFont="1" applyFill="1" applyProtection="1">
      <alignment vertical="center" wrapText="1"/>
      <protection locked="0"/>
    </xf>
    <xf numFmtId="3" fontId="17" fillId="0" borderId="0" xfId="15" applyFont="1" applyProtection="1">
      <alignment vertical="center" wrapText="1"/>
    </xf>
    <xf numFmtId="3" fontId="18" fillId="0" borderId="0" xfId="16" applyFont="1" applyProtection="1">
      <alignment vertical="center" wrapText="1"/>
    </xf>
    <xf numFmtId="3" fontId="31" fillId="0" borderId="0" xfId="13" applyFont="1" applyProtection="1">
      <alignment vertical="center" wrapText="1"/>
    </xf>
    <xf numFmtId="3" fontId="16" fillId="0" borderId="0" xfId="14" applyFont="1" applyFill="1" applyProtection="1">
      <alignment vertical="center" wrapText="1"/>
    </xf>
    <xf numFmtId="3" fontId="31" fillId="0" borderId="0" xfId="13" applyFont="1" applyFill="1" applyProtection="1">
      <alignment vertical="center" wrapText="1"/>
    </xf>
    <xf numFmtId="3" fontId="17" fillId="0" borderId="0" xfId="15" applyFont="1" applyFill="1" applyProtection="1">
      <alignment vertical="center" wrapText="1"/>
    </xf>
    <xf numFmtId="3" fontId="31" fillId="0" borderId="0" xfId="13" applyFont="1" applyFill="1" applyProtection="1">
      <alignment vertical="center" wrapText="1"/>
      <protection locked="0"/>
    </xf>
    <xf numFmtId="3" fontId="31" fillId="0" borderId="0" xfId="13" applyFont="1" applyFill="1" applyBorder="1" applyProtection="1">
      <alignment vertical="center" wrapText="1"/>
      <protection locked="0"/>
    </xf>
    <xf numFmtId="3" fontId="46" fillId="0" borderId="0" xfId="13" applyFont="1" applyFill="1" applyProtection="1">
      <alignment vertical="center" wrapText="1"/>
      <protection locked="0"/>
    </xf>
    <xf numFmtId="3" fontId="16" fillId="0" borderId="0" xfId="14" applyFont="1" applyFill="1" applyProtection="1">
      <alignment vertical="center" wrapText="1"/>
      <protection locked="0"/>
    </xf>
    <xf numFmtId="4" fontId="24" fillId="4" borderId="0" xfId="0" applyFont="1" applyFill="1" applyProtection="1">
      <alignment vertical="center"/>
      <protection locked="0"/>
    </xf>
    <xf numFmtId="4" fontId="24" fillId="0" borderId="0" xfId="0" applyFont="1" applyFill="1" applyProtection="1">
      <alignment vertical="center"/>
      <protection locked="0"/>
    </xf>
    <xf numFmtId="3" fontId="31" fillId="0" borderId="0" xfId="13" applyNumberFormat="1" applyFont="1">
      <alignment vertical="center" wrapText="1"/>
    </xf>
    <xf numFmtId="3" fontId="16" fillId="0" borderId="8" xfId="14" applyNumberFormat="1" applyFont="1" applyBorder="1">
      <alignment vertical="center" wrapText="1"/>
    </xf>
    <xf numFmtId="1" fontId="66" fillId="0" borderId="0" xfId="11" applyFont="1" applyAlignment="1">
      <alignment horizontal="left" vertical="center"/>
    </xf>
    <xf numFmtId="3" fontId="2" fillId="0" borderId="0" xfId="17" applyFont="1" applyFill="1" applyBorder="1" applyAlignment="1" applyProtection="1">
      <alignment vertical="center"/>
    </xf>
    <xf numFmtId="3" fontId="2" fillId="0" borderId="0" xfId="14" applyFont="1" applyFill="1" applyAlignment="1" applyProtection="1">
      <alignment horizontal="right" vertical="center"/>
    </xf>
    <xf numFmtId="4" fontId="2" fillId="0" borderId="0" xfId="0" applyFont="1" applyFill="1" applyAlignment="1" applyProtection="1">
      <alignment vertical="center"/>
    </xf>
    <xf numFmtId="4" fontId="31" fillId="0" borderId="0" xfId="13" applyNumberFormat="1" applyFont="1">
      <alignment vertical="center" wrapText="1"/>
    </xf>
    <xf numFmtId="4" fontId="14" fillId="0" borderId="0" xfId="15" applyNumberFormat="1" applyFont="1">
      <alignment vertical="center" wrapText="1"/>
    </xf>
    <xf numFmtId="4" fontId="18" fillId="0" borderId="0" xfId="16" applyNumberFormat="1" applyFont="1">
      <alignment vertical="center" wrapText="1"/>
    </xf>
    <xf numFmtId="4" fontId="17" fillId="0" borderId="0" xfId="15" applyNumberFormat="1" applyFont="1">
      <alignment vertical="center" wrapText="1"/>
    </xf>
    <xf numFmtId="4" fontId="16" fillId="0" borderId="8" xfId="14" applyNumberFormat="1" applyFont="1" applyBorder="1">
      <alignment vertical="center" wrapText="1"/>
    </xf>
    <xf numFmtId="4" fontId="24" fillId="0" borderId="0" xfId="24" applyFont="1">
      <alignment vertical="center"/>
    </xf>
    <xf numFmtId="4" fontId="2" fillId="0" borderId="0" xfId="0" applyFont="1" applyFill="1" applyProtection="1">
      <alignment vertical="center"/>
    </xf>
    <xf numFmtId="4" fontId="0" fillId="0" borderId="0" xfId="0" applyFill="1" applyProtection="1">
      <alignment vertical="center"/>
    </xf>
    <xf numFmtId="1" fontId="4" fillId="0" borderId="0" xfId="11" applyFill="1" applyBorder="1" applyProtection="1">
      <alignment horizontal="left" vertical="center"/>
    </xf>
    <xf numFmtId="1" fontId="28" fillId="0" borderId="0" xfId="11" applyFont="1" applyFill="1" applyBorder="1" applyProtection="1">
      <alignment horizontal="left" vertical="center"/>
    </xf>
    <xf numFmtId="4" fontId="0" fillId="0" borderId="0" xfId="0" applyFill="1" applyBorder="1" applyProtection="1">
      <alignment vertical="center"/>
    </xf>
    <xf numFmtId="1" fontId="40" fillId="0" borderId="0" xfId="11" applyFont="1" applyFill="1" applyAlignment="1" applyProtection="1">
      <alignment horizontal="left" vertical="center" wrapText="1"/>
    </xf>
    <xf numFmtId="0" fontId="47" fillId="0" borderId="0" xfId="17" applyNumberFormat="1" applyFont="1" applyFill="1" applyAlignment="1" applyProtection="1">
      <alignment vertical="center"/>
    </xf>
    <xf numFmtId="0" fontId="2" fillId="0" borderId="0" xfId="17" applyNumberFormat="1" applyFont="1" applyFill="1" applyAlignment="1" applyProtection="1">
      <alignment vertical="center"/>
    </xf>
    <xf numFmtId="0" fontId="4" fillId="0" borderId="0" xfId="11" applyNumberFormat="1" applyFill="1" applyAlignment="1" applyProtection="1">
      <alignment horizontal="left" vertical="center"/>
    </xf>
    <xf numFmtId="1" fontId="30" fillId="0" borderId="0" xfId="11" applyFont="1" applyFill="1" applyProtection="1">
      <alignment horizontal="left" vertical="center"/>
    </xf>
    <xf numFmtId="1" fontId="30" fillId="0" borderId="0" xfId="11" applyFont="1" applyFill="1" applyAlignment="1" applyProtection="1">
      <alignment horizontal="left" vertical="center" wrapText="1"/>
    </xf>
    <xf numFmtId="1" fontId="4" fillId="0" borderId="0" xfId="11" applyFill="1" applyAlignment="1" applyProtection="1">
      <alignment horizontal="left" vertical="center"/>
    </xf>
    <xf numFmtId="3" fontId="56" fillId="0" borderId="0" xfId="17" applyFont="1" applyFill="1" applyProtection="1">
      <alignment vertical="center" wrapText="1"/>
    </xf>
    <xf numFmtId="4" fontId="24" fillId="0" borderId="0" xfId="0" applyFont="1" applyFill="1" applyProtection="1">
      <alignment vertical="center"/>
    </xf>
    <xf numFmtId="3" fontId="53" fillId="0" borderId="0" xfId="14" applyFont="1" applyFill="1" applyAlignment="1" applyProtection="1">
      <alignment horizontal="left" vertical="center" wrapText="1"/>
    </xf>
    <xf numFmtId="3" fontId="2" fillId="0" borderId="0" xfId="14" applyFont="1" applyFill="1" applyAlignment="1" applyProtection="1">
      <alignment horizontal="left" vertical="center"/>
    </xf>
    <xf numFmtId="3" fontId="2" fillId="0" borderId="0" xfId="17" applyFont="1" applyFill="1" applyProtection="1">
      <alignment vertical="center" wrapText="1"/>
    </xf>
    <xf numFmtId="1" fontId="4" fillId="0" borderId="2" xfId="11" applyFill="1" applyBorder="1" applyAlignment="1" applyProtection="1">
      <alignment horizontal="center" vertical="center"/>
      <protection locked="0"/>
    </xf>
    <xf numFmtId="1" fontId="4" fillId="0" borderId="6" xfId="11" applyFill="1" applyBorder="1" applyAlignment="1" applyProtection="1">
      <alignment horizontal="center" vertical="center"/>
      <protection locked="0"/>
    </xf>
    <xf numFmtId="1" fontId="3" fillId="0" borderId="8" xfId="11" applyFont="1" applyFill="1" applyBorder="1" applyAlignment="1" applyProtection="1">
      <alignment horizontal="center" vertical="center"/>
      <protection locked="0"/>
    </xf>
    <xf numFmtId="1" fontId="67" fillId="0" borderId="0" xfId="11" applyFont="1" applyFill="1" applyAlignment="1" applyProtection="1">
      <alignment horizontal="center" vertical="center"/>
      <protection locked="0"/>
    </xf>
    <xf numFmtId="1" fontId="29" fillId="0" borderId="0" xfId="11" applyFont="1" applyFill="1" applyAlignment="1" applyProtection="1">
      <alignment horizontal="center" vertical="center"/>
      <protection locked="0"/>
    </xf>
    <xf numFmtId="1" fontId="72" fillId="0" borderId="0" xfId="11" applyFont="1" applyFill="1" applyAlignment="1" applyProtection="1">
      <alignment horizontal="center" vertical="center"/>
      <protection locked="0"/>
    </xf>
    <xf numFmtId="1" fontId="76" fillId="0" borderId="0" xfId="11" applyFont="1" applyFill="1" applyAlignment="1" applyProtection="1">
      <alignment horizontal="center" vertical="center"/>
      <protection locked="0"/>
    </xf>
    <xf numFmtId="1" fontId="4" fillId="0" borderId="0" xfId="11" applyFont="1" applyFill="1" applyAlignment="1" applyProtection="1">
      <alignment horizontal="center" vertical="center"/>
      <protection locked="0"/>
    </xf>
    <xf numFmtId="3" fontId="47" fillId="0" borderId="2" xfId="17" applyFont="1" applyFill="1" applyBorder="1" applyAlignment="1" applyProtection="1">
      <alignment horizontal="left" vertical="center"/>
      <protection locked="0"/>
    </xf>
    <xf numFmtId="1" fontId="30" fillId="0" borderId="2" xfId="11" applyNumberFormat="1" applyFont="1" applyFill="1" applyBorder="1" applyAlignment="1" applyProtection="1">
      <alignment vertical="center"/>
      <protection locked="0"/>
    </xf>
    <xf numFmtId="4" fontId="49" fillId="0" borderId="2" xfId="0" applyFont="1" applyFill="1" applyBorder="1" applyAlignment="1" applyProtection="1">
      <alignment vertical="center"/>
      <protection locked="0"/>
    </xf>
    <xf numFmtId="4" fontId="24" fillId="0" borderId="2" xfId="0" applyFont="1" applyFill="1" applyBorder="1" applyProtection="1">
      <alignment vertical="center"/>
      <protection locked="0"/>
    </xf>
    <xf numFmtId="3" fontId="47" fillId="0" borderId="0" xfId="17" applyFont="1" applyFill="1" applyAlignment="1" applyProtection="1">
      <alignment horizontal="left" vertical="center"/>
      <protection locked="0"/>
    </xf>
    <xf numFmtId="3" fontId="47" fillId="0" borderId="0" xfId="17" applyFont="1" applyFill="1" applyAlignment="1" applyProtection="1">
      <alignment horizontal="center" vertical="center"/>
      <protection locked="0"/>
    </xf>
    <xf numFmtId="3" fontId="50" fillId="0" borderId="0" xfId="17" applyFont="1" applyFill="1" applyAlignment="1" applyProtection="1">
      <alignment horizontal="center" vertical="center" wrapText="1"/>
      <protection locked="0"/>
    </xf>
    <xf numFmtId="3" fontId="47" fillId="0" borderId="0" xfId="0" applyNumberFormat="1" applyFont="1" applyFill="1" applyAlignment="1" applyProtection="1">
      <alignment horizontal="center" vertical="center"/>
      <protection locked="0"/>
    </xf>
    <xf numFmtId="3" fontId="49" fillId="0" borderId="0" xfId="0" applyNumberFormat="1" applyFont="1" applyFill="1" applyAlignment="1" applyProtection="1">
      <alignment horizontal="center" vertical="center"/>
      <protection locked="0"/>
    </xf>
    <xf numFmtId="4" fontId="49" fillId="0" borderId="6" xfId="0" applyFont="1" applyFill="1" applyBorder="1" applyProtection="1">
      <alignment vertical="center"/>
      <protection locked="0"/>
    </xf>
    <xf numFmtId="1" fontId="30" fillId="0" borderId="6" xfId="11" applyNumberFormat="1" applyFont="1" applyFill="1" applyBorder="1" applyAlignment="1" applyProtection="1">
      <alignment vertical="center"/>
      <protection locked="0"/>
    </xf>
    <xf numFmtId="3" fontId="48" fillId="0" borderId="6" xfId="15" applyFont="1" applyFill="1" applyBorder="1" applyAlignment="1" applyProtection="1">
      <alignment horizontal="right" vertical="center"/>
      <protection locked="0"/>
    </xf>
    <xf numFmtId="3" fontId="16" fillId="0" borderId="6" xfId="14" applyFont="1" applyFill="1" applyBorder="1" applyProtection="1">
      <alignment vertical="center" wrapText="1"/>
      <protection locked="0"/>
    </xf>
    <xf numFmtId="3" fontId="56" fillId="0" borderId="0" xfId="17" applyFont="1" applyFill="1" applyAlignment="1" applyProtection="1">
      <alignment vertical="center"/>
      <protection locked="0"/>
    </xf>
    <xf numFmtId="4" fontId="49" fillId="0" borderId="2" xfId="0" applyFont="1" applyFill="1" applyBorder="1" applyProtection="1">
      <alignment vertical="center"/>
      <protection locked="0"/>
    </xf>
    <xf numFmtId="3" fontId="48" fillId="0" borderId="6" xfId="15" applyFont="1" applyFill="1" applyBorder="1" applyAlignment="1" applyProtection="1">
      <alignment horizontal="right" vertical="center" wrapText="1"/>
      <protection locked="0"/>
    </xf>
    <xf numFmtId="3" fontId="65" fillId="0" borderId="8" xfId="17" applyFont="1" applyFill="1" applyBorder="1" applyAlignment="1" applyProtection="1">
      <alignment vertical="center"/>
      <protection locked="0"/>
    </xf>
    <xf numFmtId="1" fontId="30" fillId="0" borderId="8" xfId="11" applyNumberFormat="1" applyFont="1" applyFill="1" applyBorder="1" applyAlignment="1" applyProtection="1">
      <alignment vertical="center"/>
      <protection locked="0"/>
    </xf>
    <xf numFmtId="4" fontId="69" fillId="0" borderId="8" xfId="0" applyFont="1" applyFill="1" applyBorder="1" applyAlignment="1" applyProtection="1">
      <alignment vertical="center"/>
      <protection locked="0"/>
    </xf>
    <xf numFmtId="4" fontId="18" fillId="0" borderId="8" xfId="0" applyFont="1" applyFill="1" applyBorder="1" applyProtection="1">
      <alignment vertical="center"/>
      <protection locked="0"/>
    </xf>
    <xf numFmtId="3" fontId="47" fillId="0" borderId="9" xfId="17" applyFont="1" applyFill="1" applyBorder="1" applyAlignment="1" applyProtection="1">
      <alignment vertical="center"/>
      <protection locked="0"/>
    </xf>
    <xf numFmtId="4" fontId="37" fillId="0" borderId="0" xfId="0" applyFont="1" applyFill="1" applyProtection="1">
      <alignment vertical="center"/>
      <protection locked="0"/>
    </xf>
    <xf numFmtId="1" fontId="40" fillId="0" borderId="0" xfId="11" applyNumberFormat="1" applyFont="1" applyFill="1" applyAlignment="1" applyProtection="1">
      <alignment vertical="center"/>
      <protection locked="0"/>
    </xf>
    <xf numFmtId="1" fontId="36" fillId="0" borderId="0" xfId="12" applyFont="1" applyFill="1" applyProtection="1">
      <alignment horizontal="center" vertical="center"/>
      <protection locked="0"/>
    </xf>
    <xf numFmtId="4" fontId="26" fillId="0" borderId="0" xfId="0" applyFont="1" applyFill="1" applyProtection="1">
      <alignment vertical="center"/>
      <protection locked="0"/>
    </xf>
    <xf numFmtId="4" fontId="26" fillId="0" borderId="0" xfId="0" applyFont="1" applyFill="1" applyAlignment="1" applyProtection="1">
      <alignment vertical="center"/>
      <protection locked="0"/>
    </xf>
    <xf numFmtId="1" fontId="25" fillId="0" borderId="0" xfId="12" applyFont="1" applyFill="1" applyProtection="1">
      <alignment horizontal="center" vertical="center"/>
      <protection locked="0"/>
    </xf>
    <xf numFmtId="4" fontId="26" fillId="0" borderId="0" xfId="0" applyFont="1" applyFill="1" applyAlignment="1" applyProtection="1">
      <alignment vertical="center" wrapText="1"/>
      <protection locked="0"/>
    </xf>
    <xf numFmtId="4" fontId="37" fillId="0" borderId="0" xfId="0" applyFont="1" applyFill="1" applyAlignment="1" applyProtection="1">
      <alignment vertical="center"/>
      <protection locked="0"/>
    </xf>
    <xf numFmtId="3" fontId="70" fillId="0" borderId="0" xfId="17" applyFont="1" applyFill="1" applyAlignment="1" applyProtection="1">
      <alignment horizontal="center" vertical="center" wrapText="1"/>
      <protection locked="0"/>
    </xf>
    <xf numFmtId="4" fontId="24" fillId="0" borderId="0" xfId="0" applyFont="1" applyFill="1" applyAlignment="1" applyProtection="1">
      <alignment vertical="center"/>
      <protection locked="0"/>
    </xf>
    <xf numFmtId="1" fontId="25" fillId="0" borderId="0" xfId="12" applyFont="1" applyFill="1" applyAlignment="1" applyProtection="1">
      <alignment horizontal="center" vertical="center"/>
      <protection locked="0"/>
    </xf>
    <xf numFmtId="4" fontId="71" fillId="0" borderId="0" xfId="0" applyFont="1" applyFill="1" applyProtection="1">
      <alignment vertical="center"/>
      <protection locked="0"/>
    </xf>
    <xf numFmtId="1" fontId="73" fillId="0" borderId="0" xfId="11" applyNumberFormat="1" applyFont="1" applyFill="1" applyAlignment="1" applyProtection="1">
      <alignment vertical="center"/>
      <protection locked="0"/>
    </xf>
    <xf numFmtId="4" fontId="71" fillId="0" borderId="0" xfId="0" applyFont="1" applyFill="1" applyAlignment="1" applyProtection="1">
      <alignment vertical="center"/>
      <protection locked="0"/>
    </xf>
    <xf numFmtId="1" fontId="74" fillId="0" borderId="0" xfId="12" applyFont="1" applyFill="1" applyProtection="1">
      <alignment horizontal="center" vertical="center"/>
      <protection locked="0"/>
    </xf>
    <xf numFmtId="3" fontId="75" fillId="0" borderId="0" xfId="0" applyNumberFormat="1" applyFont="1" applyFill="1" applyAlignment="1" applyProtection="1">
      <alignment horizontal="center" vertical="center"/>
      <protection locked="0"/>
    </xf>
    <xf numFmtId="1" fontId="77" fillId="0" borderId="0" xfId="11" applyNumberFormat="1" applyFont="1" applyFill="1" applyAlignment="1" applyProtection="1">
      <alignment vertical="center"/>
      <protection locked="0"/>
    </xf>
    <xf numFmtId="4" fontId="75" fillId="0" borderId="0" xfId="0" applyFont="1" applyFill="1" applyAlignment="1" applyProtection="1">
      <alignment vertical="center"/>
      <protection locked="0"/>
    </xf>
    <xf numFmtId="1" fontId="78" fillId="0" borderId="0" xfId="12" applyFont="1" applyFill="1" applyProtection="1">
      <alignment horizontal="center" vertical="center"/>
      <protection locked="0"/>
    </xf>
    <xf numFmtId="4" fontId="75" fillId="0" borderId="0" xfId="0" applyFont="1" applyFill="1" applyProtection="1">
      <alignment vertical="center"/>
      <protection locked="0"/>
    </xf>
    <xf numFmtId="1" fontId="28" fillId="0" borderId="8" xfId="11" applyNumberFormat="1" applyFont="1" applyFill="1" applyBorder="1" applyAlignment="1" applyProtection="1">
      <alignment vertical="center"/>
      <protection locked="0"/>
    </xf>
    <xf numFmtId="1" fontId="28" fillId="0" borderId="0" xfId="11" applyNumberFormat="1" applyFont="1" applyFill="1" applyAlignment="1" applyProtection="1">
      <alignment vertical="center"/>
      <protection locked="0"/>
    </xf>
    <xf numFmtId="4" fontId="69" fillId="0" borderId="8" xfId="0" applyFont="1" applyFill="1" applyBorder="1" applyProtection="1">
      <alignment vertical="center"/>
      <protection locked="0"/>
    </xf>
    <xf numFmtId="3" fontId="79" fillId="0" borderId="0" xfId="17" applyFont="1" applyFill="1" applyAlignment="1" applyProtection="1">
      <alignment vertical="center"/>
      <protection locked="0"/>
    </xf>
    <xf numFmtId="3" fontId="47" fillId="0" borderId="0" xfId="17" applyFont="1" applyFill="1" applyBorder="1" applyAlignment="1" applyProtection="1">
      <alignment horizontal="left" vertical="center"/>
      <protection locked="0"/>
    </xf>
    <xf numFmtId="1" fontId="30" fillId="0" borderId="0" xfId="11" applyFont="1" applyFill="1" applyProtection="1">
      <alignment horizontal="left" vertical="center"/>
      <protection locked="0"/>
    </xf>
    <xf numFmtId="3" fontId="18" fillId="0" borderId="0" xfId="16" applyFont="1" applyFill="1" applyProtection="1">
      <alignment vertical="center" wrapText="1"/>
      <protection locked="0"/>
    </xf>
    <xf numFmtId="3" fontId="50" fillId="0" borderId="0" xfId="14" applyFont="1" applyFill="1" applyAlignment="1" applyProtection="1">
      <alignment horizontal="right" vertical="center" wrapText="1"/>
      <protection locked="0"/>
    </xf>
    <xf numFmtId="3" fontId="2" fillId="0" borderId="0" xfId="14" applyFont="1" applyFill="1" applyAlignment="1" applyProtection="1">
      <alignment horizontal="right" vertical="center"/>
      <protection locked="0"/>
    </xf>
    <xf numFmtId="3" fontId="52" fillId="0" borderId="0" xfId="17" applyFont="1" applyFill="1" applyProtection="1">
      <alignment vertical="center" wrapText="1"/>
      <protection locked="0"/>
    </xf>
    <xf numFmtId="3" fontId="47" fillId="0" borderId="0" xfId="17" applyFont="1" applyFill="1" applyBorder="1" applyProtection="1">
      <alignment vertical="center" wrapText="1"/>
      <protection locked="0"/>
    </xf>
    <xf numFmtId="3" fontId="2" fillId="0" borderId="0" xfId="17" applyFont="1" applyFill="1" applyBorder="1" applyAlignment="1" applyProtection="1">
      <alignment vertical="center"/>
      <protection locked="0"/>
    </xf>
    <xf numFmtId="3" fontId="20" fillId="0" borderId="0" xfId="17" applyFill="1" applyBorder="1" applyAlignment="1" applyProtection="1">
      <alignment horizontal="left" vertical="center" wrapText="1"/>
      <protection locked="0"/>
    </xf>
    <xf numFmtId="1" fontId="4" fillId="0" borderId="0" xfId="11" applyFill="1" applyBorder="1" applyProtection="1">
      <alignment horizontal="left" vertical="center"/>
      <protection locked="0"/>
    </xf>
    <xf numFmtId="1" fontId="29" fillId="0" borderId="0" xfId="11" applyFont="1" applyFill="1" applyBorder="1" applyProtection="1">
      <alignment horizontal="left" vertical="center"/>
      <protection locked="0"/>
    </xf>
    <xf numFmtId="1" fontId="30" fillId="0" borderId="0" xfId="11" applyFont="1" applyFill="1" applyBorder="1" applyProtection="1">
      <alignment horizontal="left" vertical="center"/>
      <protection locked="0"/>
    </xf>
    <xf numFmtId="3" fontId="51" fillId="0" borderId="0" xfId="17" applyFont="1" applyFill="1" applyProtection="1">
      <alignment vertical="center" wrapText="1"/>
      <protection locked="0"/>
    </xf>
    <xf numFmtId="3" fontId="33" fillId="0" borderId="0" xfId="13" applyFont="1" applyFill="1" applyProtection="1">
      <alignment vertical="center" wrapText="1"/>
      <protection locked="0"/>
    </xf>
    <xf numFmtId="3" fontId="5" fillId="0" borderId="0" xfId="17" applyFont="1" applyFill="1" applyProtection="1">
      <alignment vertical="center" wrapText="1"/>
      <protection locked="0"/>
    </xf>
    <xf numFmtId="3" fontId="43" fillId="0" borderId="0" xfId="17" applyFont="1" applyFill="1" applyProtection="1">
      <alignment vertical="center" wrapText="1"/>
      <protection locked="0"/>
    </xf>
    <xf numFmtId="3" fontId="2" fillId="0" borderId="0" xfId="15" applyFont="1" applyFill="1" applyAlignment="1" applyProtection="1">
      <alignment vertical="center"/>
      <protection locked="0"/>
    </xf>
    <xf numFmtId="3" fontId="20" fillId="0" borderId="0" xfId="17" applyFill="1" applyProtection="1">
      <alignment vertical="center" wrapText="1"/>
      <protection locked="0"/>
    </xf>
    <xf numFmtId="3" fontId="47" fillId="0" borderId="0" xfId="17" quotePrefix="1" applyFont="1" applyFill="1" applyProtection="1">
      <alignment vertical="center" wrapText="1"/>
      <protection locked="0"/>
    </xf>
    <xf numFmtId="3" fontId="2" fillId="0" borderId="0" xfId="17" quotePrefix="1" applyFont="1" applyFill="1" applyAlignment="1" applyProtection="1">
      <alignment vertical="center"/>
      <protection locked="0"/>
    </xf>
    <xf numFmtId="3" fontId="2" fillId="0" borderId="0" xfId="14" applyFont="1" applyFill="1" applyAlignment="1" applyProtection="1">
      <alignment vertical="center"/>
      <protection locked="0"/>
    </xf>
    <xf numFmtId="3" fontId="50" fillId="0" borderId="0" xfId="14" applyFont="1" applyFill="1" applyProtection="1">
      <alignment vertical="center" wrapText="1"/>
      <protection locked="0"/>
    </xf>
    <xf numFmtId="4" fontId="2" fillId="0" borderId="0" xfId="0" applyFont="1" applyFill="1" applyAlignment="1" applyProtection="1">
      <alignment vertical="center"/>
      <protection locked="0"/>
    </xf>
    <xf numFmtId="3" fontId="20" fillId="0" borderId="0" xfId="17" applyFill="1" applyAlignment="1">
      <alignment horizontal="left" vertical="center" wrapText="1"/>
    </xf>
    <xf numFmtId="3" fontId="47" fillId="0" borderId="0" xfId="17" applyFont="1" applyFill="1" applyAlignment="1">
      <alignment vertical="center"/>
    </xf>
    <xf numFmtId="3" fontId="2" fillId="0" borderId="0" xfId="17" applyFont="1" applyFill="1" applyAlignment="1">
      <alignment vertical="center"/>
    </xf>
    <xf numFmtId="3" fontId="17" fillId="0" borderId="0" xfId="15" applyFont="1" applyFill="1">
      <alignment vertical="center" wrapText="1"/>
    </xf>
    <xf numFmtId="3" fontId="47" fillId="0" borderId="0" xfId="17" applyFont="1" applyFill="1">
      <alignment vertical="center" wrapText="1"/>
    </xf>
    <xf numFmtId="3" fontId="50" fillId="0" borderId="0" xfId="14" applyFont="1" applyFill="1" applyAlignment="1">
      <alignment horizontal="right" vertical="center" wrapText="1"/>
    </xf>
    <xf numFmtId="3" fontId="2" fillId="0" borderId="0" xfId="14" applyFont="1" applyFill="1" applyAlignment="1">
      <alignment vertical="center"/>
    </xf>
    <xf numFmtId="3" fontId="52" fillId="0" borderId="0" xfId="17" applyFont="1" applyFill="1">
      <alignment vertical="center" wrapText="1"/>
    </xf>
    <xf numFmtId="3" fontId="20" fillId="0" borderId="0" xfId="17" applyFill="1">
      <alignment vertical="center" wrapText="1"/>
    </xf>
    <xf numFmtId="3" fontId="31" fillId="0" borderId="0" xfId="13" applyFont="1" applyFill="1">
      <alignment vertical="center" wrapText="1"/>
    </xf>
    <xf numFmtId="3" fontId="18" fillId="0" borderId="0" xfId="16" applyFont="1" applyFill="1" applyProtection="1">
      <alignment vertical="center" wrapText="1"/>
    </xf>
    <xf numFmtId="1" fontId="24" fillId="0" borderId="0" xfId="11" applyFont="1" applyFill="1" applyAlignment="1" applyProtection="1">
      <alignment horizontal="left" vertical="center" wrapText="1"/>
    </xf>
    <xf numFmtId="3" fontId="20" fillId="0" borderId="0" xfId="17" applyFill="1" applyProtection="1">
      <alignment vertical="center" wrapText="1"/>
    </xf>
    <xf numFmtId="1" fontId="27" fillId="0" borderId="0" xfId="11" applyFont="1" applyFill="1" applyProtection="1">
      <alignment horizontal="left" vertical="center"/>
    </xf>
    <xf numFmtId="3" fontId="56" fillId="0" borderId="0" xfId="14" applyFont="1" applyFill="1" applyAlignment="1" applyProtection="1">
      <alignment horizontal="right" vertical="center" wrapText="1"/>
    </xf>
    <xf numFmtId="3" fontId="47" fillId="0" borderId="0" xfId="17" applyFont="1" applyFill="1" applyAlignment="1" applyProtection="1">
      <alignment horizontal="left" vertical="center" wrapText="1"/>
      <protection locked="0"/>
    </xf>
    <xf numFmtId="3" fontId="48" fillId="0" borderId="0" xfId="17" applyFont="1" applyFill="1" applyProtection="1">
      <alignment vertical="center" wrapText="1"/>
      <protection locked="0"/>
    </xf>
    <xf numFmtId="3" fontId="63" fillId="0" borderId="0" xfId="14" applyFont="1" applyFill="1" applyAlignment="1" applyProtection="1">
      <alignment horizontal="right" vertical="center" wrapText="1"/>
    </xf>
    <xf numFmtId="3" fontId="47" fillId="0" borderId="0" xfId="17" applyFont="1" applyFill="1" applyAlignment="1" applyProtection="1">
      <alignment horizontal="right" vertical="center" wrapText="1"/>
    </xf>
    <xf numFmtId="3" fontId="2" fillId="0" borderId="0" xfId="17" applyFont="1" applyFill="1" applyAlignment="1" applyProtection="1">
      <alignment horizontal="right" vertical="center"/>
    </xf>
    <xf numFmtId="3" fontId="47" fillId="0" borderId="0" xfId="17" applyFont="1" applyFill="1" applyAlignment="1">
      <alignment horizontal="center" vertical="center" wrapText="1"/>
    </xf>
    <xf numFmtId="4" fontId="24" fillId="0" borderId="0" xfId="24" applyFill="1">
      <alignment vertical="center"/>
    </xf>
    <xf numFmtId="1" fontId="29" fillId="0" borderId="0" xfId="11" applyFont="1" applyFill="1" applyAlignment="1">
      <alignment horizontal="center" vertical="top"/>
    </xf>
    <xf numFmtId="1" fontId="29" fillId="0" borderId="0" xfId="11" applyFont="1" applyFill="1" applyAlignment="1">
      <alignment horizontal="center"/>
    </xf>
    <xf numFmtId="1" fontId="29" fillId="0" borderId="0" xfId="11" applyFont="1" applyFill="1" applyAlignment="1">
      <alignment horizontal="center" vertical="center"/>
    </xf>
    <xf numFmtId="3" fontId="54" fillId="0" borderId="0" xfId="17" applyFont="1" applyFill="1" applyAlignment="1">
      <alignment horizontal="center" vertical="center" wrapText="1"/>
    </xf>
    <xf numFmtId="4" fontId="31" fillId="0" borderId="0" xfId="13" applyNumberFormat="1" applyFont="1" applyFill="1">
      <alignment vertical="center" wrapText="1"/>
    </xf>
    <xf numFmtId="1" fontId="13" fillId="0" borderId="0" xfId="11" applyFont="1" applyFill="1" applyAlignment="1">
      <alignment horizontal="center" vertical="center"/>
    </xf>
    <xf numFmtId="4" fontId="48" fillId="0" borderId="0" xfId="15" applyNumberFormat="1" applyFont="1" applyFill="1">
      <alignment vertical="center" wrapText="1"/>
    </xf>
    <xf numFmtId="4" fontId="17" fillId="0" borderId="0" xfId="15" applyNumberFormat="1" applyFont="1" applyFill="1">
      <alignment vertical="center" wrapText="1"/>
    </xf>
    <xf numFmtId="4" fontId="18" fillId="0" borderId="0" xfId="16" applyNumberFormat="1" applyFont="1" applyFill="1">
      <alignment vertical="center" wrapText="1"/>
    </xf>
    <xf numFmtId="1" fontId="4" fillId="0" borderId="8" xfId="11" applyFill="1" applyBorder="1" applyAlignment="1">
      <alignment horizontal="center" vertical="center"/>
    </xf>
    <xf numFmtId="3" fontId="48" fillId="0" borderId="8" xfId="15" applyFont="1" applyFill="1" applyBorder="1" applyAlignment="1">
      <alignment horizontal="right" vertical="center" wrapText="1"/>
    </xf>
    <xf numFmtId="4" fontId="16" fillId="0" borderId="8" xfId="14" applyNumberFormat="1" applyFont="1" applyFill="1" applyBorder="1">
      <alignment vertical="center" wrapText="1"/>
    </xf>
    <xf numFmtId="3" fontId="47" fillId="0" borderId="0" xfId="17" applyNumberFormat="1" applyFont="1" applyFill="1" applyAlignment="1">
      <alignment horizontal="left" vertical="center" wrapText="1"/>
    </xf>
    <xf numFmtId="3" fontId="50" fillId="0" borderId="8" xfId="14" applyFont="1" applyFill="1" applyBorder="1" applyAlignment="1">
      <alignment horizontal="right" vertical="center" wrapText="1"/>
    </xf>
    <xf numFmtId="2" fontId="16" fillId="0" borderId="8" xfId="14" applyNumberFormat="1" applyFont="1" applyFill="1" applyBorder="1">
      <alignment vertical="center" wrapText="1"/>
    </xf>
    <xf numFmtId="3" fontId="62" fillId="4" borderId="17" xfId="16" applyFont="1" applyFill="1" applyBorder="1" applyAlignment="1" applyProtection="1">
      <alignment horizontal="center" vertical="center" wrapText="1"/>
    </xf>
    <xf numFmtId="3" fontId="62" fillId="4" borderId="18" xfId="16" applyFont="1" applyFill="1" applyBorder="1" applyAlignment="1" applyProtection="1">
      <alignment horizontal="center" vertical="center" wrapText="1"/>
    </xf>
    <xf numFmtId="3" fontId="62" fillId="4" borderId="3" xfId="16" applyFont="1" applyFill="1" applyBorder="1" applyAlignment="1" applyProtection="1">
      <alignment horizontal="center" vertical="center" wrapText="1"/>
    </xf>
    <xf numFmtId="3" fontId="62" fillId="4" borderId="4" xfId="16" applyFont="1" applyFill="1" applyBorder="1" applyAlignment="1" applyProtection="1">
      <alignment horizontal="center" vertical="center" wrapText="1"/>
    </xf>
    <xf numFmtId="3" fontId="62" fillId="4" borderId="5" xfId="16" applyFont="1" applyFill="1" applyBorder="1" applyAlignment="1" applyProtection="1">
      <alignment horizontal="center" vertical="center" wrapText="1"/>
    </xf>
    <xf numFmtId="3" fontId="62" fillId="4" borderId="7" xfId="16" applyFont="1" applyFill="1" applyBorder="1" applyAlignment="1" applyProtection="1">
      <alignment horizontal="center" vertical="center" wrapText="1"/>
    </xf>
    <xf numFmtId="3" fontId="57" fillId="3" borderId="10" xfId="17" applyFont="1" applyFill="1" applyBorder="1" applyAlignment="1" applyProtection="1">
      <alignment horizontal="right" vertical="center" wrapText="1"/>
    </xf>
    <xf numFmtId="3" fontId="57" fillId="3" borderId="15" xfId="17" applyFont="1" applyFill="1" applyBorder="1" applyAlignment="1" applyProtection="1">
      <alignment horizontal="right" vertical="center" wrapText="1"/>
    </xf>
    <xf numFmtId="3" fontId="57" fillId="3" borderId="12" xfId="17" applyFont="1" applyFill="1" applyBorder="1" applyAlignment="1" applyProtection="1">
      <alignment horizontal="right" vertical="center" wrapText="1"/>
    </xf>
    <xf numFmtId="3" fontId="57" fillId="3" borderId="10" xfId="17" applyFont="1" applyFill="1" applyBorder="1" applyAlignment="1" applyProtection="1">
      <alignment horizontal="left" vertical="center" wrapText="1"/>
    </xf>
    <xf numFmtId="3" fontId="57" fillId="3" borderId="15" xfId="17" applyFont="1" applyFill="1" applyBorder="1" applyAlignment="1" applyProtection="1">
      <alignment horizontal="left" vertical="center" wrapText="1"/>
    </xf>
    <xf numFmtId="3" fontId="57" fillId="3" borderId="16" xfId="15" applyFont="1" applyFill="1" applyBorder="1" applyAlignment="1" applyProtection="1">
      <alignment horizontal="center" vertical="center" wrapText="1"/>
    </xf>
    <xf numFmtId="3" fontId="57" fillId="3" borderId="11" xfId="15" applyFont="1" applyFill="1" applyBorder="1" applyAlignment="1" applyProtection="1">
      <alignment horizontal="center" vertical="center" wrapText="1"/>
    </xf>
    <xf numFmtId="3" fontId="57" fillId="3" borderId="14" xfId="15" applyFont="1" applyFill="1" applyBorder="1" applyAlignment="1" applyProtection="1">
      <alignment horizontal="center" vertical="center" wrapText="1"/>
    </xf>
    <xf numFmtId="3" fontId="60" fillId="3" borderId="16" xfId="15" applyFont="1" applyFill="1" applyBorder="1" applyAlignment="1" applyProtection="1">
      <alignment horizontal="center" vertical="center" wrapText="1"/>
    </xf>
    <xf numFmtId="3" fontId="60" fillId="3" borderId="11" xfId="15" applyFont="1" applyFill="1" applyBorder="1" applyAlignment="1" applyProtection="1">
      <alignment horizontal="center" vertical="center" wrapText="1"/>
    </xf>
    <xf numFmtId="3" fontId="60" fillId="3" borderId="14" xfId="15" applyFont="1" applyFill="1" applyBorder="1" applyAlignment="1" applyProtection="1">
      <alignment horizontal="center" vertical="center" wrapText="1"/>
    </xf>
    <xf numFmtId="3" fontId="58" fillId="4" borderId="10" xfId="15" applyFont="1" applyFill="1" applyBorder="1" applyAlignment="1" applyProtection="1">
      <alignment horizontal="center" vertical="center" wrapText="1"/>
    </xf>
    <xf numFmtId="3" fontId="58" fillId="4" borderId="12" xfId="15" applyFont="1" applyFill="1" applyBorder="1" applyAlignment="1" applyProtection="1">
      <alignment horizontal="center" vertical="center" wrapText="1"/>
    </xf>
    <xf numFmtId="3" fontId="58" fillId="4" borderId="15" xfId="15" applyFont="1" applyFill="1" applyBorder="1" applyAlignment="1" applyProtection="1">
      <alignment horizontal="center" vertical="center" wrapText="1"/>
    </xf>
    <xf numFmtId="3" fontId="59" fillId="4" borderId="16" xfId="15" applyFont="1" applyFill="1" applyBorder="1" applyAlignment="1" applyProtection="1">
      <alignment horizontal="center" vertical="center" wrapText="1"/>
    </xf>
    <xf numFmtId="3" fontId="59" fillId="4" borderId="11" xfId="15" applyFont="1" applyFill="1" applyBorder="1" applyAlignment="1" applyProtection="1">
      <alignment horizontal="center" vertical="center" wrapText="1"/>
    </xf>
    <xf numFmtId="3" fontId="59" fillId="4" borderId="14" xfId="15" applyFont="1" applyFill="1" applyBorder="1" applyAlignment="1" applyProtection="1">
      <alignment horizontal="center" vertical="center" wrapText="1"/>
    </xf>
    <xf numFmtId="3" fontId="57" fillId="3" borderId="16" xfId="17" applyFont="1" applyFill="1" applyBorder="1" applyAlignment="1" applyProtection="1">
      <alignment horizontal="center" vertical="center" wrapText="1"/>
    </xf>
    <xf numFmtId="3" fontId="57" fillId="3" borderId="11" xfId="17" applyFont="1" applyFill="1" applyBorder="1" applyAlignment="1" applyProtection="1">
      <alignment horizontal="center" vertical="center" wrapText="1"/>
    </xf>
    <xf numFmtId="3" fontId="57" fillId="3" borderId="14" xfId="17" applyFont="1" applyFill="1" applyBorder="1" applyAlignment="1" applyProtection="1">
      <alignment horizontal="center" vertical="center" wrapText="1"/>
    </xf>
    <xf numFmtId="3" fontId="2" fillId="3" borderId="16" xfId="17" applyFont="1" applyFill="1" applyBorder="1" applyAlignment="1" applyProtection="1">
      <alignment horizontal="center" vertical="center" wrapText="1"/>
    </xf>
    <xf numFmtId="3" fontId="2" fillId="3" borderId="11" xfId="17" applyFont="1" applyFill="1" applyBorder="1" applyAlignment="1" applyProtection="1">
      <alignment horizontal="center" vertical="center" wrapText="1"/>
    </xf>
    <xf numFmtId="3" fontId="2" fillId="3" borderId="14" xfId="17" applyFont="1" applyFill="1" applyBorder="1" applyAlignment="1" applyProtection="1">
      <alignment horizontal="center" vertical="center" wrapText="1"/>
    </xf>
    <xf numFmtId="3" fontId="57" fillId="3" borderId="10" xfId="15" applyFont="1" applyFill="1" applyBorder="1" applyAlignment="1" applyProtection="1">
      <alignment horizontal="center" vertical="center" wrapText="1"/>
    </xf>
    <xf numFmtId="3" fontId="57" fillId="3" borderId="15" xfId="15" applyFont="1" applyFill="1" applyBorder="1" applyAlignment="1" applyProtection="1">
      <alignment horizontal="center" vertical="center" wrapText="1"/>
    </xf>
    <xf numFmtId="3" fontId="57" fillId="3" borderId="12" xfId="15" applyFont="1" applyFill="1" applyBorder="1" applyAlignment="1" applyProtection="1">
      <alignment horizontal="center" vertical="center" wrapText="1"/>
    </xf>
    <xf numFmtId="3" fontId="53" fillId="3" borderId="9" xfId="17" applyFont="1" applyFill="1" applyBorder="1" applyAlignment="1" applyProtection="1">
      <alignment horizontal="center" vertical="center" wrapText="1"/>
    </xf>
    <xf numFmtId="3" fontId="53" fillId="3" borderId="9" xfId="15" applyFont="1" applyFill="1" applyBorder="1" applyAlignment="1" applyProtection="1">
      <alignment horizontal="center" vertical="center" wrapText="1"/>
    </xf>
    <xf numFmtId="3" fontId="54" fillId="4" borderId="9" xfId="15" applyFont="1" applyFill="1" applyBorder="1" applyAlignment="1" applyProtection="1">
      <alignment horizontal="center" vertical="center" wrapText="1"/>
    </xf>
    <xf numFmtId="3" fontId="53" fillId="3" borderId="1" xfId="17" applyFont="1" applyFill="1" applyBorder="1" applyAlignment="1" applyProtection="1">
      <alignment horizontal="center" vertical="center" wrapText="1"/>
    </xf>
    <xf numFmtId="3" fontId="53" fillId="3" borderId="5" xfId="17" applyFont="1" applyFill="1" applyBorder="1" applyAlignment="1" applyProtection="1">
      <alignment horizontal="center" vertical="center" wrapText="1"/>
    </xf>
    <xf numFmtId="3" fontId="2" fillId="3" borderId="2" xfId="17" applyFont="1" applyFill="1" applyBorder="1" applyAlignment="1" applyProtection="1">
      <alignment horizontal="center" vertical="center" wrapText="1"/>
    </xf>
    <xf numFmtId="3" fontId="2" fillId="3" borderId="6" xfId="17" applyFont="1" applyFill="1" applyBorder="1" applyAlignment="1" applyProtection="1">
      <alignment horizontal="center" vertical="center" wrapText="1"/>
    </xf>
    <xf numFmtId="3" fontId="53" fillId="3" borderId="16" xfId="17" applyFont="1" applyFill="1" applyBorder="1" applyAlignment="1" applyProtection="1">
      <alignment horizontal="center" vertical="center" wrapText="1"/>
    </xf>
    <xf numFmtId="3" fontId="53" fillId="3" borderId="14" xfId="17" applyFont="1" applyFill="1" applyBorder="1" applyAlignment="1" applyProtection="1">
      <alignment horizontal="center" vertical="center" wrapText="1"/>
    </xf>
    <xf numFmtId="3" fontId="57" fillId="3" borderId="9" xfId="16" applyFont="1" applyFill="1" applyBorder="1" applyAlignment="1" applyProtection="1">
      <alignment horizontal="center" vertical="center" textRotation="90" wrapText="1"/>
    </xf>
    <xf numFmtId="0" fontId="59" fillId="4" borderId="9" xfId="17" applyNumberFormat="1" applyFont="1" applyFill="1" applyBorder="1" applyAlignment="1" applyProtection="1">
      <alignment horizontal="right" vertical="center" readingOrder="1"/>
    </xf>
    <xf numFmtId="3" fontId="57" fillId="3" borderId="9" xfId="16" applyFont="1" applyFill="1" applyBorder="1" applyAlignment="1" applyProtection="1">
      <alignment horizontal="center" vertical="center" wrapText="1"/>
    </xf>
    <xf numFmtId="4" fontId="59" fillId="4" borderId="9" xfId="0" applyFont="1" applyFill="1" applyBorder="1" applyAlignment="1" applyProtection="1">
      <alignment horizontal="center" vertical="center" wrapText="1"/>
    </xf>
    <xf numFmtId="3" fontId="2" fillId="3" borderId="13" xfId="16" applyFont="1" applyFill="1" applyBorder="1" applyAlignment="1" applyProtection="1">
      <alignment horizontal="center" vertical="center"/>
    </xf>
    <xf numFmtId="3" fontId="2" fillId="3" borderId="11" xfId="16" applyFont="1" applyFill="1" applyBorder="1" applyAlignment="1" applyProtection="1">
      <alignment horizontal="center" vertical="center"/>
    </xf>
    <xf numFmtId="3" fontId="2" fillId="3" borderId="14" xfId="16" applyFont="1" applyFill="1" applyBorder="1" applyAlignment="1" applyProtection="1">
      <alignment horizontal="center" vertical="center"/>
    </xf>
    <xf numFmtId="0" fontId="59" fillId="4" borderId="9" xfId="17" applyNumberFormat="1" applyFont="1" applyFill="1" applyBorder="1" applyAlignment="1" applyProtection="1">
      <alignment horizontal="left" vertical="center" readingOrder="1"/>
    </xf>
    <xf numFmtId="3" fontId="64" fillId="3" borderId="9" xfId="16" applyFont="1" applyFill="1" applyBorder="1" applyAlignment="1" applyProtection="1">
      <alignment horizontal="center" vertical="center" wrapText="1"/>
    </xf>
    <xf numFmtId="3" fontId="57" fillId="3" borderId="9" xfId="13" applyFont="1" applyFill="1" applyBorder="1" applyAlignment="1" applyProtection="1">
      <alignment horizontal="center" vertical="center" wrapText="1"/>
    </xf>
    <xf numFmtId="3" fontId="58" fillId="4" borderId="9" xfId="15" applyFont="1" applyFill="1" applyBorder="1" applyAlignment="1" applyProtection="1">
      <alignment horizontal="center" vertical="center" wrapText="1"/>
    </xf>
    <xf numFmtId="0" fontId="59" fillId="4" borderId="9" xfId="17" applyNumberFormat="1" applyFont="1" applyFill="1" applyBorder="1" applyAlignment="1" applyProtection="1">
      <alignment horizontal="center" vertical="center" readingOrder="1"/>
    </xf>
    <xf numFmtId="3" fontId="59" fillId="4" borderId="9" xfId="15" applyFont="1" applyFill="1" applyBorder="1" applyAlignment="1" applyProtection="1">
      <alignment horizontal="center" vertical="center" wrapText="1"/>
    </xf>
    <xf numFmtId="3" fontId="44" fillId="3" borderId="9" xfId="16" applyFont="1" applyFill="1" applyBorder="1" applyAlignment="1" applyProtection="1">
      <alignment horizontal="center" vertical="center" textRotation="90" wrapText="1"/>
    </xf>
    <xf numFmtId="3" fontId="32" fillId="3" borderId="9" xfId="16" applyFont="1" applyFill="1" applyBorder="1" applyAlignment="1" applyProtection="1">
      <alignment horizontal="center" vertical="center" wrapText="1"/>
    </xf>
    <xf numFmtId="3" fontId="45" fillId="3" borderId="9" xfId="16" applyFont="1" applyFill="1" applyBorder="1" applyAlignment="1" applyProtection="1">
      <alignment horizontal="center" vertical="center" textRotation="255" wrapText="1"/>
    </xf>
    <xf numFmtId="3" fontId="44" fillId="3" borderId="9" xfId="16" applyFont="1" applyFill="1" applyBorder="1" applyAlignment="1" applyProtection="1">
      <alignment horizontal="center" vertical="center" wrapText="1"/>
    </xf>
    <xf numFmtId="3" fontId="44" fillId="3" borderId="9" xfId="13" applyFont="1" applyFill="1" applyBorder="1" applyAlignment="1" applyProtection="1">
      <alignment horizontal="center" vertical="center" wrapText="1"/>
    </xf>
    <xf numFmtId="3" fontId="35" fillId="4" borderId="9" xfId="15" applyFont="1" applyFill="1" applyBorder="1" applyAlignment="1" applyProtection="1">
      <alignment horizontal="center" vertical="center" wrapText="1"/>
    </xf>
    <xf numFmtId="3" fontId="57" fillId="3" borderId="9" xfId="15" applyFont="1" applyFill="1" applyBorder="1" applyAlignment="1" applyProtection="1">
      <alignment horizontal="center" vertical="center" wrapText="1"/>
    </xf>
    <xf numFmtId="3" fontId="2" fillId="3" borderId="13" xfId="16" applyFont="1" applyFill="1" applyBorder="1" applyAlignment="1" applyProtection="1">
      <alignment vertical="center"/>
    </xf>
    <xf numFmtId="3" fontId="2" fillId="3" borderId="11" xfId="16" applyFont="1" applyFill="1" applyBorder="1" applyAlignment="1" applyProtection="1">
      <alignment vertical="center"/>
    </xf>
    <xf numFmtId="3" fontId="2" fillId="3" borderId="14" xfId="16" applyFont="1" applyFill="1" applyBorder="1" applyAlignment="1" applyProtection="1">
      <alignment vertical="center"/>
    </xf>
    <xf numFmtId="3" fontId="57" fillId="3" borderId="8" xfId="17" applyFont="1" applyFill="1" applyBorder="1" applyAlignment="1" applyProtection="1">
      <alignment horizontal="right" vertical="center" wrapText="1"/>
    </xf>
    <xf numFmtId="3" fontId="57" fillId="3" borderId="8" xfId="17" applyFont="1" applyFill="1" applyBorder="1" applyAlignment="1" applyProtection="1">
      <alignment horizontal="left" vertical="center" wrapText="1"/>
    </xf>
    <xf numFmtId="3" fontId="62" fillId="4" borderId="9" xfId="16" applyFont="1" applyFill="1" applyBorder="1" applyAlignment="1" applyProtection="1">
      <alignment horizontal="center" vertical="center" wrapText="1"/>
    </xf>
    <xf numFmtId="3" fontId="59" fillId="4" borderId="13" xfId="15" applyFont="1" applyFill="1" applyBorder="1" applyAlignment="1" applyProtection="1">
      <alignment horizontal="center" vertical="center" wrapText="1"/>
    </xf>
    <xf numFmtId="3" fontId="60" fillId="3" borderId="9" xfId="15" applyFont="1" applyFill="1" applyBorder="1" applyAlignment="1" applyProtection="1">
      <alignment horizontal="center" vertical="center" wrapText="1"/>
    </xf>
    <xf numFmtId="3" fontId="57" fillId="3" borderId="13" xfId="17" applyFont="1" applyFill="1" applyBorder="1" applyAlignment="1" applyProtection="1">
      <alignment horizontal="center" vertical="center" wrapText="1"/>
    </xf>
    <xf numFmtId="3" fontId="2" fillId="3" borderId="13" xfId="17" applyFont="1" applyFill="1" applyBorder="1" applyAlignment="1" applyProtection="1">
      <alignment horizontal="center" vertical="center" wrapText="1"/>
    </xf>
    <xf numFmtId="3" fontId="54" fillId="4" borderId="1" xfId="15" applyFont="1" applyFill="1" applyBorder="1" applyAlignment="1" applyProtection="1">
      <alignment horizontal="center" vertical="center" wrapText="1"/>
    </xf>
    <xf numFmtId="3" fontId="54" fillId="4" borderId="5" xfId="15" applyFont="1" applyFill="1" applyBorder="1" applyAlignment="1" applyProtection="1">
      <alignment horizontal="center" vertical="center" wrapText="1"/>
    </xf>
  </cellXfs>
  <cellStyles count="26">
    <cellStyle name="BdgtCode" xfId="23"/>
    <cellStyle name="BodyText" xfId="1"/>
    <cellStyle name="BodyTextBlue" xfId="2"/>
    <cellStyle name="BodyTextBlue.Mar" xfId="3"/>
    <cellStyle name="BodyTextBlueFigure" xfId="4"/>
    <cellStyle name="BodyTextBlueText.Eng" xfId="5"/>
    <cellStyle name="BodyTextBlueText.Mar" xfId="6"/>
    <cellStyle name="Normal" xfId="0" builtinId="0"/>
    <cellStyle name="Normal 2" xfId="20"/>
    <cellStyle name="Normal 2 2" xfId="22"/>
    <cellStyle name="Normal 2_A05" xfId="21"/>
    <cellStyle name="Normal 3" xfId="24"/>
    <cellStyle name="Normal 4" xfId="25"/>
    <cellStyle name="SumBlack" xfId="7"/>
    <cellStyle name="SumDrkGreen" xfId="8"/>
    <cellStyle name="SumOrange" xfId="9"/>
    <cellStyle name="SumRed" xfId="10"/>
    <cellStyle name="zCODE" xfId="11"/>
    <cellStyle name="zCODE 2" xfId="19"/>
    <cellStyle name="zRowColumn" xfId="12"/>
    <cellStyle name="zRowColumn 2" xfId="18"/>
    <cellStyle name="zSum_" xfId="13"/>
    <cellStyle name="zSum_Down" xfId="14"/>
    <cellStyle name="zSum_Link" xfId="15"/>
    <cellStyle name="zSum_Right" xfId="16"/>
    <cellStyle name="zText_Marathi" xfId="17"/>
  </cellStyles>
  <dxfs count="0"/>
  <tableStyles count="0" defaultTableStyle="TableStyleMedium9" defaultPivotStyle="PivotStyleLight16"/>
  <colors>
    <mruColors>
      <color rgb="FF0000FF"/>
      <color rgb="FFCCFFCC"/>
      <color rgb="FF99CC00"/>
      <color rgb="FF00FFFF"/>
      <color rgb="FF008000"/>
      <color rgb="FFFFFF00"/>
      <color rgb="FFFF99CC"/>
      <color rgb="FF009900"/>
      <color rgb="FFFCD5B4"/>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BUDGET\BUDGET%201516%20MC%20SC%20GB%20!!%20Book\1516-2%20SC%20BUDGET%20BOOK.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TF"/>
      <sheetName val="B"/>
      <sheetName val="L"/>
      <sheetName val="P"/>
      <sheetName val="smry|wtr|drn"/>
      <sheetName val="A01"/>
      <sheetName val="A02"/>
      <sheetName val="A03"/>
      <sheetName val="A04"/>
      <sheetName val="A05"/>
      <sheetName val="A08"/>
      <sheetName val="A09"/>
      <sheetName val="A10"/>
      <sheetName val="A11"/>
      <sheetName val="A12"/>
      <sheetName val="A13"/>
      <sheetName val="A14"/>
      <sheetName val="A15"/>
      <sheetName val="A16"/>
      <sheetName val="list15"/>
      <sheetName val="index"/>
      <sheetName val="PMCInfo15"/>
      <sheetName val="list12"/>
      <sheetName val="list13"/>
      <sheetName val="list14"/>
      <sheetName val="Xcode"/>
      <sheetName val="FnlRec13"/>
      <sheetName val="a&amp;c|in|smry"/>
      <sheetName val="a|ex|smry"/>
      <sheetName val="c|ex|smry"/>
      <sheetName val="AppSlry13txt"/>
      <sheetName val="doller"/>
      <sheetName val="cptl|smry"/>
      <sheetName val="info1"/>
      <sheetName val="info2"/>
      <sheetName val="C01"/>
      <sheetName val="C02"/>
      <sheetName val="C03"/>
      <sheetName val="C04"/>
      <sheetName val="C06"/>
      <sheetName val="C07"/>
      <sheetName val="WO_Work15"/>
      <sheetName val="devider"/>
      <sheetName val="JNNURM"/>
      <sheetName val="SPV"/>
      <sheetName val="Octroi12"/>
      <sheetName val="FnlRec12-B4"/>
      <sheetName val="Octroi12-B4"/>
      <sheetName val="DATA"/>
      <sheetName val="MSTR14SC"/>
      <sheetName val="doller|mcro"/>
      <sheetName val="SMRY 1516"/>
      <sheetName val="WardOfficeNonPlan1516"/>
      <sheetName val="WardOfficePlan1516"/>
      <sheetName val="CitizensNonPlan1516"/>
      <sheetName val="CitizensPlan1516"/>
      <sheetName val="A12 (1314)"/>
      <sheetName val="A15 (1314)"/>
      <sheetName val="C07 (1314)"/>
      <sheetName val="MSTR15SC"/>
    </sheetNames>
    <sheetDataSet>
      <sheetData sheetId="0"/>
      <sheetData sheetId="1"/>
      <sheetData sheetId="2"/>
      <sheetData sheetId="3"/>
      <sheetData sheetId="4"/>
      <sheetData sheetId="5"/>
      <sheetData sheetId="6"/>
      <sheetData sheetId="7"/>
      <sheetData sheetId="8"/>
      <sheetData sheetId="9">
        <row r="714">
          <cell r="B714" t="str">
            <v>RE14B301/W5-#</v>
          </cell>
        </row>
      </sheetData>
      <sheetData sheetId="10"/>
      <sheetData sheetId="11"/>
      <sheetData sheetId="12">
        <row r="2">
          <cell r="A2">
            <v>0</v>
          </cell>
        </row>
      </sheetData>
      <sheetData sheetId="13"/>
      <sheetData sheetId="14">
        <row r="1019">
          <cell r="B1019" t="str">
            <v>CE20A176#</v>
          </cell>
        </row>
      </sheetData>
      <sheetData sheetId="15"/>
      <sheetData sheetId="16"/>
      <sheetData sheetId="17">
        <row r="38">
          <cell r="B38" t="str">
            <v>FE14A118#</v>
          </cell>
        </row>
      </sheetData>
      <sheetData sheetId="18"/>
      <sheetData sheetId="19"/>
      <sheetData sheetId="20"/>
      <sheetData sheetId="21"/>
      <sheetData sheetId="22"/>
      <sheetData sheetId="23"/>
      <sheetData sheetId="24"/>
      <sheetData sheetId="25"/>
      <sheetData sheetId="26">
        <row r="1">
          <cell r="B1" t="str">
            <v>2012-13</v>
          </cell>
        </row>
        <row r="2">
          <cell r="B2" t="str">
            <v>2013-14</v>
          </cell>
        </row>
        <row r="3">
          <cell r="B3" t="str">
            <v>1 E{àb, 2013</v>
          </cell>
        </row>
        <row r="4">
          <cell r="B4" t="str">
            <v>31 _mM©, 2014</v>
          </cell>
        </row>
      </sheetData>
      <sheetData sheetId="27"/>
      <sheetData sheetId="28">
        <row r="1">
          <cell r="B1" t="str">
            <v>ImVo</v>
          </cell>
        </row>
      </sheetData>
      <sheetData sheetId="29"/>
      <sheetData sheetId="30"/>
      <sheetData sheetId="31">
        <row r="1">
          <cell r="B1" t="str">
            <v>2015-16</v>
          </cell>
        </row>
      </sheetData>
      <sheetData sheetId="32"/>
      <sheetData sheetId="33"/>
      <sheetData sheetId="34"/>
      <sheetData sheetId="35"/>
      <sheetData sheetId="36"/>
      <sheetData sheetId="37"/>
      <sheetData sheetId="38">
        <row r="68">
          <cell r="B68" t="str">
            <v>XE12B301/W6-#</v>
          </cell>
        </row>
      </sheetData>
      <sheetData sheetId="39"/>
      <sheetData sheetId="40">
        <row r="87">
          <cell r="B87" t="str">
            <v>ZE16A115#</v>
          </cell>
        </row>
      </sheetData>
      <sheetData sheetId="41"/>
      <sheetData sheetId="42"/>
      <sheetData sheetId="43"/>
      <sheetData sheetId="44"/>
      <sheetData sheetId="45"/>
      <sheetData sheetId="46"/>
      <sheetData sheetId="47"/>
      <sheetData sheetId="48"/>
      <sheetData sheetId="49"/>
      <sheetData sheetId="50">
        <row r="3">
          <cell r="A3" t="str">
            <v>ShowMC.Eng (a)</v>
          </cell>
        </row>
      </sheetData>
      <sheetData sheetId="51"/>
      <sheetData sheetId="52"/>
      <sheetData sheetId="53"/>
      <sheetData sheetId="54"/>
      <sheetData sheetId="55"/>
      <sheetData sheetId="56"/>
      <sheetData sheetId="57"/>
      <sheetData sheetId="58"/>
      <sheetData sheetId="5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sz="1100"/>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8">
    <tabColor indexed="45"/>
  </sheetPr>
  <dimension ref="A1:O492"/>
  <sheetViews>
    <sheetView showZeros="0" tabSelected="1" zoomScaleNormal="100" zoomScaleSheetLayoutView="100" workbookViewId="0">
      <pane ySplit="5" topLeftCell="A6" activePane="bottomLeft" state="frozen"/>
      <selection activeCell="A6" sqref="A6"/>
      <selection pane="bottomLeft" activeCell="A6" sqref="A6"/>
    </sheetView>
  </sheetViews>
  <sheetFormatPr defaultColWidth="9.33203125" defaultRowHeight="12"/>
  <cols>
    <col min="1" max="1" width="48.83203125" style="64" customWidth="1"/>
    <col min="2" max="2" width="48.83203125" style="103" hidden="1" customWidth="1"/>
    <col min="3" max="3" width="10.83203125" style="64" customWidth="1"/>
    <col min="4" max="13" width="15.33203125" style="66" customWidth="1"/>
    <col min="14" max="15" width="14.6640625" style="66" customWidth="1"/>
    <col min="16" max="180" width="11.33203125" style="64" customWidth="1"/>
    <col min="181" max="16384" width="9.33203125" style="64"/>
  </cols>
  <sheetData>
    <row r="1" spans="1:15" ht="16.5">
      <c r="A1" s="280" t="s">
        <v>3151</v>
      </c>
      <c r="B1" s="281"/>
      <c r="C1" s="281"/>
      <c r="D1" s="281"/>
      <c r="E1" s="281"/>
      <c r="F1" s="281"/>
      <c r="G1" s="282"/>
      <c r="H1" s="283" t="s">
        <v>3152</v>
      </c>
      <c r="I1" s="284"/>
      <c r="J1" s="284"/>
      <c r="K1" s="284"/>
      <c r="L1" s="284"/>
      <c r="M1" s="284"/>
      <c r="N1" s="284"/>
      <c r="O1" s="284"/>
    </row>
    <row r="2" spans="1:15" ht="16.5" customHeight="1">
      <c r="A2" s="297" t="s">
        <v>2071</v>
      </c>
      <c r="B2" s="300" t="s">
        <v>924</v>
      </c>
      <c r="C2" s="101" t="s">
        <v>234</v>
      </c>
      <c r="D2" s="303" t="s">
        <v>3142</v>
      </c>
      <c r="E2" s="304"/>
      <c r="F2" s="304"/>
      <c r="G2" s="304"/>
      <c r="H2" s="305"/>
      <c r="I2" s="291" t="s">
        <v>13054</v>
      </c>
      <c r="J2" s="292"/>
      <c r="K2" s="291" t="s">
        <v>13055</v>
      </c>
      <c r="L2" s="293"/>
      <c r="M2" s="292"/>
      <c r="N2" s="274" t="s">
        <v>13056</v>
      </c>
      <c r="O2" s="275"/>
    </row>
    <row r="3" spans="1:15" ht="15.75" customHeight="1">
      <c r="A3" s="298"/>
      <c r="B3" s="301"/>
      <c r="C3" s="101"/>
      <c r="D3" s="294" t="s">
        <v>1727</v>
      </c>
      <c r="E3" s="294" t="s">
        <v>2069</v>
      </c>
      <c r="F3" s="294" t="s">
        <v>1762</v>
      </c>
      <c r="G3" s="294" t="s">
        <v>13057</v>
      </c>
      <c r="H3" s="294" t="s">
        <v>13058</v>
      </c>
      <c r="I3" s="285" t="s">
        <v>3149</v>
      </c>
      <c r="J3" s="285" t="s">
        <v>3150</v>
      </c>
      <c r="K3" s="288" t="s">
        <v>3143</v>
      </c>
      <c r="L3" s="288" t="s">
        <v>3144</v>
      </c>
      <c r="M3" s="288" t="s">
        <v>3145</v>
      </c>
      <c r="N3" s="276"/>
      <c r="O3" s="277"/>
    </row>
    <row r="4" spans="1:15" ht="15.75" customHeight="1">
      <c r="A4" s="298"/>
      <c r="B4" s="301"/>
      <c r="C4" s="101"/>
      <c r="D4" s="295"/>
      <c r="E4" s="295"/>
      <c r="F4" s="295"/>
      <c r="G4" s="295"/>
      <c r="H4" s="295"/>
      <c r="I4" s="286"/>
      <c r="J4" s="286"/>
      <c r="K4" s="289"/>
      <c r="L4" s="289"/>
      <c r="M4" s="289"/>
      <c r="N4" s="278"/>
      <c r="O4" s="279"/>
    </row>
    <row r="5" spans="1:15" ht="16.5">
      <c r="A5" s="299"/>
      <c r="B5" s="302"/>
      <c r="C5" s="101"/>
      <c r="D5" s="296"/>
      <c r="E5" s="296"/>
      <c r="F5" s="296"/>
      <c r="G5" s="296"/>
      <c r="H5" s="296"/>
      <c r="I5" s="287"/>
      <c r="J5" s="287"/>
      <c r="K5" s="290"/>
      <c r="L5" s="290"/>
      <c r="M5" s="290"/>
      <c r="N5" s="80" t="s">
        <v>3146</v>
      </c>
      <c r="O5" s="80" t="s">
        <v>3147</v>
      </c>
    </row>
    <row r="6" spans="1:15" ht="15.75">
      <c r="A6" s="82"/>
      <c r="B6" s="102"/>
      <c r="C6" s="83"/>
      <c r="D6" s="120"/>
      <c r="E6" s="120"/>
      <c r="F6" s="120"/>
      <c r="G6" s="122"/>
      <c r="H6" s="120"/>
      <c r="I6" s="120"/>
      <c r="J6" s="120"/>
      <c r="K6" s="120"/>
      <c r="L6" s="120"/>
      <c r="M6" s="120"/>
      <c r="N6" s="121"/>
      <c r="O6" s="121"/>
    </row>
    <row r="7" spans="1:15" s="145" customFormat="1" ht="31.5">
      <c r="A7" s="70" t="s">
        <v>3153</v>
      </c>
      <c r="B7" s="105" t="s">
        <v>5410</v>
      </c>
      <c r="C7" s="72">
        <v>0</v>
      </c>
      <c r="D7" s="125">
        <v>100000</v>
      </c>
      <c r="E7" s="125">
        <v>100000</v>
      </c>
      <c r="F7" s="125">
        <v>100000</v>
      </c>
      <c r="G7" s="124"/>
      <c r="H7" s="125"/>
      <c r="I7" s="125">
        <v>100000</v>
      </c>
      <c r="J7" s="125">
        <v>100000</v>
      </c>
      <c r="K7" s="125">
        <v>100000</v>
      </c>
      <c r="L7" s="125">
        <v>0</v>
      </c>
      <c r="M7" s="125">
        <v>0</v>
      </c>
      <c r="N7" s="247">
        <v>0</v>
      </c>
      <c r="O7" s="247">
        <v>0</v>
      </c>
    </row>
    <row r="8" spans="1:15" s="145" customFormat="1" ht="15.75">
      <c r="A8" s="70"/>
      <c r="B8" s="105"/>
      <c r="C8" s="72"/>
      <c r="D8" s="125">
        <v>0</v>
      </c>
      <c r="E8" s="125">
        <v>0</v>
      </c>
      <c r="F8" s="125">
        <v>0</v>
      </c>
      <c r="G8" s="124"/>
      <c r="H8" s="125"/>
      <c r="I8" s="125">
        <v>0</v>
      </c>
      <c r="J8" s="125">
        <v>0</v>
      </c>
      <c r="K8" s="125">
        <v>0</v>
      </c>
      <c r="L8" s="125">
        <v>0</v>
      </c>
      <c r="M8" s="125">
        <v>0</v>
      </c>
      <c r="N8" s="247">
        <v>0</v>
      </c>
      <c r="O8" s="247">
        <v>0</v>
      </c>
    </row>
    <row r="9" spans="1:15" s="145" customFormat="1" ht="15.75">
      <c r="A9" s="70" t="s">
        <v>3154</v>
      </c>
      <c r="B9" s="105" t="s">
        <v>5411</v>
      </c>
      <c r="C9" s="72"/>
      <c r="D9" s="125">
        <v>0</v>
      </c>
      <c r="E9" s="125">
        <v>0</v>
      </c>
      <c r="F9" s="125">
        <v>0</v>
      </c>
      <c r="G9" s="247">
        <v>0</v>
      </c>
      <c r="H9" s="125">
        <v>0</v>
      </c>
      <c r="I9" s="125">
        <v>0</v>
      </c>
      <c r="J9" s="125">
        <v>0</v>
      </c>
      <c r="K9" s="125">
        <v>0</v>
      </c>
      <c r="L9" s="125">
        <v>0</v>
      </c>
      <c r="M9" s="125">
        <v>0</v>
      </c>
      <c r="N9" s="247">
        <v>0</v>
      </c>
      <c r="O9" s="247">
        <v>0</v>
      </c>
    </row>
    <row r="10" spans="1:15" s="145" customFormat="1" ht="15.75">
      <c r="A10" s="70" t="s">
        <v>3155</v>
      </c>
      <c r="B10" s="105" t="s">
        <v>5412</v>
      </c>
      <c r="C10" s="72"/>
      <c r="D10" s="125">
        <v>0</v>
      </c>
      <c r="E10" s="125">
        <v>0</v>
      </c>
      <c r="F10" s="125">
        <v>0</v>
      </c>
      <c r="G10" s="247">
        <v>0</v>
      </c>
      <c r="H10" s="125">
        <v>0</v>
      </c>
      <c r="I10" s="125">
        <v>0</v>
      </c>
      <c r="J10" s="125">
        <v>0</v>
      </c>
      <c r="K10" s="125">
        <v>0</v>
      </c>
      <c r="L10" s="125">
        <v>0</v>
      </c>
      <c r="M10" s="125">
        <v>0</v>
      </c>
      <c r="N10" s="247">
        <v>0</v>
      </c>
      <c r="O10" s="247">
        <v>0</v>
      </c>
    </row>
    <row r="11" spans="1:15" s="145" customFormat="1" ht="15.75">
      <c r="A11" s="70" t="s">
        <v>3156</v>
      </c>
      <c r="B11" s="105" t="s">
        <v>5413</v>
      </c>
      <c r="C11" s="72" t="s">
        <v>977</v>
      </c>
      <c r="D11" s="125">
        <v>2360443372</v>
      </c>
      <c r="E11" s="125">
        <v>2428110703</v>
      </c>
      <c r="F11" s="125">
        <v>3224088721</v>
      </c>
      <c r="G11" s="247">
        <v>1329801260.21</v>
      </c>
      <c r="H11" s="125">
        <v>2016506393</v>
      </c>
      <c r="I11" s="125">
        <v>6262500000</v>
      </c>
      <c r="J11" s="125">
        <v>6262500000</v>
      </c>
      <c r="K11" s="125">
        <v>5690000000</v>
      </c>
      <c r="L11" s="125">
        <v>0</v>
      </c>
      <c r="M11" s="125">
        <v>0</v>
      </c>
      <c r="N11" s="247">
        <v>0</v>
      </c>
      <c r="O11" s="247">
        <v>572500000</v>
      </c>
    </row>
    <row r="12" spans="1:15" s="145" customFormat="1" ht="15.75">
      <c r="A12" s="70" t="s">
        <v>3157</v>
      </c>
      <c r="B12" s="105" t="s">
        <v>5414</v>
      </c>
      <c r="C12" s="72" t="s">
        <v>978</v>
      </c>
      <c r="D12" s="125">
        <v>41256357</v>
      </c>
      <c r="E12" s="125">
        <v>52267173</v>
      </c>
      <c r="F12" s="125">
        <v>155971055</v>
      </c>
      <c r="G12" s="247">
        <v>69557379</v>
      </c>
      <c r="H12" s="125">
        <v>60961964</v>
      </c>
      <c r="I12" s="125">
        <v>50000000</v>
      </c>
      <c r="J12" s="125">
        <v>50000000</v>
      </c>
      <c r="K12" s="125">
        <v>100000000</v>
      </c>
      <c r="L12" s="125">
        <v>0</v>
      </c>
      <c r="M12" s="125">
        <v>0</v>
      </c>
      <c r="N12" s="247">
        <v>50000000</v>
      </c>
      <c r="O12" s="247">
        <v>0</v>
      </c>
    </row>
    <row r="13" spans="1:15" s="145" customFormat="1" ht="15.75">
      <c r="A13" s="70" t="s">
        <v>3158</v>
      </c>
      <c r="B13" s="105" t="s">
        <v>5415</v>
      </c>
      <c r="C13" s="72" t="s">
        <v>979</v>
      </c>
      <c r="D13" s="125">
        <v>36225809</v>
      </c>
      <c r="E13" s="125">
        <v>32670437</v>
      </c>
      <c r="F13" s="125">
        <v>78905644</v>
      </c>
      <c r="G13" s="247">
        <v>39324846</v>
      </c>
      <c r="H13" s="125">
        <v>47842934</v>
      </c>
      <c r="I13" s="125">
        <v>50000000</v>
      </c>
      <c r="J13" s="125">
        <v>50000000</v>
      </c>
      <c r="K13" s="125">
        <v>100000000</v>
      </c>
      <c r="L13" s="125">
        <v>0</v>
      </c>
      <c r="M13" s="125">
        <v>0</v>
      </c>
      <c r="N13" s="247">
        <v>50000000</v>
      </c>
      <c r="O13" s="247">
        <v>0</v>
      </c>
    </row>
    <row r="14" spans="1:15" s="145" customFormat="1" ht="15.75">
      <c r="A14" s="70" t="s">
        <v>3159</v>
      </c>
      <c r="B14" s="105" t="s">
        <v>5416</v>
      </c>
      <c r="C14" s="72" t="s">
        <v>980</v>
      </c>
      <c r="D14" s="125">
        <v>5931633</v>
      </c>
      <c r="E14" s="125">
        <v>8123432</v>
      </c>
      <c r="F14" s="125">
        <v>26466145</v>
      </c>
      <c r="G14" s="247">
        <v>19435837</v>
      </c>
      <c r="H14" s="125">
        <v>9259439</v>
      </c>
      <c r="I14" s="125">
        <v>10000000</v>
      </c>
      <c r="J14" s="125">
        <v>10000000</v>
      </c>
      <c r="K14" s="125">
        <v>20000000</v>
      </c>
      <c r="L14" s="125">
        <v>0</v>
      </c>
      <c r="M14" s="125">
        <v>0</v>
      </c>
      <c r="N14" s="247">
        <v>10000000</v>
      </c>
      <c r="O14" s="247">
        <v>0</v>
      </c>
    </row>
    <row r="15" spans="1:15" s="145" customFormat="1" ht="15.75">
      <c r="A15" s="70"/>
      <c r="B15" s="105"/>
      <c r="C15" s="72"/>
      <c r="D15" s="125">
        <v>0</v>
      </c>
      <c r="E15" s="125">
        <v>0</v>
      </c>
      <c r="F15" s="125">
        <v>0</v>
      </c>
      <c r="G15" s="247">
        <v>0</v>
      </c>
      <c r="H15" s="125">
        <v>0</v>
      </c>
      <c r="I15" s="125">
        <v>0</v>
      </c>
      <c r="J15" s="125">
        <v>0</v>
      </c>
      <c r="K15" s="125">
        <v>0</v>
      </c>
      <c r="L15" s="125">
        <v>0</v>
      </c>
      <c r="M15" s="125">
        <v>0</v>
      </c>
      <c r="N15" s="247">
        <v>0</v>
      </c>
      <c r="O15" s="247">
        <v>0</v>
      </c>
    </row>
    <row r="16" spans="1:15" s="145" customFormat="1" ht="15.75">
      <c r="A16" s="77" t="s">
        <v>10428</v>
      </c>
      <c r="B16" s="136" t="s">
        <v>5417</v>
      </c>
      <c r="C16" s="72"/>
      <c r="D16" s="125">
        <v>2443857171</v>
      </c>
      <c r="E16" s="125">
        <v>2521171745</v>
      </c>
      <c r="F16" s="125">
        <v>3485431565</v>
      </c>
      <c r="G16" s="247">
        <v>1458119322.21</v>
      </c>
      <c r="H16" s="125">
        <v>2134570730</v>
      </c>
      <c r="I16" s="125">
        <v>6372500000</v>
      </c>
      <c r="J16" s="125">
        <v>6372500000</v>
      </c>
      <c r="K16" s="125">
        <v>5910000000</v>
      </c>
      <c r="L16" s="125">
        <v>0</v>
      </c>
      <c r="M16" s="125">
        <v>0</v>
      </c>
      <c r="N16" s="247">
        <v>0</v>
      </c>
      <c r="O16" s="247">
        <v>462500000</v>
      </c>
    </row>
    <row r="17" spans="1:15" s="145" customFormat="1" ht="15.75">
      <c r="A17" s="70"/>
      <c r="B17" s="105"/>
      <c r="C17" s="72"/>
      <c r="D17" s="125">
        <v>0</v>
      </c>
      <c r="E17" s="125">
        <v>0</v>
      </c>
      <c r="F17" s="125">
        <v>0</v>
      </c>
      <c r="G17" s="247">
        <v>0</v>
      </c>
      <c r="H17" s="125">
        <v>0</v>
      </c>
      <c r="I17" s="125">
        <v>0</v>
      </c>
      <c r="J17" s="125">
        <v>0</v>
      </c>
      <c r="K17" s="125">
        <v>0</v>
      </c>
      <c r="L17" s="125">
        <v>0</v>
      </c>
      <c r="M17" s="125">
        <v>0</v>
      </c>
      <c r="N17" s="247">
        <v>0</v>
      </c>
      <c r="O17" s="247">
        <v>0</v>
      </c>
    </row>
    <row r="18" spans="1:15" s="145" customFormat="1" ht="15.75">
      <c r="A18" s="70" t="s">
        <v>3160</v>
      </c>
      <c r="B18" s="105" t="s">
        <v>5418</v>
      </c>
      <c r="C18" s="72"/>
      <c r="D18" s="125">
        <v>0</v>
      </c>
      <c r="E18" s="125">
        <v>0</v>
      </c>
      <c r="F18" s="125">
        <v>0</v>
      </c>
      <c r="G18" s="247">
        <v>0</v>
      </c>
      <c r="H18" s="125">
        <v>0</v>
      </c>
      <c r="I18" s="125">
        <v>0</v>
      </c>
      <c r="J18" s="125">
        <v>0</v>
      </c>
      <c r="K18" s="125">
        <v>0</v>
      </c>
      <c r="L18" s="125">
        <v>0</v>
      </c>
      <c r="M18" s="125">
        <v>0</v>
      </c>
      <c r="N18" s="247">
        <v>0</v>
      </c>
      <c r="O18" s="247">
        <v>0</v>
      </c>
    </row>
    <row r="19" spans="1:15" s="145" customFormat="1" ht="15.75">
      <c r="A19" s="70" t="s">
        <v>3161</v>
      </c>
      <c r="B19" s="105" t="s">
        <v>5419</v>
      </c>
      <c r="C19" s="72" t="s">
        <v>981</v>
      </c>
      <c r="D19" s="125">
        <v>153877910</v>
      </c>
      <c r="E19" s="125">
        <v>87959085</v>
      </c>
      <c r="F19" s="125">
        <v>134378501</v>
      </c>
      <c r="G19" s="247">
        <v>134378501</v>
      </c>
      <c r="H19" s="125">
        <v>0</v>
      </c>
      <c r="I19" s="125">
        <v>0</v>
      </c>
      <c r="J19" s="125">
        <v>0</v>
      </c>
      <c r="K19" s="125">
        <v>0</v>
      </c>
      <c r="L19" s="125">
        <v>0</v>
      </c>
      <c r="M19" s="125">
        <v>0</v>
      </c>
      <c r="N19" s="247">
        <v>0</v>
      </c>
      <c r="O19" s="247">
        <v>0</v>
      </c>
    </row>
    <row r="20" spans="1:15" s="145" customFormat="1" ht="15.75">
      <c r="A20" s="70" t="s">
        <v>3162</v>
      </c>
      <c r="B20" s="105" t="s">
        <v>5420</v>
      </c>
      <c r="C20" s="72" t="s">
        <v>371</v>
      </c>
      <c r="D20" s="125">
        <v>58164061</v>
      </c>
      <c r="E20" s="125">
        <v>0</v>
      </c>
      <c r="F20" s="125">
        <v>0</v>
      </c>
      <c r="G20" s="247">
        <v>0</v>
      </c>
      <c r="H20" s="125">
        <v>0</v>
      </c>
      <c r="I20" s="125">
        <v>0</v>
      </c>
      <c r="J20" s="125">
        <v>0</v>
      </c>
      <c r="K20" s="125">
        <v>0</v>
      </c>
      <c r="L20" s="125">
        <v>0</v>
      </c>
      <c r="M20" s="125">
        <v>0</v>
      </c>
      <c r="N20" s="247">
        <v>0</v>
      </c>
      <c r="O20" s="247">
        <v>0</v>
      </c>
    </row>
    <row r="21" spans="1:15" s="145" customFormat="1" ht="15.75">
      <c r="A21" s="70" t="s">
        <v>3163</v>
      </c>
      <c r="B21" s="105" t="s">
        <v>5421</v>
      </c>
      <c r="C21" s="72" t="s">
        <v>372</v>
      </c>
      <c r="D21" s="125">
        <v>80</v>
      </c>
      <c r="E21" s="125">
        <v>0</v>
      </c>
      <c r="F21" s="125">
        <v>0</v>
      </c>
      <c r="G21" s="247">
        <v>0</v>
      </c>
      <c r="H21" s="125">
        <v>0</v>
      </c>
      <c r="I21" s="125">
        <v>0</v>
      </c>
      <c r="J21" s="125">
        <v>0</v>
      </c>
      <c r="K21" s="125">
        <v>0</v>
      </c>
      <c r="L21" s="125">
        <v>0</v>
      </c>
      <c r="M21" s="125">
        <v>0</v>
      </c>
      <c r="N21" s="247">
        <v>0</v>
      </c>
      <c r="O21" s="247">
        <v>0</v>
      </c>
    </row>
    <row r="22" spans="1:15" s="145" customFormat="1" ht="15.75">
      <c r="A22" s="70"/>
      <c r="B22" s="105"/>
      <c r="C22" s="72"/>
      <c r="D22" s="125">
        <v>0</v>
      </c>
      <c r="E22" s="125">
        <v>0</v>
      </c>
      <c r="F22" s="125">
        <v>0</v>
      </c>
      <c r="G22" s="247">
        <v>0</v>
      </c>
      <c r="H22" s="125">
        <v>0</v>
      </c>
      <c r="I22" s="125">
        <v>0</v>
      </c>
      <c r="J22" s="125">
        <v>0</v>
      </c>
      <c r="K22" s="125">
        <v>0</v>
      </c>
      <c r="L22" s="125">
        <v>0</v>
      </c>
      <c r="M22" s="125">
        <v>0</v>
      </c>
      <c r="N22" s="247">
        <v>0</v>
      </c>
      <c r="O22" s="247">
        <v>0</v>
      </c>
    </row>
    <row r="23" spans="1:15" s="145" customFormat="1" ht="15.75">
      <c r="A23" s="77" t="s">
        <v>2799</v>
      </c>
      <c r="B23" s="136" t="s">
        <v>146</v>
      </c>
      <c r="C23" s="72"/>
      <c r="D23" s="125">
        <v>212042051</v>
      </c>
      <c r="E23" s="125">
        <v>87959085</v>
      </c>
      <c r="F23" s="125">
        <v>134378501</v>
      </c>
      <c r="G23" s="247">
        <v>134378501</v>
      </c>
      <c r="H23" s="125">
        <v>0</v>
      </c>
      <c r="I23" s="125">
        <v>0</v>
      </c>
      <c r="J23" s="125">
        <v>0</v>
      </c>
      <c r="K23" s="125">
        <v>0</v>
      </c>
      <c r="L23" s="125">
        <v>0</v>
      </c>
      <c r="M23" s="125">
        <v>0</v>
      </c>
      <c r="N23" s="247">
        <v>0</v>
      </c>
      <c r="O23" s="247">
        <v>0</v>
      </c>
    </row>
    <row r="24" spans="1:15" s="145" customFormat="1" ht="15.75">
      <c r="A24" s="70"/>
      <c r="B24" s="105"/>
      <c r="C24" s="72"/>
      <c r="D24" s="125">
        <v>0</v>
      </c>
      <c r="E24" s="125">
        <v>0</v>
      </c>
      <c r="F24" s="125">
        <v>0</v>
      </c>
      <c r="G24" s="247">
        <v>0</v>
      </c>
      <c r="H24" s="125">
        <v>0</v>
      </c>
      <c r="I24" s="125">
        <v>0</v>
      </c>
      <c r="J24" s="125">
        <v>0</v>
      </c>
      <c r="K24" s="125">
        <v>0</v>
      </c>
      <c r="L24" s="125">
        <v>0</v>
      </c>
      <c r="M24" s="125">
        <v>0</v>
      </c>
      <c r="N24" s="247">
        <v>0</v>
      </c>
      <c r="O24" s="247">
        <v>0</v>
      </c>
    </row>
    <row r="25" spans="1:15" s="145" customFormat="1" ht="15.75">
      <c r="A25" s="70" t="s">
        <v>3164</v>
      </c>
      <c r="B25" s="105" t="s">
        <v>5422</v>
      </c>
      <c r="C25" s="72" t="s">
        <v>1051</v>
      </c>
      <c r="D25" s="125">
        <v>576144247</v>
      </c>
      <c r="E25" s="125">
        <v>0</v>
      </c>
      <c r="F25" s="125">
        <v>0</v>
      </c>
      <c r="G25" s="247">
        <v>0</v>
      </c>
      <c r="H25" s="125">
        <v>0</v>
      </c>
      <c r="I25" s="125">
        <v>0</v>
      </c>
      <c r="J25" s="125">
        <v>0</v>
      </c>
      <c r="K25" s="125">
        <v>0</v>
      </c>
      <c r="L25" s="125">
        <v>0</v>
      </c>
      <c r="M25" s="125">
        <v>0</v>
      </c>
      <c r="N25" s="247">
        <v>0</v>
      </c>
      <c r="O25" s="247">
        <v>0</v>
      </c>
    </row>
    <row r="26" spans="1:15" s="145" customFormat="1" ht="15.75">
      <c r="A26" s="77" t="s">
        <v>2799</v>
      </c>
      <c r="B26" s="136" t="s">
        <v>146</v>
      </c>
      <c r="C26" s="72"/>
      <c r="D26" s="125">
        <v>576144247</v>
      </c>
      <c r="E26" s="125">
        <v>0</v>
      </c>
      <c r="F26" s="125">
        <v>0</v>
      </c>
      <c r="G26" s="247">
        <v>0</v>
      </c>
      <c r="H26" s="125">
        <v>0</v>
      </c>
      <c r="I26" s="125">
        <v>0</v>
      </c>
      <c r="J26" s="125">
        <v>0</v>
      </c>
      <c r="K26" s="125">
        <v>0</v>
      </c>
      <c r="L26" s="125">
        <v>0</v>
      </c>
      <c r="M26" s="125">
        <v>0</v>
      </c>
      <c r="N26" s="247">
        <v>0</v>
      </c>
      <c r="O26" s="247">
        <v>0</v>
      </c>
    </row>
    <row r="27" spans="1:15" s="145" customFormat="1" ht="15.75">
      <c r="A27" s="70"/>
      <c r="B27" s="105"/>
      <c r="C27" s="72"/>
      <c r="D27" s="125">
        <v>0</v>
      </c>
      <c r="E27" s="125">
        <v>0</v>
      </c>
      <c r="F27" s="125">
        <v>0</v>
      </c>
      <c r="G27" s="247">
        <v>0</v>
      </c>
      <c r="H27" s="125">
        <v>0</v>
      </c>
      <c r="I27" s="125">
        <v>0</v>
      </c>
      <c r="J27" s="125">
        <v>0</v>
      </c>
      <c r="K27" s="125">
        <v>0</v>
      </c>
      <c r="L27" s="125">
        <v>0</v>
      </c>
      <c r="M27" s="125">
        <v>0</v>
      </c>
      <c r="N27" s="247">
        <v>0</v>
      </c>
      <c r="O27" s="247">
        <v>0</v>
      </c>
    </row>
    <row r="28" spans="1:15" s="145" customFormat="1" ht="15.75">
      <c r="A28" s="70" t="s">
        <v>3165</v>
      </c>
      <c r="B28" s="105" t="s">
        <v>5423</v>
      </c>
      <c r="C28" s="72"/>
      <c r="D28" s="125">
        <v>-364102196</v>
      </c>
      <c r="E28" s="125">
        <v>87959085</v>
      </c>
      <c r="F28" s="125">
        <v>134378501</v>
      </c>
      <c r="G28" s="247">
        <v>134378501</v>
      </c>
      <c r="H28" s="125">
        <v>0</v>
      </c>
      <c r="I28" s="125">
        <v>0</v>
      </c>
      <c r="J28" s="125">
        <v>0</v>
      </c>
      <c r="K28" s="125">
        <v>0</v>
      </c>
      <c r="L28" s="125">
        <v>0</v>
      </c>
      <c r="M28" s="125">
        <v>0</v>
      </c>
      <c r="N28" s="247">
        <v>0</v>
      </c>
      <c r="O28" s="247">
        <v>0</v>
      </c>
    </row>
    <row r="29" spans="1:15" s="145" customFormat="1" ht="15.75">
      <c r="A29" s="70"/>
      <c r="B29" s="105"/>
      <c r="C29" s="72"/>
      <c r="D29" s="125">
        <v>0</v>
      </c>
      <c r="E29" s="125">
        <v>0</v>
      </c>
      <c r="F29" s="125">
        <v>0</v>
      </c>
      <c r="G29" s="247">
        <v>0</v>
      </c>
      <c r="H29" s="125">
        <v>0</v>
      </c>
      <c r="I29" s="125">
        <v>0</v>
      </c>
      <c r="J29" s="125">
        <v>0</v>
      </c>
      <c r="K29" s="125">
        <v>0</v>
      </c>
      <c r="L29" s="125">
        <v>0</v>
      </c>
      <c r="M29" s="125">
        <v>0</v>
      </c>
      <c r="N29" s="247">
        <v>0</v>
      </c>
      <c r="O29" s="247">
        <v>0</v>
      </c>
    </row>
    <row r="30" spans="1:15" s="145" customFormat="1" ht="15.75">
      <c r="A30" s="70" t="s">
        <v>3166</v>
      </c>
      <c r="B30" s="105" t="s">
        <v>5424</v>
      </c>
      <c r="C30" s="72" t="s">
        <v>982</v>
      </c>
      <c r="D30" s="125">
        <v>393634637</v>
      </c>
      <c r="E30" s="125">
        <v>136555000</v>
      </c>
      <c r="F30" s="125">
        <v>0</v>
      </c>
      <c r="G30" s="247">
        <v>0</v>
      </c>
      <c r="H30" s="125">
        <v>0</v>
      </c>
      <c r="I30" s="125">
        <v>0</v>
      </c>
      <c r="J30" s="125">
        <v>0</v>
      </c>
      <c r="K30" s="125">
        <v>0</v>
      </c>
      <c r="L30" s="125">
        <v>0</v>
      </c>
      <c r="M30" s="125">
        <v>0</v>
      </c>
      <c r="N30" s="247">
        <v>0</v>
      </c>
      <c r="O30" s="247">
        <v>0</v>
      </c>
    </row>
    <row r="31" spans="1:15" s="145" customFormat="1" ht="15.75">
      <c r="A31" s="70"/>
      <c r="B31" s="105"/>
      <c r="C31" s="72"/>
      <c r="D31" s="125">
        <v>0</v>
      </c>
      <c r="E31" s="125">
        <v>0</v>
      </c>
      <c r="F31" s="125">
        <v>0</v>
      </c>
      <c r="G31" s="247">
        <v>0</v>
      </c>
      <c r="H31" s="125">
        <v>0</v>
      </c>
      <c r="I31" s="125">
        <v>0</v>
      </c>
      <c r="J31" s="125">
        <v>0</v>
      </c>
      <c r="K31" s="125">
        <v>0</v>
      </c>
      <c r="L31" s="125">
        <v>0</v>
      </c>
      <c r="M31" s="125">
        <v>0</v>
      </c>
      <c r="N31" s="247">
        <v>0</v>
      </c>
      <c r="O31" s="247">
        <v>0</v>
      </c>
    </row>
    <row r="32" spans="1:15" s="145" customFormat="1" ht="15.75">
      <c r="A32" s="77" t="s">
        <v>2799</v>
      </c>
      <c r="B32" s="136" t="s">
        <v>146</v>
      </c>
      <c r="C32" s="72"/>
      <c r="D32" s="125">
        <v>29532441</v>
      </c>
      <c r="E32" s="125">
        <v>224514085</v>
      </c>
      <c r="F32" s="125">
        <v>134378501</v>
      </c>
      <c r="G32" s="247">
        <v>134378501</v>
      </c>
      <c r="H32" s="125">
        <v>0</v>
      </c>
      <c r="I32" s="125">
        <v>0</v>
      </c>
      <c r="J32" s="125">
        <v>0</v>
      </c>
      <c r="K32" s="125">
        <v>0</v>
      </c>
      <c r="L32" s="125">
        <v>0</v>
      </c>
      <c r="M32" s="125">
        <v>0</v>
      </c>
      <c r="N32" s="247">
        <v>0</v>
      </c>
      <c r="O32" s="247">
        <v>0</v>
      </c>
    </row>
    <row r="33" spans="1:15" s="145" customFormat="1" ht="15.75">
      <c r="A33" s="70"/>
      <c r="B33" s="105"/>
      <c r="C33" s="72"/>
      <c r="D33" s="125">
        <v>0</v>
      </c>
      <c r="E33" s="125">
        <v>0</v>
      </c>
      <c r="F33" s="125">
        <v>0</v>
      </c>
      <c r="G33" s="247">
        <v>0</v>
      </c>
      <c r="H33" s="125">
        <v>0</v>
      </c>
      <c r="I33" s="125">
        <v>0</v>
      </c>
      <c r="J33" s="125">
        <v>0</v>
      </c>
      <c r="K33" s="125">
        <v>0</v>
      </c>
      <c r="L33" s="125">
        <v>0</v>
      </c>
      <c r="M33" s="125">
        <v>0</v>
      </c>
      <c r="N33" s="247">
        <v>0</v>
      </c>
      <c r="O33" s="247">
        <v>0</v>
      </c>
    </row>
    <row r="34" spans="1:15" s="145" customFormat="1" ht="15.75">
      <c r="A34" s="77" t="s">
        <v>3167</v>
      </c>
      <c r="B34" s="136" t="s">
        <v>5425</v>
      </c>
      <c r="C34" s="72"/>
      <c r="D34" s="125">
        <v>29532441</v>
      </c>
      <c r="E34" s="125">
        <v>224514085</v>
      </c>
      <c r="F34" s="125">
        <v>134378501</v>
      </c>
      <c r="G34" s="247">
        <v>134378501</v>
      </c>
      <c r="H34" s="125">
        <v>0</v>
      </c>
      <c r="I34" s="125">
        <v>0</v>
      </c>
      <c r="J34" s="125">
        <v>0</v>
      </c>
      <c r="K34" s="125">
        <v>0</v>
      </c>
      <c r="L34" s="125">
        <v>0</v>
      </c>
      <c r="M34" s="125">
        <v>0</v>
      </c>
      <c r="N34" s="247">
        <v>0</v>
      </c>
      <c r="O34" s="247">
        <v>0</v>
      </c>
    </row>
    <row r="35" spans="1:15" s="145" customFormat="1" ht="15.75">
      <c r="A35" s="70"/>
      <c r="B35" s="105"/>
      <c r="C35" s="72"/>
      <c r="D35" s="125">
        <v>0</v>
      </c>
      <c r="E35" s="125">
        <v>0</v>
      </c>
      <c r="F35" s="125">
        <v>0</v>
      </c>
      <c r="G35" s="247">
        <v>0</v>
      </c>
      <c r="H35" s="125">
        <v>0</v>
      </c>
      <c r="I35" s="125">
        <v>0</v>
      </c>
      <c r="J35" s="125">
        <v>0</v>
      </c>
      <c r="K35" s="125">
        <v>0</v>
      </c>
      <c r="L35" s="125">
        <v>0</v>
      </c>
      <c r="M35" s="125">
        <v>0</v>
      </c>
      <c r="N35" s="247">
        <v>0</v>
      </c>
      <c r="O35" s="247">
        <v>0</v>
      </c>
    </row>
    <row r="36" spans="1:15" s="145" customFormat="1" ht="15.75">
      <c r="A36" s="70" t="s">
        <v>3168</v>
      </c>
      <c r="B36" s="105" t="s">
        <v>5426</v>
      </c>
      <c r="C36" s="72"/>
      <c r="D36" s="125">
        <v>0</v>
      </c>
      <c r="E36" s="125">
        <v>0</v>
      </c>
      <c r="F36" s="125">
        <v>0</v>
      </c>
      <c r="G36" s="247">
        <v>0</v>
      </c>
      <c r="H36" s="125">
        <v>0</v>
      </c>
      <c r="I36" s="125">
        <v>0</v>
      </c>
      <c r="J36" s="125">
        <v>0</v>
      </c>
      <c r="K36" s="125">
        <v>0</v>
      </c>
      <c r="L36" s="125">
        <v>0</v>
      </c>
      <c r="M36" s="125">
        <v>0</v>
      </c>
      <c r="N36" s="247">
        <v>0</v>
      </c>
      <c r="O36" s="247">
        <v>0</v>
      </c>
    </row>
    <row r="37" spans="1:15" s="145" customFormat="1" ht="15.75">
      <c r="A37" s="70" t="s">
        <v>3169</v>
      </c>
      <c r="B37" s="105" t="s">
        <v>5427</v>
      </c>
      <c r="C37" s="72" t="s">
        <v>1525</v>
      </c>
      <c r="D37" s="125">
        <v>1640462</v>
      </c>
      <c r="E37" s="125">
        <v>275729</v>
      </c>
      <c r="F37" s="125">
        <v>65050</v>
      </c>
      <c r="G37" s="247">
        <v>857</v>
      </c>
      <c r="H37" s="125">
        <v>1025</v>
      </c>
      <c r="I37" s="125">
        <v>1000</v>
      </c>
      <c r="J37" s="125">
        <v>1000</v>
      </c>
      <c r="K37" s="125">
        <v>0</v>
      </c>
      <c r="L37" s="125">
        <v>0</v>
      </c>
      <c r="M37" s="125">
        <v>0</v>
      </c>
      <c r="N37" s="247">
        <v>0</v>
      </c>
      <c r="O37" s="247">
        <v>1000</v>
      </c>
    </row>
    <row r="38" spans="1:15" s="145" customFormat="1" ht="15.75">
      <c r="A38" s="70" t="s">
        <v>3170</v>
      </c>
      <c r="B38" s="105" t="s">
        <v>5426</v>
      </c>
      <c r="C38" s="72" t="s">
        <v>1526</v>
      </c>
      <c r="D38" s="125">
        <v>8816353567</v>
      </c>
      <c r="E38" s="125">
        <v>9885567929</v>
      </c>
      <c r="F38" s="125">
        <v>6697263834</v>
      </c>
      <c r="G38" s="247">
        <v>2034349685.4799995</v>
      </c>
      <c r="H38" s="125">
        <v>1726288788</v>
      </c>
      <c r="I38" s="125">
        <v>5500000000</v>
      </c>
      <c r="J38" s="125">
        <v>5500000000</v>
      </c>
      <c r="K38" s="125">
        <v>5000000000</v>
      </c>
      <c r="L38" s="125">
        <v>0</v>
      </c>
      <c r="M38" s="125">
        <v>0</v>
      </c>
      <c r="N38" s="247">
        <v>0</v>
      </c>
      <c r="O38" s="247">
        <v>500000000</v>
      </c>
    </row>
    <row r="39" spans="1:15" s="145" customFormat="1" ht="15.75">
      <c r="A39" s="70" t="s">
        <v>3171</v>
      </c>
      <c r="B39" s="105" t="s">
        <v>5428</v>
      </c>
      <c r="C39" s="72" t="s">
        <v>1530</v>
      </c>
      <c r="D39" s="125">
        <v>4977696</v>
      </c>
      <c r="E39" s="125">
        <v>0</v>
      </c>
      <c r="F39" s="125">
        <v>0</v>
      </c>
      <c r="G39" s="247">
        <v>0</v>
      </c>
      <c r="H39" s="125">
        <v>0</v>
      </c>
      <c r="I39" s="125">
        <v>0</v>
      </c>
      <c r="J39" s="125">
        <v>0</v>
      </c>
      <c r="K39" s="125">
        <v>0</v>
      </c>
      <c r="L39" s="125">
        <v>0</v>
      </c>
      <c r="M39" s="125">
        <v>0</v>
      </c>
      <c r="N39" s="247">
        <v>0</v>
      </c>
      <c r="O39" s="247">
        <v>0</v>
      </c>
    </row>
    <row r="40" spans="1:15" s="145" customFormat="1" ht="15.75">
      <c r="A40" s="70" t="s">
        <v>3172</v>
      </c>
      <c r="B40" s="105" t="s">
        <v>5429</v>
      </c>
      <c r="C40" s="72" t="s">
        <v>1531</v>
      </c>
      <c r="D40" s="125">
        <v>338676268</v>
      </c>
      <c r="E40" s="125">
        <v>326733396</v>
      </c>
      <c r="F40" s="125">
        <v>218475764</v>
      </c>
      <c r="G40" s="247">
        <v>75635308</v>
      </c>
      <c r="H40" s="125">
        <v>51224400</v>
      </c>
      <c r="I40" s="125">
        <v>100000000</v>
      </c>
      <c r="J40" s="125">
        <v>100000000</v>
      </c>
      <c r="K40" s="125">
        <v>170000000</v>
      </c>
      <c r="L40" s="125">
        <v>0</v>
      </c>
      <c r="M40" s="125">
        <v>0</v>
      </c>
      <c r="N40" s="247">
        <v>70000000</v>
      </c>
      <c r="O40" s="247">
        <v>0</v>
      </c>
    </row>
    <row r="41" spans="1:15" s="145" customFormat="1" ht="15.75">
      <c r="A41" s="70" t="s">
        <v>3173</v>
      </c>
      <c r="B41" s="105" t="s">
        <v>5430</v>
      </c>
      <c r="C41" s="72" t="s">
        <v>1532</v>
      </c>
      <c r="D41" s="125">
        <v>247788</v>
      </c>
      <c r="E41" s="125">
        <v>3925</v>
      </c>
      <c r="F41" s="125">
        <v>1153</v>
      </c>
      <c r="G41" s="247">
        <v>0</v>
      </c>
      <c r="H41" s="125">
        <v>0</v>
      </c>
      <c r="I41" s="125">
        <v>0</v>
      </c>
      <c r="J41" s="125">
        <v>0</v>
      </c>
      <c r="K41" s="125">
        <v>0</v>
      </c>
      <c r="L41" s="125">
        <v>0</v>
      </c>
      <c r="M41" s="125">
        <v>0</v>
      </c>
      <c r="N41" s="247">
        <v>0</v>
      </c>
      <c r="O41" s="247">
        <v>0</v>
      </c>
    </row>
    <row r="42" spans="1:15" s="145" customFormat="1" ht="15.75">
      <c r="A42" s="70" t="s">
        <v>3174</v>
      </c>
      <c r="B42" s="105" t="s">
        <v>5431</v>
      </c>
      <c r="C42" s="72" t="s">
        <v>1533</v>
      </c>
      <c r="D42" s="125">
        <v>9483859</v>
      </c>
      <c r="E42" s="125">
        <v>16776728</v>
      </c>
      <c r="F42" s="125">
        <v>13727522</v>
      </c>
      <c r="G42" s="247">
        <v>3184420</v>
      </c>
      <c r="H42" s="125">
        <v>3341444</v>
      </c>
      <c r="I42" s="125">
        <v>5000000</v>
      </c>
      <c r="J42" s="125">
        <v>5000000</v>
      </c>
      <c r="K42" s="125">
        <v>5000000</v>
      </c>
      <c r="L42" s="125">
        <v>0</v>
      </c>
      <c r="M42" s="125">
        <v>0</v>
      </c>
      <c r="N42" s="247">
        <v>0</v>
      </c>
      <c r="O42" s="247">
        <v>0</v>
      </c>
    </row>
    <row r="43" spans="1:15" s="145" customFormat="1" ht="15.75">
      <c r="A43" s="70" t="s">
        <v>3418</v>
      </c>
      <c r="B43" s="105" t="s">
        <v>5432</v>
      </c>
      <c r="C43" s="72" t="s">
        <v>1534</v>
      </c>
      <c r="D43" s="125">
        <v>1552586</v>
      </c>
      <c r="E43" s="125">
        <v>886</v>
      </c>
      <c r="F43" s="125">
        <v>968005</v>
      </c>
      <c r="G43" s="247">
        <v>966686</v>
      </c>
      <c r="H43" s="125">
        <v>76000</v>
      </c>
      <c r="I43" s="125">
        <v>1000</v>
      </c>
      <c r="J43" s="125">
        <v>1000</v>
      </c>
      <c r="K43" s="125">
        <v>1000</v>
      </c>
      <c r="L43" s="125">
        <v>0</v>
      </c>
      <c r="M43" s="125">
        <v>0</v>
      </c>
      <c r="N43" s="247">
        <v>0</v>
      </c>
      <c r="O43" s="247">
        <v>0</v>
      </c>
    </row>
    <row r="44" spans="1:15" s="145" customFormat="1" ht="15.75">
      <c r="A44" s="70" t="s">
        <v>3175</v>
      </c>
      <c r="B44" s="105" t="s">
        <v>5433</v>
      </c>
      <c r="C44" s="72" t="s">
        <v>1527</v>
      </c>
      <c r="D44" s="125">
        <v>38865525</v>
      </c>
      <c r="E44" s="125">
        <v>68901237</v>
      </c>
      <c r="F44" s="125">
        <v>28119768</v>
      </c>
      <c r="G44" s="247">
        <v>7943121</v>
      </c>
      <c r="H44" s="125">
        <v>7036132</v>
      </c>
      <c r="I44" s="125">
        <v>1000</v>
      </c>
      <c r="J44" s="125">
        <v>1000</v>
      </c>
      <c r="K44" s="125">
        <v>1000</v>
      </c>
      <c r="L44" s="125">
        <v>0</v>
      </c>
      <c r="M44" s="125">
        <v>0</v>
      </c>
      <c r="N44" s="247">
        <v>0</v>
      </c>
      <c r="O44" s="247">
        <v>0</v>
      </c>
    </row>
    <row r="45" spans="1:15" s="145" customFormat="1" ht="15.75">
      <c r="A45" s="70" t="s">
        <v>3176</v>
      </c>
      <c r="B45" s="105" t="s">
        <v>5434</v>
      </c>
      <c r="C45" s="72" t="s">
        <v>1528</v>
      </c>
      <c r="D45" s="125">
        <v>47994116</v>
      </c>
      <c r="E45" s="125">
        <v>13940851</v>
      </c>
      <c r="F45" s="125">
        <v>8211906</v>
      </c>
      <c r="G45" s="247">
        <v>215298</v>
      </c>
      <c r="H45" s="125">
        <v>1455670</v>
      </c>
      <c r="I45" s="125">
        <v>1000</v>
      </c>
      <c r="J45" s="125">
        <v>1000</v>
      </c>
      <c r="K45" s="125">
        <v>1000</v>
      </c>
      <c r="L45" s="125">
        <v>0</v>
      </c>
      <c r="M45" s="125">
        <v>0</v>
      </c>
      <c r="N45" s="247">
        <v>0</v>
      </c>
      <c r="O45" s="247">
        <v>0</v>
      </c>
    </row>
    <row r="46" spans="1:15" s="145" customFormat="1" ht="15.75">
      <c r="A46" s="70" t="s">
        <v>3177</v>
      </c>
      <c r="B46" s="105" t="s">
        <v>5435</v>
      </c>
      <c r="C46" s="72" t="s">
        <v>1536</v>
      </c>
      <c r="D46" s="125">
        <v>1408</v>
      </c>
      <c r="E46" s="125">
        <v>0</v>
      </c>
      <c r="F46" s="125">
        <v>0</v>
      </c>
      <c r="G46" s="247">
        <v>0</v>
      </c>
      <c r="H46" s="125">
        <v>0</v>
      </c>
      <c r="I46" s="125">
        <v>0</v>
      </c>
      <c r="J46" s="125">
        <v>0</v>
      </c>
      <c r="K46" s="125">
        <v>0</v>
      </c>
      <c r="L46" s="125">
        <v>0</v>
      </c>
      <c r="M46" s="125">
        <v>0</v>
      </c>
      <c r="N46" s="247">
        <v>0</v>
      </c>
      <c r="O46" s="247">
        <v>0</v>
      </c>
    </row>
    <row r="47" spans="1:15" s="145" customFormat="1" ht="15.75">
      <c r="A47" s="70" t="s">
        <v>3178</v>
      </c>
      <c r="B47" s="105" t="s">
        <v>5436</v>
      </c>
      <c r="C47" s="72" t="s">
        <v>1535</v>
      </c>
      <c r="D47" s="125">
        <v>1016564671</v>
      </c>
      <c r="E47" s="125">
        <v>2483821000</v>
      </c>
      <c r="F47" s="125">
        <v>1756629960</v>
      </c>
      <c r="G47" s="247">
        <v>971478960</v>
      </c>
      <c r="H47" s="125">
        <v>655286113</v>
      </c>
      <c r="I47" s="125">
        <v>1800000000</v>
      </c>
      <c r="J47" s="125">
        <v>1800000000</v>
      </c>
      <c r="K47" s="125">
        <v>1800000000</v>
      </c>
      <c r="L47" s="125">
        <v>0</v>
      </c>
      <c r="M47" s="125">
        <v>0</v>
      </c>
      <c r="N47" s="247">
        <v>0</v>
      </c>
      <c r="O47" s="247">
        <v>0</v>
      </c>
    </row>
    <row r="48" spans="1:15" s="145" customFormat="1" ht="15.75">
      <c r="A48" s="70" t="s">
        <v>3179</v>
      </c>
      <c r="B48" s="105" t="s">
        <v>5437</v>
      </c>
      <c r="C48" s="72" t="s">
        <v>1537</v>
      </c>
      <c r="D48" s="125">
        <v>31849174</v>
      </c>
      <c r="E48" s="125">
        <v>30434564</v>
      </c>
      <c r="F48" s="125">
        <v>19452052</v>
      </c>
      <c r="G48" s="247">
        <v>11570364.42</v>
      </c>
      <c r="H48" s="125">
        <v>3087188</v>
      </c>
      <c r="I48" s="125">
        <v>5000000</v>
      </c>
      <c r="J48" s="125">
        <v>5000000</v>
      </c>
      <c r="K48" s="125">
        <v>5000000</v>
      </c>
      <c r="L48" s="125">
        <v>0</v>
      </c>
      <c r="M48" s="125">
        <v>0</v>
      </c>
      <c r="N48" s="247">
        <v>0</v>
      </c>
      <c r="O48" s="247">
        <v>0</v>
      </c>
    </row>
    <row r="49" spans="1:15" s="145" customFormat="1" ht="15.75">
      <c r="A49" s="70" t="s">
        <v>10429</v>
      </c>
      <c r="B49" s="105" t="s">
        <v>5438</v>
      </c>
      <c r="C49" s="72" t="s">
        <v>4688</v>
      </c>
      <c r="D49" s="125">
        <v>0</v>
      </c>
      <c r="E49" s="125">
        <v>0</v>
      </c>
      <c r="F49" s="125">
        <v>5774000000</v>
      </c>
      <c r="G49" s="247">
        <v>4145800000</v>
      </c>
      <c r="H49" s="125">
        <v>4677000000</v>
      </c>
      <c r="I49" s="125">
        <v>9129996000</v>
      </c>
      <c r="J49" s="125">
        <v>9129996000</v>
      </c>
      <c r="K49" s="125">
        <v>10353997000</v>
      </c>
      <c r="L49" s="125">
        <v>0</v>
      </c>
      <c r="M49" s="125">
        <v>0</v>
      </c>
      <c r="N49" s="247">
        <v>1224001000</v>
      </c>
      <c r="O49" s="247">
        <v>0</v>
      </c>
    </row>
    <row r="50" spans="1:15" s="145" customFormat="1" ht="15.75">
      <c r="A50" s="70"/>
      <c r="B50" s="105"/>
      <c r="C50" s="72"/>
      <c r="D50" s="125">
        <v>0</v>
      </c>
      <c r="E50" s="125">
        <v>0</v>
      </c>
      <c r="F50" s="125">
        <v>0</v>
      </c>
      <c r="G50" s="247">
        <v>0</v>
      </c>
      <c r="H50" s="125">
        <v>0</v>
      </c>
      <c r="I50" s="125">
        <v>0</v>
      </c>
      <c r="J50" s="125">
        <v>0</v>
      </c>
      <c r="K50" s="125">
        <v>0</v>
      </c>
      <c r="L50" s="125">
        <v>0</v>
      </c>
      <c r="M50" s="125">
        <v>0</v>
      </c>
      <c r="N50" s="247">
        <v>0</v>
      </c>
      <c r="O50" s="247">
        <v>0</v>
      </c>
    </row>
    <row r="51" spans="1:15" s="145" customFormat="1" ht="15.75">
      <c r="A51" s="77" t="s">
        <v>3180</v>
      </c>
      <c r="B51" s="136" t="s">
        <v>5439</v>
      </c>
      <c r="C51" s="72"/>
      <c r="D51" s="125">
        <v>10308207120</v>
      </c>
      <c r="E51" s="125">
        <v>12826456245</v>
      </c>
      <c r="F51" s="125">
        <v>14516915014</v>
      </c>
      <c r="G51" s="247">
        <v>7251144699.8999996</v>
      </c>
      <c r="H51" s="125">
        <v>7124796760</v>
      </c>
      <c r="I51" s="125">
        <v>16540000000</v>
      </c>
      <c r="J51" s="125">
        <v>16540000000</v>
      </c>
      <c r="K51" s="125">
        <v>17334000000</v>
      </c>
      <c r="L51" s="125">
        <v>0</v>
      </c>
      <c r="M51" s="125">
        <v>0</v>
      </c>
      <c r="N51" s="247">
        <v>794000000</v>
      </c>
      <c r="O51" s="247">
        <v>0</v>
      </c>
    </row>
    <row r="52" spans="1:15" s="145" customFormat="1" ht="15.75">
      <c r="A52" s="70"/>
      <c r="B52" s="105"/>
      <c r="C52" s="72"/>
      <c r="D52" s="125">
        <v>0</v>
      </c>
      <c r="E52" s="125">
        <v>0</v>
      </c>
      <c r="F52" s="125">
        <v>0</v>
      </c>
      <c r="G52" s="247">
        <v>0</v>
      </c>
      <c r="H52" s="125">
        <v>0</v>
      </c>
      <c r="I52" s="125">
        <v>0</v>
      </c>
      <c r="J52" s="125">
        <v>0</v>
      </c>
      <c r="K52" s="125">
        <v>0</v>
      </c>
      <c r="L52" s="125">
        <v>0</v>
      </c>
      <c r="M52" s="125">
        <v>0</v>
      </c>
      <c r="N52" s="247">
        <v>0</v>
      </c>
      <c r="O52" s="247">
        <v>0</v>
      </c>
    </row>
    <row r="53" spans="1:15" s="145" customFormat="1" ht="15.75">
      <c r="A53" s="70" t="s">
        <v>3181</v>
      </c>
      <c r="B53" s="105" t="s">
        <v>5440</v>
      </c>
      <c r="C53" s="72" t="s">
        <v>1538</v>
      </c>
      <c r="D53" s="125">
        <v>0</v>
      </c>
      <c r="E53" s="125">
        <v>17626981</v>
      </c>
      <c r="F53" s="125">
        <v>16761083</v>
      </c>
      <c r="G53" s="247">
        <v>16761083</v>
      </c>
      <c r="H53" s="125">
        <v>0</v>
      </c>
      <c r="I53" s="125">
        <v>40000000</v>
      </c>
      <c r="J53" s="125">
        <v>40000000</v>
      </c>
      <c r="K53" s="125">
        <v>30000000</v>
      </c>
      <c r="L53" s="125">
        <v>0</v>
      </c>
      <c r="M53" s="125">
        <v>0</v>
      </c>
      <c r="N53" s="247">
        <v>0</v>
      </c>
      <c r="O53" s="247">
        <v>10000000</v>
      </c>
    </row>
    <row r="54" spans="1:15" s="145" customFormat="1" ht="15.75">
      <c r="A54" s="70"/>
      <c r="B54" s="105"/>
      <c r="C54" s="72"/>
      <c r="D54" s="125">
        <v>0</v>
      </c>
      <c r="E54" s="125">
        <v>0</v>
      </c>
      <c r="F54" s="125">
        <v>0</v>
      </c>
      <c r="G54" s="247">
        <v>0</v>
      </c>
      <c r="H54" s="125">
        <v>0</v>
      </c>
      <c r="I54" s="125">
        <v>0</v>
      </c>
      <c r="J54" s="125">
        <v>0</v>
      </c>
      <c r="K54" s="125">
        <v>0</v>
      </c>
      <c r="L54" s="125">
        <v>0</v>
      </c>
      <c r="M54" s="125">
        <v>0</v>
      </c>
      <c r="N54" s="247">
        <v>0</v>
      </c>
      <c r="O54" s="247">
        <v>0</v>
      </c>
    </row>
    <row r="55" spans="1:15" s="145" customFormat="1" ht="15.75">
      <c r="A55" s="77" t="s">
        <v>3182</v>
      </c>
      <c r="B55" s="136" t="s">
        <v>5441</v>
      </c>
      <c r="C55" s="72"/>
      <c r="D55" s="125">
        <v>10308207120</v>
      </c>
      <c r="E55" s="125">
        <v>12808829264</v>
      </c>
      <c r="F55" s="125">
        <v>14500153931</v>
      </c>
      <c r="G55" s="247">
        <v>7234383616.8999996</v>
      </c>
      <c r="H55" s="125">
        <v>7124796760</v>
      </c>
      <c r="I55" s="125">
        <v>16500000000</v>
      </c>
      <c r="J55" s="125">
        <v>16500000000</v>
      </c>
      <c r="K55" s="125">
        <v>17304000000</v>
      </c>
      <c r="L55" s="125">
        <v>0</v>
      </c>
      <c r="M55" s="125">
        <v>0</v>
      </c>
      <c r="N55" s="247">
        <v>804000000</v>
      </c>
      <c r="O55" s="247">
        <v>0</v>
      </c>
    </row>
    <row r="56" spans="1:15" s="145" customFormat="1" ht="15.75">
      <c r="A56" s="70"/>
      <c r="B56" s="105"/>
      <c r="C56" s="72"/>
      <c r="D56" s="125">
        <v>0</v>
      </c>
      <c r="E56" s="125">
        <v>0</v>
      </c>
      <c r="F56" s="125">
        <v>0</v>
      </c>
      <c r="G56" s="247">
        <v>0</v>
      </c>
      <c r="H56" s="125">
        <v>0</v>
      </c>
      <c r="I56" s="125">
        <v>0</v>
      </c>
      <c r="J56" s="125">
        <v>0</v>
      </c>
      <c r="K56" s="125">
        <v>0</v>
      </c>
      <c r="L56" s="125">
        <v>0</v>
      </c>
      <c r="M56" s="125">
        <v>0</v>
      </c>
      <c r="N56" s="247">
        <v>0</v>
      </c>
      <c r="O56" s="247">
        <v>0</v>
      </c>
    </row>
    <row r="57" spans="1:15" s="145" customFormat="1" ht="15.75">
      <c r="A57" s="70" t="s">
        <v>3183</v>
      </c>
      <c r="B57" s="105" t="s">
        <v>5442</v>
      </c>
      <c r="C57" s="72"/>
      <c r="D57" s="125">
        <v>0</v>
      </c>
      <c r="E57" s="125">
        <v>0</v>
      </c>
      <c r="F57" s="125">
        <v>0</v>
      </c>
      <c r="G57" s="247">
        <v>0</v>
      </c>
      <c r="H57" s="125">
        <v>0</v>
      </c>
      <c r="I57" s="125">
        <v>0</v>
      </c>
      <c r="J57" s="125">
        <v>0</v>
      </c>
      <c r="K57" s="125">
        <v>0</v>
      </c>
      <c r="L57" s="125">
        <v>0</v>
      </c>
      <c r="M57" s="125">
        <v>0</v>
      </c>
      <c r="N57" s="247">
        <v>0</v>
      </c>
      <c r="O57" s="247">
        <v>0</v>
      </c>
    </row>
    <row r="58" spans="1:15" s="145" customFormat="1" ht="15.75">
      <c r="A58" s="70" t="s">
        <v>3184</v>
      </c>
      <c r="B58" s="105" t="s">
        <v>5443</v>
      </c>
      <c r="C58" s="72" t="s">
        <v>343</v>
      </c>
      <c r="D58" s="125">
        <v>11614100</v>
      </c>
      <c r="E58" s="125">
        <v>13944890</v>
      </c>
      <c r="F58" s="125">
        <v>13464060</v>
      </c>
      <c r="G58" s="247">
        <v>6552470</v>
      </c>
      <c r="H58" s="125">
        <v>7279570</v>
      </c>
      <c r="I58" s="125">
        <v>20000000</v>
      </c>
      <c r="J58" s="125">
        <v>20000000</v>
      </c>
      <c r="K58" s="125">
        <v>20000000</v>
      </c>
      <c r="L58" s="125">
        <v>0</v>
      </c>
      <c r="M58" s="125">
        <v>0</v>
      </c>
      <c r="N58" s="247">
        <v>0</v>
      </c>
      <c r="O58" s="247">
        <v>0</v>
      </c>
    </row>
    <row r="59" spans="1:15" s="145" customFormat="1" ht="31.5">
      <c r="A59" s="70" t="s">
        <v>3185</v>
      </c>
      <c r="B59" s="105" t="s">
        <v>5444</v>
      </c>
      <c r="C59" s="72" t="s">
        <v>344</v>
      </c>
      <c r="D59" s="125">
        <v>2269952</v>
      </c>
      <c r="E59" s="125">
        <v>2042874</v>
      </c>
      <c r="F59" s="125">
        <v>1929231</v>
      </c>
      <c r="G59" s="247">
        <v>0</v>
      </c>
      <c r="H59" s="125">
        <v>0</v>
      </c>
      <c r="I59" s="125">
        <v>2300000</v>
      </c>
      <c r="J59" s="125">
        <v>2300000</v>
      </c>
      <c r="K59" s="125">
        <v>2300000</v>
      </c>
      <c r="L59" s="125">
        <v>0</v>
      </c>
      <c r="M59" s="125">
        <v>0</v>
      </c>
      <c r="N59" s="247">
        <v>0</v>
      </c>
      <c r="O59" s="247">
        <v>0</v>
      </c>
    </row>
    <row r="60" spans="1:15" s="145" customFormat="1" ht="31.5">
      <c r="A60" s="70" t="s">
        <v>3186</v>
      </c>
      <c r="B60" s="105" t="s">
        <v>5445</v>
      </c>
      <c r="C60" s="72" t="s">
        <v>345</v>
      </c>
      <c r="D60" s="125">
        <v>0</v>
      </c>
      <c r="E60" s="125">
        <v>0</v>
      </c>
      <c r="F60" s="125">
        <v>36848702</v>
      </c>
      <c r="G60" s="247">
        <v>0</v>
      </c>
      <c r="H60" s="125">
        <v>0</v>
      </c>
      <c r="I60" s="125">
        <v>20000000</v>
      </c>
      <c r="J60" s="125">
        <v>20000000</v>
      </c>
      <c r="K60" s="125">
        <v>20000000</v>
      </c>
      <c r="L60" s="125">
        <v>0</v>
      </c>
      <c r="M60" s="125">
        <v>0</v>
      </c>
      <c r="N60" s="247">
        <v>0</v>
      </c>
      <c r="O60" s="247">
        <v>0</v>
      </c>
    </row>
    <row r="61" spans="1:15" s="145" customFormat="1" ht="15.75">
      <c r="A61" s="70"/>
      <c r="B61" s="105"/>
      <c r="C61" s="72"/>
      <c r="D61" s="125">
        <v>0</v>
      </c>
      <c r="E61" s="125">
        <v>0</v>
      </c>
      <c r="F61" s="125">
        <v>0</v>
      </c>
      <c r="G61" s="247">
        <v>0</v>
      </c>
      <c r="H61" s="125">
        <v>0</v>
      </c>
      <c r="I61" s="125">
        <v>0</v>
      </c>
      <c r="J61" s="125">
        <v>0</v>
      </c>
      <c r="K61" s="125">
        <v>0</v>
      </c>
      <c r="L61" s="125">
        <v>0</v>
      </c>
      <c r="M61" s="125">
        <v>0</v>
      </c>
      <c r="N61" s="247">
        <v>0</v>
      </c>
      <c r="O61" s="247">
        <v>0</v>
      </c>
    </row>
    <row r="62" spans="1:15" s="145" customFormat="1" ht="15.75">
      <c r="A62" s="77" t="s">
        <v>2387</v>
      </c>
      <c r="B62" s="136" t="s">
        <v>146</v>
      </c>
      <c r="C62" s="72"/>
      <c r="D62" s="125">
        <v>13884052</v>
      </c>
      <c r="E62" s="125">
        <v>15987764</v>
      </c>
      <c r="F62" s="125">
        <v>52241993</v>
      </c>
      <c r="G62" s="247">
        <v>6552470</v>
      </c>
      <c r="H62" s="125">
        <v>7279570</v>
      </c>
      <c r="I62" s="125">
        <v>42300000</v>
      </c>
      <c r="J62" s="125">
        <v>42300000</v>
      </c>
      <c r="K62" s="125">
        <v>42300000</v>
      </c>
      <c r="L62" s="125">
        <v>0</v>
      </c>
      <c r="M62" s="125">
        <v>0</v>
      </c>
      <c r="N62" s="247">
        <v>0</v>
      </c>
      <c r="O62" s="247">
        <v>0</v>
      </c>
    </row>
    <row r="63" spans="1:15" s="145" customFormat="1" ht="15.75">
      <c r="A63" s="70"/>
      <c r="B63" s="105"/>
      <c r="C63" s="72"/>
      <c r="D63" s="125">
        <v>0</v>
      </c>
      <c r="E63" s="125">
        <v>0</v>
      </c>
      <c r="F63" s="125">
        <v>0</v>
      </c>
      <c r="G63" s="247">
        <v>0</v>
      </c>
      <c r="H63" s="125">
        <v>0</v>
      </c>
      <c r="I63" s="125">
        <v>0</v>
      </c>
      <c r="J63" s="125">
        <v>0</v>
      </c>
      <c r="K63" s="125">
        <v>0</v>
      </c>
      <c r="L63" s="125">
        <v>0</v>
      </c>
      <c r="M63" s="125">
        <v>0</v>
      </c>
      <c r="N63" s="247">
        <v>0</v>
      </c>
      <c r="O63" s="247">
        <v>0</v>
      </c>
    </row>
    <row r="64" spans="1:15" s="145" customFormat="1" ht="31.5">
      <c r="A64" s="70" t="s">
        <v>3187</v>
      </c>
      <c r="B64" s="105" t="s">
        <v>5446</v>
      </c>
      <c r="C64" s="72" t="s">
        <v>995</v>
      </c>
      <c r="D64" s="125">
        <v>0</v>
      </c>
      <c r="E64" s="125">
        <v>1399556</v>
      </c>
      <c r="F64" s="125">
        <v>1754405</v>
      </c>
      <c r="G64" s="247">
        <v>1754405</v>
      </c>
      <c r="H64" s="125">
        <v>0</v>
      </c>
      <c r="I64" s="125">
        <v>0</v>
      </c>
      <c r="J64" s="125">
        <v>0</v>
      </c>
      <c r="K64" s="125">
        <v>0</v>
      </c>
      <c r="L64" s="125">
        <v>0</v>
      </c>
      <c r="M64" s="125">
        <v>0</v>
      </c>
      <c r="N64" s="247">
        <v>0</v>
      </c>
      <c r="O64" s="247">
        <v>0</v>
      </c>
    </row>
    <row r="65" spans="1:15" s="145" customFormat="1" ht="15.75">
      <c r="A65" s="70"/>
      <c r="B65" s="105"/>
      <c r="C65" s="72"/>
      <c r="D65" s="125">
        <v>0</v>
      </c>
      <c r="E65" s="125">
        <v>0</v>
      </c>
      <c r="F65" s="125">
        <v>0</v>
      </c>
      <c r="G65" s="247">
        <v>0</v>
      </c>
      <c r="H65" s="125">
        <v>0</v>
      </c>
      <c r="I65" s="125">
        <v>0</v>
      </c>
      <c r="J65" s="125">
        <v>0</v>
      </c>
      <c r="K65" s="125">
        <v>0</v>
      </c>
      <c r="L65" s="125">
        <v>0</v>
      </c>
      <c r="M65" s="125">
        <v>0</v>
      </c>
      <c r="N65" s="247">
        <v>0</v>
      </c>
      <c r="O65" s="247">
        <v>0</v>
      </c>
    </row>
    <row r="66" spans="1:15" s="145" customFormat="1" ht="15.75">
      <c r="A66" s="70" t="s">
        <v>3188</v>
      </c>
      <c r="B66" s="105" t="s">
        <v>5447</v>
      </c>
      <c r="C66" s="72" t="s">
        <v>996</v>
      </c>
      <c r="D66" s="125">
        <v>1343155309</v>
      </c>
      <c r="E66" s="125">
        <v>957978190</v>
      </c>
      <c r="F66" s="125">
        <v>695705904</v>
      </c>
      <c r="G66" s="247">
        <v>248398470.43000001</v>
      </c>
      <c r="H66" s="125">
        <v>434190789</v>
      </c>
      <c r="I66" s="125">
        <v>800000000</v>
      </c>
      <c r="J66" s="125">
        <v>800000000</v>
      </c>
      <c r="K66" s="125">
        <v>900000000</v>
      </c>
      <c r="L66" s="125">
        <v>0</v>
      </c>
      <c r="M66" s="125">
        <v>0</v>
      </c>
      <c r="N66" s="247">
        <v>100000000</v>
      </c>
      <c r="O66" s="247">
        <v>0</v>
      </c>
    </row>
    <row r="67" spans="1:15" s="145" customFormat="1" ht="15.75">
      <c r="A67" s="70" t="s">
        <v>3189</v>
      </c>
      <c r="B67" s="105" t="s">
        <v>5448</v>
      </c>
      <c r="C67" s="72" t="s">
        <v>1296</v>
      </c>
      <c r="D67" s="125">
        <v>15493564</v>
      </c>
      <c r="E67" s="125">
        <v>1257401</v>
      </c>
      <c r="F67" s="125">
        <v>581701</v>
      </c>
      <c r="G67" s="247">
        <v>422161</v>
      </c>
      <c r="H67" s="125">
        <v>479836</v>
      </c>
      <c r="I67" s="125">
        <v>10000000</v>
      </c>
      <c r="J67" s="125">
        <v>10000000</v>
      </c>
      <c r="K67" s="125">
        <v>1000000</v>
      </c>
      <c r="L67" s="125">
        <v>0</v>
      </c>
      <c r="M67" s="125">
        <v>0</v>
      </c>
      <c r="N67" s="247">
        <v>0</v>
      </c>
      <c r="O67" s="247">
        <v>9000000</v>
      </c>
    </row>
    <row r="68" spans="1:15" s="145" customFormat="1" ht="15.75">
      <c r="A68" s="70" t="s">
        <v>3190</v>
      </c>
      <c r="B68" s="105" t="s">
        <v>5449</v>
      </c>
      <c r="C68" s="72" t="s">
        <v>1382</v>
      </c>
      <c r="D68" s="125">
        <v>600000</v>
      </c>
      <c r="E68" s="125">
        <v>0</v>
      </c>
      <c r="F68" s="125">
        <v>250000</v>
      </c>
      <c r="G68" s="247">
        <v>0</v>
      </c>
      <c r="H68" s="125">
        <v>0</v>
      </c>
      <c r="I68" s="125">
        <v>0</v>
      </c>
      <c r="J68" s="125">
        <v>0</v>
      </c>
      <c r="K68" s="125">
        <v>250000</v>
      </c>
      <c r="L68" s="125">
        <v>0</v>
      </c>
      <c r="M68" s="125">
        <v>0</v>
      </c>
      <c r="N68" s="247">
        <v>250000</v>
      </c>
      <c r="O68" s="247">
        <v>0</v>
      </c>
    </row>
    <row r="69" spans="1:15" s="145" customFormat="1" ht="15.75">
      <c r="A69" s="70" t="s">
        <v>3191</v>
      </c>
      <c r="B69" s="105" t="s">
        <v>5450</v>
      </c>
      <c r="C69" s="72" t="s">
        <v>3123</v>
      </c>
      <c r="D69" s="125">
        <v>0</v>
      </c>
      <c r="E69" s="125">
        <v>47380</v>
      </c>
      <c r="F69" s="125">
        <v>7565</v>
      </c>
      <c r="G69" s="247">
        <v>7565</v>
      </c>
      <c r="H69" s="125">
        <v>0</v>
      </c>
      <c r="I69" s="125">
        <v>0</v>
      </c>
      <c r="J69" s="125">
        <v>0</v>
      </c>
      <c r="K69" s="125">
        <v>0</v>
      </c>
      <c r="L69" s="125">
        <v>0</v>
      </c>
      <c r="M69" s="125">
        <v>0</v>
      </c>
      <c r="N69" s="247">
        <v>0</v>
      </c>
      <c r="O69" s="247">
        <v>0</v>
      </c>
    </row>
    <row r="70" spans="1:15" s="145" customFormat="1" ht="15.75">
      <c r="A70" s="70"/>
      <c r="B70" s="105"/>
      <c r="C70" s="72"/>
      <c r="D70" s="125">
        <v>0</v>
      </c>
      <c r="E70" s="125">
        <v>0</v>
      </c>
      <c r="F70" s="125">
        <v>0</v>
      </c>
      <c r="G70" s="247">
        <v>0</v>
      </c>
      <c r="H70" s="125">
        <v>0</v>
      </c>
      <c r="I70" s="125">
        <v>0</v>
      </c>
      <c r="J70" s="125">
        <v>0</v>
      </c>
      <c r="K70" s="125">
        <v>0</v>
      </c>
      <c r="L70" s="125">
        <v>0</v>
      </c>
      <c r="M70" s="125">
        <v>0</v>
      </c>
      <c r="N70" s="247">
        <v>0</v>
      </c>
      <c r="O70" s="247">
        <v>0</v>
      </c>
    </row>
    <row r="71" spans="1:15" s="145" customFormat="1" ht="15.75">
      <c r="A71" s="70" t="s">
        <v>3192</v>
      </c>
      <c r="B71" s="105" t="s">
        <v>5451</v>
      </c>
      <c r="C71" s="72"/>
      <c r="D71" s="125">
        <v>0</v>
      </c>
      <c r="E71" s="125">
        <v>0</v>
      </c>
      <c r="F71" s="125">
        <v>0</v>
      </c>
      <c r="G71" s="247">
        <v>0</v>
      </c>
      <c r="H71" s="125">
        <v>0</v>
      </c>
      <c r="I71" s="125">
        <v>0</v>
      </c>
      <c r="J71" s="125">
        <v>0</v>
      </c>
      <c r="K71" s="125">
        <v>0</v>
      </c>
      <c r="L71" s="125">
        <v>0</v>
      </c>
      <c r="M71" s="125">
        <v>0</v>
      </c>
      <c r="N71" s="247">
        <v>0</v>
      </c>
      <c r="O71" s="247">
        <v>0</v>
      </c>
    </row>
    <row r="72" spans="1:15" s="145" customFormat="1" ht="15.75">
      <c r="A72" s="70" t="s">
        <v>3193</v>
      </c>
      <c r="B72" s="105" t="s">
        <v>5452</v>
      </c>
      <c r="C72" s="72" t="s">
        <v>1022</v>
      </c>
      <c r="D72" s="125">
        <v>410396</v>
      </c>
      <c r="E72" s="125">
        <v>508451</v>
      </c>
      <c r="F72" s="125">
        <v>351589</v>
      </c>
      <c r="G72" s="247">
        <v>186129.39</v>
      </c>
      <c r="H72" s="125">
        <v>136333</v>
      </c>
      <c r="I72" s="125">
        <v>200000</v>
      </c>
      <c r="J72" s="125">
        <v>200000</v>
      </c>
      <c r="K72" s="125">
        <v>200000</v>
      </c>
      <c r="L72" s="125">
        <v>0</v>
      </c>
      <c r="M72" s="125">
        <v>0</v>
      </c>
      <c r="N72" s="247">
        <v>0</v>
      </c>
      <c r="O72" s="247">
        <v>0</v>
      </c>
    </row>
    <row r="73" spans="1:15" s="145" customFormat="1" ht="15.75">
      <c r="A73" s="70" t="s">
        <v>3194</v>
      </c>
      <c r="B73" s="105"/>
      <c r="C73" s="72"/>
      <c r="D73" s="125">
        <v>0</v>
      </c>
      <c r="E73" s="125">
        <v>0</v>
      </c>
      <c r="F73" s="125">
        <v>0</v>
      </c>
      <c r="G73" s="247">
        <v>0</v>
      </c>
      <c r="H73" s="125">
        <v>0</v>
      </c>
      <c r="I73" s="125">
        <v>0</v>
      </c>
      <c r="J73" s="125">
        <v>0</v>
      </c>
      <c r="K73" s="125">
        <v>0</v>
      </c>
      <c r="L73" s="125">
        <v>0</v>
      </c>
      <c r="M73" s="125">
        <v>0</v>
      </c>
      <c r="N73" s="247">
        <v>0</v>
      </c>
      <c r="O73" s="247">
        <v>0</v>
      </c>
    </row>
    <row r="74" spans="1:15" s="145" customFormat="1" ht="15.75">
      <c r="A74" s="70" t="s">
        <v>3195</v>
      </c>
      <c r="B74" s="105" t="s">
        <v>5453</v>
      </c>
      <c r="C74" s="72" t="s">
        <v>1023</v>
      </c>
      <c r="D74" s="125">
        <v>4232401</v>
      </c>
      <c r="E74" s="125">
        <v>3892377</v>
      </c>
      <c r="F74" s="125">
        <v>4258800</v>
      </c>
      <c r="G74" s="247">
        <v>2712256</v>
      </c>
      <c r="H74" s="125">
        <v>1947542</v>
      </c>
      <c r="I74" s="125">
        <v>7500000</v>
      </c>
      <c r="J74" s="125">
        <v>7500000</v>
      </c>
      <c r="K74" s="125">
        <v>7500000</v>
      </c>
      <c r="L74" s="125">
        <v>0</v>
      </c>
      <c r="M74" s="125">
        <v>0</v>
      </c>
      <c r="N74" s="247">
        <v>0</v>
      </c>
      <c r="O74" s="247">
        <v>0</v>
      </c>
    </row>
    <row r="75" spans="1:15" s="145" customFormat="1" ht="15.75">
      <c r="A75" s="70" t="s">
        <v>3196</v>
      </c>
      <c r="B75" s="105" t="s">
        <v>5454</v>
      </c>
      <c r="C75" s="72" t="s">
        <v>1038</v>
      </c>
      <c r="D75" s="125">
        <v>10000</v>
      </c>
      <c r="E75" s="125">
        <v>2585571</v>
      </c>
      <c r="F75" s="125">
        <v>0</v>
      </c>
      <c r="G75" s="247">
        <v>0</v>
      </c>
      <c r="H75" s="125">
        <v>3000</v>
      </c>
      <c r="I75" s="125">
        <v>0</v>
      </c>
      <c r="J75" s="125">
        <v>0</v>
      </c>
      <c r="K75" s="125">
        <v>200000</v>
      </c>
      <c r="L75" s="125">
        <v>0</v>
      </c>
      <c r="M75" s="125">
        <v>0</v>
      </c>
      <c r="N75" s="247">
        <v>200000</v>
      </c>
      <c r="O75" s="247">
        <v>0</v>
      </c>
    </row>
    <row r="76" spans="1:15" s="145" customFormat="1" ht="15.75">
      <c r="A76" s="70" t="s">
        <v>3197</v>
      </c>
      <c r="B76" s="105" t="s">
        <v>5455</v>
      </c>
      <c r="C76" s="72" t="s">
        <v>1049</v>
      </c>
      <c r="D76" s="125">
        <v>298664</v>
      </c>
      <c r="E76" s="125">
        <v>181683</v>
      </c>
      <c r="F76" s="125">
        <v>214772</v>
      </c>
      <c r="G76" s="247">
        <v>83628.5</v>
      </c>
      <c r="H76" s="125">
        <v>98341</v>
      </c>
      <c r="I76" s="125">
        <v>300000</v>
      </c>
      <c r="J76" s="125">
        <v>300000</v>
      </c>
      <c r="K76" s="125">
        <v>300000</v>
      </c>
      <c r="L76" s="125">
        <v>0</v>
      </c>
      <c r="M76" s="125">
        <v>0</v>
      </c>
      <c r="N76" s="247">
        <v>0</v>
      </c>
      <c r="O76" s="247">
        <v>0</v>
      </c>
    </row>
    <row r="77" spans="1:15" s="145" customFormat="1" ht="15.75">
      <c r="A77" s="70" t="s">
        <v>3198</v>
      </c>
      <c r="B77" s="105" t="s">
        <v>5456</v>
      </c>
      <c r="C77" s="72" t="s">
        <v>421</v>
      </c>
      <c r="D77" s="125">
        <v>15311716</v>
      </c>
      <c r="E77" s="125">
        <v>9973908</v>
      </c>
      <c r="F77" s="125">
        <v>29660663</v>
      </c>
      <c r="G77" s="247">
        <v>21522447</v>
      </c>
      <c r="H77" s="125">
        <v>2867700</v>
      </c>
      <c r="I77" s="125">
        <v>20000000</v>
      </c>
      <c r="J77" s="125">
        <v>20000000</v>
      </c>
      <c r="K77" s="125">
        <v>20000000</v>
      </c>
      <c r="L77" s="125">
        <v>0</v>
      </c>
      <c r="M77" s="125">
        <v>0</v>
      </c>
      <c r="N77" s="247">
        <v>0</v>
      </c>
      <c r="O77" s="247">
        <v>0</v>
      </c>
    </row>
    <row r="78" spans="1:15" s="145" customFormat="1" ht="15.75">
      <c r="A78" s="70" t="s">
        <v>3199</v>
      </c>
      <c r="B78" s="105" t="s">
        <v>5457</v>
      </c>
      <c r="C78" s="72" t="s">
        <v>422</v>
      </c>
      <c r="D78" s="125">
        <v>9490191</v>
      </c>
      <c r="E78" s="125">
        <v>4430230</v>
      </c>
      <c r="F78" s="125">
        <v>5970368</v>
      </c>
      <c r="G78" s="247">
        <v>2536607</v>
      </c>
      <c r="H78" s="125">
        <v>812646</v>
      </c>
      <c r="I78" s="125">
        <v>0</v>
      </c>
      <c r="J78" s="125">
        <v>0</v>
      </c>
      <c r="K78" s="125">
        <v>0</v>
      </c>
      <c r="L78" s="125">
        <v>0</v>
      </c>
      <c r="M78" s="125">
        <v>0</v>
      </c>
      <c r="N78" s="247">
        <v>0</v>
      </c>
      <c r="O78" s="247">
        <v>0</v>
      </c>
    </row>
    <row r="79" spans="1:15" s="145" customFormat="1" ht="15.75">
      <c r="A79" s="70" t="s">
        <v>3200</v>
      </c>
      <c r="B79" s="105" t="s">
        <v>5458</v>
      </c>
      <c r="C79" s="72" t="s">
        <v>423</v>
      </c>
      <c r="D79" s="125">
        <v>29847385</v>
      </c>
      <c r="E79" s="125">
        <v>31562036</v>
      </c>
      <c r="F79" s="125">
        <v>73259763</v>
      </c>
      <c r="G79" s="247">
        <v>37259803</v>
      </c>
      <c r="H79" s="125">
        <v>37915911</v>
      </c>
      <c r="I79" s="125">
        <v>60000000</v>
      </c>
      <c r="J79" s="125">
        <v>60000000</v>
      </c>
      <c r="K79" s="125">
        <v>70000000</v>
      </c>
      <c r="L79" s="125">
        <v>0</v>
      </c>
      <c r="M79" s="125">
        <v>0</v>
      </c>
      <c r="N79" s="247">
        <v>10000000</v>
      </c>
      <c r="O79" s="247">
        <v>0</v>
      </c>
    </row>
    <row r="80" spans="1:15" s="145" customFormat="1" ht="15.75">
      <c r="A80" s="70" t="s">
        <v>3201</v>
      </c>
      <c r="B80" s="105" t="s">
        <v>5459</v>
      </c>
      <c r="C80" s="72" t="s">
        <v>1082</v>
      </c>
      <c r="D80" s="125">
        <v>472723044</v>
      </c>
      <c r="E80" s="125">
        <v>281401747</v>
      </c>
      <c r="F80" s="125">
        <v>388434483</v>
      </c>
      <c r="G80" s="247">
        <v>159683657</v>
      </c>
      <c r="H80" s="125">
        <v>174131368</v>
      </c>
      <c r="I80" s="125">
        <v>800000000</v>
      </c>
      <c r="J80" s="125">
        <v>800000000</v>
      </c>
      <c r="K80" s="125">
        <v>1300000000</v>
      </c>
      <c r="L80" s="125">
        <v>0</v>
      </c>
      <c r="M80" s="125">
        <v>0</v>
      </c>
      <c r="N80" s="247">
        <v>500000000</v>
      </c>
      <c r="O80" s="247">
        <v>0</v>
      </c>
    </row>
    <row r="81" spans="1:15" s="145" customFormat="1" ht="15.75">
      <c r="A81" s="70"/>
      <c r="B81" s="105"/>
      <c r="C81" s="72"/>
      <c r="D81" s="125">
        <v>0</v>
      </c>
      <c r="E81" s="125">
        <v>0</v>
      </c>
      <c r="F81" s="125">
        <v>0</v>
      </c>
      <c r="G81" s="247">
        <v>0</v>
      </c>
      <c r="H81" s="125">
        <v>0</v>
      </c>
      <c r="I81" s="125">
        <v>0</v>
      </c>
      <c r="J81" s="125">
        <v>0</v>
      </c>
      <c r="K81" s="125">
        <v>0</v>
      </c>
      <c r="L81" s="125">
        <v>0</v>
      </c>
      <c r="M81" s="125">
        <v>0</v>
      </c>
      <c r="N81" s="247">
        <v>0</v>
      </c>
      <c r="O81" s="247">
        <v>0</v>
      </c>
    </row>
    <row r="82" spans="1:15" s="145" customFormat="1" ht="15.75">
      <c r="A82" s="77" t="s">
        <v>3202</v>
      </c>
      <c r="B82" s="136" t="s">
        <v>146</v>
      </c>
      <c r="C82" s="72"/>
      <c r="D82" s="125">
        <v>531913401</v>
      </c>
      <c r="E82" s="125">
        <v>334027552</v>
      </c>
      <c r="F82" s="125">
        <v>501798849</v>
      </c>
      <c r="G82" s="247">
        <v>223798398.5</v>
      </c>
      <c r="H82" s="125">
        <v>217776508</v>
      </c>
      <c r="I82" s="125">
        <v>887800000</v>
      </c>
      <c r="J82" s="125">
        <v>887800000</v>
      </c>
      <c r="K82" s="125">
        <v>1398000000</v>
      </c>
      <c r="L82" s="125">
        <v>0</v>
      </c>
      <c r="M82" s="125">
        <v>0</v>
      </c>
      <c r="N82" s="247">
        <v>510200000</v>
      </c>
      <c r="O82" s="247">
        <v>0</v>
      </c>
    </row>
    <row r="83" spans="1:15" s="145" customFormat="1" ht="15.75">
      <c r="A83" s="70"/>
      <c r="B83" s="105"/>
      <c r="C83" s="72"/>
      <c r="D83" s="125">
        <v>0</v>
      </c>
      <c r="E83" s="125">
        <v>0</v>
      </c>
      <c r="F83" s="125">
        <v>0</v>
      </c>
      <c r="G83" s="247">
        <v>0</v>
      </c>
      <c r="H83" s="125">
        <v>0</v>
      </c>
      <c r="I83" s="125">
        <v>0</v>
      </c>
      <c r="J83" s="125">
        <v>0</v>
      </c>
      <c r="K83" s="125">
        <v>0</v>
      </c>
      <c r="L83" s="125">
        <v>0</v>
      </c>
      <c r="M83" s="125">
        <v>0</v>
      </c>
      <c r="N83" s="247">
        <v>0</v>
      </c>
      <c r="O83" s="247">
        <v>0</v>
      </c>
    </row>
    <row r="84" spans="1:15" s="145" customFormat="1" ht="15.75">
      <c r="A84" s="70" t="s">
        <v>3203</v>
      </c>
      <c r="B84" s="105" t="s">
        <v>5460</v>
      </c>
      <c r="C84" s="72"/>
      <c r="D84" s="125">
        <v>0</v>
      </c>
      <c r="E84" s="125">
        <v>0</v>
      </c>
      <c r="F84" s="125">
        <v>0</v>
      </c>
      <c r="G84" s="247">
        <v>0</v>
      </c>
      <c r="H84" s="125">
        <v>0</v>
      </c>
      <c r="I84" s="125">
        <v>0</v>
      </c>
      <c r="J84" s="125">
        <v>0</v>
      </c>
      <c r="K84" s="125">
        <v>0</v>
      </c>
      <c r="L84" s="125">
        <v>0</v>
      </c>
      <c r="M84" s="125">
        <v>0</v>
      </c>
      <c r="N84" s="247">
        <v>0</v>
      </c>
      <c r="O84" s="247">
        <v>0</v>
      </c>
    </row>
    <row r="85" spans="1:15" s="145" customFormat="1" ht="15.75">
      <c r="A85" s="70" t="s">
        <v>3204</v>
      </c>
      <c r="B85" s="105" t="s">
        <v>5461</v>
      </c>
      <c r="C85" s="72" t="s">
        <v>566</v>
      </c>
      <c r="D85" s="125">
        <v>7737165</v>
      </c>
      <c r="E85" s="125">
        <v>2344292</v>
      </c>
      <c r="F85" s="125">
        <v>846143</v>
      </c>
      <c r="G85" s="247">
        <v>331604.5</v>
      </c>
      <c r="H85" s="125">
        <v>523486</v>
      </c>
      <c r="I85" s="125">
        <v>1500000</v>
      </c>
      <c r="J85" s="125">
        <v>1500000</v>
      </c>
      <c r="K85" s="125">
        <v>2000000</v>
      </c>
      <c r="L85" s="125">
        <v>0</v>
      </c>
      <c r="M85" s="125">
        <v>0</v>
      </c>
      <c r="N85" s="247">
        <v>500000</v>
      </c>
      <c r="O85" s="247">
        <v>0</v>
      </c>
    </row>
    <row r="86" spans="1:15" s="145" customFormat="1" ht="15.75">
      <c r="A86" s="70" t="s">
        <v>3205</v>
      </c>
      <c r="B86" s="105" t="s">
        <v>5462</v>
      </c>
      <c r="C86" s="72" t="s">
        <v>567</v>
      </c>
      <c r="D86" s="125">
        <v>38349</v>
      </c>
      <c r="E86" s="125">
        <v>120</v>
      </c>
      <c r="F86" s="125">
        <v>0</v>
      </c>
      <c r="G86" s="247">
        <v>0</v>
      </c>
      <c r="H86" s="125">
        <v>0</v>
      </c>
      <c r="I86" s="125">
        <v>45000</v>
      </c>
      <c r="J86" s="125">
        <v>45000</v>
      </c>
      <c r="K86" s="125">
        <v>0</v>
      </c>
      <c r="L86" s="125">
        <v>0</v>
      </c>
      <c r="M86" s="125">
        <v>0</v>
      </c>
      <c r="N86" s="247">
        <v>0</v>
      </c>
      <c r="O86" s="247">
        <v>45000</v>
      </c>
    </row>
    <row r="87" spans="1:15" s="145" customFormat="1" ht="15.75">
      <c r="A87" s="70" t="s">
        <v>10430</v>
      </c>
      <c r="B87" s="105" t="s">
        <v>5463</v>
      </c>
      <c r="C87" s="72" t="s">
        <v>568</v>
      </c>
      <c r="D87" s="125">
        <v>21133</v>
      </c>
      <c r="E87" s="125">
        <v>87431</v>
      </c>
      <c r="F87" s="125">
        <v>27997</v>
      </c>
      <c r="G87" s="247">
        <v>27086</v>
      </c>
      <c r="H87" s="125">
        <v>16386</v>
      </c>
      <c r="I87" s="125">
        <v>3192000</v>
      </c>
      <c r="J87" s="125">
        <v>3192000</v>
      </c>
      <c r="K87" s="125">
        <v>200000</v>
      </c>
      <c r="L87" s="125">
        <v>0</v>
      </c>
      <c r="M87" s="125">
        <v>0</v>
      </c>
      <c r="N87" s="247">
        <v>0</v>
      </c>
      <c r="O87" s="247">
        <v>2992000</v>
      </c>
    </row>
    <row r="88" spans="1:15" s="145" customFormat="1" ht="15.75">
      <c r="A88" s="70" t="s">
        <v>10431</v>
      </c>
      <c r="B88" s="105" t="s">
        <v>5464</v>
      </c>
      <c r="C88" s="72" t="s">
        <v>569</v>
      </c>
      <c r="D88" s="125">
        <v>15981</v>
      </c>
      <c r="E88" s="125">
        <v>597643</v>
      </c>
      <c r="F88" s="125">
        <v>11767</v>
      </c>
      <c r="G88" s="247">
        <v>2960</v>
      </c>
      <c r="H88" s="125">
        <v>18270</v>
      </c>
      <c r="I88" s="125">
        <v>608000</v>
      </c>
      <c r="J88" s="125">
        <v>608000</v>
      </c>
      <c r="K88" s="125">
        <v>15000</v>
      </c>
      <c r="L88" s="125">
        <v>0</v>
      </c>
      <c r="M88" s="125">
        <v>0</v>
      </c>
      <c r="N88" s="247">
        <v>0</v>
      </c>
      <c r="O88" s="247">
        <v>593000</v>
      </c>
    </row>
    <row r="89" spans="1:15" s="145" customFormat="1" ht="15.75">
      <c r="A89" s="70" t="s">
        <v>3206</v>
      </c>
      <c r="B89" s="105" t="s">
        <v>5465</v>
      </c>
      <c r="C89" s="72" t="s">
        <v>857</v>
      </c>
      <c r="D89" s="125">
        <v>740023</v>
      </c>
      <c r="E89" s="125">
        <v>86862</v>
      </c>
      <c r="F89" s="125">
        <v>194460</v>
      </c>
      <c r="G89" s="247">
        <v>8134.5</v>
      </c>
      <c r="H89" s="125">
        <v>14100</v>
      </c>
      <c r="I89" s="125">
        <v>50000</v>
      </c>
      <c r="J89" s="125">
        <v>50000</v>
      </c>
      <c r="K89" s="125">
        <v>100000</v>
      </c>
      <c r="L89" s="125">
        <v>0</v>
      </c>
      <c r="M89" s="125">
        <v>0</v>
      </c>
      <c r="N89" s="247">
        <v>50000</v>
      </c>
      <c r="O89" s="247">
        <v>0</v>
      </c>
    </row>
    <row r="90" spans="1:15" s="145" customFormat="1" ht="15.75">
      <c r="A90" s="70" t="s">
        <v>3207</v>
      </c>
      <c r="B90" s="105" t="s">
        <v>5466</v>
      </c>
      <c r="C90" s="72" t="s">
        <v>858</v>
      </c>
      <c r="D90" s="125">
        <v>0</v>
      </c>
      <c r="E90" s="125">
        <v>2321725</v>
      </c>
      <c r="F90" s="125">
        <v>0</v>
      </c>
      <c r="G90" s="247">
        <v>0</v>
      </c>
      <c r="H90" s="125">
        <v>0</v>
      </c>
      <c r="I90" s="125">
        <v>20000000</v>
      </c>
      <c r="J90" s="125">
        <v>20000000</v>
      </c>
      <c r="K90" s="125">
        <v>20000000</v>
      </c>
      <c r="L90" s="125">
        <v>0</v>
      </c>
      <c r="M90" s="125">
        <v>0</v>
      </c>
      <c r="N90" s="247">
        <v>0</v>
      </c>
      <c r="O90" s="247">
        <v>0</v>
      </c>
    </row>
    <row r="91" spans="1:15" s="145" customFormat="1" ht="15.75">
      <c r="A91" s="70" t="s">
        <v>3419</v>
      </c>
      <c r="B91" s="105" t="s">
        <v>5467</v>
      </c>
      <c r="C91" s="72" t="s">
        <v>859</v>
      </c>
      <c r="D91" s="125">
        <v>1260</v>
      </c>
      <c r="E91" s="125">
        <v>400</v>
      </c>
      <c r="F91" s="125">
        <v>0</v>
      </c>
      <c r="G91" s="247">
        <v>0</v>
      </c>
      <c r="H91" s="125">
        <v>0</v>
      </c>
      <c r="I91" s="125">
        <v>0</v>
      </c>
      <c r="J91" s="125">
        <v>0</v>
      </c>
      <c r="K91" s="125">
        <v>0</v>
      </c>
      <c r="L91" s="125">
        <v>0</v>
      </c>
      <c r="M91" s="125">
        <v>0</v>
      </c>
      <c r="N91" s="247">
        <v>0</v>
      </c>
      <c r="O91" s="247">
        <v>0</v>
      </c>
    </row>
    <row r="92" spans="1:15" s="145" customFormat="1" ht="15.75">
      <c r="A92" s="70" t="s">
        <v>3208</v>
      </c>
      <c r="B92" s="105" t="s">
        <v>5468</v>
      </c>
      <c r="C92" s="72" t="s">
        <v>277</v>
      </c>
      <c r="D92" s="125">
        <v>310</v>
      </c>
      <c r="E92" s="125">
        <v>0</v>
      </c>
      <c r="F92" s="125">
        <v>0</v>
      </c>
      <c r="G92" s="247">
        <v>0</v>
      </c>
      <c r="H92" s="125">
        <v>0</v>
      </c>
      <c r="I92" s="125">
        <v>3000</v>
      </c>
      <c r="J92" s="125">
        <v>3000</v>
      </c>
      <c r="K92" s="125">
        <v>0</v>
      </c>
      <c r="L92" s="125">
        <v>0</v>
      </c>
      <c r="M92" s="125">
        <v>0</v>
      </c>
      <c r="N92" s="247">
        <v>0</v>
      </c>
      <c r="O92" s="247">
        <v>3000</v>
      </c>
    </row>
    <row r="93" spans="1:15" s="145" customFormat="1" ht="15.75">
      <c r="A93" s="70" t="s">
        <v>3209</v>
      </c>
      <c r="B93" s="105" t="s">
        <v>5469</v>
      </c>
      <c r="C93" s="72" t="s">
        <v>278</v>
      </c>
      <c r="D93" s="125">
        <v>10200</v>
      </c>
      <c r="E93" s="125">
        <v>7420</v>
      </c>
      <c r="F93" s="125">
        <v>1200</v>
      </c>
      <c r="G93" s="247">
        <v>600</v>
      </c>
      <c r="H93" s="125">
        <v>300</v>
      </c>
      <c r="I93" s="125">
        <v>0</v>
      </c>
      <c r="J93" s="125">
        <v>0</v>
      </c>
      <c r="K93" s="125">
        <v>1000</v>
      </c>
      <c r="L93" s="125">
        <v>0</v>
      </c>
      <c r="M93" s="125">
        <v>0</v>
      </c>
      <c r="N93" s="247">
        <v>1000</v>
      </c>
      <c r="O93" s="247">
        <v>0</v>
      </c>
    </row>
    <row r="94" spans="1:15" s="145" customFormat="1" ht="15.75">
      <c r="A94" s="70" t="s">
        <v>3210</v>
      </c>
      <c r="B94" s="105" t="s">
        <v>5470</v>
      </c>
      <c r="C94" s="72" t="s">
        <v>839</v>
      </c>
      <c r="D94" s="125">
        <v>91000</v>
      </c>
      <c r="E94" s="125">
        <v>0</v>
      </c>
      <c r="F94" s="125">
        <v>0</v>
      </c>
      <c r="G94" s="247">
        <v>0</v>
      </c>
      <c r="H94" s="125">
        <v>0</v>
      </c>
      <c r="I94" s="125">
        <v>37387845</v>
      </c>
      <c r="J94" s="125">
        <v>37387845</v>
      </c>
      <c r="K94" s="125">
        <v>0</v>
      </c>
      <c r="L94" s="125">
        <v>0</v>
      </c>
      <c r="M94" s="125">
        <v>0</v>
      </c>
      <c r="N94" s="247">
        <v>0</v>
      </c>
      <c r="O94" s="247">
        <v>37387845</v>
      </c>
    </row>
    <row r="95" spans="1:15" s="145" customFormat="1" ht="15.75">
      <c r="A95" s="70" t="s">
        <v>3211</v>
      </c>
      <c r="B95" s="105" t="s">
        <v>5471</v>
      </c>
      <c r="C95" s="72" t="s">
        <v>853</v>
      </c>
      <c r="D95" s="125">
        <v>0</v>
      </c>
      <c r="E95" s="125">
        <v>4941</v>
      </c>
      <c r="F95" s="125">
        <v>7734</v>
      </c>
      <c r="G95" s="247">
        <v>7654</v>
      </c>
      <c r="H95" s="125">
        <v>19608</v>
      </c>
      <c r="I95" s="125">
        <v>0</v>
      </c>
      <c r="J95" s="125">
        <v>0</v>
      </c>
      <c r="K95" s="125">
        <v>0</v>
      </c>
      <c r="L95" s="125">
        <v>0</v>
      </c>
      <c r="M95" s="125">
        <v>0</v>
      </c>
      <c r="N95" s="247">
        <v>0</v>
      </c>
      <c r="O95" s="247">
        <v>0</v>
      </c>
    </row>
    <row r="96" spans="1:15" s="145" customFormat="1" ht="15.75">
      <c r="A96" s="70" t="s">
        <v>3212</v>
      </c>
      <c r="B96" s="105" t="s">
        <v>5472</v>
      </c>
      <c r="C96" s="72" t="s">
        <v>854</v>
      </c>
      <c r="D96" s="125">
        <v>296532</v>
      </c>
      <c r="E96" s="125">
        <v>39483</v>
      </c>
      <c r="F96" s="125">
        <v>367664</v>
      </c>
      <c r="G96" s="247">
        <v>359212</v>
      </c>
      <c r="H96" s="125">
        <v>12045</v>
      </c>
      <c r="I96" s="125">
        <v>0</v>
      </c>
      <c r="J96" s="125">
        <v>0</v>
      </c>
      <c r="K96" s="125">
        <v>0</v>
      </c>
      <c r="L96" s="125">
        <v>0</v>
      </c>
      <c r="M96" s="125">
        <v>0</v>
      </c>
      <c r="N96" s="247">
        <v>0</v>
      </c>
      <c r="O96" s="247">
        <v>0</v>
      </c>
    </row>
    <row r="97" spans="1:15" s="145" customFormat="1" ht="15.75">
      <c r="A97" s="70" t="s">
        <v>3213</v>
      </c>
      <c r="B97" s="105" t="s">
        <v>5473</v>
      </c>
      <c r="C97" s="72" t="s">
        <v>855</v>
      </c>
      <c r="D97" s="125">
        <v>9836400</v>
      </c>
      <c r="E97" s="125">
        <v>3424140</v>
      </c>
      <c r="F97" s="125">
        <v>0</v>
      </c>
      <c r="G97" s="247">
        <v>0</v>
      </c>
      <c r="H97" s="125">
        <v>0</v>
      </c>
      <c r="I97" s="125">
        <v>0</v>
      </c>
      <c r="J97" s="125">
        <v>0</v>
      </c>
      <c r="K97" s="125">
        <v>0</v>
      </c>
      <c r="L97" s="125">
        <v>0</v>
      </c>
      <c r="M97" s="125">
        <v>0</v>
      </c>
      <c r="N97" s="247">
        <v>0</v>
      </c>
      <c r="O97" s="247">
        <v>0</v>
      </c>
    </row>
    <row r="98" spans="1:15" s="145" customFormat="1" ht="15.75">
      <c r="A98" s="70" t="s">
        <v>3214</v>
      </c>
      <c r="B98" s="105" t="s">
        <v>5474</v>
      </c>
      <c r="C98" s="72" t="s">
        <v>179</v>
      </c>
      <c r="D98" s="125">
        <v>725265</v>
      </c>
      <c r="E98" s="125">
        <v>393965</v>
      </c>
      <c r="F98" s="125">
        <v>514666</v>
      </c>
      <c r="G98" s="247">
        <v>314108</v>
      </c>
      <c r="H98" s="125">
        <v>273681</v>
      </c>
      <c r="I98" s="125">
        <v>500000</v>
      </c>
      <c r="J98" s="125">
        <v>500000</v>
      </c>
      <c r="K98" s="125">
        <v>300000</v>
      </c>
      <c r="L98" s="125">
        <v>0</v>
      </c>
      <c r="M98" s="125">
        <v>0</v>
      </c>
      <c r="N98" s="247">
        <v>0</v>
      </c>
      <c r="O98" s="247">
        <v>200000</v>
      </c>
    </row>
    <row r="99" spans="1:15" s="145" customFormat="1" ht="15.75">
      <c r="A99" s="70" t="s">
        <v>3215</v>
      </c>
      <c r="B99" s="105" t="s">
        <v>5475</v>
      </c>
      <c r="C99" s="72" t="s">
        <v>180</v>
      </c>
      <c r="D99" s="125">
        <v>1010569</v>
      </c>
      <c r="E99" s="125">
        <v>947381</v>
      </c>
      <c r="F99" s="125">
        <v>1104031</v>
      </c>
      <c r="G99" s="247">
        <v>548290</v>
      </c>
      <c r="H99" s="125">
        <v>636840</v>
      </c>
      <c r="I99" s="125">
        <v>0</v>
      </c>
      <c r="J99" s="125">
        <v>0</v>
      </c>
      <c r="K99" s="125">
        <v>2500000</v>
      </c>
      <c r="L99" s="125">
        <v>0</v>
      </c>
      <c r="M99" s="125">
        <v>0</v>
      </c>
      <c r="N99" s="247">
        <v>2500000</v>
      </c>
      <c r="O99" s="247">
        <v>0</v>
      </c>
    </row>
    <row r="100" spans="1:15" s="145" customFormat="1" ht="15.75">
      <c r="A100" s="70" t="s">
        <v>3216</v>
      </c>
      <c r="B100" s="105" t="s">
        <v>5476</v>
      </c>
      <c r="C100" s="72" t="s">
        <v>1291</v>
      </c>
      <c r="D100" s="125">
        <v>1374</v>
      </c>
      <c r="E100" s="125">
        <v>3683</v>
      </c>
      <c r="F100" s="125">
        <v>1802</v>
      </c>
      <c r="G100" s="247">
        <v>1802</v>
      </c>
      <c r="H100" s="125">
        <v>0</v>
      </c>
      <c r="I100" s="125">
        <v>0</v>
      </c>
      <c r="J100" s="125">
        <v>0</v>
      </c>
      <c r="K100" s="125">
        <v>0</v>
      </c>
      <c r="L100" s="125">
        <v>0</v>
      </c>
      <c r="M100" s="125">
        <v>0</v>
      </c>
      <c r="N100" s="247">
        <v>0</v>
      </c>
      <c r="O100" s="247">
        <v>0</v>
      </c>
    </row>
    <row r="101" spans="1:15" s="145" customFormat="1" ht="15.75">
      <c r="A101" s="70" t="s">
        <v>3217</v>
      </c>
      <c r="B101" s="105" t="s">
        <v>5477</v>
      </c>
      <c r="C101" s="72" t="s">
        <v>1512</v>
      </c>
      <c r="D101" s="125">
        <v>313441</v>
      </c>
      <c r="E101" s="125">
        <v>365491</v>
      </c>
      <c r="F101" s="125">
        <v>0</v>
      </c>
      <c r="G101" s="247">
        <v>0</v>
      </c>
      <c r="H101" s="125">
        <v>0</v>
      </c>
      <c r="I101" s="125">
        <v>0</v>
      </c>
      <c r="J101" s="125">
        <v>0</v>
      </c>
      <c r="K101" s="125">
        <v>0</v>
      </c>
      <c r="L101" s="125">
        <v>0</v>
      </c>
      <c r="M101" s="125">
        <v>0</v>
      </c>
      <c r="N101" s="247">
        <v>0</v>
      </c>
      <c r="O101" s="247">
        <v>0</v>
      </c>
    </row>
    <row r="102" spans="1:15" s="145" customFormat="1" ht="15.75">
      <c r="A102" s="70"/>
      <c r="B102" s="105"/>
      <c r="C102" s="72"/>
      <c r="D102" s="125">
        <v>0</v>
      </c>
      <c r="E102" s="125">
        <v>0</v>
      </c>
      <c r="F102" s="125">
        <v>0</v>
      </c>
      <c r="G102" s="247">
        <v>0</v>
      </c>
      <c r="H102" s="125">
        <v>0</v>
      </c>
      <c r="I102" s="125">
        <v>0</v>
      </c>
      <c r="J102" s="125">
        <v>0</v>
      </c>
      <c r="K102" s="125">
        <v>0</v>
      </c>
      <c r="L102" s="125">
        <v>0</v>
      </c>
      <c r="M102" s="125">
        <v>0</v>
      </c>
      <c r="N102" s="247">
        <v>0</v>
      </c>
      <c r="O102" s="247">
        <v>0</v>
      </c>
    </row>
    <row r="103" spans="1:15" s="145" customFormat="1" ht="15.75">
      <c r="A103" s="77" t="s">
        <v>3218</v>
      </c>
      <c r="B103" s="136" t="s">
        <v>5478</v>
      </c>
      <c r="C103" s="72"/>
      <c r="D103" s="125">
        <v>20839002</v>
      </c>
      <c r="E103" s="125">
        <v>10624977</v>
      </c>
      <c r="F103" s="125">
        <v>3077464</v>
      </c>
      <c r="G103" s="247">
        <v>1601451</v>
      </c>
      <c r="H103" s="125">
        <v>1514716</v>
      </c>
      <c r="I103" s="125">
        <v>63285845</v>
      </c>
      <c r="J103" s="125">
        <v>63285845</v>
      </c>
      <c r="K103" s="125">
        <v>25116000</v>
      </c>
      <c r="L103" s="125">
        <v>0</v>
      </c>
      <c r="M103" s="125">
        <v>0</v>
      </c>
      <c r="N103" s="247">
        <v>0</v>
      </c>
      <c r="O103" s="247">
        <v>38169845</v>
      </c>
    </row>
    <row r="104" spans="1:15" s="145" customFormat="1" ht="15.75">
      <c r="A104" s="70"/>
      <c r="B104" s="105"/>
      <c r="C104" s="72"/>
      <c r="D104" s="125">
        <v>0</v>
      </c>
      <c r="E104" s="125">
        <v>0</v>
      </c>
      <c r="F104" s="125">
        <v>0</v>
      </c>
      <c r="G104" s="247">
        <v>0</v>
      </c>
      <c r="H104" s="125">
        <v>0</v>
      </c>
      <c r="I104" s="125">
        <v>0</v>
      </c>
      <c r="J104" s="125">
        <v>0</v>
      </c>
      <c r="K104" s="125">
        <v>0</v>
      </c>
      <c r="L104" s="125">
        <v>0</v>
      </c>
      <c r="M104" s="125">
        <v>0</v>
      </c>
      <c r="N104" s="247">
        <v>0</v>
      </c>
      <c r="O104" s="247">
        <v>0</v>
      </c>
    </row>
    <row r="105" spans="1:15" s="145" customFormat="1" ht="15.75">
      <c r="A105" s="77" t="s">
        <v>3219</v>
      </c>
      <c r="B105" s="136" t="s">
        <v>5479</v>
      </c>
      <c r="C105" s="72"/>
      <c r="D105" s="125">
        <v>553162799</v>
      </c>
      <c r="E105" s="125">
        <v>345160980</v>
      </c>
      <c r="F105" s="125">
        <v>505227902</v>
      </c>
      <c r="G105" s="247">
        <v>225585978.88999999</v>
      </c>
      <c r="H105" s="125">
        <v>219427557</v>
      </c>
      <c r="I105" s="125">
        <v>951285845</v>
      </c>
      <c r="J105" s="125">
        <v>951285845</v>
      </c>
      <c r="K105" s="125">
        <v>1423316000</v>
      </c>
      <c r="L105" s="125">
        <v>0</v>
      </c>
      <c r="M105" s="125">
        <v>0</v>
      </c>
      <c r="N105" s="247">
        <v>472030155</v>
      </c>
      <c r="O105" s="247">
        <v>0</v>
      </c>
    </row>
    <row r="106" spans="1:15" s="145" customFormat="1" ht="15.75">
      <c r="A106" s="70"/>
      <c r="B106" s="105"/>
      <c r="C106" s="72"/>
      <c r="D106" s="125">
        <v>0</v>
      </c>
      <c r="E106" s="125">
        <v>0</v>
      </c>
      <c r="F106" s="125">
        <v>0</v>
      </c>
      <c r="G106" s="247">
        <v>0</v>
      </c>
      <c r="H106" s="125">
        <v>0</v>
      </c>
      <c r="I106" s="125">
        <v>0</v>
      </c>
      <c r="J106" s="125">
        <v>0</v>
      </c>
      <c r="K106" s="125">
        <v>0</v>
      </c>
      <c r="L106" s="125">
        <v>0</v>
      </c>
      <c r="M106" s="125">
        <v>0</v>
      </c>
      <c r="N106" s="247">
        <v>0</v>
      </c>
      <c r="O106" s="247">
        <v>0</v>
      </c>
    </row>
    <row r="107" spans="1:15" s="145" customFormat="1" ht="15.75">
      <c r="A107" s="77" t="s">
        <v>3220</v>
      </c>
      <c r="B107" s="136" t="s">
        <v>5480</v>
      </c>
      <c r="C107" s="72"/>
      <c r="D107" s="125">
        <v>14707892456</v>
      </c>
      <c r="E107" s="125">
        <v>16876346365</v>
      </c>
      <c r="F107" s="125">
        <v>19375733467</v>
      </c>
      <c r="G107" s="247">
        <v>9309602490.4300003</v>
      </c>
      <c r="H107" s="125">
        <v>9920745242</v>
      </c>
      <c r="I107" s="125">
        <v>24676085845</v>
      </c>
      <c r="J107" s="125">
        <v>24676085845</v>
      </c>
      <c r="K107" s="125">
        <v>25580866000</v>
      </c>
      <c r="L107" s="125">
        <v>0</v>
      </c>
      <c r="M107" s="125">
        <v>0</v>
      </c>
      <c r="N107" s="247">
        <v>904780155</v>
      </c>
      <c r="O107" s="247">
        <v>0</v>
      </c>
    </row>
    <row r="108" spans="1:15" s="145" customFormat="1" ht="15.75">
      <c r="A108" s="70" t="s">
        <v>2269</v>
      </c>
      <c r="B108" s="105" t="s">
        <v>5481</v>
      </c>
      <c r="C108" s="72"/>
      <c r="D108" s="125">
        <v>0</v>
      </c>
      <c r="E108" s="125">
        <v>0</v>
      </c>
      <c r="F108" s="125">
        <v>0</v>
      </c>
      <c r="G108" s="247">
        <v>0</v>
      </c>
      <c r="H108" s="125">
        <v>0</v>
      </c>
      <c r="I108" s="125">
        <v>0</v>
      </c>
      <c r="J108" s="125">
        <v>0</v>
      </c>
      <c r="K108" s="125">
        <v>0</v>
      </c>
      <c r="L108" s="125">
        <v>0</v>
      </c>
      <c r="M108" s="125">
        <v>0</v>
      </c>
      <c r="N108" s="247">
        <v>0</v>
      </c>
      <c r="O108" s="247">
        <v>0</v>
      </c>
    </row>
    <row r="109" spans="1:15" s="145" customFormat="1" ht="15.75">
      <c r="A109" s="70" t="s">
        <v>3221</v>
      </c>
      <c r="B109" s="105" t="s">
        <v>5482</v>
      </c>
      <c r="C109" s="72" t="s">
        <v>639</v>
      </c>
      <c r="D109" s="125">
        <v>703818000</v>
      </c>
      <c r="E109" s="125">
        <v>597778852</v>
      </c>
      <c r="F109" s="125">
        <v>726963300</v>
      </c>
      <c r="G109" s="247">
        <v>726963300</v>
      </c>
      <c r="H109" s="125">
        <v>0</v>
      </c>
      <c r="I109" s="125">
        <v>700000000</v>
      </c>
      <c r="J109" s="125">
        <v>700000000</v>
      </c>
      <c r="K109" s="125">
        <v>750000000</v>
      </c>
      <c r="L109" s="125">
        <v>0</v>
      </c>
      <c r="M109" s="125">
        <v>0</v>
      </c>
      <c r="N109" s="247">
        <v>50000000</v>
      </c>
      <c r="O109" s="247">
        <v>0</v>
      </c>
    </row>
    <row r="110" spans="1:15" s="145" customFormat="1" ht="15.75">
      <c r="A110" s="70" t="s">
        <v>5261</v>
      </c>
      <c r="B110" s="105" t="s">
        <v>5483</v>
      </c>
      <c r="C110" s="72" t="s">
        <v>1812</v>
      </c>
      <c r="D110" s="125">
        <v>0</v>
      </c>
      <c r="E110" s="125">
        <v>0</v>
      </c>
      <c r="F110" s="125">
        <v>0</v>
      </c>
      <c r="G110" s="247">
        <v>0</v>
      </c>
      <c r="H110" s="125">
        <v>0</v>
      </c>
      <c r="I110" s="125">
        <v>0</v>
      </c>
      <c r="J110" s="125">
        <v>0</v>
      </c>
      <c r="K110" s="125">
        <v>0</v>
      </c>
      <c r="L110" s="125">
        <v>0</v>
      </c>
      <c r="M110" s="125">
        <v>0</v>
      </c>
      <c r="N110" s="247">
        <v>0</v>
      </c>
      <c r="O110" s="247">
        <v>0</v>
      </c>
    </row>
    <row r="111" spans="1:15" s="145" customFormat="1" ht="15.75">
      <c r="A111" s="70" t="s">
        <v>5262</v>
      </c>
      <c r="B111" s="105" t="s">
        <v>5484</v>
      </c>
      <c r="C111" s="72" t="s">
        <v>1813</v>
      </c>
      <c r="D111" s="125">
        <v>0</v>
      </c>
      <c r="E111" s="125">
        <v>0</v>
      </c>
      <c r="F111" s="125">
        <v>1373101</v>
      </c>
      <c r="G111" s="247">
        <v>1373101</v>
      </c>
      <c r="H111" s="125">
        <v>92664</v>
      </c>
      <c r="I111" s="125">
        <v>0</v>
      </c>
      <c r="J111" s="125">
        <v>0</v>
      </c>
      <c r="K111" s="125">
        <v>0</v>
      </c>
      <c r="L111" s="125">
        <v>0</v>
      </c>
      <c r="M111" s="125">
        <v>0</v>
      </c>
      <c r="N111" s="247">
        <v>0</v>
      </c>
      <c r="O111" s="247">
        <v>0</v>
      </c>
    </row>
    <row r="112" spans="1:15" s="145" customFormat="1" ht="15.75">
      <c r="A112" s="70" t="s">
        <v>3222</v>
      </c>
      <c r="B112" s="105" t="s">
        <v>5485</v>
      </c>
      <c r="C112" s="72" t="s">
        <v>1814</v>
      </c>
      <c r="D112" s="125">
        <v>0</v>
      </c>
      <c r="E112" s="125">
        <v>0</v>
      </c>
      <c r="F112" s="125">
        <v>0</v>
      </c>
      <c r="G112" s="247">
        <v>0</v>
      </c>
      <c r="H112" s="125">
        <v>0</v>
      </c>
      <c r="I112" s="125">
        <v>0</v>
      </c>
      <c r="J112" s="125">
        <v>0</v>
      </c>
      <c r="K112" s="125">
        <v>350000</v>
      </c>
      <c r="L112" s="125">
        <v>0</v>
      </c>
      <c r="M112" s="125">
        <v>0</v>
      </c>
      <c r="N112" s="247">
        <v>350000</v>
      </c>
      <c r="O112" s="247">
        <v>0</v>
      </c>
    </row>
    <row r="113" spans="1:15" s="145" customFormat="1" ht="15.75">
      <c r="A113" s="70" t="s">
        <v>3223</v>
      </c>
      <c r="B113" s="105" t="s">
        <v>5486</v>
      </c>
      <c r="C113" s="72" t="s">
        <v>1815</v>
      </c>
      <c r="D113" s="125">
        <v>0</v>
      </c>
      <c r="E113" s="125">
        <v>1415385</v>
      </c>
      <c r="F113" s="125">
        <v>0</v>
      </c>
      <c r="G113" s="247">
        <v>-1236554</v>
      </c>
      <c r="H113" s="125">
        <v>0</v>
      </c>
      <c r="I113" s="125">
        <v>0</v>
      </c>
      <c r="J113" s="125">
        <v>0</v>
      </c>
      <c r="K113" s="125">
        <v>50000</v>
      </c>
      <c r="L113" s="125">
        <v>0</v>
      </c>
      <c r="M113" s="125">
        <v>0</v>
      </c>
      <c r="N113" s="247">
        <v>50000</v>
      </c>
      <c r="O113" s="247">
        <v>0</v>
      </c>
    </row>
    <row r="114" spans="1:15" s="145" customFormat="1" ht="15.75">
      <c r="A114" s="70" t="s">
        <v>3224</v>
      </c>
      <c r="B114" s="105" t="s">
        <v>5487</v>
      </c>
      <c r="C114" s="72" t="s">
        <v>1816</v>
      </c>
      <c r="D114" s="125">
        <v>0</v>
      </c>
      <c r="E114" s="125">
        <v>0</v>
      </c>
      <c r="F114" s="125">
        <v>0</v>
      </c>
      <c r="G114" s="247">
        <v>0</v>
      </c>
      <c r="H114" s="125">
        <v>0</v>
      </c>
      <c r="I114" s="125">
        <v>0</v>
      </c>
      <c r="J114" s="125">
        <v>0</v>
      </c>
      <c r="K114" s="125">
        <v>35000</v>
      </c>
      <c r="L114" s="125">
        <v>0</v>
      </c>
      <c r="M114" s="125">
        <v>0</v>
      </c>
      <c r="N114" s="247">
        <v>35000</v>
      </c>
      <c r="O114" s="247">
        <v>0</v>
      </c>
    </row>
    <row r="115" spans="1:15" s="145" customFormat="1" ht="15.75">
      <c r="A115" s="70" t="s">
        <v>3225</v>
      </c>
      <c r="B115" s="105" t="s">
        <v>5488</v>
      </c>
      <c r="C115" s="72" t="s">
        <v>5263</v>
      </c>
      <c r="D115" s="125">
        <v>0</v>
      </c>
      <c r="E115" s="125">
        <v>0</v>
      </c>
      <c r="F115" s="125">
        <v>0</v>
      </c>
      <c r="G115" s="247">
        <v>0</v>
      </c>
      <c r="H115" s="125">
        <v>0</v>
      </c>
      <c r="I115" s="125">
        <v>0</v>
      </c>
      <c r="J115" s="125">
        <v>0</v>
      </c>
      <c r="K115" s="125">
        <v>450000</v>
      </c>
      <c r="L115" s="125">
        <v>0</v>
      </c>
      <c r="M115" s="125">
        <v>0</v>
      </c>
      <c r="N115" s="247">
        <v>450000</v>
      </c>
      <c r="O115" s="247">
        <v>0</v>
      </c>
    </row>
    <row r="116" spans="1:15" s="145" customFormat="1" ht="15.75">
      <c r="A116" s="70" t="s">
        <v>5260</v>
      </c>
      <c r="B116" s="105" t="s">
        <v>5489</v>
      </c>
      <c r="C116" s="72" t="s">
        <v>5264</v>
      </c>
      <c r="D116" s="125">
        <v>0</v>
      </c>
      <c r="E116" s="125">
        <v>0</v>
      </c>
      <c r="F116" s="125">
        <v>0</v>
      </c>
      <c r="G116" s="247">
        <v>0</v>
      </c>
      <c r="H116" s="125">
        <v>0</v>
      </c>
      <c r="I116" s="125">
        <v>0</v>
      </c>
      <c r="J116" s="125">
        <v>0</v>
      </c>
      <c r="K116" s="125">
        <v>50000</v>
      </c>
      <c r="L116" s="125">
        <v>0</v>
      </c>
      <c r="M116" s="125">
        <v>0</v>
      </c>
      <c r="N116" s="247">
        <v>50000</v>
      </c>
      <c r="O116" s="247">
        <v>0</v>
      </c>
    </row>
    <row r="117" spans="1:15" s="145" customFormat="1" ht="15.75">
      <c r="A117" s="70"/>
      <c r="B117" s="105"/>
      <c r="C117" s="72"/>
      <c r="D117" s="125">
        <v>0</v>
      </c>
      <c r="E117" s="125">
        <v>0</v>
      </c>
      <c r="F117" s="125">
        <v>0</v>
      </c>
      <c r="G117" s="247">
        <v>0</v>
      </c>
      <c r="H117" s="125">
        <v>0</v>
      </c>
      <c r="I117" s="125">
        <v>0</v>
      </c>
      <c r="J117" s="125">
        <v>0</v>
      </c>
      <c r="K117" s="125">
        <v>0</v>
      </c>
      <c r="L117" s="125">
        <v>0</v>
      </c>
      <c r="M117" s="125">
        <v>0</v>
      </c>
      <c r="N117" s="247">
        <v>0</v>
      </c>
      <c r="O117" s="247">
        <v>0</v>
      </c>
    </row>
    <row r="118" spans="1:15" s="145" customFormat="1" ht="15.75">
      <c r="A118" s="77" t="s">
        <v>2321</v>
      </c>
      <c r="B118" s="136" t="s">
        <v>5490</v>
      </c>
      <c r="C118" s="72"/>
      <c r="D118" s="125">
        <v>703818000</v>
      </c>
      <c r="E118" s="125">
        <v>599194237</v>
      </c>
      <c r="F118" s="125">
        <v>728336401</v>
      </c>
      <c r="G118" s="247">
        <v>727099847</v>
      </c>
      <c r="H118" s="125">
        <v>92664</v>
      </c>
      <c r="I118" s="125">
        <v>700000000</v>
      </c>
      <c r="J118" s="125">
        <v>700000000</v>
      </c>
      <c r="K118" s="125">
        <v>750935000</v>
      </c>
      <c r="L118" s="125">
        <v>0</v>
      </c>
      <c r="M118" s="125">
        <v>0</v>
      </c>
      <c r="N118" s="247">
        <v>50935000</v>
      </c>
      <c r="O118" s="247">
        <v>0</v>
      </c>
    </row>
    <row r="119" spans="1:15" s="145" customFormat="1" ht="15.75">
      <c r="A119" s="70"/>
      <c r="B119" s="105"/>
      <c r="C119" s="72"/>
      <c r="D119" s="125">
        <v>0</v>
      </c>
      <c r="E119" s="125">
        <v>0</v>
      </c>
      <c r="F119" s="125">
        <v>0</v>
      </c>
      <c r="G119" s="247">
        <v>0</v>
      </c>
      <c r="H119" s="125">
        <v>0</v>
      </c>
      <c r="I119" s="125">
        <v>0</v>
      </c>
      <c r="J119" s="125">
        <v>0</v>
      </c>
      <c r="K119" s="125">
        <v>0</v>
      </c>
      <c r="L119" s="125">
        <v>0</v>
      </c>
      <c r="M119" s="125">
        <v>0</v>
      </c>
      <c r="N119" s="247">
        <v>0</v>
      </c>
      <c r="O119" s="247">
        <v>0</v>
      </c>
    </row>
    <row r="120" spans="1:15" s="145" customFormat="1" ht="15.75">
      <c r="A120" s="70" t="s">
        <v>2322</v>
      </c>
      <c r="B120" s="105" t="s">
        <v>5491</v>
      </c>
      <c r="C120" s="72"/>
      <c r="D120" s="125">
        <v>0</v>
      </c>
      <c r="E120" s="125">
        <v>0</v>
      </c>
      <c r="F120" s="125">
        <v>0</v>
      </c>
      <c r="G120" s="247">
        <v>0</v>
      </c>
      <c r="H120" s="125">
        <v>0</v>
      </c>
      <c r="I120" s="125">
        <v>0</v>
      </c>
      <c r="J120" s="125">
        <v>0</v>
      </c>
      <c r="K120" s="125">
        <v>0</v>
      </c>
      <c r="L120" s="125">
        <v>0</v>
      </c>
      <c r="M120" s="125">
        <v>0</v>
      </c>
      <c r="N120" s="247">
        <v>0</v>
      </c>
      <c r="O120" s="247">
        <v>0</v>
      </c>
    </row>
    <row r="121" spans="1:15" s="145" customFormat="1" ht="15.75">
      <c r="A121" s="70" t="s">
        <v>3226</v>
      </c>
      <c r="B121" s="105" t="s">
        <v>5492</v>
      </c>
      <c r="C121" s="72" t="s">
        <v>834</v>
      </c>
      <c r="D121" s="125">
        <v>189091</v>
      </c>
      <c r="E121" s="125">
        <v>194764</v>
      </c>
      <c r="F121" s="125">
        <v>182482</v>
      </c>
      <c r="G121" s="247">
        <v>64430</v>
      </c>
      <c r="H121" s="125">
        <v>76214</v>
      </c>
      <c r="I121" s="125">
        <v>40000</v>
      </c>
      <c r="J121" s="125">
        <v>40000</v>
      </c>
      <c r="K121" s="125">
        <v>62000</v>
      </c>
      <c r="L121" s="125">
        <v>0</v>
      </c>
      <c r="M121" s="125">
        <v>0</v>
      </c>
      <c r="N121" s="247">
        <v>22000</v>
      </c>
      <c r="O121" s="247">
        <v>0</v>
      </c>
    </row>
    <row r="122" spans="1:15" s="145" customFormat="1" ht="15.75">
      <c r="A122" s="70" t="s">
        <v>3227</v>
      </c>
      <c r="B122" s="105" t="s">
        <v>5493</v>
      </c>
      <c r="C122" s="72" t="s">
        <v>835</v>
      </c>
      <c r="D122" s="125">
        <v>0</v>
      </c>
      <c r="E122" s="125">
        <v>0</v>
      </c>
      <c r="F122" s="125">
        <v>0</v>
      </c>
      <c r="G122" s="247">
        <v>0</v>
      </c>
      <c r="H122" s="125">
        <v>0</v>
      </c>
      <c r="I122" s="125">
        <v>8000</v>
      </c>
      <c r="J122" s="125">
        <v>8000</v>
      </c>
      <c r="K122" s="125">
        <v>4000</v>
      </c>
      <c r="L122" s="125">
        <v>0</v>
      </c>
      <c r="M122" s="125">
        <v>0</v>
      </c>
      <c r="N122" s="247">
        <v>0</v>
      </c>
      <c r="O122" s="247">
        <v>4000</v>
      </c>
    </row>
    <row r="123" spans="1:15" s="145" customFormat="1" ht="15.75">
      <c r="A123" s="70" t="s">
        <v>3228</v>
      </c>
      <c r="B123" s="105" t="s">
        <v>5494</v>
      </c>
      <c r="C123" s="72" t="s">
        <v>836</v>
      </c>
      <c r="D123" s="125">
        <v>6074</v>
      </c>
      <c r="E123" s="125">
        <v>17445</v>
      </c>
      <c r="F123" s="125">
        <v>6421</v>
      </c>
      <c r="G123" s="247">
        <v>-6820</v>
      </c>
      <c r="H123" s="125">
        <v>26576</v>
      </c>
      <c r="I123" s="125">
        <v>4000</v>
      </c>
      <c r="J123" s="125">
        <v>4000</v>
      </c>
      <c r="K123" s="125">
        <v>4000</v>
      </c>
      <c r="L123" s="125">
        <v>0</v>
      </c>
      <c r="M123" s="125">
        <v>0</v>
      </c>
      <c r="N123" s="247">
        <v>0</v>
      </c>
      <c r="O123" s="247">
        <v>0</v>
      </c>
    </row>
    <row r="124" spans="1:15" s="145" customFormat="1" ht="15.75">
      <c r="A124" s="70" t="s">
        <v>3420</v>
      </c>
      <c r="B124" s="105" t="s">
        <v>5495</v>
      </c>
      <c r="C124" s="72" t="s">
        <v>837</v>
      </c>
      <c r="D124" s="125">
        <v>81519</v>
      </c>
      <c r="E124" s="125">
        <v>77939</v>
      </c>
      <c r="F124" s="125">
        <v>46823</v>
      </c>
      <c r="G124" s="247">
        <v>16709.5</v>
      </c>
      <c r="H124" s="125">
        <v>36475</v>
      </c>
      <c r="I124" s="125">
        <v>30955</v>
      </c>
      <c r="J124" s="125">
        <v>30955</v>
      </c>
      <c r="K124" s="125">
        <v>50000</v>
      </c>
      <c r="L124" s="125">
        <v>0</v>
      </c>
      <c r="M124" s="125">
        <v>0</v>
      </c>
      <c r="N124" s="247">
        <v>19045</v>
      </c>
      <c r="O124" s="247">
        <v>0</v>
      </c>
    </row>
    <row r="125" spans="1:15" s="145" customFormat="1" ht="15.75">
      <c r="A125" s="70" t="s">
        <v>3229</v>
      </c>
      <c r="B125" s="105" t="s">
        <v>5496</v>
      </c>
      <c r="C125" s="72" t="s">
        <v>838</v>
      </c>
      <c r="D125" s="125">
        <v>157648785</v>
      </c>
      <c r="E125" s="125">
        <v>1089746</v>
      </c>
      <c r="F125" s="125">
        <v>180897057</v>
      </c>
      <c r="G125" s="247">
        <v>7747638</v>
      </c>
      <c r="H125" s="125">
        <v>174532783</v>
      </c>
      <c r="I125" s="125">
        <v>240000000</v>
      </c>
      <c r="J125" s="125">
        <v>240000000</v>
      </c>
      <c r="K125" s="125">
        <v>250000000</v>
      </c>
      <c r="L125" s="125">
        <v>0</v>
      </c>
      <c r="M125" s="125">
        <v>0</v>
      </c>
      <c r="N125" s="247">
        <v>10000000</v>
      </c>
      <c r="O125" s="247">
        <v>0</v>
      </c>
    </row>
    <row r="126" spans="1:15" s="145" customFormat="1" ht="15.75">
      <c r="A126" s="70"/>
      <c r="B126" s="105"/>
      <c r="C126" s="72"/>
      <c r="D126" s="125">
        <v>0</v>
      </c>
      <c r="E126" s="125">
        <v>0</v>
      </c>
      <c r="F126" s="125">
        <v>0</v>
      </c>
      <c r="G126" s="247">
        <v>0</v>
      </c>
      <c r="H126" s="125">
        <v>0</v>
      </c>
      <c r="I126" s="125">
        <v>0</v>
      </c>
      <c r="J126" s="125">
        <v>0</v>
      </c>
      <c r="K126" s="125">
        <v>0</v>
      </c>
      <c r="L126" s="125">
        <v>0</v>
      </c>
      <c r="M126" s="125">
        <v>0</v>
      </c>
      <c r="N126" s="247">
        <v>0</v>
      </c>
      <c r="O126" s="247">
        <v>0</v>
      </c>
    </row>
    <row r="127" spans="1:15" s="145" customFormat="1" ht="15.75">
      <c r="A127" s="77" t="s">
        <v>2342</v>
      </c>
      <c r="B127" s="136" t="s">
        <v>5497</v>
      </c>
      <c r="C127" s="72"/>
      <c r="D127" s="125">
        <v>157925469</v>
      </c>
      <c r="E127" s="125">
        <v>1379894</v>
      </c>
      <c r="F127" s="125">
        <v>181132783</v>
      </c>
      <c r="G127" s="247">
        <v>7821957.5</v>
      </c>
      <c r="H127" s="125">
        <v>174672048</v>
      </c>
      <c r="I127" s="125">
        <v>240082955</v>
      </c>
      <c r="J127" s="125">
        <v>240082955</v>
      </c>
      <c r="K127" s="125">
        <v>250120000</v>
      </c>
      <c r="L127" s="125">
        <v>0</v>
      </c>
      <c r="M127" s="125">
        <v>0</v>
      </c>
      <c r="N127" s="247">
        <v>10037045</v>
      </c>
      <c r="O127" s="247">
        <v>0</v>
      </c>
    </row>
    <row r="128" spans="1:15" s="145" customFormat="1" ht="15.75">
      <c r="A128" s="70"/>
      <c r="B128" s="105"/>
      <c r="C128" s="72"/>
      <c r="D128" s="125">
        <v>0</v>
      </c>
      <c r="E128" s="125">
        <v>0</v>
      </c>
      <c r="F128" s="125">
        <v>0</v>
      </c>
      <c r="G128" s="247">
        <v>0</v>
      </c>
      <c r="H128" s="125">
        <v>0</v>
      </c>
      <c r="I128" s="125">
        <v>0</v>
      </c>
      <c r="J128" s="125">
        <v>0</v>
      </c>
      <c r="K128" s="125">
        <v>0</v>
      </c>
      <c r="L128" s="125">
        <v>0</v>
      </c>
      <c r="M128" s="125">
        <v>0</v>
      </c>
      <c r="N128" s="247">
        <v>0</v>
      </c>
      <c r="O128" s="247">
        <v>0</v>
      </c>
    </row>
    <row r="129" spans="1:15" s="145" customFormat="1" ht="15.75">
      <c r="A129" s="70" t="s">
        <v>2343</v>
      </c>
      <c r="B129" s="105" t="s">
        <v>5498</v>
      </c>
      <c r="C129" s="72"/>
      <c r="D129" s="125">
        <v>0</v>
      </c>
      <c r="E129" s="125">
        <v>0</v>
      </c>
      <c r="F129" s="125">
        <v>0</v>
      </c>
      <c r="G129" s="247">
        <v>0</v>
      </c>
      <c r="H129" s="125">
        <v>0</v>
      </c>
      <c r="I129" s="125">
        <v>0</v>
      </c>
      <c r="J129" s="125">
        <v>0</v>
      </c>
      <c r="K129" s="125">
        <v>0</v>
      </c>
      <c r="L129" s="125">
        <v>0</v>
      </c>
      <c r="M129" s="125">
        <v>0</v>
      </c>
      <c r="N129" s="247">
        <v>0</v>
      </c>
      <c r="O129" s="247">
        <v>0</v>
      </c>
    </row>
    <row r="130" spans="1:15" s="145" customFormat="1" ht="15.75">
      <c r="A130" s="70" t="s">
        <v>3230</v>
      </c>
      <c r="B130" s="105" t="s">
        <v>5499</v>
      </c>
      <c r="C130" s="72" t="s">
        <v>812</v>
      </c>
      <c r="D130" s="125">
        <v>55786</v>
      </c>
      <c r="E130" s="125">
        <v>158376</v>
      </c>
      <c r="F130" s="125">
        <v>15344</v>
      </c>
      <c r="G130" s="247">
        <v>1351</v>
      </c>
      <c r="H130" s="125">
        <v>13490</v>
      </c>
      <c r="I130" s="125">
        <v>25000</v>
      </c>
      <c r="J130" s="125">
        <v>25000</v>
      </c>
      <c r="K130" s="125">
        <v>25000</v>
      </c>
      <c r="L130" s="125">
        <v>0</v>
      </c>
      <c r="M130" s="125">
        <v>0</v>
      </c>
      <c r="N130" s="247">
        <v>0</v>
      </c>
      <c r="O130" s="247">
        <v>0</v>
      </c>
    </row>
    <row r="131" spans="1:15" s="145" customFormat="1" ht="15.75">
      <c r="A131" s="70" t="s">
        <v>10432</v>
      </c>
      <c r="B131" s="105" t="s">
        <v>5500</v>
      </c>
      <c r="C131" s="72" t="s">
        <v>395</v>
      </c>
      <c r="D131" s="125">
        <v>0</v>
      </c>
      <c r="E131" s="125">
        <v>15584</v>
      </c>
      <c r="F131" s="125">
        <v>40010</v>
      </c>
      <c r="G131" s="247">
        <v>2505</v>
      </c>
      <c r="H131" s="125">
        <v>151</v>
      </c>
      <c r="I131" s="125">
        <v>25000</v>
      </c>
      <c r="J131" s="125">
        <v>25000</v>
      </c>
      <c r="K131" s="125">
        <v>25000</v>
      </c>
      <c r="L131" s="125">
        <v>0</v>
      </c>
      <c r="M131" s="125">
        <v>0</v>
      </c>
      <c r="N131" s="247">
        <v>0</v>
      </c>
      <c r="O131" s="247">
        <v>0</v>
      </c>
    </row>
    <row r="132" spans="1:15" s="145" customFormat="1" ht="15.75">
      <c r="A132" s="70" t="s">
        <v>3231</v>
      </c>
      <c r="B132" s="105" t="s">
        <v>5501</v>
      </c>
      <c r="C132" s="72" t="s">
        <v>495</v>
      </c>
      <c r="D132" s="125">
        <v>21638766</v>
      </c>
      <c r="E132" s="125">
        <v>21158797</v>
      </c>
      <c r="F132" s="125">
        <v>24505942</v>
      </c>
      <c r="G132" s="247">
        <v>12885631.5</v>
      </c>
      <c r="H132" s="125">
        <v>11847564</v>
      </c>
      <c r="I132" s="125">
        <v>50000000</v>
      </c>
      <c r="J132" s="125">
        <v>50000000</v>
      </c>
      <c r="K132" s="125">
        <v>50000000</v>
      </c>
      <c r="L132" s="125">
        <v>0</v>
      </c>
      <c r="M132" s="125">
        <v>0</v>
      </c>
      <c r="N132" s="247">
        <v>0</v>
      </c>
      <c r="O132" s="247">
        <v>0</v>
      </c>
    </row>
    <row r="133" spans="1:15" s="145" customFormat="1" ht="31.5">
      <c r="A133" s="70" t="s">
        <v>3232</v>
      </c>
      <c r="B133" s="105" t="s">
        <v>5502</v>
      </c>
      <c r="C133" s="72" t="s">
        <v>212</v>
      </c>
      <c r="D133" s="125">
        <v>199218</v>
      </c>
      <c r="E133" s="125">
        <v>203542</v>
      </c>
      <c r="F133" s="125">
        <v>579044</v>
      </c>
      <c r="G133" s="247">
        <v>351266.04000000004</v>
      </c>
      <c r="H133" s="125">
        <v>214000</v>
      </c>
      <c r="I133" s="125">
        <v>100000</v>
      </c>
      <c r="J133" s="125">
        <v>100000</v>
      </c>
      <c r="K133" s="125">
        <v>100000</v>
      </c>
      <c r="L133" s="125">
        <v>0</v>
      </c>
      <c r="M133" s="125">
        <v>0</v>
      </c>
      <c r="N133" s="247">
        <v>0</v>
      </c>
      <c r="O133" s="247">
        <v>0</v>
      </c>
    </row>
    <row r="134" spans="1:15" s="145" customFormat="1" ht="15.75">
      <c r="A134" s="70" t="s">
        <v>3233</v>
      </c>
      <c r="B134" s="105" t="s">
        <v>5503</v>
      </c>
      <c r="C134" s="72" t="s">
        <v>200</v>
      </c>
      <c r="D134" s="125">
        <v>45775000</v>
      </c>
      <c r="E134" s="125">
        <v>0</v>
      </c>
      <c r="F134" s="125">
        <v>47500000</v>
      </c>
      <c r="G134" s="247">
        <v>35000000</v>
      </c>
      <c r="H134" s="125">
        <v>0</v>
      </c>
      <c r="I134" s="125">
        <v>63000000</v>
      </c>
      <c r="J134" s="125">
        <v>63000000</v>
      </c>
      <c r="K134" s="125">
        <v>50000000</v>
      </c>
      <c r="L134" s="125">
        <v>0</v>
      </c>
      <c r="M134" s="125">
        <v>0</v>
      </c>
      <c r="N134" s="247">
        <v>0</v>
      </c>
      <c r="O134" s="247">
        <v>13000000</v>
      </c>
    </row>
    <row r="135" spans="1:15" s="145" customFormat="1" ht="15.75">
      <c r="A135" s="70" t="s">
        <v>3234</v>
      </c>
      <c r="B135" s="105" t="s">
        <v>5504</v>
      </c>
      <c r="C135" s="72" t="s">
        <v>201</v>
      </c>
      <c r="D135" s="125">
        <v>396188</v>
      </c>
      <c r="E135" s="125">
        <v>247843</v>
      </c>
      <c r="F135" s="125">
        <v>426451</v>
      </c>
      <c r="G135" s="247">
        <v>259399</v>
      </c>
      <c r="H135" s="125">
        <v>147346</v>
      </c>
      <c r="I135" s="125">
        <v>0</v>
      </c>
      <c r="J135" s="125">
        <v>0</v>
      </c>
      <c r="K135" s="125">
        <v>0</v>
      </c>
      <c r="L135" s="125">
        <v>0</v>
      </c>
      <c r="M135" s="125">
        <v>0</v>
      </c>
      <c r="N135" s="247">
        <v>0</v>
      </c>
      <c r="O135" s="247">
        <v>0</v>
      </c>
    </row>
    <row r="136" spans="1:15" s="145" customFormat="1" ht="15.75">
      <c r="A136" s="70" t="s">
        <v>3235</v>
      </c>
      <c r="B136" s="105" t="s">
        <v>5505</v>
      </c>
      <c r="C136" s="72" t="s">
        <v>202</v>
      </c>
      <c r="D136" s="125">
        <v>1363852</v>
      </c>
      <c r="E136" s="125">
        <v>1084337</v>
      </c>
      <c r="F136" s="125">
        <v>1014899</v>
      </c>
      <c r="G136" s="247">
        <v>149942.25</v>
      </c>
      <c r="H136" s="125">
        <v>4868890</v>
      </c>
      <c r="I136" s="125">
        <v>0</v>
      </c>
      <c r="J136" s="125">
        <v>0</v>
      </c>
      <c r="K136" s="125">
        <v>0</v>
      </c>
      <c r="L136" s="125">
        <v>0</v>
      </c>
      <c r="M136" s="125">
        <v>0</v>
      </c>
      <c r="N136" s="247">
        <v>0</v>
      </c>
      <c r="O136" s="247">
        <v>0</v>
      </c>
    </row>
    <row r="137" spans="1:15" s="145" customFormat="1" ht="15.75">
      <c r="A137" s="70" t="s">
        <v>3236</v>
      </c>
      <c r="B137" s="105" t="s">
        <v>5506</v>
      </c>
      <c r="C137" s="72" t="s">
        <v>203</v>
      </c>
      <c r="D137" s="125">
        <v>68840</v>
      </c>
      <c r="E137" s="125">
        <v>64520</v>
      </c>
      <c r="F137" s="125">
        <v>32300</v>
      </c>
      <c r="G137" s="247">
        <v>11000</v>
      </c>
      <c r="H137" s="125">
        <v>14300</v>
      </c>
      <c r="I137" s="125">
        <v>100000</v>
      </c>
      <c r="J137" s="125">
        <v>100000</v>
      </c>
      <c r="K137" s="125">
        <v>100000</v>
      </c>
      <c r="L137" s="125">
        <v>0</v>
      </c>
      <c r="M137" s="125">
        <v>0</v>
      </c>
      <c r="N137" s="247">
        <v>0</v>
      </c>
      <c r="O137" s="247">
        <v>0</v>
      </c>
    </row>
    <row r="138" spans="1:15" s="145" customFormat="1" ht="15.75">
      <c r="A138" s="70" t="s">
        <v>3237</v>
      </c>
      <c r="B138" s="105" t="s">
        <v>5507</v>
      </c>
      <c r="C138" s="72" t="s">
        <v>1078</v>
      </c>
      <c r="D138" s="125">
        <v>-166700000</v>
      </c>
      <c r="E138" s="125">
        <v>0</v>
      </c>
      <c r="F138" s="125">
        <v>2480000</v>
      </c>
      <c r="G138" s="247">
        <v>2480000</v>
      </c>
      <c r="H138" s="125">
        <v>0</v>
      </c>
      <c r="I138" s="125">
        <v>0</v>
      </c>
      <c r="J138" s="125">
        <v>0</v>
      </c>
      <c r="K138" s="125">
        <v>0</v>
      </c>
      <c r="L138" s="125">
        <v>0</v>
      </c>
      <c r="M138" s="125">
        <v>0</v>
      </c>
      <c r="N138" s="247">
        <v>0</v>
      </c>
      <c r="O138" s="247">
        <v>0</v>
      </c>
    </row>
    <row r="139" spans="1:15" s="145" customFormat="1" ht="15.75">
      <c r="A139" s="70" t="s">
        <v>3238</v>
      </c>
      <c r="B139" s="105" t="s">
        <v>5508</v>
      </c>
      <c r="C139" s="72" t="s">
        <v>3122</v>
      </c>
      <c r="D139" s="125">
        <v>0</v>
      </c>
      <c r="E139" s="125">
        <v>90000</v>
      </c>
      <c r="F139" s="125">
        <v>530000</v>
      </c>
      <c r="G139" s="247">
        <v>-10000</v>
      </c>
      <c r="H139" s="125">
        <v>390000</v>
      </c>
      <c r="I139" s="125">
        <v>0</v>
      </c>
      <c r="J139" s="125">
        <v>0</v>
      </c>
      <c r="K139" s="125">
        <v>0</v>
      </c>
      <c r="L139" s="125">
        <v>0</v>
      </c>
      <c r="M139" s="125">
        <v>0</v>
      </c>
      <c r="N139" s="247">
        <v>0</v>
      </c>
      <c r="O139" s="247">
        <v>0</v>
      </c>
    </row>
    <row r="140" spans="1:15" s="145" customFormat="1" ht="15.75">
      <c r="A140" s="70"/>
      <c r="B140" s="105"/>
      <c r="C140" s="72"/>
      <c r="D140" s="125">
        <v>0</v>
      </c>
      <c r="E140" s="125">
        <v>0</v>
      </c>
      <c r="F140" s="125">
        <v>0</v>
      </c>
      <c r="G140" s="247">
        <v>0</v>
      </c>
      <c r="H140" s="125">
        <v>0</v>
      </c>
      <c r="I140" s="125">
        <v>0</v>
      </c>
      <c r="J140" s="125">
        <v>0</v>
      </c>
      <c r="K140" s="125">
        <v>0</v>
      </c>
      <c r="L140" s="125">
        <v>0</v>
      </c>
      <c r="M140" s="125">
        <v>0</v>
      </c>
      <c r="N140" s="247">
        <v>0</v>
      </c>
      <c r="O140" s="247">
        <v>0</v>
      </c>
    </row>
    <row r="141" spans="1:15" s="145" customFormat="1" ht="15.75">
      <c r="A141" s="77" t="s">
        <v>2379</v>
      </c>
      <c r="B141" s="136" t="s">
        <v>5509</v>
      </c>
      <c r="C141" s="72"/>
      <c r="D141" s="125">
        <v>-97202350</v>
      </c>
      <c r="E141" s="125">
        <v>23022999</v>
      </c>
      <c r="F141" s="125">
        <v>77123990</v>
      </c>
      <c r="G141" s="247">
        <v>51131094.789999999</v>
      </c>
      <c r="H141" s="125">
        <v>17495741</v>
      </c>
      <c r="I141" s="125">
        <v>113250000</v>
      </c>
      <c r="J141" s="125">
        <v>113250000</v>
      </c>
      <c r="K141" s="125">
        <v>100250000</v>
      </c>
      <c r="L141" s="125">
        <v>0</v>
      </c>
      <c r="M141" s="125">
        <v>0</v>
      </c>
      <c r="N141" s="247">
        <v>0</v>
      </c>
      <c r="O141" s="247">
        <v>13000000</v>
      </c>
    </row>
    <row r="142" spans="1:15" s="145" customFormat="1" ht="15.75">
      <c r="A142" s="70"/>
      <c r="B142" s="105"/>
      <c r="C142" s="72"/>
      <c r="D142" s="125">
        <v>0</v>
      </c>
      <c r="E142" s="125">
        <v>0</v>
      </c>
      <c r="F142" s="125">
        <v>0</v>
      </c>
      <c r="G142" s="247">
        <v>0</v>
      </c>
      <c r="H142" s="125">
        <v>0</v>
      </c>
      <c r="I142" s="125">
        <v>0</v>
      </c>
      <c r="J142" s="125">
        <v>0</v>
      </c>
      <c r="K142" s="125">
        <v>0</v>
      </c>
      <c r="L142" s="125">
        <v>0</v>
      </c>
      <c r="M142" s="125">
        <v>0</v>
      </c>
      <c r="N142" s="247">
        <v>0</v>
      </c>
      <c r="O142" s="247">
        <v>0</v>
      </c>
    </row>
    <row r="143" spans="1:15" s="145" customFormat="1" ht="15.75">
      <c r="A143" s="70" t="s">
        <v>2380</v>
      </c>
      <c r="B143" s="105" t="s">
        <v>5510</v>
      </c>
      <c r="C143" s="72"/>
      <c r="D143" s="125">
        <v>0</v>
      </c>
      <c r="E143" s="125">
        <v>0</v>
      </c>
      <c r="F143" s="125">
        <v>0</v>
      </c>
      <c r="G143" s="247">
        <v>0</v>
      </c>
      <c r="H143" s="125">
        <v>0</v>
      </c>
      <c r="I143" s="125">
        <v>0</v>
      </c>
      <c r="J143" s="125">
        <v>0</v>
      </c>
      <c r="K143" s="125">
        <v>0</v>
      </c>
      <c r="L143" s="125">
        <v>0</v>
      </c>
      <c r="M143" s="125">
        <v>0</v>
      </c>
      <c r="N143" s="247">
        <v>0</v>
      </c>
      <c r="O143" s="247">
        <v>0</v>
      </c>
    </row>
    <row r="144" spans="1:15" s="145" customFormat="1" ht="31.5">
      <c r="A144" s="70" t="s">
        <v>3239</v>
      </c>
      <c r="B144" s="105" t="s">
        <v>5511</v>
      </c>
      <c r="C144" s="72" t="s">
        <v>74</v>
      </c>
      <c r="D144" s="125">
        <v>0</v>
      </c>
      <c r="E144" s="125">
        <v>0</v>
      </c>
      <c r="F144" s="125">
        <v>0</v>
      </c>
      <c r="G144" s="247">
        <v>0</v>
      </c>
      <c r="H144" s="125">
        <v>15924521</v>
      </c>
      <c r="I144" s="125">
        <v>1000000</v>
      </c>
      <c r="J144" s="125">
        <v>1000000</v>
      </c>
      <c r="K144" s="125">
        <v>1000000</v>
      </c>
      <c r="L144" s="125">
        <v>0</v>
      </c>
      <c r="M144" s="125">
        <v>0</v>
      </c>
      <c r="N144" s="247">
        <v>0</v>
      </c>
      <c r="O144" s="247">
        <v>0</v>
      </c>
    </row>
    <row r="145" spans="1:15" s="145" customFormat="1" ht="15.75">
      <c r="A145" s="70" t="s">
        <v>3240</v>
      </c>
      <c r="B145" s="105" t="s">
        <v>5512</v>
      </c>
      <c r="C145" s="72" t="s">
        <v>75</v>
      </c>
      <c r="D145" s="125">
        <v>800</v>
      </c>
      <c r="E145" s="125">
        <v>400</v>
      </c>
      <c r="F145" s="125">
        <v>0</v>
      </c>
      <c r="G145" s="247">
        <v>-5100</v>
      </c>
      <c r="H145" s="125">
        <v>0</v>
      </c>
      <c r="I145" s="125">
        <v>0</v>
      </c>
      <c r="J145" s="125">
        <v>0</v>
      </c>
      <c r="K145" s="125">
        <v>0</v>
      </c>
      <c r="L145" s="125">
        <v>0</v>
      </c>
      <c r="M145" s="125">
        <v>0</v>
      </c>
      <c r="N145" s="247">
        <v>0</v>
      </c>
      <c r="O145" s="247">
        <v>0</v>
      </c>
    </row>
    <row r="146" spans="1:15" s="145" customFormat="1" ht="15.75">
      <c r="A146" s="70" t="s">
        <v>3241</v>
      </c>
      <c r="B146" s="105" t="s">
        <v>5513</v>
      </c>
      <c r="C146" s="72" t="s">
        <v>76</v>
      </c>
      <c r="D146" s="125">
        <v>8107</v>
      </c>
      <c r="E146" s="125">
        <v>4801</v>
      </c>
      <c r="F146" s="125">
        <v>702297</v>
      </c>
      <c r="G146" s="247">
        <v>0</v>
      </c>
      <c r="H146" s="125">
        <v>2331</v>
      </c>
      <c r="I146" s="125">
        <v>0</v>
      </c>
      <c r="J146" s="125">
        <v>0</v>
      </c>
      <c r="K146" s="125">
        <v>0</v>
      </c>
      <c r="L146" s="125">
        <v>0</v>
      </c>
      <c r="M146" s="125">
        <v>0</v>
      </c>
      <c r="N146" s="247">
        <v>0</v>
      </c>
      <c r="O146" s="247">
        <v>0</v>
      </c>
    </row>
    <row r="147" spans="1:15" s="145" customFormat="1" ht="15.75">
      <c r="A147" s="70" t="s">
        <v>3421</v>
      </c>
      <c r="B147" s="105" t="s">
        <v>5514</v>
      </c>
      <c r="C147" s="72" t="s">
        <v>459</v>
      </c>
      <c r="D147" s="125">
        <v>8763810</v>
      </c>
      <c r="E147" s="125">
        <v>15651482</v>
      </c>
      <c r="F147" s="125">
        <v>13345095</v>
      </c>
      <c r="G147" s="247">
        <v>8801976</v>
      </c>
      <c r="H147" s="125">
        <v>9151343</v>
      </c>
      <c r="I147" s="125">
        <v>600000</v>
      </c>
      <c r="J147" s="125">
        <v>600000</v>
      </c>
      <c r="K147" s="125">
        <v>600000</v>
      </c>
      <c r="L147" s="125">
        <v>0</v>
      </c>
      <c r="M147" s="125">
        <v>0</v>
      </c>
      <c r="N147" s="247">
        <v>0</v>
      </c>
      <c r="O147" s="247">
        <v>0</v>
      </c>
    </row>
    <row r="148" spans="1:15" s="145" customFormat="1" ht="15.75">
      <c r="A148" s="70" t="s">
        <v>3242</v>
      </c>
      <c r="B148" s="105" t="s">
        <v>5515</v>
      </c>
      <c r="C148" s="72" t="s">
        <v>486</v>
      </c>
      <c r="D148" s="125">
        <v>265273</v>
      </c>
      <c r="E148" s="125">
        <v>183460</v>
      </c>
      <c r="F148" s="125">
        <v>317020</v>
      </c>
      <c r="G148" s="247">
        <v>177390</v>
      </c>
      <c r="H148" s="125">
        <v>62375</v>
      </c>
      <c r="I148" s="125">
        <v>400000</v>
      </c>
      <c r="J148" s="125">
        <v>400000</v>
      </c>
      <c r="K148" s="125">
        <v>400000</v>
      </c>
      <c r="L148" s="125">
        <v>0</v>
      </c>
      <c r="M148" s="125">
        <v>0</v>
      </c>
      <c r="N148" s="247">
        <v>0</v>
      </c>
      <c r="O148" s="247">
        <v>0</v>
      </c>
    </row>
    <row r="149" spans="1:15" s="145" customFormat="1" ht="15.75">
      <c r="A149" s="70" t="s">
        <v>3243</v>
      </c>
      <c r="B149" s="105" t="s">
        <v>5516</v>
      </c>
      <c r="C149" s="72" t="s">
        <v>221</v>
      </c>
      <c r="D149" s="125">
        <v>0</v>
      </c>
      <c r="E149" s="125">
        <v>2512710</v>
      </c>
      <c r="F149" s="125">
        <v>558096</v>
      </c>
      <c r="G149" s="247">
        <v>0</v>
      </c>
      <c r="H149" s="125">
        <v>0</v>
      </c>
      <c r="I149" s="125">
        <v>7500000</v>
      </c>
      <c r="J149" s="125">
        <v>7500000</v>
      </c>
      <c r="K149" s="125">
        <v>7500000</v>
      </c>
      <c r="L149" s="125">
        <v>0</v>
      </c>
      <c r="M149" s="125">
        <v>0</v>
      </c>
      <c r="N149" s="247">
        <v>0</v>
      </c>
      <c r="O149" s="247">
        <v>0</v>
      </c>
    </row>
    <row r="150" spans="1:15" s="145" customFormat="1" ht="15.75">
      <c r="A150" s="70" t="s">
        <v>3244</v>
      </c>
      <c r="B150" s="105" t="s">
        <v>5517</v>
      </c>
      <c r="C150" s="72" t="s">
        <v>684</v>
      </c>
      <c r="D150" s="125">
        <v>0</v>
      </c>
      <c r="E150" s="125">
        <v>0</v>
      </c>
      <c r="F150" s="125">
        <v>0</v>
      </c>
      <c r="G150" s="247">
        <v>0</v>
      </c>
      <c r="H150" s="125">
        <v>0</v>
      </c>
      <c r="I150" s="125">
        <v>150000</v>
      </c>
      <c r="J150" s="125">
        <v>150000</v>
      </c>
      <c r="K150" s="125">
        <v>200000</v>
      </c>
      <c r="L150" s="125">
        <v>0</v>
      </c>
      <c r="M150" s="125">
        <v>0</v>
      </c>
      <c r="N150" s="247">
        <v>50000</v>
      </c>
      <c r="O150" s="247">
        <v>0</v>
      </c>
    </row>
    <row r="151" spans="1:15" s="145" customFormat="1" ht="15.75">
      <c r="A151" s="70" t="s">
        <v>3245</v>
      </c>
      <c r="B151" s="105" t="s">
        <v>5518</v>
      </c>
      <c r="C151" s="72" t="s">
        <v>685</v>
      </c>
      <c r="D151" s="125">
        <v>555798</v>
      </c>
      <c r="E151" s="125">
        <v>21300</v>
      </c>
      <c r="F151" s="125">
        <v>134448</v>
      </c>
      <c r="G151" s="247">
        <v>110953</v>
      </c>
      <c r="H151" s="125">
        <v>26346</v>
      </c>
      <c r="I151" s="125">
        <v>50000</v>
      </c>
      <c r="J151" s="125">
        <v>50000</v>
      </c>
      <c r="K151" s="125">
        <v>50000</v>
      </c>
      <c r="L151" s="125">
        <v>0</v>
      </c>
      <c r="M151" s="125">
        <v>0</v>
      </c>
      <c r="N151" s="247">
        <v>0</v>
      </c>
      <c r="O151" s="247">
        <v>0</v>
      </c>
    </row>
    <row r="152" spans="1:15" s="145" customFormat="1" ht="15.75">
      <c r="A152" s="70" t="s">
        <v>3246</v>
      </c>
      <c r="B152" s="105" t="s">
        <v>5519</v>
      </c>
      <c r="C152" s="72" t="s">
        <v>852</v>
      </c>
      <c r="D152" s="125">
        <v>3707838</v>
      </c>
      <c r="E152" s="125">
        <v>3028415</v>
      </c>
      <c r="F152" s="125">
        <v>3315422</v>
      </c>
      <c r="G152" s="247">
        <v>1811818</v>
      </c>
      <c r="H152" s="125">
        <v>1595288</v>
      </c>
      <c r="I152" s="125">
        <v>9000000</v>
      </c>
      <c r="J152" s="125">
        <v>9000000</v>
      </c>
      <c r="K152" s="125">
        <v>9000000</v>
      </c>
      <c r="L152" s="125">
        <v>0</v>
      </c>
      <c r="M152" s="125">
        <v>0</v>
      </c>
      <c r="N152" s="247">
        <v>0</v>
      </c>
      <c r="O152" s="247">
        <v>0</v>
      </c>
    </row>
    <row r="153" spans="1:15" s="145" customFormat="1" ht="15.75">
      <c r="A153" s="70" t="s">
        <v>3422</v>
      </c>
      <c r="B153" s="105" t="s">
        <v>5520</v>
      </c>
      <c r="C153" s="72" t="s">
        <v>364</v>
      </c>
      <c r="D153" s="125">
        <v>144768</v>
      </c>
      <c r="E153" s="125">
        <v>116943</v>
      </c>
      <c r="F153" s="125">
        <v>102200</v>
      </c>
      <c r="G153" s="247">
        <v>33300</v>
      </c>
      <c r="H153" s="125">
        <v>26339</v>
      </c>
      <c r="I153" s="125">
        <v>200000</v>
      </c>
      <c r="J153" s="125">
        <v>200000</v>
      </c>
      <c r="K153" s="125">
        <v>200000</v>
      </c>
      <c r="L153" s="125">
        <v>0</v>
      </c>
      <c r="M153" s="125">
        <v>0</v>
      </c>
      <c r="N153" s="247">
        <v>0</v>
      </c>
      <c r="O153" s="247">
        <v>0</v>
      </c>
    </row>
    <row r="154" spans="1:15" s="145" customFormat="1" ht="15.75">
      <c r="A154" s="70" t="s">
        <v>3247</v>
      </c>
      <c r="B154" s="105" t="s">
        <v>5521</v>
      </c>
      <c r="C154" s="72" t="s">
        <v>1037</v>
      </c>
      <c r="D154" s="125">
        <v>1534168</v>
      </c>
      <c r="E154" s="125">
        <v>1577770</v>
      </c>
      <c r="F154" s="125">
        <v>1842142</v>
      </c>
      <c r="G154" s="247">
        <v>832322</v>
      </c>
      <c r="H154" s="125">
        <v>836704</v>
      </c>
      <c r="I154" s="125">
        <v>1500000</v>
      </c>
      <c r="J154" s="125">
        <v>1500000</v>
      </c>
      <c r="K154" s="125">
        <v>2500000</v>
      </c>
      <c r="L154" s="125">
        <v>0</v>
      </c>
      <c r="M154" s="125">
        <v>0</v>
      </c>
      <c r="N154" s="247">
        <v>1000000</v>
      </c>
      <c r="O154" s="247">
        <v>0</v>
      </c>
    </row>
    <row r="155" spans="1:15" s="145" customFormat="1" ht="15.75">
      <c r="A155" s="70" t="s">
        <v>3248</v>
      </c>
      <c r="B155" s="105" t="s">
        <v>5522</v>
      </c>
      <c r="C155" s="72" t="s">
        <v>3</v>
      </c>
      <c r="D155" s="125">
        <v>0</v>
      </c>
      <c r="E155" s="125">
        <v>0</v>
      </c>
      <c r="F155" s="125">
        <v>0</v>
      </c>
      <c r="G155" s="247">
        <v>0</v>
      </c>
      <c r="H155" s="125">
        <v>0</v>
      </c>
      <c r="I155" s="125">
        <v>8500000</v>
      </c>
      <c r="J155" s="125">
        <v>8500000</v>
      </c>
      <c r="K155" s="125">
        <v>8500000</v>
      </c>
      <c r="L155" s="125">
        <v>0</v>
      </c>
      <c r="M155" s="125">
        <v>0</v>
      </c>
      <c r="N155" s="247">
        <v>0</v>
      </c>
      <c r="O155" s="247">
        <v>0</v>
      </c>
    </row>
    <row r="156" spans="1:15" s="145" customFormat="1" ht="15.75">
      <c r="A156" s="70" t="s">
        <v>3249</v>
      </c>
      <c r="B156" s="105" t="s">
        <v>5523</v>
      </c>
      <c r="C156" s="72" t="s">
        <v>1321</v>
      </c>
      <c r="D156" s="125">
        <v>0</v>
      </c>
      <c r="E156" s="125">
        <v>0</v>
      </c>
      <c r="F156" s="125">
        <v>0</v>
      </c>
      <c r="G156" s="247">
        <v>0</v>
      </c>
      <c r="H156" s="125">
        <v>0</v>
      </c>
      <c r="I156" s="125">
        <v>500000</v>
      </c>
      <c r="J156" s="125">
        <v>500000</v>
      </c>
      <c r="K156" s="125">
        <v>500000</v>
      </c>
      <c r="L156" s="125">
        <v>0</v>
      </c>
      <c r="M156" s="125">
        <v>0</v>
      </c>
      <c r="N156" s="247">
        <v>0</v>
      </c>
      <c r="O156" s="247">
        <v>0</v>
      </c>
    </row>
    <row r="157" spans="1:15" s="145" customFormat="1" ht="15.75">
      <c r="A157" s="70"/>
      <c r="B157" s="105"/>
      <c r="C157" s="72"/>
      <c r="D157" s="125">
        <v>0</v>
      </c>
      <c r="E157" s="125">
        <v>0</v>
      </c>
      <c r="F157" s="125">
        <v>0</v>
      </c>
      <c r="G157" s="247">
        <v>0</v>
      </c>
      <c r="H157" s="125">
        <v>0</v>
      </c>
      <c r="I157" s="125">
        <v>0</v>
      </c>
      <c r="J157" s="125">
        <v>0</v>
      </c>
      <c r="K157" s="125">
        <v>0</v>
      </c>
      <c r="L157" s="125">
        <v>0</v>
      </c>
      <c r="M157" s="125">
        <v>0</v>
      </c>
      <c r="N157" s="247">
        <v>0</v>
      </c>
      <c r="O157" s="247">
        <v>0</v>
      </c>
    </row>
    <row r="158" spans="1:15" s="145" customFormat="1" ht="15.75">
      <c r="A158" s="77" t="s">
        <v>2390</v>
      </c>
      <c r="B158" s="136" t="s">
        <v>5524</v>
      </c>
      <c r="C158" s="72"/>
      <c r="D158" s="125">
        <v>14980562</v>
      </c>
      <c r="E158" s="125">
        <v>23097281</v>
      </c>
      <c r="F158" s="125">
        <v>20316720</v>
      </c>
      <c r="G158" s="247">
        <v>11762659</v>
      </c>
      <c r="H158" s="125">
        <v>27625247</v>
      </c>
      <c r="I158" s="125">
        <v>29400000</v>
      </c>
      <c r="J158" s="125">
        <v>29400000</v>
      </c>
      <c r="K158" s="125">
        <v>30450000</v>
      </c>
      <c r="L158" s="125">
        <v>0</v>
      </c>
      <c r="M158" s="125">
        <v>0</v>
      </c>
      <c r="N158" s="247">
        <v>1050000</v>
      </c>
      <c r="O158" s="247">
        <v>0</v>
      </c>
    </row>
    <row r="159" spans="1:15" s="145" customFormat="1" ht="15.75">
      <c r="A159" s="70"/>
      <c r="B159" s="105"/>
      <c r="C159" s="72"/>
      <c r="D159" s="125">
        <v>0</v>
      </c>
      <c r="E159" s="125">
        <v>0</v>
      </c>
      <c r="F159" s="125">
        <v>0</v>
      </c>
      <c r="G159" s="247">
        <v>0</v>
      </c>
      <c r="H159" s="125">
        <v>0</v>
      </c>
      <c r="I159" s="125">
        <v>0</v>
      </c>
      <c r="J159" s="125">
        <v>0</v>
      </c>
      <c r="K159" s="125">
        <v>0</v>
      </c>
      <c r="L159" s="125">
        <v>0</v>
      </c>
      <c r="M159" s="125">
        <v>0</v>
      </c>
      <c r="N159" s="247">
        <v>0</v>
      </c>
      <c r="O159" s="247">
        <v>0</v>
      </c>
    </row>
    <row r="160" spans="1:15" s="145" customFormat="1" ht="15.75">
      <c r="A160" s="70" t="s">
        <v>4299</v>
      </c>
      <c r="B160" s="105" t="s">
        <v>5525</v>
      </c>
      <c r="C160" s="72"/>
      <c r="D160" s="125">
        <v>0</v>
      </c>
      <c r="E160" s="125">
        <v>0</v>
      </c>
      <c r="F160" s="125">
        <v>0</v>
      </c>
      <c r="G160" s="247">
        <v>0</v>
      </c>
      <c r="H160" s="125">
        <v>0</v>
      </c>
      <c r="I160" s="125">
        <v>0</v>
      </c>
      <c r="J160" s="125">
        <v>0</v>
      </c>
      <c r="K160" s="125">
        <v>0</v>
      </c>
      <c r="L160" s="125">
        <v>0</v>
      </c>
      <c r="M160" s="125">
        <v>0</v>
      </c>
      <c r="N160" s="247">
        <v>0</v>
      </c>
      <c r="O160" s="247">
        <v>0</v>
      </c>
    </row>
    <row r="161" spans="1:15" s="145" customFormat="1" ht="15.75">
      <c r="A161" s="70" t="s">
        <v>3250</v>
      </c>
      <c r="B161" s="105" t="s">
        <v>5526</v>
      </c>
      <c r="C161" s="72" t="s">
        <v>365</v>
      </c>
      <c r="D161" s="125">
        <v>16500</v>
      </c>
      <c r="E161" s="125">
        <v>0</v>
      </c>
      <c r="F161" s="125">
        <v>0</v>
      </c>
      <c r="G161" s="247">
        <v>0</v>
      </c>
      <c r="H161" s="125">
        <v>14000</v>
      </c>
      <c r="I161" s="125">
        <v>10000</v>
      </c>
      <c r="J161" s="125">
        <v>10000</v>
      </c>
      <c r="K161" s="125">
        <v>10000</v>
      </c>
      <c r="L161" s="125">
        <v>0</v>
      </c>
      <c r="M161" s="125">
        <v>0</v>
      </c>
      <c r="N161" s="247">
        <v>0</v>
      </c>
      <c r="O161" s="247">
        <v>0</v>
      </c>
    </row>
    <row r="162" spans="1:15" s="145" customFormat="1" ht="15.75">
      <c r="A162" s="70" t="s">
        <v>3251</v>
      </c>
      <c r="B162" s="105" t="s">
        <v>5527</v>
      </c>
      <c r="C162" s="72" t="s">
        <v>366</v>
      </c>
      <c r="D162" s="125">
        <v>10473065</v>
      </c>
      <c r="E162" s="125">
        <v>10626676</v>
      </c>
      <c r="F162" s="125">
        <v>10421907</v>
      </c>
      <c r="G162" s="247">
        <v>5523362</v>
      </c>
      <c r="H162" s="125">
        <v>6165130</v>
      </c>
      <c r="I162" s="125">
        <v>13000000</v>
      </c>
      <c r="J162" s="125">
        <v>13000000</v>
      </c>
      <c r="K162" s="125">
        <v>13000000</v>
      </c>
      <c r="L162" s="125">
        <v>0</v>
      </c>
      <c r="M162" s="125">
        <v>0</v>
      </c>
      <c r="N162" s="247">
        <v>0</v>
      </c>
      <c r="O162" s="247">
        <v>0</v>
      </c>
    </row>
    <row r="163" spans="1:15" s="145" customFormat="1" ht="15.75">
      <c r="A163" s="70" t="s">
        <v>3252</v>
      </c>
      <c r="B163" s="105" t="s">
        <v>5528</v>
      </c>
      <c r="C163" s="72" t="s">
        <v>367</v>
      </c>
      <c r="D163" s="125">
        <v>2778999</v>
      </c>
      <c r="E163" s="125">
        <v>2534562</v>
      </c>
      <c r="F163" s="125">
        <v>2379224</v>
      </c>
      <c r="G163" s="247">
        <v>1348229</v>
      </c>
      <c r="H163" s="125">
        <v>1392470</v>
      </c>
      <c r="I163" s="125">
        <v>5000000</v>
      </c>
      <c r="J163" s="125">
        <v>5000000</v>
      </c>
      <c r="K163" s="125">
        <v>5000000</v>
      </c>
      <c r="L163" s="125">
        <v>0</v>
      </c>
      <c r="M163" s="125">
        <v>0</v>
      </c>
      <c r="N163" s="247">
        <v>0</v>
      </c>
      <c r="O163" s="247">
        <v>0</v>
      </c>
    </row>
    <row r="164" spans="1:15" s="145" customFormat="1" ht="15.75">
      <c r="A164" s="70" t="s">
        <v>3253</v>
      </c>
      <c r="B164" s="105" t="s">
        <v>5529</v>
      </c>
      <c r="C164" s="72" t="s">
        <v>368</v>
      </c>
      <c r="D164" s="125">
        <v>7163093</v>
      </c>
      <c r="E164" s="125">
        <v>6952253</v>
      </c>
      <c r="F164" s="125">
        <v>7071308</v>
      </c>
      <c r="G164" s="247">
        <v>1564858.4500000002</v>
      </c>
      <c r="H164" s="125">
        <v>9572175</v>
      </c>
      <c r="I164" s="125">
        <v>1000000</v>
      </c>
      <c r="J164" s="125">
        <v>1000000</v>
      </c>
      <c r="K164" s="125">
        <v>1000000</v>
      </c>
      <c r="L164" s="125">
        <v>0</v>
      </c>
      <c r="M164" s="125">
        <v>0</v>
      </c>
      <c r="N164" s="247">
        <v>0</v>
      </c>
      <c r="O164" s="247">
        <v>0</v>
      </c>
    </row>
    <row r="165" spans="1:15" s="145" customFormat="1" ht="15.75">
      <c r="A165" s="70" t="s">
        <v>3254</v>
      </c>
      <c r="B165" s="105" t="s">
        <v>5530</v>
      </c>
      <c r="C165" s="72" t="s">
        <v>156</v>
      </c>
      <c r="D165" s="125">
        <v>23559</v>
      </c>
      <c r="E165" s="125">
        <v>6573</v>
      </c>
      <c r="F165" s="125">
        <v>0</v>
      </c>
      <c r="G165" s="247">
        <v>0</v>
      </c>
      <c r="H165" s="125">
        <v>0</v>
      </c>
      <c r="I165" s="125">
        <v>500000</v>
      </c>
      <c r="J165" s="125">
        <v>500000</v>
      </c>
      <c r="K165" s="125">
        <v>500000</v>
      </c>
      <c r="L165" s="125">
        <v>0</v>
      </c>
      <c r="M165" s="125">
        <v>0</v>
      </c>
      <c r="N165" s="247">
        <v>0</v>
      </c>
      <c r="O165" s="247">
        <v>0</v>
      </c>
    </row>
    <row r="166" spans="1:15" s="145" customFormat="1" ht="15.75">
      <c r="A166" s="70" t="s">
        <v>3255</v>
      </c>
      <c r="B166" s="105" t="s">
        <v>5531</v>
      </c>
      <c r="C166" s="72" t="s">
        <v>481</v>
      </c>
      <c r="D166" s="125">
        <v>1329212</v>
      </c>
      <c r="E166" s="125">
        <v>1150972</v>
      </c>
      <c r="F166" s="125">
        <v>1116586</v>
      </c>
      <c r="G166" s="247">
        <v>570917</v>
      </c>
      <c r="H166" s="125">
        <v>577146</v>
      </c>
      <c r="I166" s="125">
        <v>1200000</v>
      </c>
      <c r="J166" s="125">
        <v>1200000</v>
      </c>
      <c r="K166" s="125">
        <v>1200000</v>
      </c>
      <c r="L166" s="125">
        <v>0</v>
      </c>
      <c r="M166" s="125">
        <v>0</v>
      </c>
      <c r="N166" s="247">
        <v>0</v>
      </c>
      <c r="O166" s="247">
        <v>0</v>
      </c>
    </row>
    <row r="167" spans="1:15" s="145" customFormat="1" ht="15.75">
      <c r="A167" s="70"/>
      <c r="B167" s="105"/>
      <c r="C167" s="72"/>
      <c r="D167" s="125">
        <v>0</v>
      </c>
      <c r="E167" s="125">
        <v>0</v>
      </c>
      <c r="F167" s="125">
        <v>0</v>
      </c>
      <c r="G167" s="247">
        <v>0</v>
      </c>
      <c r="H167" s="125">
        <v>0</v>
      </c>
      <c r="I167" s="125">
        <v>0</v>
      </c>
      <c r="J167" s="125">
        <v>0</v>
      </c>
      <c r="K167" s="125">
        <v>0</v>
      </c>
      <c r="L167" s="125">
        <v>0</v>
      </c>
      <c r="M167" s="125">
        <v>0</v>
      </c>
      <c r="N167" s="247">
        <v>0</v>
      </c>
      <c r="O167" s="247">
        <v>0</v>
      </c>
    </row>
    <row r="168" spans="1:15" s="145" customFormat="1" ht="15.75">
      <c r="A168" s="77" t="s">
        <v>3256</v>
      </c>
      <c r="B168" s="136" t="s">
        <v>5532</v>
      </c>
      <c r="C168" s="72"/>
      <c r="D168" s="125">
        <v>21784428</v>
      </c>
      <c r="E168" s="125">
        <v>21271036</v>
      </c>
      <c r="F168" s="125">
        <v>20989025</v>
      </c>
      <c r="G168" s="247">
        <v>9007366.4499999993</v>
      </c>
      <c r="H168" s="125">
        <v>17720921</v>
      </c>
      <c r="I168" s="125">
        <v>20710000</v>
      </c>
      <c r="J168" s="125">
        <v>20710000</v>
      </c>
      <c r="K168" s="125">
        <v>20710000</v>
      </c>
      <c r="L168" s="125">
        <v>0</v>
      </c>
      <c r="M168" s="125">
        <v>0</v>
      </c>
      <c r="N168" s="247">
        <v>0</v>
      </c>
      <c r="O168" s="247">
        <v>0</v>
      </c>
    </row>
    <row r="169" spans="1:15" s="145" customFormat="1" ht="15.75">
      <c r="A169" s="70"/>
      <c r="B169" s="105"/>
      <c r="C169" s="72"/>
      <c r="D169" s="125">
        <v>0</v>
      </c>
      <c r="E169" s="125">
        <v>0</v>
      </c>
      <c r="F169" s="125">
        <v>0</v>
      </c>
      <c r="G169" s="247">
        <v>0</v>
      </c>
      <c r="H169" s="125">
        <v>0</v>
      </c>
      <c r="I169" s="125">
        <v>0</v>
      </c>
      <c r="J169" s="125">
        <v>0</v>
      </c>
      <c r="K169" s="125">
        <v>0</v>
      </c>
      <c r="L169" s="125">
        <v>0</v>
      </c>
      <c r="M169" s="125">
        <v>0</v>
      </c>
      <c r="N169" s="247">
        <v>0</v>
      </c>
      <c r="O169" s="247">
        <v>0</v>
      </c>
    </row>
    <row r="170" spans="1:15" s="145" customFormat="1" ht="15.75">
      <c r="A170" s="70" t="s">
        <v>3257</v>
      </c>
      <c r="B170" s="105" t="s">
        <v>5533</v>
      </c>
      <c r="C170" s="72"/>
      <c r="D170" s="125">
        <v>0</v>
      </c>
      <c r="E170" s="125">
        <v>0</v>
      </c>
      <c r="F170" s="125">
        <v>0</v>
      </c>
      <c r="G170" s="247">
        <v>0</v>
      </c>
      <c r="H170" s="125">
        <v>0</v>
      </c>
      <c r="I170" s="125">
        <v>0</v>
      </c>
      <c r="J170" s="125">
        <v>0</v>
      </c>
      <c r="K170" s="125">
        <v>0</v>
      </c>
      <c r="L170" s="125">
        <v>0</v>
      </c>
      <c r="M170" s="125">
        <v>0</v>
      </c>
      <c r="N170" s="247">
        <v>0</v>
      </c>
      <c r="O170" s="247">
        <v>0</v>
      </c>
    </row>
    <row r="171" spans="1:15" s="145" customFormat="1" ht="15.75">
      <c r="A171" s="70" t="s">
        <v>3258</v>
      </c>
      <c r="B171" s="105" t="s">
        <v>5534</v>
      </c>
      <c r="C171" s="72" t="s">
        <v>482</v>
      </c>
      <c r="D171" s="125">
        <v>47522823</v>
      </c>
      <c r="E171" s="125">
        <v>53905169</v>
      </c>
      <c r="F171" s="125">
        <v>57600378</v>
      </c>
      <c r="G171" s="247">
        <v>29095709.599999998</v>
      </c>
      <c r="H171" s="125">
        <v>29819202</v>
      </c>
      <c r="I171" s="125">
        <v>50000000</v>
      </c>
      <c r="J171" s="125">
        <v>50000000</v>
      </c>
      <c r="K171" s="125">
        <v>50000000</v>
      </c>
      <c r="L171" s="125">
        <v>0</v>
      </c>
      <c r="M171" s="125">
        <v>0</v>
      </c>
      <c r="N171" s="247">
        <v>0</v>
      </c>
      <c r="O171" s="247">
        <v>0</v>
      </c>
    </row>
    <row r="172" spans="1:15" s="145" customFormat="1" ht="15.75">
      <c r="A172" s="70" t="s">
        <v>3259</v>
      </c>
      <c r="B172" s="105" t="s">
        <v>5535</v>
      </c>
      <c r="C172" s="72" t="s">
        <v>483</v>
      </c>
      <c r="D172" s="125">
        <v>0</v>
      </c>
      <c r="E172" s="125">
        <v>0</v>
      </c>
      <c r="F172" s="125">
        <v>0</v>
      </c>
      <c r="G172" s="247">
        <v>0</v>
      </c>
      <c r="H172" s="125">
        <v>0</v>
      </c>
      <c r="I172" s="125">
        <v>10000000</v>
      </c>
      <c r="J172" s="125">
        <v>10000000</v>
      </c>
      <c r="K172" s="125">
        <v>10000000</v>
      </c>
      <c r="L172" s="125">
        <v>0</v>
      </c>
      <c r="M172" s="125">
        <v>0</v>
      </c>
      <c r="N172" s="247">
        <v>0</v>
      </c>
      <c r="O172" s="247">
        <v>0</v>
      </c>
    </row>
    <row r="173" spans="1:15" s="145" customFormat="1" ht="15.75">
      <c r="A173" s="70" t="s">
        <v>3260</v>
      </c>
      <c r="B173" s="105" t="s">
        <v>5536</v>
      </c>
      <c r="C173" s="72" t="s">
        <v>489</v>
      </c>
      <c r="D173" s="125">
        <v>0</v>
      </c>
      <c r="E173" s="125">
        <v>0</v>
      </c>
      <c r="F173" s="125">
        <v>0</v>
      </c>
      <c r="G173" s="247">
        <v>0</v>
      </c>
      <c r="H173" s="125">
        <v>0</v>
      </c>
      <c r="I173" s="125">
        <v>10000000</v>
      </c>
      <c r="J173" s="125">
        <v>10000000</v>
      </c>
      <c r="K173" s="125">
        <v>10000000</v>
      </c>
      <c r="L173" s="125">
        <v>0</v>
      </c>
      <c r="M173" s="125">
        <v>0</v>
      </c>
      <c r="N173" s="247">
        <v>0</v>
      </c>
      <c r="O173" s="247">
        <v>0</v>
      </c>
    </row>
    <row r="174" spans="1:15" s="145" customFormat="1" ht="15.75">
      <c r="A174" s="70"/>
      <c r="B174" s="105"/>
      <c r="C174" s="72"/>
      <c r="D174" s="125">
        <v>0</v>
      </c>
      <c r="E174" s="125">
        <v>0</v>
      </c>
      <c r="F174" s="125">
        <v>0</v>
      </c>
      <c r="G174" s="247">
        <v>0</v>
      </c>
      <c r="H174" s="125">
        <v>0</v>
      </c>
      <c r="I174" s="125">
        <v>0</v>
      </c>
      <c r="J174" s="125">
        <v>0</v>
      </c>
      <c r="K174" s="125">
        <v>0</v>
      </c>
      <c r="L174" s="125">
        <v>0</v>
      </c>
      <c r="M174" s="125">
        <v>0</v>
      </c>
      <c r="N174" s="247">
        <v>0</v>
      </c>
      <c r="O174" s="247">
        <v>0</v>
      </c>
    </row>
    <row r="175" spans="1:15" s="145" customFormat="1" ht="15.75">
      <c r="A175" s="77" t="s">
        <v>3261</v>
      </c>
      <c r="B175" s="136" t="s">
        <v>5537</v>
      </c>
      <c r="C175" s="72"/>
      <c r="D175" s="125">
        <v>47522823</v>
      </c>
      <c r="E175" s="125">
        <v>53905169</v>
      </c>
      <c r="F175" s="125">
        <v>57600378</v>
      </c>
      <c r="G175" s="247">
        <v>29095709.599999998</v>
      </c>
      <c r="H175" s="125">
        <v>29819202</v>
      </c>
      <c r="I175" s="125">
        <v>70000000</v>
      </c>
      <c r="J175" s="125">
        <v>70000000</v>
      </c>
      <c r="K175" s="125">
        <v>70000000</v>
      </c>
      <c r="L175" s="125">
        <v>0</v>
      </c>
      <c r="M175" s="125">
        <v>0</v>
      </c>
      <c r="N175" s="247">
        <v>0</v>
      </c>
      <c r="O175" s="247">
        <v>0</v>
      </c>
    </row>
    <row r="176" spans="1:15" s="145" customFormat="1" ht="15.75">
      <c r="A176" s="70"/>
      <c r="B176" s="105"/>
      <c r="C176" s="72"/>
      <c r="D176" s="125">
        <v>0</v>
      </c>
      <c r="E176" s="125">
        <v>0</v>
      </c>
      <c r="F176" s="125">
        <v>0</v>
      </c>
      <c r="G176" s="247">
        <v>0</v>
      </c>
      <c r="H176" s="125">
        <v>0</v>
      </c>
      <c r="I176" s="125">
        <v>0</v>
      </c>
      <c r="J176" s="125">
        <v>0</v>
      </c>
      <c r="K176" s="125">
        <v>0</v>
      </c>
      <c r="L176" s="125">
        <v>0</v>
      </c>
      <c r="M176" s="125">
        <v>0</v>
      </c>
      <c r="N176" s="247">
        <v>0</v>
      </c>
      <c r="O176" s="247">
        <v>0</v>
      </c>
    </row>
    <row r="177" spans="1:15" s="145" customFormat="1" ht="15.75">
      <c r="A177" s="88" t="s">
        <v>3262</v>
      </c>
      <c r="B177" s="105" t="s">
        <v>5538</v>
      </c>
      <c r="C177" s="72"/>
      <c r="D177" s="125">
        <v>0</v>
      </c>
      <c r="E177" s="125">
        <v>0</v>
      </c>
      <c r="F177" s="125">
        <v>0</v>
      </c>
      <c r="G177" s="247">
        <v>0</v>
      </c>
      <c r="H177" s="125">
        <v>0</v>
      </c>
      <c r="I177" s="125">
        <v>0</v>
      </c>
      <c r="J177" s="125">
        <v>0</v>
      </c>
      <c r="K177" s="125">
        <v>0</v>
      </c>
      <c r="L177" s="125">
        <v>0</v>
      </c>
      <c r="M177" s="125">
        <v>0</v>
      </c>
      <c r="N177" s="247">
        <v>0</v>
      </c>
      <c r="O177" s="247">
        <v>0</v>
      </c>
    </row>
    <row r="178" spans="1:15" s="145" customFormat="1" ht="15.75">
      <c r="A178" s="70" t="s">
        <v>3263</v>
      </c>
      <c r="B178" s="105" t="s">
        <v>5539</v>
      </c>
      <c r="C178" s="72"/>
      <c r="D178" s="125">
        <v>0</v>
      </c>
      <c r="E178" s="125">
        <v>0</v>
      </c>
      <c r="F178" s="125">
        <v>0</v>
      </c>
      <c r="G178" s="247">
        <v>0</v>
      </c>
      <c r="H178" s="125">
        <v>0</v>
      </c>
      <c r="I178" s="125">
        <v>0</v>
      </c>
      <c r="J178" s="125">
        <v>0</v>
      </c>
      <c r="K178" s="125">
        <v>0</v>
      </c>
      <c r="L178" s="125">
        <v>0</v>
      </c>
      <c r="M178" s="125">
        <v>0</v>
      </c>
      <c r="N178" s="247">
        <v>0</v>
      </c>
      <c r="O178" s="247">
        <v>0</v>
      </c>
    </row>
    <row r="179" spans="1:15" s="145" customFormat="1" ht="15.75">
      <c r="A179" s="70" t="s">
        <v>3156</v>
      </c>
      <c r="B179" s="105" t="s">
        <v>5413</v>
      </c>
      <c r="C179" s="72" t="s">
        <v>220</v>
      </c>
      <c r="D179" s="125">
        <v>8704477</v>
      </c>
      <c r="E179" s="125">
        <v>5712096</v>
      </c>
      <c r="F179" s="125">
        <v>7387270</v>
      </c>
      <c r="G179" s="247">
        <v>3496694</v>
      </c>
      <c r="H179" s="125">
        <v>6763743</v>
      </c>
      <c r="I179" s="125">
        <v>191200000</v>
      </c>
      <c r="J179" s="125">
        <v>191200000</v>
      </c>
      <c r="K179" s="125">
        <v>250000000</v>
      </c>
      <c r="L179" s="125">
        <v>0</v>
      </c>
      <c r="M179" s="125">
        <v>0</v>
      </c>
      <c r="N179" s="247">
        <v>58800000</v>
      </c>
      <c r="O179" s="247">
        <v>0</v>
      </c>
    </row>
    <row r="180" spans="1:15" s="145" customFormat="1" ht="15.75">
      <c r="A180" s="70" t="s">
        <v>3264</v>
      </c>
      <c r="B180" s="105" t="s">
        <v>5540</v>
      </c>
      <c r="C180" s="72" t="s">
        <v>993</v>
      </c>
      <c r="D180" s="125">
        <v>5235363</v>
      </c>
      <c r="E180" s="125">
        <v>3492513</v>
      </c>
      <c r="F180" s="125">
        <v>3605755</v>
      </c>
      <c r="G180" s="247">
        <v>1699377</v>
      </c>
      <c r="H180" s="125">
        <v>3537634</v>
      </c>
      <c r="I180" s="125">
        <v>20000000</v>
      </c>
      <c r="J180" s="125">
        <v>20000000</v>
      </c>
      <c r="K180" s="125">
        <v>20000000</v>
      </c>
      <c r="L180" s="125">
        <v>0</v>
      </c>
      <c r="M180" s="125">
        <v>0</v>
      </c>
      <c r="N180" s="247">
        <v>0</v>
      </c>
      <c r="O180" s="247">
        <v>0</v>
      </c>
    </row>
    <row r="181" spans="1:15" s="145" customFormat="1" ht="15.75">
      <c r="A181" s="70" t="s">
        <v>3265</v>
      </c>
      <c r="B181" s="105" t="s">
        <v>5541</v>
      </c>
      <c r="C181" s="72" t="s">
        <v>994</v>
      </c>
      <c r="D181" s="125">
        <v>1696283</v>
      </c>
      <c r="E181" s="125">
        <v>0</v>
      </c>
      <c r="F181" s="125">
        <v>0</v>
      </c>
      <c r="G181" s="247">
        <v>0</v>
      </c>
      <c r="H181" s="125">
        <v>0</v>
      </c>
      <c r="I181" s="125">
        <v>6000000</v>
      </c>
      <c r="J181" s="125">
        <v>6000000</v>
      </c>
      <c r="K181" s="125">
        <v>6000000</v>
      </c>
      <c r="L181" s="125">
        <v>0</v>
      </c>
      <c r="M181" s="125">
        <v>0</v>
      </c>
      <c r="N181" s="247">
        <v>0</v>
      </c>
      <c r="O181" s="247">
        <v>0</v>
      </c>
    </row>
    <row r="182" spans="1:15" s="145" customFormat="1" ht="15.75">
      <c r="A182" s="70" t="s">
        <v>3266</v>
      </c>
      <c r="B182" s="105" t="s">
        <v>5542</v>
      </c>
      <c r="C182" s="72" t="s">
        <v>968</v>
      </c>
      <c r="D182" s="125">
        <v>42609910</v>
      </c>
      <c r="E182" s="125">
        <v>14312315</v>
      </c>
      <c r="F182" s="125">
        <v>19614985</v>
      </c>
      <c r="G182" s="247">
        <v>8061984</v>
      </c>
      <c r="H182" s="125">
        <v>22875160</v>
      </c>
      <c r="I182" s="125">
        <v>50000000</v>
      </c>
      <c r="J182" s="125">
        <v>50000000</v>
      </c>
      <c r="K182" s="125">
        <v>50000000</v>
      </c>
      <c r="L182" s="125">
        <v>0</v>
      </c>
      <c r="M182" s="125">
        <v>0</v>
      </c>
      <c r="N182" s="247">
        <v>0</v>
      </c>
      <c r="O182" s="247">
        <v>0</v>
      </c>
    </row>
    <row r="183" spans="1:15" s="145" customFormat="1" ht="15.75">
      <c r="A183" s="70" t="s">
        <v>3267</v>
      </c>
      <c r="B183" s="105" t="s">
        <v>5543</v>
      </c>
      <c r="C183" s="72" t="s">
        <v>1685</v>
      </c>
      <c r="D183" s="125">
        <v>11660000</v>
      </c>
      <c r="E183" s="125">
        <v>130000</v>
      </c>
      <c r="F183" s="125">
        <v>30000</v>
      </c>
      <c r="G183" s="247">
        <v>30000</v>
      </c>
      <c r="H183" s="125">
        <v>0</v>
      </c>
      <c r="I183" s="125">
        <v>0</v>
      </c>
      <c r="J183" s="125">
        <v>0</v>
      </c>
      <c r="K183" s="125">
        <v>30000</v>
      </c>
      <c r="L183" s="125">
        <v>0</v>
      </c>
      <c r="M183" s="125">
        <v>0</v>
      </c>
      <c r="N183" s="247">
        <v>30000</v>
      </c>
      <c r="O183" s="247">
        <v>0</v>
      </c>
    </row>
    <row r="184" spans="1:15" s="145" customFormat="1" ht="15.75">
      <c r="A184" s="70" t="s">
        <v>5398</v>
      </c>
      <c r="B184" s="105"/>
      <c r="C184" s="72" t="s">
        <v>5397</v>
      </c>
      <c r="D184" s="125">
        <v>0</v>
      </c>
      <c r="E184" s="125">
        <v>0</v>
      </c>
      <c r="F184" s="125">
        <v>0</v>
      </c>
      <c r="G184" s="247">
        <v>0</v>
      </c>
      <c r="H184" s="125">
        <v>30000000</v>
      </c>
      <c r="I184" s="125">
        <v>0</v>
      </c>
      <c r="J184" s="125">
        <v>0</v>
      </c>
      <c r="K184" s="125">
        <v>0</v>
      </c>
      <c r="L184" s="125">
        <v>0</v>
      </c>
      <c r="M184" s="125">
        <v>0</v>
      </c>
      <c r="N184" s="247"/>
      <c r="O184" s="247"/>
    </row>
    <row r="185" spans="1:15" s="145" customFormat="1" ht="15.75">
      <c r="A185" s="70"/>
      <c r="B185" s="105"/>
      <c r="C185" s="72"/>
      <c r="D185" s="125">
        <v>0</v>
      </c>
      <c r="E185" s="125">
        <v>0</v>
      </c>
      <c r="F185" s="125">
        <v>0</v>
      </c>
      <c r="G185" s="247">
        <v>0</v>
      </c>
      <c r="H185" s="125">
        <v>0</v>
      </c>
      <c r="I185" s="125">
        <v>0</v>
      </c>
      <c r="J185" s="125">
        <v>0</v>
      </c>
      <c r="K185" s="125">
        <v>0</v>
      </c>
      <c r="L185" s="125">
        <v>0</v>
      </c>
      <c r="M185" s="125">
        <v>0</v>
      </c>
      <c r="N185" s="247">
        <v>0</v>
      </c>
      <c r="O185" s="247">
        <v>0</v>
      </c>
    </row>
    <row r="186" spans="1:15" s="145" customFormat="1" ht="15.75">
      <c r="A186" s="77" t="s">
        <v>2320</v>
      </c>
      <c r="B186" s="136" t="s">
        <v>5478</v>
      </c>
      <c r="C186" s="72"/>
      <c r="D186" s="125">
        <v>69906033</v>
      </c>
      <c r="E186" s="125">
        <v>23646924</v>
      </c>
      <c r="F186" s="125">
        <v>30638010</v>
      </c>
      <c r="G186" s="247">
        <v>13288055</v>
      </c>
      <c r="H186" s="125">
        <v>63176537</v>
      </c>
      <c r="I186" s="125">
        <v>267200000</v>
      </c>
      <c r="J186" s="125">
        <v>267200000</v>
      </c>
      <c r="K186" s="125">
        <v>326030000</v>
      </c>
      <c r="L186" s="125">
        <v>0</v>
      </c>
      <c r="M186" s="125">
        <v>0</v>
      </c>
      <c r="N186" s="247">
        <v>58830000</v>
      </c>
      <c r="O186" s="247">
        <v>0</v>
      </c>
    </row>
    <row r="187" spans="1:15" s="145" customFormat="1" ht="15.75">
      <c r="A187" s="70"/>
      <c r="B187" s="105"/>
      <c r="C187" s="72"/>
      <c r="D187" s="125">
        <v>0</v>
      </c>
      <c r="E187" s="125">
        <v>0</v>
      </c>
      <c r="F187" s="125">
        <v>0</v>
      </c>
      <c r="G187" s="247">
        <v>0</v>
      </c>
      <c r="H187" s="125">
        <v>0</v>
      </c>
      <c r="I187" s="125">
        <v>0</v>
      </c>
      <c r="J187" s="125">
        <v>0</v>
      </c>
      <c r="K187" s="125">
        <v>0</v>
      </c>
      <c r="L187" s="125">
        <v>0</v>
      </c>
      <c r="M187" s="125">
        <v>0</v>
      </c>
      <c r="N187" s="247">
        <v>0</v>
      </c>
      <c r="O187" s="247">
        <v>0</v>
      </c>
    </row>
    <row r="188" spans="1:15" s="145" customFormat="1" ht="15.75">
      <c r="A188" s="70" t="s">
        <v>3268</v>
      </c>
      <c r="B188" s="105" t="s">
        <v>5451</v>
      </c>
      <c r="C188" s="72"/>
      <c r="D188" s="125">
        <v>0</v>
      </c>
      <c r="E188" s="125">
        <v>0</v>
      </c>
      <c r="F188" s="125">
        <v>0</v>
      </c>
      <c r="G188" s="247">
        <v>0</v>
      </c>
      <c r="H188" s="125">
        <v>0</v>
      </c>
      <c r="I188" s="125">
        <v>0</v>
      </c>
      <c r="J188" s="125">
        <v>0</v>
      </c>
      <c r="K188" s="125">
        <v>0</v>
      </c>
      <c r="L188" s="125">
        <v>0</v>
      </c>
      <c r="M188" s="125">
        <v>0</v>
      </c>
      <c r="N188" s="247">
        <v>0</v>
      </c>
      <c r="O188" s="247">
        <v>0</v>
      </c>
    </row>
    <row r="189" spans="1:15" s="145" customFormat="1" ht="15.75">
      <c r="A189" s="70" t="s">
        <v>3269</v>
      </c>
      <c r="B189" s="105" t="s">
        <v>5544</v>
      </c>
      <c r="C189" s="72" t="s">
        <v>137</v>
      </c>
      <c r="D189" s="125">
        <v>66906</v>
      </c>
      <c r="E189" s="125">
        <v>114033</v>
      </c>
      <c r="F189" s="125">
        <v>153277</v>
      </c>
      <c r="G189" s="247">
        <v>39948</v>
      </c>
      <c r="H189" s="125">
        <v>40002</v>
      </c>
      <c r="I189" s="125">
        <v>100000</v>
      </c>
      <c r="J189" s="125">
        <v>100000</v>
      </c>
      <c r="K189" s="125">
        <v>100000</v>
      </c>
      <c r="L189" s="125">
        <v>0</v>
      </c>
      <c r="M189" s="125">
        <v>0</v>
      </c>
      <c r="N189" s="247">
        <v>0</v>
      </c>
      <c r="O189" s="247">
        <v>0</v>
      </c>
    </row>
    <row r="190" spans="1:15" s="145" customFormat="1" ht="15.75">
      <c r="A190" s="70" t="s">
        <v>3270</v>
      </c>
      <c r="B190" s="105" t="s">
        <v>5545</v>
      </c>
      <c r="C190" s="72" t="s">
        <v>138</v>
      </c>
      <c r="D190" s="125">
        <v>258426</v>
      </c>
      <c r="E190" s="125">
        <v>705685</v>
      </c>
      <c r="F190" s="125">
        <v>280828</v>
      </c>
      <c r="G190" s="247">
        <v>135918</v>
      </c>
      <c r="H190" s="125">
        <v>114675</v>
      </c>
      <c r="I190" s="125">
        <v>400000</v>
      </c>
      <c r="J190" s="125">
        <v>400000</v>
      </c>
      <c r="K190" s="125">
        <v>400000</v>
      </c>
      <c r="L190" s="125">
        <v>0</v>
      </c>
      <c r="M190" s="125">
        <v>0</v>
      </c>
      <c r="N190" s="247">
        <v>0</v>
      </c>
      <c r="O190" s="247">
        <v>0</v>
      </c>
    </row>
    <row r="191" spans="1:15" s="145" customFormat="1" ht="15.75">
      <c r="A191" s="70"/>
      <c r="B191" s="105"/>
      <c r="C191" s="72"/>
      <c r="D191" s="125">
        <v>0</v>
      </c>
      <c r="E191" s="125">
        <v>0</v>
      </c>
      <c r="F191" s="125">
        <v>0</v>
      </c>
      <c r="G191" s="247">
        <v>0</v>
      </c>
      <c r="H191" s="125">
        <v>0</v>
      </c>
      <c r="I191" s="125">
        <v>0</v>
      </c>
      <c r="J191" s="125">
        <v>0</v>
      </c>
      <c r="K191" s="125">
        <v>0</v>
      </c>
      <c r="L191" s="125">
        <v>0</v>
      </c>
      <c r="M191" s="125">
        <v>0</v>
      </c>
      <c r="N191" s="247">
        <v>0</v>
      </c>
      <c r="O191" s="247">
        <v>0</v>
      </c>
    </row>
    <row r="192" spans="1:15" s="145" customFormat="1" ht="15.75">
      <c r="A192" s="77" t="s">
        <v>2386</v>
      </c>
      <c r="B192" s="136" t="s">
        <v>5546</v>
      </c>
      <c r="C192" s="72"/>
      <c r="D192" s="125">
        <v>325332</v>
      </c>
      <c r="E192" s="125">
        <v>819718</v>
      </c>
      <c r="F192" s="125">
        <v>434105</v>
      </c>
      <c r="G192" s="247">
        <v>175866</v>
      </c>
      <c r="H192" s="125">
        <v>154677</v>
      </c>
      <c r="I192" s="125">
        <v>500000</v>
      </c>
      <c r="J192" s="125">
        <v>500000</v>
      </c>
      <c r="K192" s="125">
        <v>500000</v>
      </c>
      <c r="L192" s="125">
        <v>0</v>
      </c>
      <c r="M192" s="125">
        <v>0</v>
      </c>
      <c r="N192" s="247">
        <v>0</v>
      </c>
      <c r="O192" s="247">
        <v>0</v>
      </c>
    </row>
    <row r="193" spans="1:15" s="145" customFormat="1" ht="15.75">
      <c r="A193" s="70"/>
      <c r="B193" s="105"/>
      <c r="C193" s="72"/>
      <c r="D193" s="125">
        <v>0</v>
      </c>
      <c r="E193" s="125">
        <v>0</v>
      </c>
      <c r="F193" s="125">
        <v>0</v>
      </c>
      <c r="G193" s="247">
        <v>0</v>
      </c>
      <c r="H193" s="125">
        <v>0</v>
      </c>
      <c r="I193" s="125">
        <v>0</v>
      </c>
      <c r="J193" s="125">
        <v>0</v>
      </c>
      <c r="K193" s="125">
        <v>0</v>
      </c>
      <c r="L193" s="125">
        <v>0</v>
      </c>
      <c r="M193" s="125">
        <v>0</v>
      </c>
      <c r="N193" s="247">
        <v>0</v>
      </c>
      <c r="O193" s="247">
        <v>0</v>
      </c>
    </row>
    <row r="194" spans="1:15" s="145" customFormat="1" ht="15.75">
      <c r="A194" s="77" t="s">
        <v>3271</v>
      </c>
      <c r="B194" s="136" t="s">
        <v>5547</v>
      </c>
      <c r="C194" s="72"/>
      <c r="D194" s="125">
        <v>70231365</v>
      </c>
      <c r="E194" s="125">
        <v>24466642</v>
      </c>
      <c r="F194" s="125">
        <v>31072115</v>
      </c>
      <c r="G194" s="247">
        <v>13463921</v>
      </c>
      <c r="H194" s="125">
        <v>63331214</v>
      </c>
      <c r="I194" s="125">
        <v>267700000</v>
      </c>
      <c r="J194" s="125">
        <v>267700000</v>
      </c>
      <c r="K194" s="125">
        <v>326530000</v>
      </c>
      <c r="L194" s="125">
        <v>0</v>
      </c>
      <c r="M194" s="125">
        <v>0</v>
      </c>
      <c r="N194" s="247">
        <v>58830000</v>
      </c>
      <c r="O194" s="247">
        <v>0</v>
      </c>
    </row>
    <row r="195" spans="1:15" s="145" customFormat="1" ht="15.75">
      <c r="A195" s="70"/>
      <c r="B195" s="105"/>
      <c r="C195" s="72"/>
      <c r="D195" s="125">
        <v>0</v>
      </c>
      <c r="E195" s="125">
        <v>0</v>
      </c>
      <c r="F195" s="125">
        <v>0</v>
      </c>
      <c r="G195" s="247">
        <v>0</v>
      </c>
      <c r="H195" s="125">
        <v>0</v>
      </c>
      <c r="I195" s="125">
        <v>0</v>
      </c>
      <c r="J195" s="125">
        <v>0</v>
      </c>
      <c r="K195" s="125">
        <v>0</v>
      </c>
      <c r="L195" s="125">
        <v>0</v>
      </c>
      <c r="M195" s="125">
        <v>0</v>
      </c>
      <c r="N195" s="247">
        <v>0</v>
      </c>
      <c r="O195" s="247">
        <v>0</v>
      </c>
    </row>
    <row r="196" spans="1:15" s="145" customFormat="1" ht="15.75">
      <c r="A196" s="70" t="s">
        <v>3272</v>
      </c>
      <c r="B196" s="105" t="s">
        <v>5548</v>
      </c>
      <c r="C196" s="72"/>
      <c r="D196" s="125">
        <v>0</v>
      </c>
      <c r="E196" s="125">
        <v>0</v>
      </c>
      <c r="F196" s="125">
        <v>0</v>
      </c>
      <c r="G196" s="247">
        <v>0</v>
      </c>
      <c r="H196" s="125">
        <v>0</v>
      </c>
      <c r="I196" s="125">
        <v>0</v>
      </c>
      <c r="J196" s="125">
        <v>0</v>
      </c>
      <c r="K196" s="125">
        <v>0</v>
      </c>
      <c r="L196" s="125">
        <v>0</v>
      </c>
      <c r="M196" s="125">
        <v>0</v>
      </c>
      <c r="N196" s="247">
        <v>0</v>
      </c>
      <c r="O196" s="247">
        <v>0</v>
      </c>
    </row>
    <row r="197" spans="1:15" s="145" customFormat="1" ht="15.75">
      <c r="A197" s="70" t="s">
        <v>3273</v>
      </c>
      <c r="B197" s="105" t="s">
        <v>5549</v>
      </c>
      <c r="C197" s="72"/>
      <c r="D197" s="125">
        <v>0</v>
      </c>
      <c r="E197" s="125">
        <v>0</v>
      </c>
      <c r="F197" s="125">
        <v>0</v>
      </c>
      <c r="G197" s="247">
        <v>0</v>
      </c>
      <c r="H197" s="125">
        <v>0</v>
      </c>
      <c r="I197" s="125">
        <v>0</v>
      </c>
      <c r="J197" s="125">
        <v>0</v>
      </c>
      <c r="K197" s="125">
        <v>0</v>
      </c>
      <c r="L197" s="125">
        <v>0</v>
      </c>
      <c r="M197" s="125">
        <v>0</v>
      </c>
      <c r="N197" s="247">
        <v>0</v>
      </c>
      <c r="O197" s="247">
        <v>0</v>
      </c>
    </row>
    <row r="198" spans="1:15" s="145" customFormat="1" ht="15.75">
      <c r="A198" s="70" t="s">
        <v>3274</v>
      </c>
      <c r="B198" s="105" t="s">
        <v>5550</v>
      </c>
      <c r="C198" s="72" t="s">
        <v>246</v>
      </c>
      <c r="D198" s="125">
        <v>597607717</v>
      </c>
      <c r="E198" s="125">
        <v>664474133</v>
      </c>
      <c r="F198" s="125">
        <v>1037232878</v>
      </c>
      <c r="G198" s="247">
        <v>426529982</v>
      </c>
      <c r="H198" s="125">
        <v>622526127</v>
      </c>
      <c r="I198" s="125">
        <v>968400000</v>
      </c>
      <c r="J198" s="125">
        <v>968400000</v>
      </c>
      <c r="K198" s="125">
        <v>1300000000</v>
      </c>
      <c r="L198" s="125">
        <v>0</v>
      </c>
      <c r="M198" s="125">
        <v>0</v>
      </c>
      <c r="N198" s="247">
        <v>331600000</v>
      </c>
      <c r="O198" s="247">
        <v>0</v>
      </c>
    </row>
    <row r="199" spans="1:15" s="145" customFormat="1" ht="15.75">
      <c r="A199" s="70" t="s">
        <v>3275</v>
      </c>
      <c r="B199" s="105" t="s">
        <v>5551</v>
      </c>
      <c r="C199" s="72" t="s">
        <v>247</v>
      </c>
      <c r="D199" s="125">
        <v>64513556</v>
      </c>
      <c r="E199" s="125">
        <v>0</v>
      </c>
      <c r="F199" s="125">
        <v>0</v>
      </c>
      <c r="G199" s="247">
        <v>0</v>
      </c>
      <c r="H199" s="125">
        <v>0</v>
      </c>
      <c r="I199" s="125">
        <v>80000000</v>
      </c>
      <c r="J199" s="125">
        <v>80000000</v>
      </c>
      <c r="K199" s="125">
        <v>80000000</v>
      </c>
      <c r="L199" s="125">
        <v>0</v>
      </c>
      <c r="M199" s="125">
        <v>0</v>
      </c>
      <c r="N199" s="247">
        <v>0</v>
      </c>
      <c r="O199" s="247">
        <v>0</v>
      </c>
    </row>
    <row r="200" spans="1:15" s="145" customFormat="1" ht="15.75">
      <c r="A200" s="70" t="s">
        <v>3276</v>
      </c>
      <c r="B200" s="105" t="s">
        <v>5552</v>
      </c>
      <c r="C200" s="72" t="s">
        <v>248</v>
      </c>
      <c r="D200" s="125">
        <v>285356698</v>
      </c>
      <c r="E200" s="125">
        <v>250396733</v>
      </c>
      <c r="F200" s="125">
        <v>255862881</v>
      </c>
      <c r="G200" s="247">
        <v>143550089.15000001</v>
      </c>
      <c r="H200" s="125">
        <v>162719547</v>
      </c>
      <c r="I200" s="125">
        <v>301200000</v>
      </c>
      <c r="J200" s="125">
        <v>301200000</v>
      </c>
      <c r="K200" s="125">
        <v>190000000</v>
      </c>
      <c r="L200" s="125">
        <v>0</v>
      </c>
      <c r="M200" s="125">
        <v>0</v>
      </c>
      <c r="N200" s="247">
        <v>0</v>
      </c>
      <c r="O200" s="247">
        <v>111200000</v>
      </c>
    </row>
    <row r="201" spans="1:15" s="145" customFormat="1" ht="15.75">
      <c r="A201" s="70" t="s">
        <v>3277</v>
      </c>
      <c r="B201" s="105" t="s">
        <v>5553</v>
      </c>
      <c r="C201" s="72" t="s">
        <v>334</v>
      </c>
      <c r="D201" s="125">
        <v>2350</v>
      </c>
      <c r="E201" s="125">
        <v>29014</v>
      </c>
      <c r="F201" s="125">
        <v>25667</v>
      </c>
      <c r="G201" s="247">
        <v>11551</v>
      </c>
      <c r="H201" s="125">
        <v>35087</v>
      </c>
      <c r="I201" s="125">
        <v>200000</v>
      </c>
      <c r="J201" s="125">
        <v>200000</v>
      </c>
      <c r="K201" s="125">
        <v>200000</v>
      </c>
      <c r="L201" s="125">
        <v>0</v>
      </c>
      <c r="M201" s="125">
        <v>0</v>
      </c>
      <c r="N201" s="247">
        <v>0</v>
      </c>
      <c r="O201" s="247">
        <v>0</v>
      </c>
    </row>
    <row r="202" spans="1:15" s="145" customFormat="1" ht="15.75">
      <c r="A202" s="70" t="s">
        <v>3278</v>
      </c>
      <c r="B202" s="105" t="s">
        <v>5554</v>
      </c>
      <c r="C202" s="72" t="s">
        <v>335</v>
      </c>
      <c r="D202" s="125">
        <v>180203306</v>
      </c>
      <c r="E202" s="125">
        <v>1628742831</v>
      </c>
      <c r="F202" s="125">
        <v>3036040594</v>
      </c>
      <c r="G202" s="247">
        <v>2773860643.5</v>
      </c>
      <c r="H202" s="125">
        <v>242515347</v>
      </c>
      <c r="I202" s="125">
        <v>2500000000</v>
      </c>
      <c r="J202" s="125">
        <v>2500000000</v>
      </c>
      <c r="K202" s="125">
        <v>600000000</v>
      </c>
      <c r="L202" s="125">
        <v>0</v>
      </c>
      <c r="M202" s="125">
        <v>0</v>
      </c>
      <c r="N202" s="247">
        <v>0</v>
      </c>
      <c r="O202" s="247">
        <v>1900000000</v>
      </c>
    </row>
    <row r="203" spans="1:15" s="145" customFormat="1" ht="31.5">
      <c r="A203" s="70" t="s">
        <v>3279</v>
      </c>
      <c r="B203" s="105" t="s">
        <v>5555</v>
      </c>
      <c r="C203" s="72" t="s">
        <v>1511</v>
      </c>
      <c r="D203" s="125">
        <v>19803120</v>
      </c>
      <c r="E203" s="125">
        <v>1080</v>
      </c>
      <c r="F203" s="125">
        <v>39817305</v>
      </c>
      <c r="G203" s="247">
        <v>35616015</v>
      </c>
      <c r="H203" s="125">
        <v>990000</v>
      </c>
      <c r="I203" s="125">
        <v>20000000</v>
      </c>
      <c r="J203" s="125">
        <v>20000000</v>
      </c>
      <c r="K203" s="125">
        <v>10000000</v>
      </c>
      <c r="L203" s="125">
        <v>0</v>
      </c>
      <c r="M203" s="125">
        <v>0</v>
      </c>
      <c r="N203" s="247">
        <v>0</v>
      </c>
      <c r="O203" s="247">
        <v>10000000</v>
      </c>
    </row>
    <row r="204" spans="1:15" s="145" customFormat="1" ht="15.75">
      <c r="A204" s="70" t="s">
        <v>10433</v>
      </c>
      <c r="B204" s="105" t="s">
        <v>5556</v>
      </c>
      <c r="C204" s="72" t="s">
        <v>336</v>
      </c>
      <c r="D204" s="125">
        <v>7702702</v>
      </c>
      <c r="E204" s="125">
        <v>37540</v>
      </c>
      <c r="F204" s="125">
        <v>1744631</v>
      </c>
      <c r="G204" s="247">
        <v>1651253.6</v>
      </c>
      <c r="H204" s="125">
        <v>720928</v>
      </c>
      <c r="I204" s="125">
        <v>0</v>
      </c>
      <c r="J204" s="125">
        <v>0</v>
      </c>
      <c r="K204" s="125">
        <v>0</v>
      </c>
      <c r="L204" s="125">
        <v>0</v>
      </c>
      <c r="M204" s="125">
        <v>0</v>
      </c>
      <c r="N204" s="247">
        <v>0</v>
      </c>
      <c r="O204" s="247">
        <v>0</v>
      </c>
    </row>
    <row r="205" spans="1:15" s="145" customFormat="1" ht="15.75">
      <c r="A205" s="70" t="s">
        <v>3280</v>
      </c>
      <c r="B205" s="105" t="s">
        <v>5557</v>
      </c>
      <c r="C205" s="72" t="s">
        <v>4802</v>
      </c>
      <c r="D205" s="125">
        <v>66959553</v>
      </c>
      <c r="E205" s="125">
        <v>0</v>
      </c>
      <c r="F205" s="125">
        <v>33199654</v>
      </c>
      <c r="G205" s="247">
        <v>33199654</v>
      </c>
      <c r="H205" s="125">
        <v>0</v>
      </c>
      <c r="I205" s="125">
        <v>0</v>
      </c>
      <c r="J205" s="125">
        <v>0</v>
      </c>
      <c r="K205" s="125">
        <v>0</v>
      </c>
      <c r="L205" s="125">
        <v>0</v>
      </c>
      <c r="M205" s="125">
        <v>0</v>
      </c>
      <c r="N205" s="247">
        <v>0</v>
      </c>
      <c r="O205" s="247">
        <v>0</v>
      </c>
    </row>
    <row r="206" spans="1:15" s="145" customFormat="1" ht="31.5">
      <c r="A206" s="70" t="s">
        <v>3281</v>
      </c>
      <c r="B206" s="105" t="s">
        <v>5558</v>
      </c>
      <c r="C206" s="72" t="s">
        <v>712</v>
      </c>
      <c r="D206" s="125">
        <v>97988750</v>
      </c>
      <c r="E206" s="125">
        <v>1858000</v>
      </c>
      <c r="F206" s="125">
        <v>0</v>
      </c>
      <c r="G206" s="247">
        <v>0</v>
      </c>
      <c r="H206" s="125">
        <v>0</v>
      </c>
      <c r="I206" s="125">
        <v>0</v>
      </c>
      <c r="J206" s="125">
        <v>0</v>
      </c>
      <c r="K206" s="125">
        <v>0</v>
      </c>
      <c r="L206" s="125">
        <v>0</v>
      </c>
      <c r="M206" s="125">
        <v>0</v>
      </c>
      <c r="N206" s="247">
        <v>0</v>
      </c>
      <c r="O206" s="247">
        <v>0</v>
      </c>
    </row>
    <row r="207" spans="1:15" s="145" customFormat="1" ht="15.75">
      <c r="A207" s="70" t="s">
        <v>3710</v>
      </c>
      <c r="B207" s="105" t="s">
        <v>5559</v>
      </c>
      <c r="C207" s="72" t="s">
        <v>89</v>
      </c>
      <c r="D207" s="125">
        <v>22001</v>
      </c>
      <c r="E207" s="125">
        <v>4000</v>
      </c>
      <c r="F207" s="125">
        <v>5500</v>
      </c>
      <c r="G207" s="247">
        <v>4500</v>
      </c>
      <c r="H207" s="125">
        <v>0</v>
      </c>
      <c r="I207" s="125">
        <v>0</v>
      </c>
      <c r="J207" s="125">
        <v>0</v>
      </c>
      <c r="K207" s="125">
        <v>0</v>
      </c>
      <c r="L207" s="125">
        <v>0</v>
      </c>
      <c r="M207" s="125">
        <v>0</v>
      </c>
      <c r="N207" s="247">
        <v>0</v>
      </c>
      <c r="O207" s="247">
        <v>0</v>
      </c>
    </row>
    <row r="208" spans="1:15" s="145" customFormat="1" ht="15.75">
      <c r="A208" s="70" t="s">
        <v>3282</v>
      </c>
      <c r="B208" s="105" t="s">
        <v>5560</v>
      </c>
      <c r="C208" s="72" t="s">
        <v>111</v>
      </c>
      <c r="D208" s="125">
        <v>541366</v>
      </c>
      <c r="E208" s="125">
        <v>1064364</v>
      </c>
      <c r="F208" s="125">
        <v>672972</v>
      </c>
      <c r="G208" s="247">
        <v>317692</v>
      </c>
      <c r="H208" s="125">
        <v>421786</v>
      </c>
      <c r="I208" s="125">
        <v>500000</v>
      </c>
      <c r="J208" s="125">
        <v>500000</v>
      </c>
      <c r="K208" s="125">
        <v>600000</v>
      </c>
      <c r="L208" s="125">
        <v>0</v>
      </c>
      <c r="M208" s="125">
        <v>0</v>
      </c>
      <c r="N208" s="247">
        <v>100000</v>
      </c>
      <c r="O208" s="247">
        <v>0</v>
      </c>
    </row>
    <row r="209" spans="1:15" s="145" customFormat="1" ht="15.75">
      <c r="A209" s="70"/>
      <c r="B209" s="105"/>
      <c r="C209" s="72"/>
      <c r="D209" s="125">
        <v>0</v>
      </c>
      <c r="E209" s="125">
        <v>0</v>
      </c>
      <c r="F209" s="125">
        <v>0</v>
      </c>
      <c r="G209" s="247">
        <v>0</v>
      </c>
      <c r="H209" s="125">
        <v>0</v>
      </c>
      <c r="I209" s="125">
        <v>0</v>
      </c>
      <c r="J209" s="125">
        <v>0</v>
      </c>
      <c r="K209" s="125">
        <v>0</v>
      </c>
      <c r="L209" s="125">
        <v>0</v>
      </c>
      <c r="M209" s="125">
        <v>0</v>
      </c>
      <c r="N209" s="247">
        <v>0</v>
      </c>
      <c r="O209" s="247">
        <v>0</v>
      </c>
    </row>
    <row r="210" spans="1:15" s="145" customFormat="1" ht="15.75">
      <c r="A210" s="77" t="s">
        <v>2549</v>
      </c>
      <c r="B210" s="136" t="s">
        <v>5561</v>
      </c>
      <c r="C210" s="72"/>
      <c r="D210" s="125">
        <v>1320701119</v>
      </c>
      <c r="E210" s="125">
        <v>2546607695</v>
      </c>
      <c r="F210" s="125">
        <v>4404602082</v>
      </c>
      <c r="G210" s="247">
        <v>3414741380.25</v>
      </c>
      <c r="H210" s="125">
        <v>1029928822</v>
      </c>
      <c r="I210" s="125">
        <v>3870300000</v>
      </c>
      <c r="J210" s="125">
        <v>3870300000</v>
      </c>
      <c r="K210" s="125">
        <v>2180800000</v>
      </c>
      <c r="L210" s="125">
        <v>0</v>
      </c>
      <c r="M210" s="125">
        <v>0</v>
      </c>
      <c r="N210" s="247">
        <v>0</v>
      </c>
      <c r="O210" s="247">
        <v>1689500000</v>
      </c>
    </row>
    <row r="211" spans="1:15" s="145" customFormat="1" ht="15.75">
      <c r="A211" s="70"/>
      <c r="B211" s="105"/>
      <c r="C211" s="72"/>
      <c r="D211" s="125">
        <v>0</v>
      </c>
      <c r="E211" s="125">
        <v>0</v>
      </c>
      <c r="F211" s="125">
        <v>0</v>
      </c>
      <c r="G211" s="247">
        <v>0</v>
      </c>
      <c r="H211" s="125">
        <v>0</v>
      </c>
      <c r="I211" s="125">
        <v>0</v>
      </c>
      <c r="J211" s="125">
        <v>0</v>
      </c>
      <c r="K211" s="125">
        <v>0</v>
      </c>
      <c r="L211" s="125">
        <v>0</v>
      </c>
      <c r="M211" s="125">
        <v>0</v>
      </c>
      <c r="N211" s="247">
        <v>0</v>
      </c>
      <c r="O211" s="247">
        <v>0</v>
      </c>
    </row>
    <row r="212" spans="1:15" s="145" customFormat="1" ht="15.75">
      <c r="A212" s="70" t="s">
        <v>3283</v>
      </c>
      <c r="B212" s="105" t="s">
        <v>5562</v>
      </c>
      <c r="C212" s="72"/>
      <c r="D212" s="125">
        <v>0</v>
      </c>
      <c r="E212" s="125">
        <v>0</v>
      </c>
      <c r="F212" s="125">
        <v>0</v>
      </c>
      <c r="G212" s="247">
        <v>0</v>
      </c>
      <c r="H212" s="125">
        <v>0</v>
      </c>
      <c r="I212" s="125">
        <v>0</v>
      </c>
      <c r="J212" s="125">
        <v>0</v>
      </c>
      <c r="K212" s="125">
        <v>0</v>
      </c>
      <c r="L212" s="125">
        <v>0</v>
      </c>
      <c r="M212" s="125">
        <v>0</v>
      </c>
      <c r="N212" s="247">
        <v>0</v>
      </c>
      <c r="O212" s="247">
        <v>0</v>
      </c>
    </row>
    <row r="213" spans="1:15" s="145" customFormat="1" ht="15.75">
      <c r="A213" s="70" t="s">
        <v>3284</v>
      </c>
      <c r="B213" s="105" t="s">
        <v>5563</v>
      </c>
      <c r="C213" s="72" t="s">
        <v>211</v>
      </c>
      <c r="D213" s="125">
        <v>7772</v>
      </c>
      <c r="E213" s="125">
        <v>767671</v>
      </c>
      <c r="F213" s="125">
        <v>282421</v>
      </c>
      <c r="G213" s="247">
        <v>51658</v>
      </c>
      <c r="H213" s="125">
        <v>62021</v>
      </c>
      <c r="I213" s="125">
        <v>10000</v>
      </c>
      <c r="J213" s="125">
        <v>10000</v>
      </c>
      <c r="K213" s="125">
        <v>100000</v>
      </c>
      <c r="L213" s="125">
        <v>0</v>
      </c>
      <c r="M213" s="125">
        <v>0</v>
      </c>
      <c r="N213" s="247">
        <v>90000</v>
      </c>
      <c r="O213" s="247">
        <v>0</v>
      </c>
    </row>
    <row r="214" spans="1:15" s="145" customFormat="1" ht="15.75">
      <c r="A214" s="70"/>
      <c r="B214" s="105"/>
      <c r="C214" s="72"/>
      <c r="D214" s="125">
        <v>0</v>
      </c>
      <c r="E214" s="125">
        <v>0</v>
      </c>
      <c r="F214" s="125">
        <v>0</v>
      </c>
      <c r="G214" s="247">
        <v>0</v>
      </c>
      <c r="H214" s="125">
        <v>0</v>
      </c>
      <c r="I214" s="125">
        <v>0</v>
      </c>
      <c r="J214" s="125">
        <v>0</v>
      </c>
      <c r="K214" s="125">
        <v>0</v>
      </c>
      <c r="L214" s="125">
        <v>0</v>
      </c>
      <c r="M214" s="125">
        <v>0</v>
      </c>
      <c r="N214" s="247">
        <v>0</v>
      </c>
      <c r="O214" s="247">
        <v>0</v>
      </c>
    </row>
    <row r="215" spans="1:15" s="145" customFormat="1" ht="15.75">
      <c r="A215" s="77" t="s">
        <v>2601</v>
      </c>
      <c r="B215" s="136" t="s">
        <v>5564</v>
      </c>
      <c r="C215" s="72"/>
      <c r="D215" s="125">
        <v>7772</v>
      </c>
      <c r="E215" s="125">
        <v>767671</v>
      </c>
      <c r="F215" s="125">
        <v>282421</v>
      </c>
      <c r="G215" s="247">
        <v>51658</v>
      </c>
      <c r="H215" s="125">
        <v>62021</v>
      </c>
      <c r="I215" s="125">
        <v>10000</v>
      </c>
      <c r="J215" s="125">
        <v>10000</v>
      </c>
      <c r="K215" s="125">
        <v>100000</v>
      </c>
      <c r="L215" s="125">
        <v>0</v>
      </c>
      <c r="M215" s="125">
        <v>0</v>
      </c>
      <c r="N215" s="247">
        <v>90000</v>
      </c>
      <c r="O215" s="247">
        <v>0</v>
      </c>
    </row>
    <row r="216" spans="1:15" s="145" customFormat="1" ht="15.75">
      <c r="A216" s="70"/>
      <c r="B216" s="105"/>
      <c r="C216" s="72"/>
      <c r="D216" s="125">
        <v>0</v>
      </c>
      <c r="E216" s="125">
        <v>0</v>
      </c>
      <c r="F216" s="125">
        <v>0</v>
      </c>
      <c r="G216" s="247">
        <v>0</v>
      </c>
      <c r="H216" s="125">
        <v>0</v>
      </c>
      <c r="I216" s="125">
        <v>0</v>
      </c>
      <c r="J216" s="125">
        <v>0</v>
      </c>
      <c r="K216" s="125">
        <v>0</v>
      </c>
      <c r="L216" s="125">
        <v>0</v>
      </c>
      <c r="M216" s="125">
        <v>0</v>
      </c>
      <c r="N216" s="247">
        <v>0</v>
      </c>
      <c r="O216" s="247">
        <v>0</v>
      </c>
    </row>
    <row r="217" spans="1:15" s="145" customFormat="1" ht="15.75">
      <c r="A217" s="70" t="s">
        <v>2602</v>
      </c>
      <c r="B217" s="105" t="s">
        <v>5565</v>
      </c>
      <c r="C217" s="72"/>
      <c r="D217" s="125">
        <v>0</v>
      </c>
      <c r="E217" s="125">
        <v>0</v>
      </c>
      <c r="F217" s="125">
        <v>0</v>
      </c>
      <c r="G217" s="247">
        <v>0</v>
      </c>
      <c r="H217" s="125">
        <v>0</v>
      </c>
      <c r="I217" s="125">
        <v>0</v>
      </c>
      <c r="J217" s="125">
        <v>0</v>
      </c>
      <c r="K217" s="125">
        <v>0</v>
      </c>
      <c r="L217" s="125">
        <v>0</v>
      </c>
      <c r="M217" s="125">
        <v>0</v>
      </c>
      <c r="N217" s="247">
        <v>0</v>
      </c>
      <c r="O217" s="247">
        <v>0</v>
      </c>
    </row>
    <row r="218" spans="1:15" s="145" customFormat="1" ht="15.75">
      <c r="A218" s="70" t="s">
        <v>3285</v>
      </c>
      <c r="B218" s="105" t="s">
        <v>5566</v>
      </c>
      <c r="C218" s="72"/>
      <c r="D218" s="125">
        <v>0</v>
      </c>
      <c r="E218" s="125">
        <v>0</v>
      </c>
      <c r="F218" s="125">
        <v>0</v>
      </c>
      <c r="G218" s="247">
        <v>0</v>
      </c>
      <c r="H218" s="125">
        <v>0</v>
      </c>
      <c r="I218" s="125">
        <v>0</v>
      </c>
      <c r="J218" s="125">
        <v>0</v>
      </c>
      <c r="K218" s="125">
        <v>0</v>
      </c>
      <c r="L218" s="125">
        <v>0</v>
      </c>
      <c r="M218" s="125">
        <v>0</v>
      </c>
      <c r="N218" s="247">
        <v>0</v>
      </c>
      <c r="O218" s="247">
        <v>0</v>
      </c>
    </row>
    <row r="219" spans="1:15" s="145" customFormat="1" ht="15.75">
      <c r="A219" s="70" t="s">
        <v>3286</v>
      </c>
      <c r="B219" s="105" t="s">
        <v>5567</v>
      </c>
      <c r="C219" s="72" t="s">
        <v>667</v>
      </c>
      <c r="D219" s="125">
        <v>82007927</v>
      </c>
      <c r="E219" s="125">
        <v>17066926</v>
      </c>
      <c r="F219" s="125">
        <v>40721334</v>
      </c>
      <c r="G219" s="247">
        <v>15617068.899999999</v>
      </c>
      <c r="H219" s="125">
        <v>8209428</v>
      </c>
      <c r="I219" s="125">
        <v>835000000</v>
      </c>
      <c r="J219" s="125">
        <v>835000000</v>
      </c>
      <c r="K219" s="125">
        <v>1000000000</v>
      </c>
      <c r="L219" s="125">
        <v>0</v>
      </c>
      <c r="M219" s="125">
        <v>0</v>
      </c>
      <c r="N219" s="247">
        <v>165000000</v>
      </c>
      <c r="O219" s="247">
        <v>0</v>
      </c>
    </row>
    <row r="220" spans="1:15" s="145" customFormat="1" ht="15.75">
      <c r="A220" s="70" t="s">
        <v>3287</v>
      </c>
      <c r="B220" s="105" t="s">
        <v>5568</v>
      </c>
      <c r="C220" s="72" t="s">
        <v>668</v>
      </c>
      <c r="D220" s="125">
        <v>1984511</v>
      </c>
      <c r="E220" s="125">
        <v>599618</v>
      </c>
      <c r="F220" s="125">
        <v>225804</v>
      </c>
      <c r="G220" s="247">
        <v>165656</v>
      </c>
      <c r="H220" s="125">
        <v>77426</v>
      </c>
      <c r="I220" s="125">
        <v>2500000</v>
      </c>
      <c r="J220" s="125">
        <v>2500000</v>
      </c>
      <c r="K220" s="125">
        <v>2525000</v>
      </c>
      <c r="L220" s="125">
        <v>0</v>
      </c>
      <c r="M220" s="125">
        <v>0</v>
      </c>
      <c r="N220" s="247">
        <v>25000</v>
      </c>
      <c r="O220" s="247">
        <v>0</v>
      </c>
    </row>
    <row r="221" spans="1:15" s="145" customFormat="1" ht="15.75">
      <c r="A221" s="70" t="s">
        <v>3288</v>
      </c>
      <c r="B221" s="105" t="s">
        <v>5569</v>
      </c>
      <c r="C221" s="72" t="s">
        <v>669</v>
      </c>
      <c r="D221" s="125">
        <v>85063457</v>
      </c>
      <c r="E221" s="125">
        <v>103872718</v>
      </c>
      <c r="F221" s="125">
        <v>100384184</v>
      </c>
      <c r="G221" s="247">
        <v>35994135.189999998</v>
      </c>
      <c r="H221" s="125">
        <v>46520223</v>
      </c>
      <c r="I221" s="125">
        <v>162417000</v>
      </c>
      <c r="J221" s="125">
        <v>162417000</v>
      </c>
      <c r="K221" s="125">
        <v>178633700</v>
      </c>
      <c r="L221" s="125">
        <v>0</v>
      </c>
      <c r="M221" s="125">
        <v>0</v>
      </c>
      <c r="N221" s="247">
        <v>16216700</v>
      </c>
      <c r="O221" s="247">
        <v>0</v>
      </c>
    </row>
    <row r="222" spans="1:15" s="145" customFormat="1" ht="15.75">
      <c r="A222" s="70" t="s">
        <v>3289</v>
      </c>
      <c r="B222" s="105" t="s">
        <v>5570</v>
      </c>
      <c r="C222" s="72" t="s">
        <v>670</v>
      </c>
      <c r="D222" s="125">
        <v>831750</v>
      </c>
      <c r="E222" s="125">
        <v>753668</v>
      </c>
      <c r="F222" s="125">
        <v>694097</v>
      </c>
      <c r="G222" s="247">
        <v>370234</v>
      </c>
      <c r="H222" s="125">
        <v>9200742</v>
      </c>
      <c r="I222" s="125">
        <v>8000</v>
      </c>
      <c r="J222" s="125">
        <v>8000</v>
      </c>
      <c r="K222" s="125">
        <v>8800</v>
      </c>
      <c r="L222" s="125">
        <v>0</v>
      </c>
      <c r="M222" s="125">
        <v>0</v>
      </c>
      <c r="N222" s="247">
        <v>800</v>
      </c>
      <c r="O222" s="247">
        <v>0</v>
      </c>
    </row>
    <row r="223" spans="1:15" s="145" customFormat="1" ht="31.5">
      <c r="A223" s="70" t="s">
        <v>3290</v>
      </c>
      <c r="B223" s="105" t="s">
        <v>5571</v>
      </c>
      <c r="C223" s="72" t="s">
        <v>802</v>
      </c>
      <c r="D223" s="125">
        <v>18600</v>
      </c>
      <c r="E223" s="125">
        <v>15650</v>
      </c>
      <c r="F223" s="125">
        <v>89893</v>
      </c>
      <c r="G223" s="247">
        <v>28954</v>
      </c>
      <c r="H223" s="125">
        <v>55904</v>
      </c>
      <c r="I223" s="125">
        <v>75000</v>
      </c>
      <c r="J223" s="125">
        <v>75000</v>
      </c>
      <c r="K223" s="125">
        <v>82500</v>
      </c>
      <c r="L223" s="125">
        <v>0</v>
      </c>
      <c r="M223" s="125">
        <v>0</v>
      </c>
      <c r="N223" s="247">
        <v>7500</v>
      </c>
      <c r="O223" s="247">
        <v>0</v>
      </c>
    </row>
    <row r="224" spans="1:15" s="145" customFormat="1" ht="15.75">
      <c r="A224" s="70"/>
      <c r="B224" s="105"/>
      <c r="C224" s="72"/>
      <c r="D224" s="125">
        <v>0</v>
      </c>
      <c r="E224" s="125">
        <v>0</v>
      </c>
      <c r="F224" s="125">
        <v>0</v>
      </c>
      <c r="G224" s="247">
        <v>0</v>
      </c>
      <c r="H224" s="125">
        <v>0</v>
      </c>
      <c r="I224" s="125">
        <v>0</v>
      </c>
      <c r="J224" s="125">
        <v>0</v>
      </c>
      <c r="K224" s="125">
        <v>0</v>
      </c>
      <c r="L224" s="125">
        <v>0</v>
      </c>
      <c r="M224" s="125">
        <v>0</v>
      </c>
      <c r="N224" s="247">
        <v>0</v>
      </c>
      <c r="O224" s="247">
        <v>0</v>
      </c>
    </row>
    <row r="225" spans="1:15" s="145" customFormat="1" ht="15.75">
      <c r="A225" s="77" t="s">
        <v>2320</v>
      </c>
      <c r="B225" s="136" t="s">
        <v>146</v>
      </c>
      <c r="C225" s="72"/>
      <c r="D225" s="125">
        <v>169906245</v>
      </c>
      <c r="E225" s="125">
        <v>122308580</v>
      </c>
      <c r="F225" s="125">
        <v>142115312</v>
      </c>
      <c r="G225" s="247">
        <v>52176048.090000004</v>
      </c>
      <c r="H225" s="125">
        <v>64063723</v>
      </c>
      <c r="I225" s="125">
        <v>1000000000</v>
      </c>
      <c r="J225" s="125">
        <v>1000000000</v>
      </c>
      <c r="K225" s="125">
        <v>1181250000</v>
      </c>
      <c r="L225" s="125">
        <v>0</v>
      </c>
      <c r="M225" s="125">
        <v>0</v>
      </c>
      <c r="N225" s="247">
        <v>181250000</v>
      </c>
      <c r="O225" s="247">
        <v>0</v>
      </c>
    </row>
    <row r="226" spans="1:15" s="145" customFormat="1" ht="15.75">
      <c r="A226" s="70"/>
      <c r="B226" s="105"/>
      <c r="C226" s="72"/>
      <c r="D226" s="125">
        <v>0</v>
      </c>
      <c r="E226" s="125">
        <v>0</v>
      </c>
      <c r="F226" s="125">
        <v>0</v>
      </c>
      <c r="G226" s="247">
        <v>0</v>
      </c>
      <c r="H226" s="125">
        <v>0</v>
      </c>
      <c r="I226" s="125">
        <v>0</v>
      </c>
      <c r="J226" s="125">
        <v>0</v>
      </c>
      <c r="K226" s="125">
        <v>0</v>
      </c>
      <c r="L226" s="125">
        <v>0</v>
      </c>
      <c r="M226" s="125">
        <v>0</v>
      </c>
      <c r="N226" s="247">
        <v>0</v>
      </c>
      <c r="O226" s="247">
        <v>0</v>
      </c>
    </row>
    <row r="227" spans="1:15" s="145" customFormat="1" ht="15.75">
      <c r="A227" s="70" t="s">
        <v>3291</v>
      </c>
      <c r="B227" s="105" t="s">
        <v>5572</v>
      </c>
      <c r="C227" s="72"/>
      <c r="D227" s="125">
        <v>0</v>
      </c>
      <c r="E227" s="125">
        <v>0</v>
      </c>
      <c r="F227" s="125">
        <v>0</v>
      </c>
      <c r="G227" s="247">
        <v>0</v>
      </c>
      <c r="H227" s="125">
        <v>0</v>
      </c>
      <c r="I227" s="125">
        <v>0</v>
      </c>
      <c r="J227" s="125">
        <v>0</v>
      </c>
      <c r="K227" s="125">
        <v>0</v>
      </c>
      <c r="L227" s="125">
        <v>0</v>
      </c>
      <c r="M227" s="125">
        <v>0</v>
      </c>
      <c r="N227" s="247">
        <v>0</v>
      </c>
      <c r="O227" s="247">
        <v>0</v>
      </c>
    </row>
    <row r="228" spans="1:15" s="145" customFormat="1" ht="15.75">
      <c r="A228" s="70" t="s">
        <v>3292</v>
      </c>
      <c r="B228" s="105" t="s">
        <v>5573</v>
      </c>
      <c r="C228" s="72" t="s">
        <v>803</v>
      </c>
      <c r="D228" s="125">
        <v>30840424</v>
      </c>
      <c r="E228" s="125">
        <v>32004039</v>
      </c>
      <c r="F228" s="125">
        <v>29126748</v>
      </c>
      <c r="G228" s="247">
        <v>26435945.73</v>
      </c>
      <c r="H228" s="125">
        <v>1500799</v>
      </c>
      <c r="I228" s="125">
        <v>25000000</v>
      </c>
      <c r="J228" s="125">
        <v>25000000</v>
      </c>
      <c r="K228" s="125">
        <v>25000000</v>
      </c>
      <c r="L228" s="125">
        <v>0</v>
      </c>
      <c r="M228" s="125">
        <v>0</v>
      </c>
      <c r="N228" s="247">
        <v>0</v>
      </c>
      <c r="O228" s="247">
        <v>0</v>
      </c>
    </row>
    <row r="229" spans="1:15" s="145" customFormat="1" ht="15.75">
      <c r="A229" s="70" t="s">
        <v>3293</v>
      </c>
      <c r="B229" s="105" t="s">
        <v>5574</v>
      </c>
      <c r="C229" s="72" t="s">
        <v>804</v>
      </c>
      <c r="D229" s="125">
        <v>4604</v>
      </c>
      <c r="E229" s="125">
        <v>0</v>
      </c>
      <c r="F229" s="125">
        <v>0</v>
      </c>
      <c r="G229" s="247">
        <v>0</v>
      </c>
      <c r="H229" s="125">
        <v>0</v>
      </c>
      <c r="I229" s="125">
        <v>0</v>
      </c>
      <c r="J229" s="125">
        <v>0</v>
      </c>
      <c r="K229" s="125">
        <v>0</v>
      </c>
      <c r="L229" s="125">
        <v>0</v>
      </c>
      <c r="M229" s="125">
        <v>0</v>
      </c>
      <c r="N229" s="247">
        <v>0</v>
      </c>
      <c r="O229" s="247">
        <v>0</v>
      </c>
    </row>
    <row r="230" spans="1:15" s="145" customFormat="1" ht="15.75">
      <c r="A230" s="70"/>
      <c r="B230" s="105"/>
      <c r="C230" s="72"/>
      <c r="D230" s="125">
        <v>0</v>
      </c>
      <c r="E230" s="125">
        <v>0</v>
      </c>
      <c r="F230" s="125">
        <v>0</v>
      </c>
      <c r="G230" s="247">
        <v>0</v>
      </c>
      <c r="H230" s="125">
        <v>0</v>
      </c>
      <c r="I230" s="125">
        <v>0</v>
      </c>
      <c r="J230" s="125">
        <v>0</v>
      </c>
      <c r="K230" s="125">
        <v>0</v>
      </c>
      <c r="L230" s="125">
        <v>0</v>
      </c>
      <c r="M230" s="125">
        <v>0</v>
      </c>
      <c r="N230" s="247">
        <v>0</v>
      </c>
      <c r="O230" s="247">
        <v>0</v>
      </c>
    </row>
    <row r="231" spans="1:15" s="145" customFormat="1" ht="15.75">
      <c r="A231" s="77" t="s">
        <v>2386</v>
      </c>
      <c r="B231" s="136" t="s">
        <v>146</v>
      </c>
      <c r="C231" s="72"/>
      <c r="D231" s="125">
        <v>30845028</v>
      </c>
      <c r="E231" s="125">
        <v>32004039</v>
      </c>
      <c r="F231" s="125">
        <v>29126748</v>
      </c>
      <c r="G231" s="247">
        <v>26435945.73</v>
      </c>
      <c r="H231" s="125">
        <v>1500799</v>
      </c>
      <c r="I231" s="125">
        <v>25000000</v>
      </c>
      <c r="J231" s="125">
        <v>25000000</v>
      </c>
      <c r="K231" s="125">
        <v>25000000</v>
      </c>
      <c r="L231" s="125">
        <v>0</v>
      </c>
      <c r="M231" s="125">
        <v>0</v>
      </c>
      <c r="N231" s="247">
        <v>0</v>
      </c>
      <c r="O231" s="247">
        <v>0</v>
      </c>
    </row>
    <row r="232" spans="1:15" s="145" customFormat="1" ht="15.75">
      <c r="A232" s="70"/>
      <c r="B232" s="105"/>
      <c r="C232" s="72"/>
      <c r="D232" s="125">
        <v>0</v>
      </c>
      <c r="E232" s="125">
        <v>0</v>
      </c>
      <c r="F232" s="125">
        <v>0</v>
      </c>
      <c r="G232" s="247">
        <v>0</v>
      </c>
      <c r="H232" s="125">
        <v>0</v>
      </c>
      <c r="I232" s="125">
        <v>0</v>
      </c>
      <c r="J232" s="125">
        <v>0</v>
      </c>
      <c r="K232" s="125">
        <v>0</v>
      </c>
      <c r="L232" s="125">
        <v>0</v>
      </c>
      <c r="M232" s="125">
        <v>0</v>
      </c>
      <c r="N232" s="247">
        <v>0</v>
      </c>
      <c r="O232" s="247">
        <v>0</v>
      </c>
    </row>
    <row r="233" spans="1:15" s="145" customFormat="1" ht="31.5">
      <c r="A233" s="70" t="s">
        <v>3423</v>
      </c>
      <c r="B233" s="105" t="s">
        <v>5575</v>
      </c>
      <c r="C233" s="72" t="s">
        <v>805</v>
      </c>
      <c r="D233" s="125">
        <v>152444</v>
      </c>
      <c r="E233" s="125">
        <v>302276</v>
      </c>
      <c r="F233" s="125">
        <v>128641</v>
      </c>
      <c r="G233" s="247">
        <v>53056</v>
      </c>
      <c r="H233" s="125">
        <v>134418</v>
      </c>
      <c r="I233" s="125">
        <v>250000</v>
      </c>
      <c r="J233" s="125">
        <v>250000</v>
      </c>
      <c r="K233" s="125">
        <v>250000</v>
      </c>
      <c r="L233" s="125">
        <v>0</v>
      </c>
      <c r="M233" s="125">
        <v>0</v>
      </c>
      <c r="N233" s="247">
        <v>0</v>
      </c>
      <c r="O233" s="247">
        <v>0</v>
      </c>
    </row>
    <row r="234" spans="1:15" s="145" customFormat="1" ht="15.75">
      <c r="A234" s="70" t="s">
        <v>3294</v>
      </c>
      <c r="B234" s="105" t="s">
        <v>5576</v>
      </c>
      <c r="C234" s="72" t="s">
        <v>214</v>
      </c>
      <c r="D234" s="125">
        <v>133550</v>
      </c>
      <c r="E234" s="125">
        <v>179000</v>
      </c>
      <c r="F234" s="125">
        <v>854535</v>
      </c>
      <c r="G234" s="247">
        <v>109495</v>
      </c>
      <c r="H234" s="125">
        <v>473500</v>
      </c>
      <c r="I234" s="125">
        <v>400000</v>
      </c>
      <c r="J234" s="125">
        <v>400000</v>
      </c>
      <c r="K234" s="125">
        <v>400000</v>
      </c>
      <c r="L234" s="125">
        <v>0</v>
      </c>
      <c r="M234" s="125">
        <v>0</v>
      </c>
      <c r="N234" s="247">
        <v>0</v>
      </c>
      <c r="O234" s="247">
        <v>0</v>
      </c>
    </row>
    <row r="235" spans="1:15" s="145" customFormat="1" ht="15.75">
      <c r="A235" s="70"/>
      <c r="B235" s="105"/>
      <c r="C235" s="72"/>
      <c r="D235" s="125">
        <v>0</v>
      </c>
      <c r="E235" s="125">
        <v>0</v>
      </c>
      <c r="F235" s="125">
        <v>0</v>
      </c>
      <c r="G235" s="247">
        <v>0</v>
      </c>
      <c r="H235" s="125">
        <v>0</v>
      </c>
      <c r="I235" s="125">
        <v>0</v>
      </c>
      <c r="J235" s="125">
        <v>0</v>
      </c>
      <c r="K235" s="125">
        <v>0</v>
      </c>
      <c r="L235" s="125">
        <v>0</v>
      </c>
      <c r="M235" s="125">
        <v>0</v>
      </c>
      <c r="N235" s="247">
        <v>0</v>
      </c>
      <c r="O235" s="247">
        <v>0</v>
      </c>
    </row>
    <row r="236" spans="1:15" s="145" customFormat="1" ht="15.75">
      <c r="A236" s="77" t="s">
        <v>3295</v>
      </c>
      <c r="B236" s="136" t="s">
        <v>5577</v>
      </c>
      <c r="C236" s="72"/>
      <c r="D236" s="125">
        <v>201037267</v>
      </c>
      <c r="E236" s="125">
        <v>154793895</v>
      </c>
      <c r="F236" s="125">
        <v>172225236</v>
      </c>
      <c r="G236" s="247">
        <v>78774544.820000008</v>
      </c>
      <c r="H236" s="125">
        <v>66172440</v>
      </c>
      <c r="I236" s="125">
        <v>1025650000</v>
      </c>
      <c r="J236" s="125">
        <v>1025650000</v>
      </c>
      <c r="K236" s="125">
        <v>1206900000</v>
      </c>
      <c r="L236" s="125">
        <v>0</v>
      </c>
      <c r="M236" s="125">
        <v>0</v>
      </c>
      <c r="N236" s="247">
        <v>181250000</v>
      </c>
      <c r="O236" s="247">
        <v>0</v>
      </c>
    </row>
    <row r="237" spans="1:15" s="145" customFormat="1" ht="15.75">
      <c r="A237" s="70"/>
      <c r="B237" s="105"/>
      <c r="C237" s="72"/>
      <c r="D237" s="125">
        <v>0</v>
      </c>
      <c r="E237" s="125">
        <v>0</v>
      </c>
      <c r="F237" s="125">
        <v>0</v>
      </c>
      <c r="G237" s="247">
        <v>0</v>
      </c>
      <c r="H237" s="125">
        <v>0</v>
      </c>
      <c r="I237" s="125">
        <v>0</v>
      </c>
      <c r="J237" s="125">
        <v>0</v>
      </c>
      <c r="K237" s="125">
        <v>0</v>
      </c>
      <c r="L237" s="125">
        <v>0</v>
      </c>
      <c r="M237" s="125">
        <v>0</v>
      </c>
      <c r="N237" s="247">
        <v>0</v>
      </c>
      <c r="O237" s="247">
        <v>0</v>
      </c>
    </row>
    <row r="238" spans="1:15" s="145" customFormat="1" ht="15.75">
      <c r="A238" s="70" t="s">
        <v>2628</v>
      </c>
      <c r="B238" s="105" t="s">
        <v>5578</v>
      </c>
      <c r="C238" s="72"/>
      <c r="D238" s="125">
        <v>0</v>
      </c>
      <c r="E238" s="125">
        <v>0</v>
      </c>
      <c r="F238" s="125">
        <v>0</v>
      </c>
      <c r="G238" s="247">
        <v>0</v>
      </c>
      <c r="H238" s="125">
        <v>0</v>
      </c>
      <c r="I238" s="125">
        <v>0</v>
      </c>
      <c r="J238" s="125">
        <v>0</v>
      </c>
      <c r="K238" s="125">
        <v>0</v>
      </c>
      <c r="L238" s="125">
        <v>0</v>
      </c>
      <c r="M238" s="125">
        <v>0</v>
      </c>
      <c r="N238" s="247">
        <v>0</v>
      </c>
      <c r="O238" s="247">
        <v>0</v>
      </c>
    </row>
    <row r="239" spans="1:15" s="145" customFormat="1" ht="15.75">
      <c r="A239" s="70" t="s">
        <v>3296</v>
      </c>
      <c r="B239" s="105" t="s">
        <v>5579</v>
      </c>
      <c r="C239" s="72"/>
      <c r="D239" s="125">
        <v>0</v>
      </c>
      <c r="E239" s="125">
        <v>0</v>
      </c>
      <c r="F239" s="125">
        <v>0</v>
      </c>
      <c r="G239" s="247">
        <v>0</v>
      </c>
      <c r="H239" s="125">
        <v>0</v>
      </c>
      <c r="I239" s="125">
        <v>0</v>
      </c>
      <c r="J239" s="125">
        <v>0</v>
      </c>
      <c r="K239" s="125">
        <v>0</v>
      </c>
      <c r="L239" s="125">
        <v>0</v>
      </c>
      <c r="M239" s="125">
        <v>0</v>
      </c>
      <c r="N239" s="247">
        <v>0</v>
      </c>
      <c r="O239" s="247">
        <v>0</v>
      </c>
    </row>
    <row r="240" spans="1:15" s="145" customFormat="1" ht="15.75">
      <c r="A240" s="70" t="s">
        <v>3297</v>
      </c>
      <c r="B240" s="105" t="s">
        <v>5580</v>
      </c>
      <c r="C240" s="72" t="s">
        <v>215</v>
      </c>
      <c r="D240" s="125">
        <v>5172932466</v>
      </c>
      <c r="E240" s="125">
        <v>5081827310</v>
      </c>
      <c r="F240" s="125">
        <v>6210141746</v>
      </c>
      <c r="G240" s="247">
        <v>3675853948</v>
      </c>
      <c r="H240" s="125">
        <v>1691083620</v>
      </c>
      <c r="I240" s="125">
        <v>9200000000</v>
      </c>
      <c r="J240" s="125">
        <v>9200000000</v>
      </c>
      <c r="K240" s="125">
        <v>8348500000</v>
      </c>
      <c r="L240" s="125">
        <v>0</v>
      </c>
      <c r="M240" s="125">
        <v>0</v>
      </c>
      <c r="N240" s="247">
        <v>0</v>
      </c>
      <c r="O240" s="247">
        <v>851500000</v>
      </c>
    </row>
    <row r="241" spans="1:15" s="145" customFormat="1" ht="15.75">
      <c r="A241" s="70" t="s">
        <v>3298</v>
      </c>
      <c r="B241" s="105" t="s">
        <v>5581</v>
      </c>
      <c r="C241" s="72" t="s">
        <v>216</v>
      </c>
      <c r="D241" s="125">
        <v>45024789</v>
      </c>
      <c r="E241" s="125">
        <v>25082736</v>
      </c>
      <c r="F241" s="125">
        <v>36684146</v>
      </c>
      <c r="G241" s="247">
        <v>18417441.989999998</v>
      </c>
      <c r="H241" s="125">
        <v>12767532</v>
      </c>
      <c r="I241" s="125">
        <v>67800000</v>
      </c>
      <c r="J241" s="125">
        <v>67800000</v>
      </c>
      <c r="K241" s="125">
        <v>30000000</v>
      </c>
      <c r="L241" s="125">
        <v>0</v>
      </c>
      <c r="M241" s="125">
        <v>0</v>
      </c>
      <c r="N241" s="247">
        <v>0</v>
      </c>
      <c r="O241" s="247">
        <v>37800000</v>
      </c>
    </row>
    <row r="242" spans="1:15" s="145" customFormat="1" ht="15.75">
      <c r="A242" s="70" t="s">
        <v>3299</v>
      </c>
      <c r="B242" s="105" t="s">
        <v>5582</v>
      </c>
      <c r="C242" s="72" t="s">
        <v>217</v>
      </c>
      <c r="D242" s="125">
        <v>141750</v>
      </c>
      <c r="E242" s="125">
        <v>46500</v>
      </c>
      <c r="F242" s="125">
        <v>53000</v>
      </c>
      <c r="G242" s="247">
        <v>22500</v>
      </c>
      <c r="H242" s="125">
        <v>32000</v>
      </c>
      <c r="I242" s="125">
        <v>1800000</v>
      </c>
      <c r="J242" s="125">
        <v>1800000</v>
      </c>
      <c r="K242" s="125">
        <v>0</v>
      </c>
      <c r="L242" s="125">
        <v>0</v>
      </c>
      <c r="M242" s="125">
        <v>0</v>
      </c>
      <c r="N242" s="247">
        <v>0</v>
      </c>
      <c r="O242" s="247">
        <v>1800000</v>
      </c>
    </row>
    <row r="243" spans="1:15" s="145" customFormat="1" ht="15.75">
      <c r="A243" s="70" t="s">
        <v>3300</v>
      </c>
      <c r="B243" s="105" t="s">
        <v>5583</v>
      </c>
      <c r="C243" s="72" t="s">
        <v>440</v>
      </c>
      <c r="D243" s="125">
        <v>487800</v>
      </c>
      <c r="E243" s="125">
        <v>585516</v>
      </c>
      <c r="F243" s="125">
        <v>1384093</v>
      </c>
      <c r="G243" s="247">
        <v>654561</v>
      </c>
      <c r="H243" s="125">
        <v>484866</v>
      </c>
      <c r="I243" s="125">
        <v>900000</v>
      </c>
      <c r="J243" s="125">
        <v>900000</v>
      </c>
      <c r="K243" s="125">
        <v>1000000</v>
      </c>
      <c r="L243" s="125">
        <v>0</v>
      </c>
      <c r="M243" s="125">
        <v>0</v>
      </c>
      <c r="N243" s="247">
        <v>100000</v>
      </c>
      <c r="O243" s="247">
        <v>0</v>
      </c>
    </row>
    <row r="244" spans="1:15" s="145" customFormat="1" ht="15.75">
      <c r="A244" s="70" t="s">
        <v>3301</v>
      </c>
      <c r="B244" s="105" t="s">
        <v>5584</v>
      </c>
      <c r="C244" s="72" t="s">
        <v>675</v>
      </c>
      <c r="D244" s="125">
        <v>81733483</v>
      </c>
      <c r="E244" s="125">
        <v>78080891</v>
      </c>
      <c r="F244" s="125">
        <v>146781285</v>
      </c>
      <c r="G244" s="247">
        <v>90121937</v>
      </c>
      <c r="H244" s="125">
        <v>45434132</v>
      </c>
      <c r="I244" s="125">
        <v>149000000</v>
      </c>
      <c r="J244" s="125">
        <v>149000000</v>
      </c>
      <c r="K244" s="125">
        <v>102000000</v>
      </c>
      <c r="L244" s="125">
        <v>0</v>
      </c>
      <c r="M244" s="125">
        <v>0</v>
      </c>
      <c r="N244" s="247">
        <v>0</v>
      </c>
      <c r="O244" s="247">
        <v>47000000</v>
      </c>
    </row>
    <row r="245" spans="1:15" s="145" customFormat="1" ht="15.75">
      <c r="A245" s="70" t="s">
        <v>3302</v>
      </c>
      <c r="B245" s="105" t="s">
        <v>5585</v>
      </c>
      <c r="C245" s="72" t="s">
        <v>1036</v>
      </c>
      <c r="D245" s="125">
        <v>1680074</v>
      </c>
      <c r="E245" s="125">
        <v>1463343</v>
      </c>
      <c r="F245" s="125">
        <v>1965428</v>
      </c>
      <c r="G245" s="247">
        <v>951450</v>
      </c>
      <c r="H245" s="125">
        <v>1103225</v>
      </c>
      <c r="I245" s="125">
        <v>2000000</v>
      </c>
      <c r="J245" s="125">
        <v>2000000</v>
      </c>
      <c r="K245" s="125">
        <v>0</v>
      </c>
      <c r="L245" s="125">
        <v>0</v>
      </c>
      <c r="M245" s="125">
        <v>0</v>
      </c>
      <c r="N245" s="247">
        <v>0</v>
      </c>
      <c r="O245" s="247">
        <v>2000000</v>
      </c>
    </row>
    <row r="246" spans="1:15" s="145" customFormat="1" ht="31.5">
      <c r="A246" s="70" t="s">
        <v>3303</v>
      </c>
      <c r="B246" s="105"/>
      <c r="C246" s="72" t="s">
        <v>4</v>
      </c>
      <c r="D246" s="125">
        <v>0</v>
      </c>
      <c r="E246" s="125">
        <v>0</v>
      </c>
      <c r="F246" s="125">
        <v>168265</v>
      </c>
      <c r="G246" s="247">
        <v>168265</v>
      </c>
      <c r="H246" s="125">
        <v>0</v>
      </c>
      <c r="I246" s="125">
        <v>0</v>
      </c>
      <c r="J246" s="125">
        <v>0</v>
      </c>
      <c r="K246" s="125">
        <v>0</v>
      </c>
      <c r="L246" s="125">
        <v>0</v>
      </c>
      <c r="M246" s="125">
        <v>0</v>
      </c>
      <c r="N246" s="247">
        <v>0</v>
      </c>
      <c r="O246" s="247">
        <v>0</v>
      </c>
    </row>
    <row r="247" spans="1:15" s="145" customFormat="1" ht="15.75">
      <c r="A247" s="70" t="s">
        <v>3304</v>
      </c>
      <c r="B247" s="105" t="s">
        <v>5586</v>
      </c>
      <c r="C247" s="72" t="s">
        <v>1381</v>
      </c>
      <c r="D247" s="125">
        <v>23372083</v>
      </c>
      <c r="E247" s="125">
        <v>28000105</v>
      </c>
      <c r="F247" s="125">
        <v>1132614</v>
      </c>
      <c r="G247" s="247">
        <v>294098</v>
      </c>
      <c r="H247" s="125">
        <v>0</v>
      </c>
      <c r="I247" s="125">
        <v>30000000</v>
      </c>
      <c r="J247" s="125">
        <v>30000000</v>
      </c>
      <c r="K247" s="125">
        <v>150000</v>
      </c>
      <c r="L247" s="125">
        <v>0</v>
      </c>
      <c r="M247" s="125">
        <v>0</v>
      </c>
      <c r="N247" s="247">
        <v>0</v>
      </c>
      <c r="O247" s="247">
        <v>29850000</v>
      </c>
    </row>
    <row r="248" spans="1:15" s="145" customFormat="1" ht="15.75">
      <c r="A248" s="70" t="s">
        <v>3305</v>
      </c>
      <c r="B248" s="105" t="s">
        <v>5587</v>
      </c>
      <c r="C248" s="72" t="s">
        <v>1688</v>
      </c>
      <c r="D248" s="125">
        <v>660000</v>
      </c>
      <c r="E248" s="125">
        <v>20336490</v>
      </c>
      <c r="F248" s="125">
        <v>19560000</v>
      </c>
      <c r="G248" s="247">
        <v>2850000</v>
      </c>
      <c r="H248" s="125">
        <v>2940000</v>
      </c>
      <c r="I248" s="125">
        <v>0</v>
      </c>
      <c r="J248" s="125">
        <v>0</v>
      </c>
      <c r="K248" s="125">
        <v>18000000</v>
      </c>
      <c r="L248" s="125">
        <v>0</v>
      </c>
      <c r="M248" s="125">
        <v>0</v>
      </c>
      <c r="N248" s="247">
        <v>18000000</v>
      </c>
      <c r="O248" s="247">
        <v>0</v>
      </c>
    </row>
    <row r="249" spans="1:15" s="145" customFormat="1" ht="15.75">
      <c r="A249" s="70"/>
      <c r="B249" s="105"/>
      <c r="C249" s="72"/>
      <c r="D249" s="125">
        <v>0</v>
      </c>
      <c r="E249" s="125">
        <v>0</v>
      </c>
      <c r="F249" s="125">
        <v>0</v>
      </c>
      <c r="G249" s="247">
        <v>0</v>
      </c>
      <c r="H249" s="125">
        <v>0</v>
      </c>
      <c r="I249" s="125">
        <v>0</v>
      </c>
      <c r="J249" s="125">
        <v>0</v>
      </c>
      <c r="K249" s="125">
        <v>0</v>
      </c>
      <c r="L249" s="125">
        <v>0</v>
      </c>
      <c r="M249" s="125">
        <v>0</v>
      </c>
      <c r="N249" s="247">
        <v>0</v>
      </c>
      <c r="O249" s="247">
        <v>0</v>
      </c>
    </row>
    <row r="250" spans="1:15" s="145" customFormat="1" ht="15.75">
      <c r="A250" s="77" t="s">
        <v>2320</v>
      </c>
      <c r="B250" s="136" t="s">
        <v>146</v>
      </c>
      <c r="C250" s="72"/>
      <c r="D250" s="125">
        <v>5326032445</v>
      </c>
      <c r="E250" s="125">
        <v>5235422891</v>
      </c>
      <c r="F250" s="125">
        <v>6417870577</v>
      </c>
      <c r="G250" s="247">
        <v>3789334200.9899998</v>
      </c>
      <c r="H250" s="125">
        <v>1753845375</v>
      </c>
      <c r="I250" s="125">
        <v>9451500000</v>
      </c>
      <c r="J250" s="125">
        <v>9451500000</v>
      </c>
      <c r="K250" s="125">
        <v>8499650000</v>
      </c>
      <c r="L250" s="125">
        <v>0</v>
      </c>
      <c r="M250" s="125">
        <v>0</v>
      </c>
      <c r="N250" s="247">
        <v>0</v>
      </c>
      <c r="O250" s="247">
        <v>951850000</v>
      </c>
    </row>
    <row r="251" spans="1:15" s="145" customFormat="1" ht="15.75">
      <c r="A251" s="70"/>
      <c r="B251" s="105"/>
      <c r="C251" s="72"/>
      <c r="D251" s="125">
        <v>0</v>
      </c>
      <c r="E251" s="125">
        <v>0</v>
      </c>
      <c r="F251" s="125">
        <v>0</v>
      </c>
      <c r="G251" s="247">
        <v>0</v>
      </c>
      <c r="H251" s="125">
        <v>0</v>
      </c>
      <c r="I251" s="125">
        <v>0</v>
      </c>
      <c r="J251" s="125">
        <v>0</v>
      </c>
      <c r="K251" s="125">
        <v>0</v>
      </c>
      <c r="L251" s="125">
        <v>0</v>
      </c>
      <c r="M251" s="125">
        <v>0</v>
      </c>
      <c r="N251" s="247">
        <v>0</v>
      </c>
      <c r="O251" s="247">
        <v>0</v>
      </c>
    </row>
    <row r="252" spans="1:15" s="145" customFormat="1" ht="15.75">
      <c r="A252" s="70" t="s">
        <v>3306</v>
      </c>
      <c r="B252" s="105" t="s">
        <v>5588</v>
      </c>
      <c r="C252" s="72" t="s">
        <v>676</v>
      </c>
      <c r="D252" s="125">
        <v>272503</v>
      </c>
      <c r="E252" s="125">
        <v>1768908</v>
      </c>
      <c r="F252" s="125">
        <v>53292</v>
      </c>
      <c r="G252" s="247">
        <v>32441</v>
      </c>
      <c r="H252" s="125">
        <v>442817</v>
      </c>
      <c r="I252" s="125">
        <v>500000</v>
      </c>
      <c r="J252" s="125">
        <v>500000</v>
      </c>
      <c r="K252" s="125">
        <v>30000</v>
      </c>
      <c r="L252" s="125">
        <v>0</v>
      </c>
      <c r="M252" s="125">
        <v>0</v>
      </c>
      <c r="N252" s="247">
        <v>0</v>
      </c>
      <c r="O252" s="247">
        <v>470000</v>
      </c>
    </row>
    <row r="253" spans="1:15" s="145" customFormat="1" ht="15.75">
      <c r="A253" s="70"/>
      <c r="B253" s="105"/>
      <c r="C253" s="72"/>
      <c r="D253" s="125">
        <v>0</v>
      </c>
      <c r="E253" s="125">
        <v>0</v>
      </c>
      <c r="F253" s="125">
        <v>0</v>
      </c>
      <c r="G253" s="247">
        <v>0</v>
      </c>
      <c r="H253" s="125">
        <v>0</v>
      </c>
      <c r="I253" s="125">
        <v>0</v>
      </c>
      <c r="J253" s="125">
        <v>0</v>
      </c>
      <c r="K253" s="125">
        <v>0</v>
      </c>
      <c r="L253" s="125">
        <v>0</v>
      </c>
      <c r="M253" s="125">
        <v>0</v>
      </c>
      <c r="N253" s="247">
        <v>0</v>
      </c>
      <c r="O253" s="247">
        <v>0</v>
      </c>
    </row>
    <row r="254" spans="1:15" s="145" customFormat="1" ht="15.75">
      <c r="A254" s="77" t="s">
        <v>3307</v>
      </c>
      <c r="B254" s="136" t="s">
        <v>5589</v>
      </c>
      <c r="C254" s="72"/>
      <c r="D254" s="125">
        <v>5326304948</v>
      </c>
      <c r="E254" s="125">
        <v>5237191799</v>
      </c>
      <c r="F254" s="125">
        <v>6417923869</v>
      </c>
      <c r="G254" s="247">
        <v>3789366641.9899998</v>
      </c>
      <c r="H254" s="125">
        <v>1754288192</v>
      </c>
      <c r="I254" s="125">
        <v>9452000000</v>
      </c>
      <c r="J254" s="125">
        <v>9452000000</v>
      </c>
      <c r="K254" s="125">
        <v>8499680000</v>
      </c>
      <c r="L254" s="125">
        <v>0</v>
      </c>
      <c r="M254" s="125">
        <v>0</v>
      </c>
      <c r="N254" s="247">
        <v>0</v>
      </c>
      <c r="O254" s="247">
        <v>952320000</v>
      </c>
    </row>
    <row r="255" spans="1:15" s="145" customFormat="1" ht="15.75">
      <c r="A255" s="70"/>
      <c r="B255" s="105"/>
      <c r="C255" s="72"/>
      <c r="D255" s="125">
        <v>0</v>
      </c>
      <c r="E255" s="125">
        <v>0</v>
      </c>
      <c r="F255" s="125">
        <v>0</v>
      </c>
      <c r="G255" s="247">
        <v>0</v>
      </c>
      <c r="H255" s="125">
        <v>0</v>
      </c>
      <c r="I255" s="125">
        <v>0</v>
      </c>
      <c r="J255" s="125">
        <v>0</v>
      </c>
      <c r="K255" s="125">
        <v>0</v>
      </c>
      <c r="L255" s="125">
        <v>0</v>
      </c>
      <c r="M255" s="125">
        <v>0</v>
      </c>
      <c r="N255" s="247">
        <v>0</v>
      </c>
      <c r="O255" s="247">
        <v>0</v>
      </c>
    </row>
    <row r="256" spans="1:15" s="145" customFormat="1" ht="15.75">
      <c r="A256" s="70" t="s">
        <v>2666</v>
      </c>
      <c r="B256" s="105" t="s">
        <v>5590</v>
      </c>
      <c r="C256" s="72"/>
      <c r="D256" s="125">
        <v>0</v>
      </c>
      <c r="E256" s="125">
        <v>0</v>
      </c>
      <c r="F256" s="125">
        <v>0</v>
      </c>
      <c r="G256" s="247">
        <v>0</v>
      </c>
      <c r="H256" s="125">
        <v>0</v>
      </c>
      <c r="I256" s="125">
        <v>0</v>
      </c>
      <c r="J256" s="125">
        <v>0</v>
      </c>
      <c r="K256" s="125">
        <v>0</v>
      </c>
      <c r="L256" s="125">
        <v>0</v>
      </c>
      <c r="M256" s="125">
        <v>0</v>
      </c>
      <c r="N256" s="247">
        <v>0</v>
      </c>
      <c r="O256" s="247">
        <v>0</v>
      </c>
    </row>
    <row r="257" spans="1:15" s="145" customFormat="1" ht="15.75">
      <c r="A257" s="70" t="s">
        <v>3308</v>
      </c>
      <c r="B257" s="105" t="s">
        <v>5591</v>
      </c>
      <c r="C257" s="72" t="s">
        <v>677</v>
      </c>
      <c r="D257" s="125">
        <v>140316</v>
      </c>
      <c r="E257" s="125">
        <v>137067</v>
      </c>
      <c r="F257" s="125">
        <v>112060</v>
      </c>
      <c r="G257" s="247">
        <v>58240</v>
      </c>
      <c r="H257" s="125">
        <v>72170</v>
      </c>
      <c r="I257" s="125">
        <v>100000</v>
      </c>
      <c r="J257" s="125">
        <v>100000</v>
      </c>
      <c r="K257" s="125">
        <v>100000</v>
      </c>
      <c r="L257" s="125">
        <v>0</v>
      </c>
      <c r="M257" s="125">
        <v>0</v>
      </c>
      <c r="N257" s="247">
        <v>0</v>
      </c>
      <c r="O257" s="247">
        <v>0</v>
      </c>
    </row>
    <row r="258" spans="1:15" s="145" customFormat="1" ht="31.5">
      <c r="A258" s="70" t="s">
        <v>3309</v>
      </c>
      <c r="B258" s="105" t="s">
        <v>5592</v>
      </c>
      <c r="C258" s="72" t="s">
        <v>678</v>
      </c>
      <c r="D258" s="125">
        <v>143290796</v>
      </c>
      <c r="E258" s="125">
        <v>175019765</v>
      </c>
      <c r="F258" s="125">
        <v>124931519</v>
      </c>
      <c r="G258" s="247">
        <v>57629534</v>
      </c>
      <c r="H258" s="125">
        <v>69241915</v>
      </c>
      <c r="I258" s="125">
        <v>250000000</v>
      </c>
      <c r="J258" s="125">
        <v>250000000</v>
      </c>
      <c r="K258" s="125">
        <v>120000000</v>
      </c>
      <c r="L258" s="125">
        <v>0</v>
      </c>
      <c r="M258" s="125">
        <v>0</v>
      </c>
      <c r="N258" s="247">
        <v>0</v>
      </c>
      <c r="O258" s="247">
        <v>130000000</v>
      </c>
    </row>
    <row r="259" spans="1:15" s="145" customFormat="1" ht="31.5">
      <c r="A259" s="70" t="s">
        <v>3310</v>
      </c>
      <c r="B259" s="105" t="s">
        <v>5593</v>
      </c>
      <c r="C259" s="72" t="s">
        <v>5</v>
      </c>
      <c r="D259" s="125">
        <v>144485321</v>
      </c>
      <c r="E259" s="125">
        <v>501133406</v>
      </c>
      <c r="F259" s="125">
        <v>152456215</v>
      </c>
      <c r="G259" s="247">
        <v>82655945</v>
      </c>
      <c r="H259" s="125">
        <v>17471449</v>
      </c>
      <c r="I259" s="125">
        <v>270000000</v>
      </c>
      <c r="J259" s="125">
        <v>270000000</v>
      </c>
      <c r="K259" s="125">
        <v>130000000</v>
      </c>
      <c r="L259" s="125">
        <v>0</v>
      </c>
      <c r="M259" s="125">
        <v>0</v>
      </c>
      <c r="N259" s="247">
        <v>0</v>
      </c>
      <c r="O259" s="247">
        <v>140000000</v>
      </c>
    </row>
    <row r="260" spans="1:15" s="145" customFormat="1" ht="31.5">
      <c r="A260" s="70" t="s">
        <v>3311</v>
      </c>
      <c r="B260" s="105" t="s">
        <v>5594</v>
      </c>
      <c r="C260" s="72" t="s">
        <v>624</v>
      </c>
      <c r="D260" s="125">
        <v>104683042</v>
      </c>
      <c r="E260" s="125">
        <v>127932834</v>
      </c>
      <c r="F260" s="125">
        <v>176870058</v>
      </c>
      <c r="G260" s="247">
        <v>74441156</v>
      </c>
      <c r="H260" s="125">
        <v>97800726</v>
      </c>
      <c r="I260" s="125">
        <v>151000000</v>
      </c>
      <c r="J260" s="125">
        <v>151000000</v>
      </c>
      <c r="K260" s="125">
        <v>300000000</v>
      </c>
      <c r="L260" s="125">
        <v>0</v>
      </c>
      <c r="M260" s="125">
        <v>0</v>
      </c>
      <c r="N260" s="247">
        <v>149000000</v>
      </c>
      <c r="O260" s="247">
        <v>0</v>
      </c>
    </row>
    <row r="261" spans="1:15" s="145" customFormat="1" ht="31.5">
      <c r="A261" s="70" t="s">
        <v>3312</v>
      </c>
      <c r="B261" s="105" t="s">
        <v>5595</v>
      </c>
      <c r="C261" s="72" t="s">
        <v>7</v>
      </c>
      <c r="D261" s="125">
        <v>129858755</v>
      </c>
      <c r="E261" s="125">
        <v>295241815</v>
      </c>
      <c r="F261" s="125">
        <v>216996050</v>
      </c>
      <c r="G261" s="247">
        <v>58632560</v>
      </c>
      <c r="H261" s="125">
        <v>182657380</v>
      </c>
      <c r="I261" s="125">
        <v>90000000</v>
      </c>
      <c r="J261" s="125">
        <v>90000000</v>
      </c>
      <c r="K261" s="125">
        <v>90000000</v>
      </c>
      <c r="L261" s="125">
        <v>0</v>
      </c>
      <c r="M261" s="125">
        <v>0</v>
      </c>
      <c r="N261" s="247">
        <v>0</v>
      </c>
      <c r="O261" s="247">
        <v>0</v>
      </c>
    </row>
    <row r="262" spans="1:15" s="145" customFormat="1" ht="31.5">
      <c r="A262" s="70" t="s">
        <v>3313</v>
      </c>
      <c r="B262" s="105" t="s">
        <v>5596</v>
      </c>
      <c r="C262" s="72" t="s">
        <v>6</v>
      </c>
      <c r="D262" s="125">
        <v>904000</v>
      </c>
      <c r="E262" s="125">
        <v>73509360</v>
      </c>
      <c r="F262" s="125">
        <v>44600350</v>
      </c>
      <c r="G262" s="247">
        <v>32780700</v>
      </c>
      <c r="H262" s="125">
        <v>11078100</v>
      </c>
      <c r="I262" s="125">
        <v>10000000</v>
      </c>
      <c r="J262" s="125">
        <v>10000000</v>
      </c>
      <c r="K262" s="125">
        <v>5000000</v>
      </c>
      <c r="L262" s="125">
        <v>0</v>
      </c>
      <c r="M262" s="125">
        <v>0</v>
      </c>
      <c r="N262" s="247">
        <v>0</v>
      </c>
      <c r="O262" s="247">
        <v>5000000</v>
      </c>
    </row>
    <row r="263" spans="1:15" s="145" customFormat="1" ht="31.5">
      <c r="A263" s="70" t="s">
        <v>3314</v>
      </c>
      <c r="B263" s="105" t="s">
        <v>5597</v>
      </c>
      <c r="C263" s="72" t="s">
        <v>8</v>
      </c>
      <c r="D263" s="125">
        <v>45581716</v>
      </c>
      <c r="E263" s="125">
        <v>42814722</v>
      </c>
      <c r="F263" s="125">
        <v>35071856</v>
      </c>
      <c r="G263" s="247">
        <v>17382202</v>
      </c>
      <c r="H263" s="125">
        <v>17216945</v>
      </c>
      <c r="I263" s="125">
        <v>40000000</v>
      </c>
      <c r="J263" s="125">
        <v>40000000</v>
      </c>
      <c r="K263" s="125">
        <v>40000000</v>
      </c>
      <c r="L263" s="125">
        <v>0</v>
      </c>
      <c r="M263" s="125">
        <v>0</v>
      </c>
      <c r="N263" s="247">
        <v>0</v>
      </c>
      <c r="O263" s="247">
        <v>0</v>
      </c>
    </row>
    <row r="264" spans="1:15" s="145" customFormat="1" ht="31.5">
      <c r="A264" s="70" t="s">
        <v>3315</v>
      </c>
      <c r="B264" s="105" t="s">
        <v>5598</v>
      </c>
      <c r="C264" s="72" t="s">
        <v>9</v>
      </c>
      <c r="D264" s="125">
        <v>74325499</v>
      </c>
      <c r="E264" s="125">
        <v>230506234</v>
      </c>
      <c r="F264" s="125">
        <v>61780560</v>
      </c>
      <c r="G264" s="247">
        <v>31665100</v>
      </c>
      <c r="H264" s="125">
        <v>8990370</v>
      </c>
      <c r="I264" s="125">
        <v>40000000</v>
      </c>
      <c r="J264" s="125">
        <v>40000000</v>
      </c>
      <c r="K264" s="125">
        <v>40000000</v>
      </c>
      <c r="L264" s="125">
        <v>0</v>
      </c>
      <c r="M264" s="125">
        <v>0</v>
      </c>
      <c r="N264" s="247">
        <v>0</v>
      </c>
      <c r="O264" s="247">
        <v>0</v>
      </c>
    </row>
    <row r="265" spans="1:15" s="145" customFormat="1" ht="15.75">
      <c r="A265" s="70"/>
      <c r="B265" s="105"/>
      <c r="C265" s="72"/>
      <c r="D265" s="125">
        <v>0</v>
      </c>
      <c r="E265" s="125">
        <v>0</v>
      </c>
      <c r="F265" s="125">
        <v>0</v>
      </c>
      <c r="G265" s="247">
        <v>0</v>
      </c>
      <c r="H265" s="125">
        <v>0</v>
      </c>
      <c r="I265" s="125">
        <v>0</v>
      </c>
      <c r="J265" s="125">
        <v>0</v>
      </c>
      <c r="K265" s="125">
        <v>0</v>
      </c>
      <c r="L265" s="125">
        <v>0</v>
      </c>
      <c r="M265" s="125">
        <v>0</v>
      </c>
      <c r="N265" s="247">
        <v>0</v>
      </c>
      <c r="O265" s="247">
        <v>0</v>
      </c>
    </row>
    <row r="266" spans="1:15" s="145" customFormat="1" ht="15.75">
      <c r="A266" s="77" t="s">
        <v>2676</v>
      </c>
      <c r="B266" s="136" t="s">
        <v>5599</v>
      </c>
      <c r="C266" s="72"/>
      <c r="D266" s="125">
        <v>643269445</v>
      </c>
      <c r="E266" s="125">
        <v>1446295203</v>
      </c>
      <c r="F266" s="125">
        <v>812818668</v>
      </c>
      <c r="G266" s="247">
        <v>355245437</v>
      </c>
      <c r="H266" s="125">
        <v>404529055</v>
      </c>
      <c r="I266" s="125">
        <v>851100000</v>
      </c>
      <c r="J266" s="125">
        <v>851100000</v>
      </c>
      <c r="K266" s="125">
        <v>725100000</v>
      </c>
      <c r="L266" s="125">
        <v>0</v>
      </c>
      <c r="M266" s="125">
        <v>0</v>
      </c>
      <c r="N266" s="247">
        <v>0</v>
      </c>
      <c r="O266" s="247">
        <v>126000000</v>
      </c>
    </row>
    <row r="267" spans="1:15" s="145" customFormat="1" ht="15.75">
      <c r="A267" s="70"/>
      <c r="B267" s="105"/>
      <c r="C267" s="72"/>
      <c r="D267" s="125">
        <v>0</v>
      </c>
      <c r="E267" s="125">
        <v>0</v>
      </c>
      <c r="F267" s="125">
        <v>0</v>
      </c>
      <c r="G267" s="247">
        <v>0</v>
      </c>
      <c r="H267" s="125">
        <v>0</v>
      </c>
      <c r="I267" s="125">
        <v>0</v>
      </c>
      <c r="J267" s="125">
        <v>0</v>
      </c>
      <c r="K267" s="125">
        <v>0</v>
      </c>
      <c r="L267" s="125">
        <v>0</v>
      </c>
      <c r="M267" s="125">
        <v>0</v>
      </c>
      <c r="N267" s="247">
        <v>0</v>
      </c>
      <c r="O267" s="247">
        <v>0</v>
      </c>
    </row>
    <row r="268" spans="1:15" s="145" customFormat="1" ht="31.5">
      <c r="A268" s="70" t="s">
        <v>3316</v>
      </c>
      <c r="B268" s="105" t="s">
        <v>5600</v>
      </c>
      <c r="C268" s="72"/>
      <c r="D268" s="125">
        <v>0</v>
      </c>
      <c r="E268" s="125">
        <v>0</v>
      </c>
      <c r="F268" s="125">
        <v>0</v>
      </c>
      <c r="G268" s="247">
        <v>0</v>
      </c>
      <c r="H268" s="125">
        <v>0</v>
      </c>
      <c r="I268" s="125">
        <v>0</v>
      </c>
      <c r="J268" s="125">
        <v>0</v>
      </c>
      <c r="K268" s="125">
        <v>0</v>
      </c>
      <c r="L268" s="125">
        <v>0</v>
      </c>
      <c r="M268" s="125">
        <v>0</v>
      </c>
      <c r="N268" s="247">
        <v>0</v>
      </c>
      <c r="O268" s="247">
        <v>0</v>
      </c>
    </row>
    <row r="269" spans="1:15" s="145" customFormat="1" ht="15.75">
      <c r="A269" s="70" t="s">
        <v>3317</v>
      </c>
      <c r="B269" s="105" t="s">
        <v>5601</v>
      </c>
      <c r="C269" s="72"/>
      <c r="D269" s="125">
        <v>0</v>
      </c>
      <c r="E269" s="125">
        <v>0</v>
      </c>
      <c r="F269" s="125">
        <v>0</v>
      </c>
      <c r="G269" s="247">
        <v>0</v>
      </c>
      <c r="H269" s="125">
        <v>0</v>
      </c>
      <c r="I269" s="125">
        <v>0</v>
      </c>
      <c r="J269" s="125">
        <v>0</v>
      </c>
      <c r="K269" s="125">
        <v>0</v>
      </c>
      <c r="L269" s="125">
        <v>0</v>
      </c>
      <c r="M269" s="125">
        <v>0</v>
      </c>
      <c r="N269" s="247">
        <v>0</v>
      </c>
      <c r="O269" s="247">
        <v>0</v>
      </c>
    </row>
    <row r="270" spans="1:15" s="145" customFormat="1" ht="15.75">
      <c r="A270" s="70" t="s">
        <v>3318</v>
      </c>
      <c r="B270" s="105" t="s">
        <v>5602</v>
      </c>
      <c r="C270" s="72" t="s">
        <v>790</v>
      </c>
      <c r="D270" s="125">
        <v>9187322</v>
      </c>
      <c r="E270" s="125">
        <v>10914224</v>
      </c>
      <c r="F270" s="125">
        <v>4619781</v>
      </c>
      <c r="G270" s="247">
        <v>2225989</v>
      </c>
      <c r="H270" s="125">
        <v>1475228</v>
      </c>
      <c r="I270" s="125">
        <v>600000000</v>
      </c>
      <c r="J270" s="125">
        <v>600000000</v>
      </c>
      <c r="K270" s="125">
        <v>250000000</v>
      </c>
      <c r="L270" s="125">
        <v>0</v>
      </c>
      <c r="M270" s="125">
        <v>0</v>
      </c>
      <c r="N270" s="247">
        <v>0</v>
      </c>
      <c r="O270" s="247">
        <v>350000000</v>
      </c>
    </row>
    <row r="271" spans="1:15" s="145" customFormat="1" ht="15.75">
      <c r="A271" s="70" t="s">
        <v>3319</v>
      </c>
      <c r="B271" s="105" t="s">
        <v>5603</v>
      </c>
      <c r="C271" s="72" t="s">
        <v>791</v>
      </c>
      <c r="D271" s="125">
        <v>377432536</v>
      </c>
      <c r="E271" s="125">
        <v>221668289</v>
      </c>
      <c r="F271" s="125">
        <v>423060796</v>
      </c>
      <c r="G271" s="247">
        <v>179130693.5</v>
      </c>
      <c r="H271" s="125">
        <v>183548178</v>
      </c>
      <c r="I271" s="125">
        <v>1000000000</v>
      </c>
      <c r="J271" s="125">
        <v>1000000000</v>
      </c>
      <c r="K271" s="125">
        <v>200000000</v>
      </c>
      <c r="L271" s="125">
        <v>0</v>
      </c>
      <c r="M271" s="125">
        <v>0</v>
      </c>
      <c r="N271" s="247">
        <v>0</v>
      </c>
      <c r="O271" s="247">
        <v>800000000</v>
      </c>
    </row>
    <row r="272" spans="1:15" s="145" customFormat="1" ht="15.75">
      <c r="A272" s="70" t="s">
        <v>3320</v>
      </c>
      <c r="B272" s="105" t="s">
        <v>5604</v>
      </c>
      <c r="C272" s="72" t="s">
        <v>792</v>
      </c>
      <c r="D272" s="125">
        <v>6535540</v>
      </c>
      <c r="E272" s="125">
        <v>9940398</v>
      </c>
      <c r="F272" s="125">
        <v>9897435</v>
      </c>
      <c r="G272" s="247">
        <v>3906413.5</v>
      </c>
      <c r="H272" s="125">
        <v>823375</v>
      </c>
      <c r="I272" s="125">
        <v>10000000</v>
      </c>
      <c r="J272" s="125">
        <v>10000000</v>
      </c>
      <c r="K272" s="125">
        <v>5350000</v>
      </c>
      <c r="L272" s="125">
        <v>0</v>
      </c>
      <c r="M272" s="125">
        <v>0</v>
      </c>
      <c r="N272" s="247">
        <v>0</v>
      </c>
      <c r="O272" s="247">
        <v>4650000</v>
      </c>
    </row>
    <row r="273" spans="1:15" s="145" customFormat="1" ht="15.75">
      <c r="A273" s="70" t="s">
        <v>3321</v>
      </c>
      <c r="B273" s="105" t="s">
        <v>5605</v>
      </c>
      <c r="C273" s="72" t="s">
        <v>793</v>
      </c>
      <c r="D273" s="125">
        <v>13391</v>
      </c>
      <c r="E273" s="125">
        <v>188636</v>
      </c>
      <c r="F273" s="125">
        <v>88844</v>
      </c>
      <c r="G273" s="247">
        <v>40593</v>
      </c>
      <c r="H273" s="125">
        <v>93170</v>
      </c>
      <c r="I273" s="125">
        <v>300000</v>
      </c>
      <c r="J273" s="125">
        <v>300000</v>
      </c>
      <c r="K273" s="125">
        <v>100000</v>
      </c>
      <c r="L273" s="125">
        <v>0</v>
      </c>
      <c r="M273" s="125">
        <v>0</v>
      </c>
      <c r="N273" s="247">
        <v>0</v>
      </c>
      <c r="O273" s="247">
        <v>200000</v>
      </c>
    </row>
    <row r="274" spans="1:15" s="145" customFormat="1" ht="15.75">
      <c r="A274" s="70" t="s">
        <v>3322</v>
      </c>
      <c r="B274" s="105" t="s">
        <v>5606</v>
      </c>
      <c r="C274" s="72" t="s">
        <v>794</v>
      </c>
      <c r="D274" s="125">
        <v>368620</v>
      </c>
      <c r="E274" s="125">
        <v>290260</v>
      </c>
      <c r="F274" s="125">
        <v>376930</v>
      </c>
      <c r="G274" s="247">
        <v>209425</v>
      </c>
      <c r="H274" s="125">
        <v>186840</v>
      </c>
      <c r="I274" s="125">
        <v>500000</v>
      </c>
      <c r="J274" s="125">
        <v>500000</v>
      </c>
      <c r="K274" s="125">
        <v>500000</v>
      </c>
      <c r="L274" s="125">
        <v>0</v>
      </c>
      <c r="M274" s="125">
        <v>0</v>
      </c>
      <c r="N274" s="247">
        <v>0</v>
      </c>
      <c r="O274" s="247">
        <v>0</v>
      </c>
    </row>
    <row r="275" spans="1:15" s="145" customFormat="1" ht="15.75">
      <c r="A275" s="70" t="s">
        <v>3323</v>
      </c>
      <c r="B275" s="105" t="s">
        <v>5607</v>
      </c>
      <c r="C275" s="72" t="s">
        <v>795</v>
      </c>
      <c r="D275" s="125">
        <v>47755</v>
      </c>
      <c r="E275" s="125">
        <v>48988</v>
      </c>
      <c r="F275" s="125">
        <v>36330</v>
      </c>
      <c r="G275" s="247">
        <v>-6507</v>
      </c>
      <c r="H275" s="125">
        <v>11820</v>
      </c>
      <c r="I275" s="125">
        <v>350000</v>
      </c>
      <c r="J275" s="125">
        <v>350000</v>
      </c>
      <c r="K275" s="125">
        <v>28000</v>
      </c>
      <c r="L275" s="125">
        <v>0</v>
      </c>
      <c r="M275" s="125">
        <v>0</v>
      </c>
      <c r="N275" s="247">
        <v>0</v>
      </c>
      <c r="O275" s="247">
        <v>322000</v>
      </c>
    </row>
    <row r="276" spans="1:15" s="145" customFormat="1" ht="15.75">
      <c r="A276" s="70" t="s">
        <v>3324</v>
      </c>
      <c r="B276" s="105" t="s">
        <v>5608</v>
      </c>
      <c r="C276" s="72" t="s">
        <v>1539</v>
      </c>
      <c r="D276" s="125">
        <v>608300</v>
      </c>
      <c r="E276" s="125">
        <v>3156779</v>
      </c>
      <c r="F276" s="125">
        <v>195420</v>
      </c>
      <c r="G276" s="247">
        <v>10425</v>
      </c>
      <c r="H276" s="125">
        <v>64000</v>
      </c>
      <c r="I276" s="125">
        <v>400000</v>
      </c>
      <c r="J276" s="125">
        <v>400000</v>
      </c>
      <c r="K276" s="125">
        <v>400000</v>
      </c>
      <c r="L276" s="125">
        <v>0</v>
      </c>
      <c r="M276" s="125">
        <v>0</v>
      </c>
      <c r="N276" s="247">
        <v>0</v>
      </c>
      <c r="O276" s="247">
        <v>0</v>
      </c>
    </row>
    <row r="277" spans="1:15" s="145" customFormat="1" ht="15.75">
      <c r="A277" s="70" t="s">
        <v>3325</v>
      </c>
      <c r="B277" s="105" t="s">
        <v>5609</v>
      </c>
      <c r="C277" s="72" t="s">
        <v>1689</v>
      </c>
      <c r="D277" s="125">
        <v>744400</v>
      </c>
      <c r="E277" s="125">
        <v>2010700</v>
      </c>
      <c r="F277" s="125">
        <v>64100</v>
      </c>
      <c r="G277" s="247">
        <v>55600</v>
      </c>
      <c r="H277" s="125">
        <v>70600</v>
      </c>
      <c r="I277" s="125">
        <v>0</v>
      </c>
      <c r="J277" s="125">
        <v>0</v>
      </c>
      <c r="K277" s="125">
        <v>100000</v>
      </c>
      <c r="L277" s="125">
        <v>0</v>
      </c>
      <c r="M277" s="125">
        <v>0</v>
      </c>
      <c r="N277" s="247">
        <v>100000</v>
      </c>
      <c r="O277" s="247">
        <v>0</v>
      </c>
    </row>
    <row r="278" spans="1:15" s="145" customFormat="1" ht="15.75">
      <c r="A278" s="70"/>
      <c r="B278" s="105"/>
      <c r="C278" s="72"/>
      <c r="D278" s="125">
        <v>0</v>
      </c>
      <c r="E278" s="125">
        <v>0</v>
      </c>
      <c r="F278" s="125">
        <v>0</v>
      </c>
      <c r="G278" s="247">
        <v>0</v>
      </c>
      <c r="H278" s="125">
        <v>0</v>
      </c>
      <c r="I278" s="125">
        <v>0</v>
      </c>
      <c r="J278" s="125">
        <v>0</v>
      </c>
      <c r="K278" s="125">
        <v>0</v>
      </c>
      <c r="L278" s="125">
        <v>0</v>
      </c>
      <c r="M278" s="125">
        <v>0</v>
      </c>
      <c r="N278" s="247">
        <v>0</v>
      </c>
      <c r="O278" s="247">
        <v>0</v>
      </c>
    </row>
    <row r="279" spans="1:15" s="145" customFormat="1" ht="15.75">
      <c r="A279" s="77" t="s">
        <v>2320</v>
      </c>
      <c r="B279" s="136" t="s">
        <v>146</v>
      </c>
      <c r="C279" s="72"/>
      <c r="D279" s="125">
        <v>394937864</v>
      </c>
      <c r="E279" s="125">
        <v>248218274</v>
      </c>
      <c r="F279" s="125">
        <v>438339636</v>
      </c>
      <c r="G279" s="247">
        <v>185572632</v>
      </c>
      <c r="H279" s="125">
        <v>186273211</v>
      </c>
      <c r="I279" s="125">
        <v>1611550000</v>
      </c>
      <c r="J279" s="125">
        <v>1611550000</v>
      </c>
      <c r="K279" s="125">
        <v>456478000</v>
      </c>
      <c r="L279" s="125">
        <v>0</v>
      </c>
      <c r="M279" s="125">
        <v>0</v>
      </c>
      <c r="N279" s="247">
        <v>0</v>
      </c>
      <c r="O279" s="247">
        <v>1155072000</v>
      </c>
    </row>
    <row r="280" spans="1:15" s="145" customFormat="1" ht="15.75">
      <c r="A280" s="70"/>
      <c r="B280" s="105"/>
      <c r="C280" s="72"/>
      <c r="D280" s="125">
        <v>0</v>
      </c>
      <c r="E280" s="125">
        <v>0</v>
      </c>
      <c r="F280" s="125">
        <v>0</v>
      </c>
      <c r="G280" s="247">
        <v>0</v>
      </c>
      <c r="H280" s="125">
        <v>0</v>
      </c>
      <c r="I280" s="125">
        <v>0</v>
      </c>
      <c r="J280" s="125">
        <v>0</v>
      </c>
      <c r="K280" s="125">
        <v>0</v>
      </c>
      <c r="L280" s="125">
        <v>0</v>
      </c>
      <c r="M280" s="125">
        <v>0</v>
      </c>
      <c r="N280" s="247">
        <v>0</v>
      </c>
      <c r="O280" s="247">
        <v>0</v>
      </c>
    </row>
    <row r="281" spans="1:15" s="145" customFormat="1" ht="15.75">
      <c r="A281" s="70" t="s">
        <v>3326</v>
      </c>
      <c r="B281" s="105" t="s">
        <v>5610</v>
      </c>
      <c r="C281" s="72" t="s">
        <v>796</v>
      </c>
      <c r="D281" s="125">
        <v>1390972</v>
      </c>
      <c r="E281" s="125">
        <v>861000</v>
      </c>
      <c r="F281" s="125">
        <v>3640500</v>
      </c>
      <c r="G281" s="247">
        <v>2279000</v>
      </c>
      <c r="H281" s="125">
        <v>2853853</v>
      </c>
      <c r="I281" s="125">
        <v>6000000</v>
      </c>
      <c r="J281" s="125">
        <v>6000000</v>
      </c>
      <c r="K281" s="125">
        <v>6000000</v>
      </c>
      <c r="L281" s="125">
        <v>0</v>
      </c>
      <c r="M281" s="125">
        <v>0</v>
      </c>
      <c r="N281" s="247">
        <v>0</v>
      </c>
      <c r="O281" s="247">
        <v>0</v>
      </c>
    </row>
    <row r="282" spans="1:15" s="145" customFormat="1" ht="15.75">
      <c r="A282" s="70"/>
      <c r="B282" s="105"/>
      <c r="C282" s="72"/>
      <c r="D282" s="125">
        <v>0</v>
      </c>
      <c r="E282" s="125">
        <v>0</v>
      </c>
      <c r="F282" s="125">
        <v>0</v>
      </c>
      <c r="G282" s="247">
        <v>0</v>
      </c>
      <c r="H282" s="125">
        <v>0</v>
      </c>
      <c r="I282" s="125">
        <v>0</v>
      </c>
      <c r="J282" s="125">
        <v>0</v>
      </c>
      <c r="K282" s="125">
        <v>0</v>
      </c>
      <c r="L282" s="125">
        <v>0</v>
      </c>
      <c r="M282" s="125">
        <v>0</v>
      </c>
      <c r="N282" s="247">
        <v>0</v>
      </c>
      <c r="O282" s="247">
        <v>0</v>
      </c>
    </row>
    <row r="283" spans="1:15" s="145" customFormat="1" ht="15.75">
      <c r="A283" s="77" t="s">
        <v>3327</v>
      </c>
      <c r="B283" s="136" t="s">
        <v>5611</v>
      </c>
      <c r="C283" s="72"/>
      <c r="D283" s="125">
        <v>396328836</v>
      </c>
      <c r="E283" s="125">
        <v>249079274</v>
      </c>
      <c r="F283" s="125">
        <v>441980136</v>
      </c>
      <c r="G283" s="247">
        <v>187851632</v>
      </c>
      <c r="H283" s="125">
        <v>189127064</v>
      </c>
      <c r="I283" s="125">
        <v>1617550000</v>
      </c>
      <c r="J283" s="125">
        <v>1617550000</v>
      </c>
      <c r="K283" s="125">
        <v>462478000</v>
      </c>
      <c r="L283" s="125">
        <v>0</v>
      </c>
      <c r="M283" s="125">
        <v>0</v>
      </c>
      <c r="N283" s="247">
        <v>0</v>
      </c>
      <c r="O283" s="247">
        <v>1155072000</v>
      </c>
    </row>
    <row r="284" spans="1:15" s="145" customFormat="1" ht="15.75">
      <c r="A284" s="70"/>
      <c r="B284" s="105"/>
      <c r="C284" s="72"/>
      <c r="D284" s="125">
        <v>0</v>
      </c>
      <c r="E284" s="125">
        <v>0</v>
      </c>
      <c r="F284" s="125">
        <v>0</v>
      </c>
      <c r="G284" s="247">
        <v>0</v>
      </c>
      <c r="H284" s="125">
        <v>0</v>
      </c>
      <c r="I284" s="125">
        <v>0</v>
      </c>
      <c r="J284" s="125">
        <v>0</v>
      </c>
      <c r="K284" s="125">
        <v>0</v>
      </c>
      <c r="L284" s="125">
        <v>0</v>
      </c>
      <c r="M284" s="125">
        <v>0</v>
      </c>
      <c r="N284" s="247">
        <v>0</v>
      </c>
      <c r="O284" s="247">
        <v>0</v>
      </c>
    </row>
    <row r="285" spans="1:15" s="145" customFormat="1" ht="15.75">
      <c r="A285" s="70" t="s">
        <v>3424</v>
      </c>
      <c r="B285" s="105" t="s">
        <v>5612</v>
      </c>
      <c r="C285" s="72"/>
      <c r="D285" s="125">
        <v>0</v>
      </c>
      <c r="E285" s="125">
        <v>0</v>
      </c>
      <c r="F285" s="125">
        <v>0</v>
      </c>
      <c r="G285" s="247">
        <v>0</v>
      </c>
      <c r="H285" s="125">
        <v>0</v>
      </c>
      <c r="I285" s="125">
        <v>0</v>
      </c>
      <c r="J285" s="125">
        <v>0</v>
      </c>
      <c r="K285" s="125">
        <v>0</v>
      </c>
      <c r="L285" s="125">
        <v>0</v>
      </c>
      <c r="M285" s="125">
        <v>0</v>
      </c>
      <c r="N285" s="247">
        <v>0</v>
      </c>
      <c r="O285" s="247">
        <v>0</v>
      </c>
    </row>
    <row r="286" spans="1:15" s="145" customFormat="1" ht="15.75">
      <c r="A286" s="70" t="s">
        <v>2924</v>
      </c>
      <c r="B286" s="105" t="s">
        <v>5613</v>
      </c>
      <c r="C286" s="72"/>
      <c r="D286" s="125">
        <v>0</v>
      </c>
      <c r="E286" s="125">
        <v>0</v>
      </c>
      <c r="F286" s="125">
        <v>0</v>
      </c>
      <c r="G286" s="247">
        <v>0</v>
      </c>
      <c r="H286" s="125">
        <v>0</v>
      </c>
      <c r="I286" s="125">
        <v>0</v>
      </c>
      <c r="J286" s="125">
        <v>0</v>
      </c>
      <c r="K286" s="125">
        <v>0</v>
      </c>
      <c r="L286" s="125">
        <v>0</v>
      </c>
      <c r="M286" s="125">
        <v>0</v>
      </c>
      <c r="N286" s="247">
        <v>0</v>
      </c>
      <c r="O286" s="247">
        <v>0</v>
      </c>
    </row>
    <row r="287" spans="1:15" s="145" customFormat="1" ht="15.75">
      <c r="A287" s="70" t="s">
        <v>3328</v>
      </c>
      <c r="B287" s="105" t="s">
        <v>5614</v>
      </c>
      <c r="C287" s="72" t="s">
        <v>797</v>
      </c>
      <c r="D287" s="125">
        <v>192799</v>
      </c>
      <c r="E287" s="125">
        <v>162859</v>
      </c>
      <c r="F287" s="125">
        <v>179212</v>
      </c>
      <c r="G287" s="247">
        <v>-61023</v>
      </c>
      <c r="H287" s="125">
        <v>136176</v>
      </c>
      <c r="I287" s="125">
        <v>150000</v>
      </c>
      <c r="J287" s="125">
        <v>150000</v>
      </c>
      <c r="K287" s="125">
        <v>20000000</v>
      </c>
      <c r="L287" s="125">
        <v>0</v>
      </c>
      <c r="M287" s="125">
        <v>0</v>
      </c>
      <c r="N287" s="247">
        <v>19850000</v>
      </c>
      <c r="O287" s="247">
        <v>0</v>
      </c>
    </row>
    <row r="288" spans="1:15" s="145" customFormat="1" ht="15.75">
      <c r="A288" s="70" t="s">
        <v>3329</v>
      </c>
      <c r="B288" s="105" t="s">
        <v>5615</v>
      </c>
      <c r="C288" s="72" t="s">
        <v>798</v>
      </c>
      <c r="D288" s="125">
        <v>129118</v>
      </c>
      <c r="E288" s="125">
        <v>215726</v>
      </c>
      <c r="F288" s="125">
        <v>93251</v>
      </c>
      <c r="G288" s="247">
        <v>87266</v>
      </c>
      <c r="H288" s="125">
        <v>45530</v>
      </c>
      <c r="I288" s="125">
        <v>250000</v>
      </c>
      <c r="J288" s="125">
        <v>250000</v>
      </c>
      <c r="K288" s="125">
        <v>100000</v>
      </c>
      <c r="L288" s="125">
        <v>0</v>
      </c>
      <c r="M288" s="125">
        <v>0</v>
      </c>
      <c r="N288" s="247">
        <v>0</v>
      </c>
      <c r="O288" s="247">
        <v>150000</v>
      </c>
    </row>
    <row r="289" spans="1:15" s="145" customFormat="1" ht="15.75">
      <c r="A289" s="70" t="s">
        <v>3425</v>
      </c>
      <c r="B289" s="105" t="s">
        <v>5616</v>
      </c>
      <c r="C289" s="72" t="s">
        <v>603</v>
      </c>
      <c r="D289" s="125">
        <v>9816830</v>
      </c>
      <c r="E289" s="125">
        <v>8970201</v>
      </c>
      <c r="F289" s="125">
        <v>9023523</v>
      </c>
      <c r="G289" s="247">
        <v>3974817</v>
      </c>
      <c r="H289" s="125">
        <v>4320788</v>
      </c>
      <c r="I289" s="125">
        <v>20000000</v>
      </c>
      <c r="J289" s="125">
        <v>20000000</v>
      </c>
      <c r="K289" s="125">
        <v>23000000</v>
      </c>
      <c r="L289" s="125">
        <v>0</v>
      </c>
      <c r="M289" s="125">
        <v>0</v>
      </c>
      <c r="N289" s="247">
        <v>3000000</v>
      </c>
      <c r="O289" s="247">
        <v>0</v>
      </c>
    </row>
    <row r="290" spans="1:15" s="145" customFormat="1" ht="15.75">
      <c r="A290" s="70"/>
      <c r="B290" s="105"/>
      <c r="C290" s="72"/>
      <c r="D290" s="125">
        <v>0</v>
      </c>
      <c r="E290" s="125">
        <v>0</v>
      </c>
      <c r="F290" s="125">
        <v>0</v>
      </c>
      <c r="G290" s="247">
        <v>0</v>
      </c>
      <c r="H290" s="125">
        <v>0</v>
      </c>
      <c r="I290" s="125">
        <v>0</v>
      </c>
      <c r="J290" s="125">
        <v>0</v>
      </c>
      <c r="K290" s="125">
        <v>0</v>
      </c>
      <c r="L290" s="125">
        <v>0</v>
      </c>
      <c r="M290" s="125">
        <v>0</v>
      </c>
      <c r="N290" s="247">
        <v>0</v>
      </c>
      <c r="O290" s="247">
        <v>0</v>
      </c>
    </row>
    <row r="291" spans="1:15" s="145" customFormat="1" ht="15.75">
      <c r="A291" s="77" t="s">
        <v>2320</v>
      </c>
      <c r="B291" s="136" t="s">
        <v>5478</v>
      </c>
      <c r="C291" s="72"/>
      <c r="D291" s="125">
        <v>10138747</v>
      </c>
      <c r="E291" s="125">
        <v>9348786</v>
      </c>
      <c r="F291" s="125">
        <v>9295986</v>
      </c>
      <c r="G291" s="247">
        <v>4001060</v>
      </c>
      <c r="H291" s="125">
        <v>4502494</v>
      </c>
      <c r="I291" s="125">
        <v>20400000</v>
      </c>
      <c r="J291" s="125">
        <v>20400000</v>
      </c>
      <c r="K291" s="125">
        <v>43100000</v>
      </c>
      <c r="L291" s="125">
        <v>0</v>
      </c>
      <c r="M291" s="125">
        <v>0</v>
      </c>
      <c r="N291" s="247">
        <v>22700000</v>
      </c>
      <c r="O291" s="247">
        <v>0</v>
      </c>
    </row>
    <row r="292" spans="1:15" s="145" customFormat="1" ht="15.75">
      <c r="A292" s="70"/>
      <c r="B292" s="105"/>
      <c r="C292" s="72"/>
      <c r="D292" s="125">
        <v>0</v>
      </c>
      <c r="E292" s="125">
        <v>0</v>
      </c>
      <c r="F292" s="125">
        <v>0</v>
      </c>
      <c r="G292" s="247">
        <v>0</v>
      </c>
      <c r="H292" s="125">
        <v>0</v>
      </c>
      <c r="I292" s="125">
        <v>0</v>
      </c>
      <c r="J292" s="125">
        <v>0</v>
      </c>
      <c r="K292" s="125">
        <v>0</v>
      </c>
      <c r="L292" s="125">
        <v>0</v>
      </c>
      <c r="M292" s="125">
        <v>0</v>
      </c>
      <c r="N292" s="247">
        <v>0</v>
      </c>
      <c r="O292" s="247">
        <v>0</v>
      </c>
    </row>
    <row r="293" spans="1:15" s="145" customFormat="1" ht="15.75">
      <c r="A293" s="70" t="s">
        <v>2696</v>
      </c>
      <c r="B293" s="105" t="s">
        <v>5617</v>
      </c>
      <c r="C293" s="72"/>
      <c r="D293" s="125">
        <v>0</v>
      </c>
      <c r="E293" s="125">
        <v>0</v>
      </c>
      <c r="F293" s="125">
        <v>0</v>
      </c>
      <c r="G293" s="247">
        <v>0</v>
      </c>
      <c r="H293" s="125">
        <v>0</v>
      </c>
      <c r="I293" s="125">
        <v>0</v>
      </c>
      <c r="J293" s="125">
        <v>0</v>
      </c>
      <c r="K293" s="125">
        <v>0</v>
      </c>
      <c r="L293" s="125">
        <v>0</v>
      </c>
      <c r="M293" s="125">
        <v>0</v>
      </c>
      <c r="N293" s="247">
        <v>0</v>
      </c>
      <c r="O293" s="247">
        <v>0</v>
      </c>
    </row>
    <row r="294" spans="1:15" s="145" customFormat="1" ht="15.75">
      <c r="A294" s="70" t="s">
        <v>3330</v>
      </c>
      <c r="B294" s="105" t="s">
        <v>5618</v>
      </c>
      <c r="C294" s="72" t="s">
        <v>604</v>
      </c>
      <c r="D294" s="125">
        <v>537010</v>
      </c>
      <c r="E294" s="125">
        <v>751532</v>
      </c>
      <c r="F294" s="125">
        <v>2322625</v>
      </c>
      <c r="G294" s="247">
        <v>1168310</v>
      </c>
      <c r="H294" s="125">
        <v>1552488</v>
      </c>
      <c r="I294" s="125">
        <v>5000000</v>
      </c>
      <c r="J294" s="125">
        <v>5000000</v>
      </c>
      <c r="K294" s="125">
        <v>10000000</v>
      </c>
      <c r="L294" s="125">
        <v>0</v>
      </c>
      <c r="M294" s="125">
        <v>0</v>
      </c>
      <c r="N294" s="247">
        <v>5000000</v>
      </c>
      <c r="O294" s="247">
        <v>0</v>
      </c>
    </row>
    <row r="295" spans="1:15" s="145" customFormat="1" ht="15.75">
      <c r="A295" s="70" t="s">
        <v>3331</v>
      </c>
      <c r="B295" s="105" t="s">
        <v>5619</v>
      </c>
      <c r="C295" s="72" t="s">
        <v>435</v>
      </c>
      <c r="D295" s="125">
        <v>804527</v>
      </c>
      <c r="E295" s="125">
        <v>270318</v>
      </c>
      <c r="F295" s="125">
        <v>389732</v>
      </c>
      <c r="G295" s="247">
        <v>128697</v>
      </c>
      <c r="H295" s="125">
        <v>10120549</v>
      </c>
      <c r="I295" s="125">
        <v>1000000</v>
      </c>
      <c r="J295" s="125">
        <v>1000000</v>
      </c>
      <c r="K295" s="125">
        <v>495000</v>
      </c>
      <c r="L295" s="125">
        <v>0</v>
      </c>
      <c r="M295" s="125">
        <v>0</v>
      </c>
      <c r="N295" s="247">
        <v>0</v>
      </c>
      <c r="O295" s="247">
        <v>505000</v>
      </c>
    </row>
    <row r="296" spans="1:15" s="145" customFormat="1" ht="15.75">
      <c r="A296" s="70" t="s">
        <v>3332</v>
      </c>
      <c r="B296" s="105" t="s">
        <v>5620</v>
      </c>
      <c r="C296" s="72" t="s">
        <v>436</v>
      </c>
      <c r="D296" s="125">
        <v>0</v>
      </c>
      <c r="E296" s="125">
        <v>0</v>
      </c>
      <c r="F296" s="125">
        <v>0</v>
      </c>
      <c r="G296" s="247">
        <v>0</v>
      </c>
      <c r="H296" s="125">
        <v>0</v>
      </c>
      <c r="I296" s="125">
        <v>5000</v>
      </c>
      <c r="J296" s="125">
        <v>5000</v>
      </c>
      <c r="K296" s="125">
        <v>0</v>
      </c>
      <c r="L296" s="125">
        <v>0</v>
      </c>
      <c r="M296" s="125">
        <v>0</v>
      </c>
      <c r="N296" s="247">
        <v>0</v>
      </c>
      <c r="O296" s="247">
        <v>5000</v>
      </c>
    </row>
    <row r="297" spans="1:15" s="145" customFormat="1" ht="15.75">
      <c r="A297" s="70" t="s">
        <v>3333</v>
      </c>
      <c r="B297" s="105" t="s">
        <v>5621</v>
      </c>
      <c r="C297" s="72" t="s">
        <v>437</v>
      </c>
      <c r="D297" s="125">
        <v>18655</v>
      </c>
      <c r="E297" s="125">
        <v>1600</v>
      </c>
      <c r="F297" s="125">
        <v>750</v>
      </c>
      <c r="G297" s="247">
        <v>250</v>
      </c>
      <c r="H297" s="125">
        <v>0</v>
      </c>
      <c r="I297" s="125">
        <v>5000</v>
      </c>
      <c r="J297" s="125">
        <v>5000</v>
      </c>
      <c r="K297" s="125">
        <v>5000</v>
      </c>
      <c r="L297" s="125">
        <v>0</v>
      </c>
      <c r="M297" s="125">
        <v>0</v>
      </c>
      <c r="N297" s="247">
        <v>0</v>
      </c>
      <c r="O297" s="247">
        <v>0</v>
      </c>
    </row>
    <row r="298" spans="1:15" s="145" customFormat="1" ht="15.75">
      <c r="A298" s="70"/>
      <c r="B298" s="105"/>
      <c r="C298" s="72"/>
      <c r="D298" s="125">
        <v>0</v>
      </c>
      <c r="E298" s="125">
        <v>0</v>
      </c>
      <c r="F298" s="125">
        <v>0</v>
      </c>
      <c r="G298" s="247">
        <v>0</v>
      </c>
      <c r="H298" s="125">
        <v>0</v>
      </c>
      <c r="I298" s="125">
        <v>0</v>
      </c>
      <c r="J298" s="125">
        <v>0</v>
      </c>
      <c r="K298" s="125">
        <v>0</v>
      </c>
      <c r="L298" s="125">
        <v>0</v>
      </c>
      <c r="M298" s="125">
        <v>0</v>
      </c>
      <c r="N298" s="247">
        <v>0</v>
      </c>
      <c r="O298" s="247">
        <v>0</v>
      </c>
    </row>
    <row r="299" spans="1:15" s="145" customFormat="1" ht="15.75">
      <c r="A299" s="77" t="s">
        <v>2386</v>
      </c>
      <c r="B299" s="136" t="s">
        <v>146</v>
      </c>
      <c r="C299" s="72"/>
      <c r="D299" s="125">
        <v>1360192</v>
      </c>
      <c r="E299" s="125">
        <v>1023450</v>
      </c>
      <c r="F299" s="125">
        <v>2713107</v>
      </c>
      <c r="G299" s="247">
        <v>1297257</v>
      </c>
      <c r="H299" s="125">
        <v>11673037</v>
      </c>
      <c r="I299" s="125">
        <v>6010000</v>
      </c>
      <c r="J299" s="125">
        <v>6010000</v>
      </c>
      <c r="K299" s="125">
        <v>10500000</v>
      </c>
      <c r="L299" s="125">
        <v>0</v>
      </c>
      <c r="M299" s="125">
        <v>0</v>
      </c>
      <c r="N299" s="247">
        <v>4490000</v>
      </c>
      <c r="O299" s="247">
        <v>0</v>
      </c>
    </row>
    <row r="300" spans="1:15" s="145" customFormat="1" ht="15.75">
      <c r="A300" s="70"/>
      <c r="B300" s="105"/>
      <c r="C300" s="72"/>
      <c r="D300" s="125">
        <v>0</v>
      </c>
      <c r="E300" s="125">
        <v>0</v>
      </c>
      <c r="F300" s="125">
        <v>0</v>
      </c>
      <c r="G300" s="247">
        <v>0</v>
      </c>
      <c r="H300" s="125">
        <v>0</v>
      </c>
      <c r="I300" s="125">
        <v>0</v>
      </c>
      <c r="J300" s="125">
        <v>0</v>
      </c>
      <c r="K300" s="125">
        <v>0</v>
      </c>
      <c r="L300" s="125">
        <v>0</v>
      </c>
      <c r="M300" s="125">
        <v>0</v>
      </c>
      <c r="N300" s="247">
        <v>0</v>
      </c>
      <c r="O300" s="247">
        <v>0</v>
      </c>
    </row>
    <row r="301" spans="1:15" s="145" customFormat="1" ht="15.75">
      <c r="A301" s="70" t="s">
        <v>2713</v>
      </c>
      <c r="B301" s="105" t="s">
        <v>5622</v>
      </c>
      <c r="C301" s="72"/>
      <c r="D301" s="125">
        <v>0</v>
      </c>
      <c r="E301" s="125">
        <v>0</v>
      </c>
      <c r="F301" s="125">
        <v>0</v>
      </c>
      <c r="G301" s="247">
        <v>0</v>
      </c>
      <c r="H301" s="125">
        <v>0</v>
      </c>
      <c r="I301" s="125">
        <v>0</v>
      </c>
      <c r="J301" s="125">
        <v>0</v>
      </c>
      <c r="K301" s="125">
        <v>0</v>
      </c>
      <c r="L301" s="125">
        <v>0</v>
      </c>
      <c r="M301" s="125">
        <v>0</v>
      </c>
      <c r="N301" s="247">
        <v>0</v>
      </c>
      <c r="O301" s="247">
        <v>0</v>
      </c>
    </row>
    <row r="302" spans="1:15" s="145" customFormat="1" ht="15.75">
      <c r="A302" s="70" t="s">
        <v>3334</v>
      </c>
      <c r="B302" s="105" t="s">
        <v>5623</v>
      </c>
      <c r="C302" s="72" t="s">
        <v>438</v>
      </c>
      <c r="D302" s="125">
        <v>104224</v>
      </c>
      <c r="E302" s="125">
        <v>113635</v>
      </c>
      <c r="F302" s="125">
        <v>94845</v>
      </c>
      <c r="G302" s="247">
        <v>52472</v>
      </c>
      <c r="H302" s="125">
        <v>39170</v>
      </c>
      <c r="I302" s="125">
        <v>200000</v>
      </c>
      <c r="J302" s="125">
        <v>200000</v>
      </c>
      <c r="K302" s="125">
        <v>10000000</v>
      </c>
      <c r="L302" s="125">
        <v>0</v>
      </c>
      <c r="M302" s="125">
        <v>0</v>
      </c>
      <c r="N302" s="247">
        <v>9800000</v>
      </c>
      <c r="O302" s="247">
        <v>0</v>
      </c>
    </row>
    <row r="303" spans="1:15" s="145" customFormat="1" ht="15.75">
      <c r="A303" s="70"/>
      <c r="B303" s="105"/>
      <c r="C303" s="72"/>
      <c r="D303" s="125">
        <v>0</v>
      </c>
      <c r="E303" s="125">
        <v>0</v>
      </c>
      <c r="F303" s="125">
        <v>0</v>
      </c>
      <c r="G303" s="247">
        <v>0</v>
      </c>
      <c r="H303" s="125">
        <v>0</v>
      </c>
      <c r="I303" s="125">
        <v>0</v>
      </c>
      <c r="J303" s="125">
        <v>0</v>
      </c>
      <c r="K303" s="125">
        <v>0</v>
      </c>
      <c r="L303" s="125">
        <v>0</v>
      </c>
      <c r="M303" s="125">
        <v>0</v>
      </c>
      <c r="N303" s="247">
        <v>0</v>
      </c>
      <c r="O303" s="247">
        <v>0</v>
      </c>
    </row>
    <row r="304" spans="1:15" s="145" customFormat="1" ht="15.75">
      <c r="A304" s="77" t="s">
        <v>2387</v>
      </c>
      <c r="B304" s="136" t="s">
        <v>146</v>
      </c>
      <c r="C304" s="72"/>
      <c r="D304" s="125">
        <v>104224</v>
      </c>
      <c r="E304" s="125">
        <v>113635</v>
      </c>
      <c r="F304" s="125">
        <v>94845</v>
      </c>
      <c r="G304" s="247">
        <v>52472</v>
      </c>
      <c r="H304" s="125">
        <v>39170</v>
      </c>
      <c r="I304" s="125">
        <v>200000</v>
      </c>
      <c r="J304" s="125">
        <v>200000</v>
      </c>
      <c r="K304" s="125">
        <v>10000000</v>
      </c>
      <c r="L304" s="125">
        <v>0</v>
      </c>
      <c r="M304" s="125">
        <v>0</v>
      </c>
      <c r="N304" s="247">
        <v>9800000</v>
      </c>
      <c r="O304" s="247">
        <v>0</v>
      </c>
    </row>
    <row r="305" spans="1:15" s="145" customFormat="1" ht="15.75">
      <c r="A305" s="70"/>
      <c r="B305" s="105"/>
      <c r="C305" s="72"/>
      <c r="D305" s="125">
        <v>0</v>
      </c>
      <c r="E305" s="125">
        <v>0</v>
      </c>
      <c r="F305" s="125">
        <v>0</v>
      </c>
      <c r="G305" s="247">
        <v>0</v>
      </c>
      <c r="H305" s="125">
        <v>0</v>
      </c>
      <c r="I305" s="125">
        <v>0</v>
      </c>
      <c r="J305" s="125">
        <v>0</v>
      </c>
      <c r="K305" s="125">
        <v>0</v>
      </c>
      <c r="L305" s="125">
        <v>0</v>
      </c>
      <c r="M305" s="125">
        <v>0</v>
      </c>
      <c r="N305" s="247">
        <v>0</v>
      </c>
      <c r="O305" s="247">
        <v>0</v>
      </c>
    </row>
    <row r="306" spans="1:15" s="145" customFormat="1" ht="15.75">
      <c r="A306" s="70" t="s">
        <v>3335</v>
      </c>
      <c r="B306" s="105" t="s">
        <v>5624</v>
      </c>
      <c r="C306" s="72"/>
      <c r="D306" s="125">
        <v>0</v>
      </c>
      <c r="E306" s="125">
        <v>0</v>
      </c>
      <c r="F306" s="125">
        <v>0</v>
      </c>
      <c r="G306" s="247">
        <v>0</v>
      </c>
      <c r="H306" s="125">
        <v>0</v>
      </c>
      <c r="I306" s="125">
        <v>0</v>
      </c>
      <c r="J306" s="125">
        <v>0</v>
      </c>
      <c r="K306" s="125">
        <v>0</v>
      </c>
      <c r="L306" s="125">
        <v>0</v>
      </c>
      <c r="M306" s="125">
        <v>0</v>
      </c>
      <c r="N306" s="247">
        <v>0</v>
      </c>
      <c r="O306" s="247">
        <v>0</v>
      </c>
    </row>
    <row r="307" spans="1:15" s="145" customFormat="1" ht="15.75">
      <c r="A307" s="70" t="s">
        <v>3336</v>
      </c>
      <c r="B307" s="105" t="s">
        <v>5625</v>
      </c>
      <c r="C307" s="72" t="s">
        <v>439</v>
      </c>
      <c r="D307" s="125">
        <v>20211105</v>
      </c>
      <c r="E307" s="125">
        <v>24474425</v>
      </c>
      <c r="F307" s="125">
        <v>33770890</v>
      </c>
      <c r="G307" s="247">
        <v>19347260</v>
      </c>
      <c r="H307" s="125">
        <v>20564435</v>
      </c>
      <c r="I307" s="125">
        <v>35000000</v>
      </c>
      <c r="J307" s="125">
        <v>35000000</v>
      </c>
      <c r="K307" s="125">
        <v>50000000</v>
      </c>
      <c r="L307" s="125">
        <v>0</v>
      </c>
      <c r="M307" s="125">
        <v>0</v>
      </c>
      <c r="N307" s="247">
        <v>15000000</v>
      </c>
      <c r="O307" s="247">
        <v>0</v>
      </c>
    </row>
    <row r="308" spans="1:15" s="145" customFormat="1" ht="15.75">
      <c r="A308" s="70" t="s">
        <v>3337</v>
      </c>
      <c r="B308" s="105" t="s">
        <v>5626</v>
      </c>
      <c r="C308" s="72" t="s">
        <v>1377</v>
      </c>
      <c r="D308" s="125">
        <v>0</v>
      </c>
      <c r="E308" s="125">
        <v>0</v>
      </c>
      <c r="F308" s="125">
        <v>0</v>
      </c>
      <c r="G308" s="247">
        <v>0</v>
      </c>
      <c r="H308" s="125">
        <v>0</v>
      </c>
      <c r="I308" s="125">
        <v>1300000</v>
      </c>
      <c r="J308" s="125">
        <v>1300000</v>
      </c>
      <c r="K308" s="125">
        <v>300000</v>
      </c>
      <c r="L308" s="125">
        <v>0</v>
      </c>
      <c r="M308" s="125">
        <v>0</v>
      </c>
      <c r="N308" s="247">
        <v>0</v>
      </c>
      <c r="O308" s="247">
        <v>1000000</v>
      </c>
    </row>
    <row r="309" spans="1:15" s="145" customFormat="1" ht="15.75">
      <c r="A309" s="70" t="s">
        <v>3338</v>
      </c>
      <c r="B309" s="105" t="s">
        <v>5627</v>
      </c>
      <c r="C309" s="72" t="s">
        <v>1384</v>
      </c>
      <c r="D309" s="125">
        <v>0</v>
      </c>
      <c r="E309" s="125">
        <v>0</v>
      </c>
      <c r="F309" s="125">
        <v>0</v>
      </c>
      <c r="G309" s="247">
        <v>0</v>
      </c>
      <c r="H309" s="125">
        <v>0</v>
      </c>
      <c r="I309" s="125">
        <v>4000000</v>
      </c>
      <c r="J309" s="125">
        <v>4000000</v>
      </c>
      <c r="K309" s="125">
        <v>3000000</v>
      </c>
      <c r="L309" s="125">
        <v>0</v>
      </c>
      <c r="M309" s="125">
        <v>0</v>
      </c>
      <c r="N309" s="247">
        <v>0</v>
      </c>
      <c r="O309" s="247">
        <v>1000000</v>
      </c>
    </row>
    <row r="310" spans="1:15" s="145" customFormat="1" ht="15.75">
      <c r="A310" s="70"/>
      <c r="B310" s="105"/>
      <c r="C310" s="72"/>
      <c r="D310" s="125">
        <v>0</v>
      </c>
      <c r="E310" s="125">
        <v>0</v>
      </c>
      <c r="F310" s="125">
        <v>0</v>
      </c>
      <c r="G310" s="247">
        <v>0</v>
      </c>
      <c r="H310" s="125">
        <v>0</v>
      </c>
      <c r="I310" s="125">
        <v>0</v>
      </c>
      <c r="J310" s="125">
        <v>0</v>
      </c>
      <c r="K310" s="125">
        <v>0</v>
      </c>
      <c r="L310" s="125">
        <v>0</v>
      </c>
      <c r="M310" s="125">
        <v>0</v>
      </c>
      <c r="N310" s="247">
        <v>0</v>
      </c>
      <c r="O310" s="247">
        <v>0</v>
      </c>
    </row>
    <row r="311" spans="1:15" s="145" customFormat="1" ht="15.75">
      <c r="A311" s="77" t="s">
        <v>2370</v>
      </c>
      <c r="B311" s="136" t="s">
        <v>146</v>
      </c>
      <c r="C311" s="72"/>
      <c r="D311" s="125">
        <v>20211105</v>
      </c>
      <c r="E311" s="125">
        <v>24474425</v>
      </c>
      <c r="F311" s="125">
        <v>33770890</v>
      </c>
      <c r="G311" s="247">
        <v>19347260</v>
      </c>
      <c r="H311" s="125">
        <v>20564435</v>
      </c>
      <c r="I311" s="125">
        <v>40300000</v>
      </c>
      <c r="J311" s="125">
        <v>40300000</v>
      </c>
      <c r="K311" s="125">
        <v>53300000</v>
      </c>
      <c r="L311" s="125">
        <v>0</v>
      </c>
      <c r="M311" s="125">
        <v>0</v>
      </c>
      <c r="N311" s="247">
        <v>13000000</v>
      </c>
      <c r="O311" s="247">
        <v>0</v>
      </c>
    </row>
    <row r="312" spans="1:15" s="145" customFormat="1" ht="15.75">
      <c r="A312" s="70"/>
      <c r="B312" s="105"/>
      <c r="C312" s="72"/>
      <c r="D312" s="125">
        <v>0</v>
      </c>
      <c r="E312" s="125">
        <v>0</v>
      </c>
      <c r="F312" s="125">
        <v>0</v>
      </c>
      <c r="G312" s="247">
        <v>0</v>
      </c>
      <c r="H312" s="125">
        <v>0</v>
      </c>
      <c r="I312" s="125">
        <v>0</v>
      </c>
      <c r="J312" s="125">
        <v>0</v>
      </c>
      <c r="K312" s="125">
        <v>0</v>
      </c>
      <c r="L312" s="125">
        <v>0</v>
      </c>
      <c r="M312" s="125">
        <v>0</v>
      </c>
      <c r="N312" s="247">
        <v>0</v>
      </c>
      <c r="O312" s="247">
        <v>0</v>
      </c>
    </row>
    <row r="313" spans="1:15" s="145" customFormat="1" ht="15.75">
      <c r="A313" s="77" t="s">
        <v>3426</v>
      </c>
      <c r="B313" s="136" t="s">
        <v>5628</v>
      </c>
      <c r="C313" s="72"/>
      <c r="D313" s="125">
        <v>31814268</v>
      </c>
      <c r="E313" s="125">
        <v>34960296</v>
      </c>
      <c r="F313" s="125">
        <v>45874828</v>
      </c>
      <c r="G313" s="247">
        <v>24698049</v>
      </c>
      <c r="H313" s="125">
        <v>36779136</v>
      </c>
      <c r="I313" s="125">
        <v>66910000</v>
      </c>
      <c r="J313" s="125">
        <v>66910000</v>
      </c>
      <c r="K313" s="125">
        <v>116900000</v>
      </c>
      <c r="L313" s="125">
        <v>0</v>
      </c>
      <c r="M313" s="125">
        <v>0</v>
      </c>
      <c r="N313" s="247">
        <v>49990000</v>
      </c>
      <c r="O313" s="247">
        <v>0</v>
      </c>
    </row>
    <row r="314" spans="1:15" s="145" customFormat="1" ht="15.75">
      <c r="A314" s="70"/>
      <c r="B314" s="105"/>
      <c r="C314" s="72"/>
      <c r="D314" s="125">
        <v>0</v>
      </c>
      <c r="E314" s="125">
        <v>0</v>
      </c>
      <c r="F314" s="125">
        <v>0</v>
      </c>
      <c r="G314" s="247">
        <v>0</v>
      </c>
      <c r="H314" s="125">
        <v>0</v>
      </c>
      <c r="I314" s="125">
        <v>0</v>
      </c>
      <c r="J314" s="125">
        <v>0</v>
      </c>
      <c r="K314" s="125">
        <v>0</v>
      </c>
      <c r="L314" s="125">
        <v>0</v>
      </c>
      <c r="M314" s="125">
        <v>0</v>
      </c>
      <c r="N314" s="247">
        <v>0</v>
      </c>
      <c r="O314" s="247">
        <v>0</v>
      </c>
    </row>
    <row r="315" spans="1:15" s="145" customFormat="1" ht="15.75">
      <c r="A315" s="70" t="s">
        <v>2714</v>
      </c>
      <c r="B315" s="105" t="s">
        <v>5629</v>
      </c>
      <c r="C315" s="72"/>
      <c r="D315" s="125">
        <v>0</v>
      </c>
      <c r="E315" s="125">
        <v>0</v>
      </c>
      <c r="F315" s="125">
        <v>0</v>
      </c>
      <c r="G315" s="247">
        <v>0</v>
      </c>
      <c r="H315" s="125">
        <v>0</v>
      </c>
      <c r="I315" s="125">
        <v>0</v>
      </c>
      <c r="J315" s="125">
        <v>0</v>
      </c>
      <c r="K315" s="125">
        <v>0</v>
      </c>
      <c r="L315" s="125">
        <v>0</v>
      </c>
      <c r="M315" s="125">
        <v>0</v>
      </c>
      <c r="N315" s="247">
        <v>0</v>
      </c>
      <c r="O315" s="247">
        <v>0</v>
      </c>
    </row>
    <row r="316" spans="1:15" s="145" customFormat="1" ht="15.75">
      <c r="A316" s="70" t="s">
        <v>3339</v>
      </c>
      <c r="B316" s="105" t="s">
        <v>5630</v>
      </c>
      <c r="C316" s="72"/>
      <c r="D316" s="125">
        <v>0</v>
      </c>
      <c r="E316" s="125">
        <v>0</v>
      </c>
      <c r="F316" s="125">
        <v>0</v>
      </c>
      <c r="G316" s="247">
        <v>0</v>
      </c>
      <c r="H316" s="125">
        <v>0</v>
      </c>
      <c r="I316" s="125">
        <v>0</v>
      </c>
      <c r="J316" s="125">
        <v>0</v>
      </c>
      <c r="K316" s="125">
        <v>0</v>
      </c>
      <c r="L316" s="125">
        <v>0</v>
      </c>
      <c r="M316" s="125">
        <v>0</v>
      </c>
      <c r="N316" s="247">
        <v>0</v>
      </c>
      <c r="O316" s="247">
        <v>0</v>
      </c>
    </row>
    <row r="317" spans="1:15" s="145" customFormat="1" ht="15.75">
      <c r="A317" s="70" t="s">
        <v>3340</v>
      </c>
      <c r="B317" s="105" t="s">
        <v>5631</v>
      </c>
      <c r="C317" s="72" t="s">
        <v>570</v>
      </c>
      <c r="D317" s="125">
        <v>2195310</v>
      </c>
      <c r="E317" s="125">
        <v>2519554</v>
      </c>
      <c r="F317" s="125">
        <v>724680</v>
      </c>
      <c r="G317" s="247">
        <v>513540</v>
      </c>
      <c r="H317" s="125">
        <v>473240</v>
      </c>
      <c r="I317" s="125">
        <v>3200000</v>
      </c>
      <c r="J317" s="125">
        <v>3200000</v>
      </c>
      <c r="K317" s="125">
        <v>3500000</v>
      </c>
      <c r="L317" s="125">
        <v>0</v>
      </c>
      <c r="M317" s="125">
        <v>0</v>
      </c>
      <c r="N317" s="247">
        <v>300000</v>
      </c>
      <c r="O317" s="247">
        <v>0</v>
      </c>
    </row>
    <row r="318" spans="1:15" s="145" customFormat="1" ht="15.75">
      <c r="A318" s="70" t="s">
        <v>3331</v>
      </c>
      <c r="B318" s="105" t="s">
        <v>5619</v>
      </c>
      <c r="C318" s="72" t="s">
        <v>571</v>
      </c>
      <c r="D318" s="125">
        <v>31376</v>
      </c>
      <c r="E318" s="125">
        <v>98055</v>
      </c>
      <c r="F318" s="125">
        <v>48900</v>
      </c>
      <c r="G318" s="247">
        <v>-63370</v>
      </c>
      <c r="H318" s="125">
        <v>29480</v>
      </c>
      <c r="I318" s="125">
        <v>60000</v>
      </c>
      <c r="J318" s="125">
        <v>60000</v>
      </c>
      <c r="K318" s="125">
        <v>60000</v>
      </c>
      <c r="L318" s="125">
        <v>0</v>
      </c>
      <c r="M318" s="125">
        <v>0</v>
      </c>
      <c r="N318" s="247">
        <v>0</v>
      </c>
      <c r="O318" s="247">
        <v>0</v>
      </c>
    </row>
    <row r="319" spans="1:15" s="145" customFormat="1" ht="15.75">
      <c r="A319" s="70" t="s">
        <v>3341</v>
      </c>
      <c r="B319" s="105" t="s">
        <v>5632</v>
      </c>
      <c r="C319" s="72" t="s">
        <v>572</v>
      </c>
      <c r="D319" s="125">
        <v>86140</v>
      </c>
      <c r="E319" s="125">
        <v>252130</v>
      </c>
      <c r="F319" s="125">
        <v>426540</v>
      </c>
      <c r="G319" s="247">
        <v>150000</v>
      </c>
      <c r="H319" s="125">
        <v>275600</v>
      </c>
      <c r="I319" s="125">
        <v>400000</v>
      </c>
      <c r="J319" s="125">
        <v>400000</v>
      </c>
      <c r="K319" s="125">
        <v>400000</v>
      </c>
      <c r="L319" s="125">
        <v>0</v>
      </c>
      <c r="M319" s="125">
        <v>0</v>
      </c>
      <c r="N319" s="247">
        <v>0</v>
      </c>
      <c r="O319" s="247">
        <v>0</v>
      </c>
    </row>
    <row r="320" spans="1:15" s="145" customFormat="1" ht="15.75">
      <c r="A320" s="70" t="s">
        <v>3427</v>
      </c>
      <c r="B320" s="105" t="s">
        <v>5633</v>
      </c>
      <c r="C320" s="72" t="s">
        <v>573</v>
      </c>
      <c r="D320" s="125">
        <v>1500</v>
      </c>
      <c r="E320" s="125">
        <v>32700</v>
      </c>
      <c r="F320" s="125">
        <v>7000</v>
      </c>
      <c r="G320" s="247">
        <v>4710</v>
      </c>
      <c r="H320" s="125">
        <v>0</v>
      </c>
      <c r="I320" s="125">
        <v>10000</v>
      </c>
      <c r="J320" s="125">
        <v>10000</v>
      </c>
      <c r="K320" s="125">
        <v>20000</v>
      </c>
      <c r="L320" s="125">
        <v>0</v>
      </c>
      <c r="M320" s="125">
        <v>0</v>
      </c>
      <c r="N320" s="247">
        <v>10000</v>
      </c>
      <c r="O320" s="247">
        <v>0</v>
      </c>
    </row>
    <row r="321" spans="1:15" s="145" customFormat="1" ht="15.75">
      <c r="A321" s="70" t="s">
        <v>3428</v>
      </c>
      <c r="B321" s="105" t="s">
        <v>5634</v>
      </c>
      <c r="C321" s="72" t="s">
        <v>507</v>
      </c>
      <c r="D321" s="125">
        <v>233338</v>
      </c>
      <c r="E321" s="125">
        <v>195000</v>
      </c>
      <c r="F321" s="125">
        <v>0</v>
      </c>
      <c r="G321" s="247">
        <v>0</v>
      </c>
      <c r="H321" s="125">
        <v>0</v>
      </c>
      <c r="I321" s="125">
        <v>0</v>
      </c>
      <c r="J321" s="125">
        <v>0</v>
      </c>
      <c r="K321" s="125">
        <v>0</v>
      </c>
      <c r="L321" s="125">
        <v>0</v>
      </c>
      <c r="M321" s="125">
        <v>0</v>
      </c>
      <c r="N321" s="247">
        <v>0</v>
      </c>
      <c r="O321" s="247">
        <v>0</v>
      </c>
    </row>
    <row r="322" spans="1:15" s="145" customFormat="1" ht="15.75">
      <c r="A322" s="70" t="s">
        <v>3342</v>
      </c>
      <c r="B322" s="105" t="s">
        <v>5635</v>
      </c>
      <c r="C322" s="72" t="s">
        <v>1294</v>
      </c>
      <c r="D322" s="125">
        <v>269580</v>
      </c>
      <c r="E322" s="125">
        <v>421200</v>
      </c>
      <c r="F322" s="125">
        <v>386100</v>
      </c>
      <c r="G322" s="247">
        <v>280800</v>
      </c>
      <c r="H322" s="125">
        <v>105300</v>
      </c>
      <c r="I322" s="125">
        <v>421200</v>
      </c>
      <c r="J322" s="125">
        <v>421200</v>
      </c>
      <c r="K322" s="125">
        <v>450000</v>
      </c>
      <c r="L322" s="125">
        <v>0</v>
      </c>
      <c r="M322" s="125">
        <v>0</v>
      </c>
      <c r="N322" s="247">
        <v>28800</v>
      </c>
      <c r="O322" s="247">
        <v>0</v>
      </c>
    </row>
    <row r="323" spans="1:15" s="145" customFormat="1" ht="15.75">
      <c r="A323" s="70" t="s">
        <v>3343</v>
      </c>
      <c r="B323" s="105" t="s">
        <v>5636</v>
      </c>
      <c r="C323" s="72" t="s">
        <v>1817</v>
      </c>
      <c r="D323" s="125">
        <v>0</v>
      </c>
      <c r="E323" s="125">
        <v>0</v>
      </c>
      <c r="F323" s="125">
        <v>909250</v>
      </c>
      <c r="G323" s="247">
        <v>231645</v>
      </c>
      <c r="H323" s="125">
        <v>80000</v>
      </c>
      <c r="I323" s="125">
        <v>1000000</v>
      </c>
      <c r="J323" s="125">
        <v>1000000</v>
      </c>
      <c r="K323" s="125">
        <v>1000000</v>
      </c>
      <c r="L323" s="125">
        <v>0</v>
      </c>
      <c r="M323" s="125">
        <v>0</v>
      </c>
      <c r="N323" s="247">
        <v>0</v>
      </c>
      <c r="O323" s="247">
        <v>0</v>
      </c>
    </row>
    <row r="324" spans="1:15" s="145" customFormat="1" ht="15.75">
      <c r="A324" s="70" t="s">
        <v>3344</v>
      </c>
      <c r="B324" s="105" t="s">
        <v>5637</v>
      </c>
      <c r="C324" s="72" t="s">
        <v>1818</v>
      </c>
      <c r="D324" s="125">
        <v>0</v>
      </c>
      <c r="E324" s="125">
        <v>0</v>
      </c>
      <c r="F324" s="125">
        <v>1094000</v>
      </c>
      <c r="G324" s="247">
        <v>1076950</v>
      </c>
      <c r="H324" s="125">
        <v>194000</v>
      </c>
      <c r="I324" s="125">
        <v>1000000</v>
      </c>
      <c r="J324" s="125">
        <v>1000000</v>
      </c>
      <c r="K324" s="125">
        <v>1000000</v>
      </c>
      <c r="L324" s="125">
        <v>0</v>
      </c>
      <c r="M324" s="125">
        <v>0</v>
      </c>
      <c r="N324" s="247">
        <v>0</v>
      </c>
      <c r="O324" s="247">
        <v>0</v>
      </c>
    </row>
    <row r="325" spans="1:15" s="145" customFormat="1" ht="15.75">
      <c r="A325" s="70" t="s">
        <v>3345</v>
      </c>
      <c r="B325" s="105" t="s">
        <v>5638</v>
      </c>
      <c r="C325" s="72" t="s">
        <v>1819</v>
      </c>
      <c r="D325" s="125">
        <v>0</v>
      </c>
      <c r="E325" s="125">
        <v>0</v>
      </c>
      <c r="F325" s="125">
        <v>266150</v>
      </c>
      <c r="G325" s="247">
        <v>266150</v>
      </c>
      <c r="H325" s="125">
        <v>225120</v>
      </c>
      <c r="I325" s="125">
        <v>350000</v>
      </c>
      <c r="J325" s="125">
        <v>350000</v>
      </c>
      <c r="K325" s="125">
        <v>1000000</v>
      </c>
      <c r="L325" s="125">
        <v>0</v>
      </c>
      <c r="M325" s="125">
        <v>0</v>
      </c>
      <c r="N325" s="247">
        <v>650000</v>
      </c>
      <c r="O325" s="247">
        <v>0</v>
      </c>
    </row>
    <row r="326" spans="1:15" s="145" customFormat="1" ht="15.75">
      <c r="A326" s="70" t="s">
        <v>3429</v>
      </c>
      <c r="B326" s="105" t="s">
        <v>5639</v>
      </c>
      <c r="C326" s="72" t="s">
        <v>1820</v>
      </c>
      <c r="D326" s="125">
        <v>0</v>
      </c>
      <c r="E326" s="125">
        <v>0</v>
      </c>
      <c r="F326" s="125">
        <v>15000</v>
      </c>
      <c r="G326" s="247">
        <v>15000</v>
      </c>
      <c r="H326" s="125">
        <v>0</v>
      </c>
      <c r="I326" s="125">
        <v>10000</v>
      </c>
      <c r="J326" s="125">
        <v>10000</v>
      </c>
      <c r="K326" s="125">
        <v>20000</v>
      </c>
      <c r="L326" s="125">
        <v>0</v>
      </c>
      <c r="M326" s="125">
        <v>0</v>
      </c>
      <c r="N326" s="247">
        <v>10000</v>
      </c>
      <c r="O326" s="247">
        <v>0</v>
      </c>
    </row>
    <row r="327" spans="1:15" s="145" customFormat="1" ht="15.75">
      <c r="A327" s="70" t="s">
        <v>3346</v>
      </c>
      <c r="B327" s="105" t="s">
        <v>5640</v>
      </c>
      <c r="C327" s="72" t="s">
        <v>1821</v>
      </c>
      <c r="D327" s="125">
        <v>0</v>
      </c>
      <c r="E327" s="125">
        <v>0</v>
      </c>
      <c r="F327" s="125">
        <v>9375</v>
      </c>
      <c r="G327" s="247">
        <v>9375</v>
      </c>
      <c r="H327" s="125">
        <v>0</v>
      </c>
      <c r="I327" s="125">
        <v>10000</v>
      </c>
      <c r="J327" s="125">
        <v>10000</v>
      </c>
      <c r="K327" s="125">
        <v>0</v>
      </c>
      <c r="L327" s="125">
        <v>0</v>
      </c>
      <c r="M327" s="125">
        <v>0</v>
      </c>
      <c r="N327" s="247">
        <v>0</v>
      </c>
      <c r="O327" s="247">
        <v>10000</v>
      </c>
    </row>
    <row r="328" spans="1:15" s="145" customFormat="1" ht="15.75">
      <c r="A328" s="70" t="s">
        <v>10434</v>
      </c>
      <c r="B328" s="105" t="s">
        <v>5641</v>
      </c>
      <c r="C328" s="72" t="s">
        <v>4812</v>
      </c>
      <c r="D328" s="125">
        <v>0</v>
      </c>
      <c r="E328" s="125">
        <v>0</v>
      </c>
      <c r="F328" s="125">
        <v>146080</v>
      </c>
      <c r="G328" s="247">
        <v>146080</v>
      </c>
      <c r="H328" s="125">
        <v>0</v>
      </c>
      <c r="I328" s="125">
        <v>500000</v>
      </c>
      <c r="J328" s="125">
        <v>500000</v>
      </c>
      <c r="K328" s="125">
        <v>300000</v>
      </c>
      <c r="L328" s="125">
        <v>0</v>
      </c>
      <c r="M328" s="125">
        <v>0</v>
      </c>
      <c r="N328" s="247">
        <v>0</v>
      </c>
      <c r="O328" s="247">
        <v>200000</v>
      </c>
    </row>
    <row r="329" spans="1:15" s="145" customFormat="1" ht="15.75">
      <c r="A329" s="70" t="s">
        <v>3696</v>
      </c>
      <c r="B329" s="105" t="s">
        <v>5642</v>
      </c>
      <c r="C329" s="72" t="s">
        <v>4813</v>
      </c>
      <c r="D329" s="125">
        <v>0</v>
      </c>
      <c r="E329" s="125">
        <v>0</v>
      </c>
      <c r="F329" s="125">
        <v>0</v>
      </c>
      <c r="G329" s="247">
        <v>0</v>
      </c>
      <c r="H329" s="125">
        <v>0</v>
      </c>
      <c r="I329" s="125">
        <v>1050000</v>
      </c>
      <c r="J329" s="125">
        <v>1050000</v>
      </c>
      <c r="K329" s="125">
        <v>300000</v>
      </c>
      <c r="L329" s="125">
        <v>0</v>
      </c>
      <c r="M329" s="125">
        <v>0</v>
      </c>
      <c r="N329" s="247">
        <v>0</v>
      </c>
      <c r="O329" s="247">
        <v>750000</v>
      </c>
    </row>
    <row r="330" spans="1:15" s="145" customFormat="1" ht="15.75">
      <c r="A330" s="70"/>
      <c r="B330" s="105"/>
      <c r="C330" s="72"/>
      <c r="D330" s="125">
        <v>0</v>
      </c>
      <c r="E330" s="125">
        <v>0</v>
      </c>
      <c r="F330" s="125">
        <v>0</v>
      </c>
      <c r="G330" s="247">
        <v>0</v>
      </c>
      <c r="H330" s="125">
        <v>0</v>
      </c>
      <c r="I330" s="125">
        <v>0</v>
      </c>
      <c r="J330" s="125">
        <v>0</v>
      </c>
      <c r="K330" s="125">
        <v>0</v>
      </c>
      <c r="L330" s="125">
        <v>0</v>
      </c>
      <c r="M330" s="125">
        <v>0</v>
      </c>
      <c r="N330" s="247">
        <v>0</v>
      </c>
      <c r="O330" s="247">
        <v>0</v>
      </c>
    </row>
    <row r="331" spans="1:15" s="145" customFormat="1" ht="15.75">
      <c r="A331" s="77" t="s">
        <v>2751</v>
      </c>
      <c r="B331" s="136" t="s">
        <v>5643</v>
      </c>
      <c r="C331" s="72"/>
      <c r="D331" s="125">
        <v>2817244</v>
      </c>
      <c r="E331" s="125">
        <v>3518639</v>
      </c>
      <c r="F331" s="125">
        <v>4033075</v>
      </c>
      <c r="G331" s="247">
        <v>2630880</v>
      </c>
      <c r="H331" s="125">
        <v>1382740</v>
      </c>
      <c r="I331" s="125">
        <v>8011200</v>
      </c>
      <c r="J331" s="125">
        <v>8011200</v>
      </c>
      <c r="K331" s="125">
        <v>8050000</v>
      </c>
      <c r="L331" s="125">
        <v>0</v>
      </c>
      <c r="M331" s="125">
        <v>0</v>
      </c>
      <c r="N331" s="247">
        <v>38800</v>
      </c>
      <c r="O331" s="247">
        <v>0</v>
      </c>
    </row>
    <row r="332" spans="1:15" s="145" customFormat="1" ht="15.75">
      <c r="A332" s="70"/>
      <c r="B332" s="105"/>
      <c r="C332" s="72"/>
      <c r="D332" s="125">
        <v>0</v>
      </c>
      <c r="E332" s="125">
        <v>0</v>
      </c>
      <c r="F332" s="125">
        <v>0</v>
      </c>
      <c r="G332" s="247">
        <v>0</v>
      </c>
      <c r="H332" s="125">
        <v>0</v>
      </c>
      <c r="I332" s="125">
        <v>0</v>
      </c>
      <c r="J332" s="125">
        <v>0</v>
      </c>
      <c r="K332" s="125">
        <v>0</v>
      </c>
      <c r="L332" s="125">
        <v>0</v>
      </c>
      <c r="M332" s="125">
        <v>0</v>
      </c>
      <c r="N332" s="247">
        <v>0</v>
      </c>
      <c r="O332" s="247">
        <v>0</v>
      </c>
    </row>
    <row r="333" spans="1:15" s="145" customFormat="1" ht="15.75">
      <c r="A333" s="70" t="s">
        <v>2752</v>
      </c>
      <c r="B333" s="105" t="s">
        <v>5644</v>
      </c>
      <c r="C333" s="72"/>
      <c r="D333" s="125">
        <v>0</v>
      </c>
      <c r="E333" s="125">
        <v>0</v>
      </c>
      <c r="F333" s="125">
        <v>0</v>
      </c>
      <c r="G333" s="247">
        <v>0</v>
      </c>
      <c r="H333" s="125">
        <v>0</v>
      </c>
      <c r="I333" s="125">
        <v>0</v>
      </c>
      <c r="J333" s="125">
        <v>0</v>
      </c>
      <c r="K333" s="125">
        <v>0</v>
      </c>
      <c r="L333" s="125">
        <v>0</v>
      </c>
      <c r="M333" s="125">
        <v>0</v>
      </c>
      <c r="N333" s="247">
        <v>0</v>
      </c>
      <c r="O333" s="247">
        <v>0</v>
      </c>
    </row>
    <row r="334" spans="1:15" s="145" customFormat="1" ht="15.75">
      <c r="A334" s="70" t="s">
        <v>2753</v>
      </c>
      <c r="B334" s="105" t="s">
        <v>5645</v>
      </c>
      <c r="C334" s="72"/>
      <c r="D334" s="125">
        <v>0</v>
      </c>
      <c r="E334" s="125">
        <v>0</v>
      </c>
      <c r="F334" s="125">
        <v>0</v>
      </c>
      <c r="G334" s="247">
        <v>0</v>
      </c>
      <c r="H334" s="125">
        <v>0</v>
      </c>
      <c r="I334" s="125">
        <v>0</v>
      </c>
      <c r="J334" s="125">
        <v>0</v>
      </c>
      <c r="K334" s="125">
        <v>0</v>
      </c>
      <c r="L334" s="125">
        <v>0</v>
      </c>
      <c r="M334" s="125">
        <v>0</v>
      </c>
      <c r="N334" s="247">
        <v>0</v>
      </c>
      <c r="O334" s="247">
        <v>0</v>
      </c>
    </row>
    <row r="335" spans="1:15" s="145" customFormat="1" ht="15.75">
      <c r="A335" s="70" t="s">
        <v>3347</v>
      </c>
      <c r="B335" s="105" t="s">
        <v>5646</v>
      </c>
      <c r="C335" s="72" t="s">
        <v>274</v>
      </c>
      <c r="D335" s="125">
        <v>5406162</v>
      </c>
      <c r="E335" s="125">
        <v>5513824</v>
      </c>
      <c r="F335" s="125">
        <v>4813318</v>
      </c>
      <c r="G335" s="247">
        <v>2207358</v>
      </c>
      <c r="H335" s="125">
        <v>2508462</v>
      </c>
      <c r="I335" s="125">
        <v>8000000</v>
      </c>
      <c r="J335" s="125">
        <v>8000000</v>
      </c>
      <c r="K335" s="125">
        <v>8000000</v>
      </c>
      <c r="L335" s="125">
        <v>0</v>
      </c>
      <c r="M335" s="125">
        <v>0</v>
      </c>
      <c r="N335" s="247">
        <v>0</v>
      </c>
      <c r="O335" s="247">
        <v>0</v>
      </c>
    </row>
    <row r="336" spans="1:15" s="145" customFormat="1" ht="15.75">
      <c r="A336" s="70" t="s">
        <v>3348</v>
      </c>
      <c r="B336" s="105" t="s">
        <v>5647</v>
      </c>
      <c r="C336" s="72" t="s">
        <v>275</v>
      </c>
      <c r="D336" s="125">
        <v>296556</v>
      </c>
      <c r="E336" s="125">
        <v>289083</v>
      </c>
      <c r="F336" s="125">
        <v>149910</v>
      </c>
      <c r="G336" s="247">
        <v>2565</v>
      </c>
      <c r="H336" s="125">
        <v>99180</v>
      </c>
      <c r="I336" s="125">
        <v>400000</v>
      </c>
      <c r="J336" s="125">
        <v>400000</v>
      </c>
      <c r="K336" s="125">
        <v>450000</v>
      </c>
      <c r="L336" s="125">
        <v>0</v>
      </c>
      <c r="M336" s="125">
        <v>0</v>
      </c>
      <c r="N336" s="247">
        <v>50000</v>
      </c>
      <c r="O336" s="247">
        <v>0</v>
      </c>
    </row>
    <row r="337" spans="1:15" s="145" customFormat="1" ht="15.75">
      <c r="A337" s="70" t="s">
        <v>3349</v>
      </c>
      <c r="B337" s="105" t="s">
        <v>5648</v>
      </c>
      <c r="C337" s="72" t="s">
        <v>276</v>
      </c>
      <c r="D337" s="125">
        <v>561055</v>
      </c>
      <c r="E337" s="125">
        <v>534505</v>
      </c>
      <c r="F337" s="125">
        <v>471250</v>
      </c>
      <c r="G337" s="247">
        <v>283250</v>
      </c>
      <c r="H337" s="125">
        <v>241562</v>
      </c>
      <c r="I337" s="125">
        <v>700000</v>
      </c>
      <c r="J337" s="125">
        <v>700000</v>
      </c>
      <c r="K337" s="125">
        <v>600000</v>
      </c>
      <c r="L337" s="125">
        <v>0</v>
      </c>
      <c r="M337" s="125">
        <v>0</v>
      </c>
      <c r="N337" s="247">
        <v>0</v>
      </c>
      <c r="O337" s="247">
        <v>100000</v>
      </c>
    </row>
    <row r="338" spans="1:15" s="145" customFormat="1" ht="15.75">
      <c r="A338" s="70" t="s">
        <v>3350</v>
      </c>
      <c r="B338" s="105" t="s">
        <v>5649</v>
      </c>
      <c r="C338" s="72" t="s">
        <v>886</v>
      </c>
      <c r="D338" s="125">
        <v>2449929</v>
      </c>
      <c r="E338" s="125">
        <v>1954917</v>
      </c>
      <c r="F338" s="125">
        <v>1243821</v>
      </c>
      <c r="G338" s="247">
        <v>704430</v>
      </c>
      <c r="H338" s="125">
        <v>533070</v>
      </c>
      <c r="I338" s="125">
        <v>2160000</v>
      </c>
      <c r="J338" s="125">
        <v>2160000</v>
      </c>
      <c r="K338" s="125">
        <v>2160000</v>
      </c>
      <c r="L338" s="125">
        <v>0</v>
      </c>
      <c r="M338" s="125">
        <v>0</v>
      </c>
      <c r="N338" s="247">
        <v>0</v>
      </c>
      <c r="O338" s="247">
        <v>0</v>
      </c>
    </row>
    <row r="339" spans="1:15" s="145" customFormat="1" ht="15.75">
      <c r="A339" s="70" t="s">
        <v>3351</v>
      </c>
      <c r="B339" s="105" t="s">
        <v>5650</v>
      </c>
      <c r="C339" s="72" t="s">
        <v>887</v>
      </c>
      <c r="D339" s="125">
        <v>22730</v>
      </c>
      <c r="E339" s="125">
        <v>25050</v>
      </c>
      <c r="F339" s="125">
        <v>58805</v>
      </c>
      <c r="G339" s="247">
        <v>35540</v>
      </c>
      <c r="H339" s="125">
        <v>5790</v>
      </c>
      <c r="I339" s="125">
        <v>70000</v>
      </c>
      <c r="J339" s="125">
        <v>70000</v>
      </c>
      <c r="K339" s="125">
        <v>70000</v>
      </c>
      <c r="L339" s="125">
        <v>0</v>
      </c>
      <c r="M339" s="125">
        <v>0</v>
      </c>
      <c r="N339" s="247">
        <v>0</v>
      </c>
      <c r="O339" s="247">
        <v>0</v>
      </c>
    </row>
    <row r="340" spans="1:15" s="145" customFormat="1" ht="15.75">
      <c r="A340" s="70" t="s">
        <v>3352</v>
      </c>
      <c r="B340" s="105" t="s">
        <v>5651</v>
      </c>
      <c r="C340" s="72" t="s">
        <v>888</v>
      </c>
      <c r="D340" s="125">
        <v>36301</v>
      </c>
      <c r="E340" s="125">
        <v>1684</v>
      </c>
      <c r="F340" s="125">
        <v>0</v>
      </c>
      <c r="G340" s="247">
        <v>0</v>
      </c>
      <c r="H340" s="125">
        <v>0</v>
      </c>
      <c r="I340" s="125">
        <v>0</v>
      </c>
      <c r="J340" s="125">
        <v>0</v>
      </c>
      <c r="K340" s="125">
        <v>0</v>
      </c>
      <c r="L340" s="125">
        <v>0</v>
      </c>
      <c r="M340" s="125">
        <v>0</v>
      </c>
      <c r="N340" s="247">
        <v>0</v>
      </c>
      <c r="O340" s="247">
        <v>0</v>
      </c>
    </row>
    <row r="341" spans="1:15" s="145" customFormat="1" ht="15.75">
      <c r="A341" s="70" t="s">
        <v>3353</v>
      </c>
      <c r="B341" s="105" t="s">
        <v>5652</v>
      </c>
      <c r="C341" s="72" t="s">
        <v>840</v>
      </c>
      <c r="D341" s="125">
        <v>1008187</v>
      </c>
      <c r="E341" s="125">
        <v>1054563</v>
      </c>
      <c r="F341" s="125">
        <v>1159605</v>
      </c>
      <c r="G341" s="247">
        <v>543244</v>
      </c>
      <c r="H341" s="125">
        <v>716260</v>
      </c>
      <c r="I341" s="125">
        <v>1700000</v>
      </c>
      <c r="J341" s="125">
        <v>1700000</v>
      </c>
      <c r="K341" s="125">
        <v>1700000</v>
      </c>
      <c r="L341" s="125">
        <v>0</v>
      </c>
      <c r="M341" s="125">
        <v>0</v>
      </c>
      <c r="N341" s="247">
        <v>0</v>
      </c>
      <c r="O341" s="247">
        <v>0</v>
      </c>
    </row>
    <row r="342" spans="1:15" s="145" customFormat="1" ht="15.75">
      <c r="A342" s="70" t="s">
        <v>3354</v>
      </c>
      <c r="B342" s="105" t="s">
        <v>5653</v>
      </c>
      <c r="C342" s="72" t="s">
        <v>454</v>
      </c>
      <c r="D342" s="125">
        <v>0</v>
      </c>
      <c r="E342" s="125">
        <v>0</v>
      </c>
      <c r="F342" s="125">
        <v>0</v>
      </c>
      <c r="G342" s="247">
        <v>0</v>
      </c>
      <c r="H342" s="125">
        <v>16161</v>
      </c>
      <c r="I342" s="125">
        <v>0</v>
      </c>
      <c r="J342" s="125">
        <v>0</v>
      </c>
      <c r="K342" s="125">
        <v>0</v>
      </c>
      <c r="L342" s="125">
        <v>0</v>
      </c>
      <c r="M342" s="125">
        <v>0</v>
      </c>
      <c r="N342" s="247">
        <v>0</v>
      </c>
      <c r="O342" s="247">
        <v>0</v>
      </c>
    </row>
    <row r="343" spans="1:15" s="145" customFormat="1" ht="15.75">
      <c r="A343" s="70"/>
      <c r="B343" s="105"/>
      <c r="C343" s="72"/>
      <c r="D343" s="125">
        <v>0</v>
      </c>
      <c r="E343" s="125">
        <v>0</v>
      </c>
      <c r="F343" s="125">
        <v>0</v>
      </c>
      <c r="G343" s="247">
        <v>0</v>
      </c>
      <c r="H343" s="125">
        <v>0</v>
      </c>
      <c r="I343" s="125">
        <v>0</v>
      </c>
      <c r="J343" s="125">
        <v>0</v>
      </c>
      <c r="K343" s="125">
        <v>0</v>
      </c>
      <c r="L343" s="125">
        <v>0</v>
      </c>
      <c r="M343" s="125">
        <v>0</v>
      </c>
      <c r="N343" s="247">
        <v>0</v>
      </c>
      <c r="O343" s="247">
        <v>0</v>
      </c>
    </row>
    <row r="344" spans="1:15" s="145" customFormat="1" ht="15.75">
      <c r="A344" s="77" t="s">
        <v>3355</v>
      </c>
      <c r="B344" s="136" t="s">
        <v>5654</v>
      </c>
      <c r="C344" s="72"/>
      <c r="D344" s="125">
        <v>9780920</v>
      </c>
      <c r="E344" s="125">
        <v>9373626</v>
      </c>
      <c r="F344" s="125">
        <v>7896709</v>
      </c>
      <c r="G344" s="247">
        <v>3776387</v>
      </c>
      <c r="H344" s="125">
        <v>4120485</v>
      </c>
      <c r="I344" s="125">
        <v>13030000</v>
      </c>
      <c r="J344" s="125">
        <v>13030000</v>
      </c>
      <c r="K344" s="125">
        <v>12980000</v>
      </c>
      <c r="L344" s="125">
        <v>0</v>
      </c>
      <c r="M344" s="125">
        <v>0</v>
      </c>
      <c r="N344" s="247">
        <v>0</v>
      </c>
      <c r="O344" s="247">
        <v>50000</v>
      </c>
    </row>
    <row r="345" spans="1:15" s="145" customFormat="1" ht="15.75">
      <c r="A345" s="70"/>
      <c r="B345" s="105"/>
      <c r="C345" s="72"/>
      <c r="D345" s="125">
        <v>0</v>
      </c>
      <c r="E345" s="125">
        <v>0</v>
      </c>
      <c r="F345" s="125">
        <v>0</v>
      </c>
      <c r="G345" s="247">
        <v>0</v>
      </c>
      <c r="H345" s="125">
        <v>0</v>
      </c>
      <c r="I345" s="125">
        <v>0</v>
      </c>
      <c r="J345" s="125">
        <v>0</v>
      </c>
      <c r="K345" s="125">
        <v>0</v>
      </c>
      <c r="L345" s="125">
        <v>0</v>
      </c>
      <c r="M345" s="125">
        <v>0</v>
      </c>
      <c r="N345" s="247">
        <v>0</v>
      </c>
      <c r="O345" s="247">
        <v>0</v>
      </c>
    </row>
    <row r="346" spans="1:15" s="145" customFormat="1" ht="15.75">
      <c r="A346" s="70" t="s">
        <v>2766</v>
      </c>
      <c r="B346" s="105" t="s">
        <v>5655</v>
      </c>
      <c r="C346" s="72"/>
      <c r="D346" s="125">
        <v>0</v>
      </c>
      <c r="E346" s="125">
        <v>0</v>
      </c>
      <c r="F346" s="125">
        <v>0</v>
      </c>
      <c r="G346" s="247">
        <v>0</v>
      </c>
      <c r="H346" s="125">
        <v>0</v>
      </c>
      <c r="I346" s="125">
        <v>0</v>
      </c>
      <c r="J346" s="125">
        <v>0</v>
      </c>
      <c r="K346" s="125">
        <v>0</v>
      </c>
      <c r="L346" s="125">
        <v>0</v>
      </c>
      <c r="M346" s="125">
        <v>0</v>
      </c>
      <c r="N346" s="247">
        <v>0</v>
      </c>
      <c r="O346" s="247">
        <v>0</v>
      </c>
    </row>
    <row r="347" spans="1:15" s="145" customFormat="1" ht="15.75">
      <c r="A347" s="70" t="s">
        <v>3356</v>
      </c>
      <c r="B347" s="105" t="s">
        <v>5656</v>
      </c>
      <c r="C347" s="72" t="s">
        <v>455</v>
      </c>
      <c r="D347" s="125">
        <v>4364000</v>
      </c>
      <c r="E347" s="125">
        <v>4900500</v>
      </c>
      <c r="F347" s="125">
        <v>3120750</v>
      </c>
      <c r="G347" s="247">
        <v>1085750</v>
      </c>
      <c r="H347" s="125">
        <v>2372000</v>
      </c>
      <c r="I347" s="125">
        <v>5500000</v>
      </c>
      <c r="J347" s="125">
        <v>5500000</v>
      </c>
      <c r="K347" s="125">
        <v>7000000</v>
      </c>
      <c r="L347" s="125">
        <v>0</v>
      </c>
      <c r="M347" s="125">
        <v>0</v>
      </c>
      <c r="N347" s="247">
        <v>1500000</v>
      </c>
      <c r="O347" s="247">
        <v>0</v>
      </c>
    </row>
    <row r="348" spans="1:15" s="145" customFormat="1" ht="15.75">
      <c r="A348" s="70" t="s">
        <v>3357</v>
      </c>
      <c r="B348" s="105" t="s">
        <v>5657</v>
      </c>
      <c r="C348" s="72" t="s">
        <v>456</v>
      </c>
      <c r="D348" s="125">
        <v>1070000</v>
      </c>
      <c r="E348" s="125">
        <v>0</v>
      </c>
      <c r="F348" s="125">
        <v>0</v>
      </c>
      <c r="G348" s="247">
        <v>0</v>
      </c>
      <c r="H348" s="125">
        <v>0</v>
      </c>
      <c r="I348" s="125">
        <v>4000000</v>
      </c>
      <c r="J348" s="125">
        <v>4000000</v>
      </c>
      <c r="K348" s="125">
        <v>5500000</v>
      </c>
      <c r="L348" s="125">
        <v>0</v>
      </c>
      <c r="M348" s="125">
        <v>0</v>
      </c>
      <c r="N348" s="247">
        <v>1500000</v>
      </c>
      <c r="O348" s="247">
        <v>0</v>
      </c>
    </row>
    <row r="349" spans="1:15" s="145" customFormat="1" ht="15.75">
      <c r="A349" s="70" t="s">
        <v>3359</v>
      </c>
      <c r="B349" s="105" t="s">
        <v>5658</v>
      </c>
      <c r="C349" s="72" t="s">
        <v>457</v>
      </c>
      <c r="D349" s="125">
        <v>1578079</v>
      </c>
      <c r="E349" s="125">
        <v>2265399</v>
      </c>
      <c r="F349" s="125">
        <v>1996736</v>
      </c>
      <c r="G349" s="247">
        <v>954942</v>
      </c>
      <c r="H349" s="125">
        <v>656117</v>
      </c>
      <c r="I349" s="125">
        <v>0</v>
      </c>
      <c r="J349" s="125">
        <v>0</v>
      </c>
      <c r="K349" s="125">
        <v>0</v>
      </c>
      <c r="L349" s="125">
        <v>0</v>
      </c>
      <c r="M349" s="125">
        <v>0</v>
      </c>
      <c r="N349" s="247">
        <v>0</v>
      </c>
      <c r="O349" s="247">
        <v>0</v>
      </c>
    </row>
    <row r="350" spans="1:15" s="145" customFormat="1" ht="15.75">
      <c r="A350" s="70" t="s">
        <v>3360</v>
      </c>
      <c r="B350" s="105" t="s">
        <v>5659</v>
      </c>
      <c r="C350" s="72" t="s">
        <v>458</v>
      </c>
      <c r="D350" s="125">
        <v>3611207</v>
      </c>
      <c r="E350" s="125">
        <v>3768750</v>
      </c>
      <c r="F350" s="125">
        <v>3022500</v>
      </c>
      <c r="G350" s="247">
        <v>1550000</v>
      </c>
      <c r="H350" s="125">
        <v>2941750</v>
      </c>
      <c r="I350" s="125">
        <v>3500000</v>
      </c>
      <c r="J350" s="125">
        <v>3500000</v>
      </c>
      <c r="K350" s="125">
        <v>1700000</v>
      </c>
      <c r="L350" s="125">
        <v>0</v>
      </c>
      <c r="M350" s="125">
        <v>0</v>
      </c>
      <c r="N350" s="247">
        <v>0</v>
      </c>
      <c r="O350" s="247">
        <v>1800000</v>
      </c>
    </row>
    <row r="351" spans="1:15" s="145" customFormat="1" ht="15.75">
      <c r="A351" s="70"/>
      <c r="B351" s="105"/>
      <c r="C351" s="72"/>
      <c r="D351" s="125">
        <v>0</v>
      </c>
      <c r="E351" s="125">
        <v>0</v>
      </c>
      <c r="F351" s="125">
        <v>0</v>
      </c>
      <c r="G351" s="247">
        <v>0</v>
      </c>
      <c r="H351" s="125">
        <v>0</v>
      </c>
      <c r="I351" s="125">
        <v>0</v>
      </c>
      <c r="J351" s="125">
        <v>0</v>
      </c>
      <c r="K351" s="125">
        <v>0</v>
      </c>
      <c r="L351" s="125">
        <v>0</v>
      </c>
      <c r="M351" s="125">
        <v>0</v>
      </c>
      <c r="N351" s="247">
        <v>0</v>
      </c>
      <c r="O351" s="247">
        <v>0</v>
      </c>
    </row>
    <row r="352" spans="1:15" s="145" customFormat="1" ht="15.75">
      <c r="A352" s="77" t="s">
        <v>3361</v>
      </c>
      <c r="B352" s="136" t="s">
        <v>5660</v>
      </c>
      <c r="C352" s="72"/>
      <c r="D352" s="125">
        <v>10623286</v>
      </c>
      <c r="E352" s="125">
        <v>10934649</v>
      </c>
      <c r="F352" s="125">
        <v>8139986</v>
      </c>
      <c r="G352" s="247">
        <v>3590692</v>
      </c>
      <c r="H352" s="125">
        <v>5969867</v>
      </c>
      <c r="I352" s="125">
        <v>13000000</v>
      </c>
      <c r="J352" s="125">
        <v>13000000</v>
      </c>
      <c r="K352" s="125">
        <v>14200000</v>
      </c>
      <c r="L352" s="125">
        <v>0</v>
      </c>
      <c r="M352" s="125">
        <v>0</v>
      </c>
      <c r="N352" s="247">
        <v>1200000</v>
      </c>
      <c r="O352" s="247">
        <v>0</v>
      </c>
    </row>
    <row r="353" spans="1:15" s="145" customFormat="1" ht="15.75">
      <c r="A353" s="70"/>
      <c r="B353" s="105"/>
      <c r="C353" s="72"/>
      <c r="D353" s="125">
        <v>0</v>
      </c>
      <c r="E353" s="125">
        <v>0</v>
      </c>
      <c r="F353" s="125">
        <v>0</v>
      </c>
      <c r="G353" s="247">
        <v>0</v>
      </c>
      <c r="H353" s="125">
        <v>0</v>
      </c>
      <c r="I353" s="125">
        <v>0</v>
      </c>
      <c r="J353" s="125">
        <v>0</v>
      </c>
      <c r="K353" s="125">
        <v>0</v>
      </c>
      <c r="L353" s="125">
        <v>0</v>
      </c>
      <c r="M353" s="125">
        <v>0</v>
      </c>
      <c r="N353" s="247">
        <v>0</v>
      </c>
      <c r="O353" s="247">
        <v>0</v>
      </c>
    </row>
    <row r="354" spans="1:15" s="145" customFormat="1" ht="15.75">
      <c r="A354" s="70" t="s">
        <v>2771</v>
      </c>
      <c r="B354" s="105" t="s">
        <v>5661</v>
      </c>
      <c r="C354" s="72"/>
      <c r="D354" s="125">
        <v>0</v>
      </c>
      <c r="E354" s="125">
        <v>0</v>
      </c>
      <c r="F354" s="125">
        <v>0</v>
      </c>
      <c r="G354" s="247">
        <v>0</v>
      </c>
      <c r="H354" s="125">
        <v>0</v>
      </c>
      <c r="I354" s="125">
        <v>0</v>
      </c>
      <c r="J354" s="125">
        <v>0</v>
      </c>
      <c r="K354" s="125">
        <v>0</v>
      </c>
      <c r="L354" s="125">
        <v>0</v>
      </c>
      <c r="M354" s="125">
        <v>0</v>
      </c>
      <c r="N354" s="247">
        <v>0</v>
      </c>
      <c r="O354" s="247">
        <v>0</v>
      </c>
    </row>
    <row r="355" spans="1:15" s="145" customFormat="1" ht="15.75">
      <c r="A355" s="70" t="s">
        <v>3362</v>
      </c>
      <c r="B355" s="105" t="s">
        <v>5662</v>
      </c>
      <c r="C355" s="72" t="s">
        <v>460</v>
      </c>
      <c r="D355" s="125">
        <v>3995348</v>
      </c>
      <c r="E355" s="125">
        <v>2730194</v>
      </c>
      <c r="F355" s="125">
        <v>3016125</v>
      </c>
      <c r="G355" s="247">
        <v>1724500</v>
      </c>
      <c r="H355" s="125">
        <v>1766125</v>
      </c>
      <c r="I355" s="125">
        <v>4500000</v>
      </c>
      <c r="J355" s="125">
        <v>4500000</v>
      </c>
      <c r="K355" s="125">
        <v>5000000</v>
      </c>
      <c r="L355" s="125">
        <v>0</v>
      </c>
      <c r="M355" s="125">
        <v>0</v>
      </c>
      <c r="N355" s="247">
        <v>500000</v>
      </c>
      <c r="O355" s="247">
        <v>0</v>
      </c>
    </row>
    <row r="356" spans="1:15" s="145" customFormat="1" ht="15.75">
      <c r="A356" s="70" t="s">
        <v>3363</v>
      </c>
      <c r="B356" s="105" t="s">
        <v>5663</v>
      </c>
      <c r="C356" s="72" t="s">
        <v>461</v>
      </c>
      <c r="D356" s="125">
        <v>404721</v>
      </c>
      <c r="E356" s="125">
        <v>386246</v>
      </c>
      <c r="F356" s="125">
        <v>374971</v>
      </c>
      <c r="G356" s="247">
        <v>211668</v>
      </c>
      <c r="H356" s="125">
        <v>201426</v>
      </c>
      <c r="I356" s="125">
        <v>3500000</v>
      </c>
      <c r="J356" s="125">
        <v>3500000</v>
      </c>
      <c r="K356" s="125">
        <v>550000</v>
      </c>
      <c r="L356" s="125">
        <v>0</v>
      </c>
      <c r="M356" s="125">
        <v>0</v>
      </c>
      <c r="N356" s="247">
        <v>0</v>
      </c>
      <c r="O356" s="247">
        <v>2950000</v>
      </c>
    </row>
    <row r="357" spans="1:15" s="145" customFormat="1" ht="15.75">
      <c r="A357" s="70" t="s">
        <v>3349</v>
      </c>
      <c r="B357" s="105" t="s">
        <v>5648</v>
      </c>
      <c r="C357" s="72" t="s">
        <v>462</v>
      </c>
      <c r="D357" s="125">
        <v>84456</v>
      </c>
      <c r="E357" s="125">
        <v>4500</v>
      </c>
      <c r="F357" s="125">
        <v>10000</v>
      </c>
      <c r="G357" s="247">
        <v>10000</v>
      </c>
      <c r="H357" s="125">
        <v>22500</v>
      </c>
      <c r="I357" s="125">
        <v>700000</v>
      </c>
      <c r="J357" s="125">
        <v>700000</v>
      </c>
      <c r="K357" s="125">
        <v>600000</v>
      </c>
      <c r="L357" s="125">
        <v>0</v>
      </c>
      <c r="M357" s="125">
        <v>0</v>
      </c>
      <c r="N357" s="247">
        <v>0</v>
      </c>
      <c r="O357" s="247">
        <v>100000</v>
      </c>
    </row>
    <row r="358" spans="1:15" s="145" customFormat="1" ht="15.75">
      <c r="A358" s="70" t="s">
        <v>3364</v>
      </c>
      <c r="B358" s="105" t="s">
        <v>5649</v>
      </c>
      <c r="C358" s="72" t="s">
        <v>463</v>
      </c>
      <c r="D358" s="125">
        <v>813248</v>
      </c>
      <c r="E358" s="125">
        <v>508030</v>
      </c>
      <c r="F358" s="125">
        <v>407500</v>
      </c>
      <c r="G358" s="247">
        <v>407500</v>
      </c>
      <c r="H358" s="125">
        <v>436840</v>
      </c>
      <c r="I358" s="125">
        <v>1300000</v>
      </c>
      <c r="J358" s="125">
        <v>1300000</v>
      </c>
      <c r="K358" s="125">
        <v>1095000</v>
      </c>
      <c r="L358" s="125">
        <v>0</v>
      </c>
      <c r="M358" s="125">
        <v>0</v>
      </c>
      <c r="N358" s="247">
        <v>0</v>
      </c>
      <c r="O358" s="247">
        <v>205000</v>
      </c>
    </row>
    <row r="359" spans="1:15" s="145" customFormat="1" ht="15.75">
      <c r="A359" s="70" t="s">
        <v>3351</v>
      </c>
      <c r="B359" s="105" t="s">
        <v>5650</v>
      </c>
      <c r="C359" s="72" t="s">
        <v>464</v>
      </c>
      <c r="D359" s="125">
        <v>37300</v>
      </c>
      <c r="E359" s="125">
        <v>18700</v>
      </c>
      <c r="F359" s="125">
        <v>21000</v>
      </c>
      <c r="G359" s="247">
        <v>14100</v>
      </c>
      <c r="H359" s="125">
        <v>8500</v>
      </c>
      <c r="I359" s="125">
        <v>30000</v>
      </c>
      <c r="J359" s="125">
        <v>30000</v>
      </c>
      <c r="K359" s="125">
        <v>30000</v>
      </c>
      <c r="L359" s="125">
        <v>0</v>
      </c>
      <c r="M359" s="125">
        <v>0</v>
      </c>
      <c r="N359" s="247">
        <v>0</v>
      </c>
      <c r="O359" s="247">
        <v>0</v>
      </c>
    </row>
    <row r="360" spans="1:15" s="145" customFormat="1" ht="15.75">
      <c r="A360" s="70" t="s">
        <v>3365</v>
      </c>
      <c r="B360" s="105" t="s">
        <v>5664</v>
      </c>
      <c r="C360" s="72" t="s">
        <v>465</v>
      </c>
      <c r="D360" s="125">
        <v>76405</v>
      </c>
      <c r="E360" s="125">
        <v>186870</v>
      </c>
      <c r="F360" s="125">
        <v>0</v>
      </c>
      <c r="G360" s="247">
        <v>0</v>
      </c>
      <c r="H360" s="125">
        <v>0</v>
      </c>
      <c r="I360" s="125">
        <v>0</v>
      </c>
      <c r="J360" s="125">
        <v>0</v>
      </c>
      <c r="K360" s="125">
        <v>0</v>
      </c>
      <c r="L360" s="125">
        <v>0</v>
      </c>
      <c r="M360" s="125">
        <v>0</v>
      </c>
      <c r="N360" s="247">
        <v>0</v>
      </c>
      <c r="O360" s="247">
        <v>0</v>
      </c>
    </row>
    <row r="361" spans="1:15" s="145" customFormat="1" ht="15.75">
      <c r="A361" s="70" t="s">
        <v>3353</v>
      </c>
      <c r="B361" s="105" t="s">
        <v>5665</v>
      </c>
      <c r="C361" s="72" t="s">
        <v>466</v>
      </c>
      <c r="D361" s="125">
        <v>464006</v>
      </c>
      <c r="E361" s="125">
        <v>400528</v>
      </c>
      <c r="F361" s="125">
        <v>650823</v>
      </c>
      <c r="G361" s="247">
        <v>414589.6</v>
      </c>
      <c r="H361" s="125">
        <v>389840</v>
      </c>
      <c r="I361" s="125">
        <v>600000</v>
      </c>
      <c r="J361" s="125">
        <v>600000</v>
      </c>
      <c r="K361" s="125">
        <v>850000</v>
      </c>
      <c r="L361" s="125">
        <v>0</v>
      </c>
      <c r="M361" s="125">
        <v>0</v>
      </c>
      <c r="N361" s="247">
        <v>250000</v>
      </c>
      <c r="O361" s="247">
        <v>0</v>
      </c>
    </row>
    <row r="362" spans="1:15" s="145" customFormat="1" ht="15.75">
      <c r="A362" s="70"/>
      <c r="B362" s="105"/>
      <c r="C362" s="72"/>
      <c r="D362" s="125">
        <v>0</v>
      </c>
      <c r="E362" s="125">
        <v>0</v>
      </c>
      <c r="F362" s="125">
        <v>0</v>
      </c>
      <c r="G362" s="247">
        <v>0</v>
      </c>
      <c r="H362" s="125">
        <v>0</v>
      </c>
      <c r="I362" s="125">
        <v>0</v>
      </c>
      <c r="J362" s="125">
        <v>0</v>
      </c>
      <c r="K362" s="125">
        <v>0</v>
      </c>
      <c r="L362" s="125">
        <v>0</v>
      </c>
      <c r="M362" s="125">
        <v>0</v>
      </c>
      <c r="N362" s="247">
        <v>0</v>
      </c>
      <c r="O362" s="247">
        <v>0</v>
      </c>
    </row>
    <row r="363" spans="1:15" s="145" customFormat="1" ht="15.75">
      <c r="A363" s="77" t="s">
        <v>3366</v>
      </c>
      <c r="B363" s="136" t="s">
        <v>5666</v>
      </c>
      <c r="C363" s="72"/>
      <c r="D363" s="125">
        <v>5875484</v>
      </c>
      <c r="E363" s="125">
        <v>4235068</v>
      </c>
      <c r="F363" s="125">
        <v>4480419</v>
      </c>
      <c r="G363" s="247">
        <v>2782357.6</v>
      </c>
      <c r="H363" s="125">
        <v>2825231</v>
      </c>
      <c r="I363" s="125">
        <v>10630000</v>
      </c>
      <c r="J363" s="125">
        <v>10630000</v>
      </c>
      <c r="K363" s="125">
        <v>8125000</v>
      </c>
      <c r="L363" s="125">
        <v>0</v>
      </c>
      <c r="M363" s="125">
        <v>0</v>
      </c>
      <c r="N363" s="247">
        <v>0</v>
      </c>
      <c r="O363" s="247">
        <v>2505000</v>
      </c>
    </row>
    <row r="364" spans="1:15" s="145" customFormat="1" ht="15.75">
      <c r="A364" s="70"/>
      <c r="B364" s="105"/>
      <c r="C364" s="72"/>
      <c r="D364" s="125">
        <v>0</v>
      </c>
      <c r="E364" s="125">
        <v>0</v>
      </c>
      <c r="F364" s="125">
        <v>0</v>
      </c>
      <c r="G364" s="247">
        <v>0</v>
      </c>
      <c r="H364" s="125">
        <v>0</v>
      </c>
      <c r="I364" s="125">
        <v>0</v>
      </c>
      <c r="J364" s="125">
        <v>0</v>
      </c>
      <c r="K364" s="125">
        <v>0</v>
      </c>
      <c r="L364" s="125">
        <v>0</v>
      </c>
      <c r="M364" s="125">
        <v>0</v>
      </c>
      <c r="N364" s="247">
        <v>0</v>
      </c>
      <c r="O364" s="247">
        <v>0</v>
      </c>
    </row>
    <row r="365" spans="1:15" s="145" customFormat="1" ht="15.75">
      <c r="A365" s="70" t="s">
        <v>2776</v>
      </c>
      <c r="B365" s="105" t="s">
        <v>5667</v>
      </c>
      <c r="C365" s="72"/>
      <c r="D365" s="125">
        <v>0</v>
      </c>
      <c r="E365" s="125">
        <v>0</v>
      </c>
      <c r="F365" s="125">
        <v>0</v>
      </c>
      <c r="G365" s="247">
        <v>0</v>
      </c>
      <c r="H365" s="125">
        <v>0</v>
      </c>
      <c r="I365" s="125">
        <v>0</v>
      </c>
      <c r="J365" s="125">
        <v>0</v>
      </c>
      <c r="K365" s="125">
        <v>0</v>
      </c>
      <c r="L365" s="125">
        <v>0</v>
      </c>
      <c r="M365" s="125">
        <v>0</v>
      </c>
      <c r="N365" s="247">
        <v>0</v>
      </c>
      <c r="O365" s="247">
        <v>0</v>
      </c>
    </row>
    <row r="366" spans="1:15" s="145" customFormat="1" ht="15.75">
      <c r="A366" s="70" t="s">
        <v>3367</v>
      </c>
      <c r="B366" s="105" t="s">
        <v>5668</v>
      </c>
      <c r="C366" s="72" t="s">
        <v>467</v>
      </c>
      <c r="D366" s="125">
        <v>1230419</v>
      </c>
      <c r="E366" s="125">
        <v>1119328</v>
      </c>
      <c r="F366" s="125">
        <v>835583</v>
      </c>
      <c r="G366" s="247">
        <v>333386</v>
      </c>
      <c r="H366" s="125">
        <v>401367</v>
      </c>
      <c r="I366" s="125">
        <v>1300000</v>
      </c>
      <c r="J366" s="125">
        <v>1300000</v>
      </c>
      <c r="K366" s="125">
        <v>1500000</v>
      </c>
      <c r="L366" s="125">
        <v>0</v>
      </c>
      <c r="M366" s="125">
        <v>0</v>
      </c>
      <c r="N366" s="247">
        <v>200000</v>
      </c>
      <c r="O366" s="247">
        <v>0</v>
      </c>
    </row>
    <row r="367" spans="1:15" s="145" customFormat="1" ht="15.75">
      <c r="A367" s="70" t="s">
        <v>3368</v>
      </c>
      <c r="B367" s="105" t="s">
        <v>5669</v>
      </c>
      <c r="C367" s="72" t="s">
        <v>468</v>
      </c>
      <c r="D367" s="125">
        <v>212173</v>
      </c>
      <c r="E367" s="125">
        <v>257890</v>
      </c>
      <c r="F367" s="125">
        <v>197068</v>
      </c>
      <c r="G367" s="247">
        <v>84668</v>
      </c>
      <c r="H367" s="125">
        <v>65683</v>
      </c>
      <c r="I367" s="125">
        <v>270000</v>
      </c>
      <c r="J367" s="125">
        <v>270000</v>
      </c>
      <c r="K367" s="125">
        <v>200000</v>
      </c>
      <c r="L367" s="125">
        <v>0</v>
      </c>
      <c r="M367" s="125">
        <v>0</v>
      </c>
      <c r="N367" s="247">
        <v>0</v>
      </c>
      <c r="O367" s="247">
        <v>70000</v>
      </c>
    </row>
    <row r="368" spans="1:15" s="145" customFormat="1" ht="15.75">
      <c r="A368" s="70" t="s">
        <v>3371</v>
      </c>
      <c r="B368" s="105" t="s">
        <v>5670</v>
      </c>
      <c r="C368" s="72" t="s">
        <v>543</v>
      </c>
      <c r="D368" s="125">
        <v>126397</v>
      </c>
      <c r="E368" s="125">
        <v>105593</v>
      </c>
      <c r="F368" s="125">
        <v>84974</v>
      </c>
      <c r="G368" s="247">
        <v>43920</v>
      </c>
      <c r="H368" s="125">
        <v>51361</v>
      </c>
      <c r="I368" s="125">
        <v>150000</v>
      </c>
      <c r="J368" s="125">
        <v>150000</v>
      </c>
      <c r="K368" s="125">
        <v>120000</v>
      </c>
      <c r="L368" s="125">
        <v>0</v>
      </c>
      <c r="M368" s="125">
        <v>0</v>
      </c>
      <c r="N368" s="247">
        <v>0</v>
      </c>
      <c r="O368" s="247">
        <v>30000</v>
      </c>
    </row>
    <row r="369" spans="1:15" s="145" customFormat="1" ht="15.75">
      <c r="A369" s="70" t="s">
        <v>3372</v>
      </c>
      <c r="B369" s="105" t="s">
        <v>5671</v>
      </c>
      <c r="C369" s="72" t="s">
        <v>544</v>
      </c>
      <c r="D369" s="125">
        <v>171935</v>
      </c>
      <c r="E369" s="125">
        <v>74004</v>
      </c>
      <c r="F369" s="125">
        <v>94335</v>
      </c>
      <c r="G369" s="247">
        <v>94335</v>
      </c>
      <c r="H369" s="125">
        <v>0</v>
      </c>
      <c r="I369" s="125">
        <v>100000</v>
      </c>
      <c r="J369" s="125">
        <v>100000</v>
      </c>
      <c r="K369" s="125">
        <v>100000</v>
      </c>
      <c r="L369" s="125">
        <v>0</v>
      </c>
      <c r="M369" s="125">
        <v>0</v>
      </c>
      <c r="N369" s="247">
        <v>0</v>
      </c>
      <c r="O369" s="247">
        <v>0</v>
      </c>
    </row>
    <row r="370" spans="1:15" s="145" customFormat="1" ht="15.75">
      <c r="A370" s="70"/>
      <c r="B370" s="105"/>
      <c r="C370" s="72"/>
      <c r="D370" s="125">
        <v>0</v>
      </c>
      <c r="E370" s="125">
        <v>0</v>
      </c>
      <c r="F370" s="125">
        <v>0</v>
      </c>
      <c r="G370" s="247">
        <v>0</v>
      </c>
      <c r="H370" s="125">
        <v>0</v>
      </c>
      <c r="I370" s="125">
        <v>0</v>
      </c>
      <c r="J370" s="125">
        <v>0</v>
      </c>
      <c r="K370" s="125">
        <v>0</v>
      </c>
      <c r="L370" s="125">
        <v>0</v>
      </c>
      <c r="M370" s="125">
        <v>0</v>
      </c>
      <c r="N370" s="247">
        <v>0</v>
      </c>
      <c r="O370" s="247">
        <v>0</v>
      </c>
    </row>
    <row r="371" spans="1:15" s="145" customFormat="1" ht="15.75">
      <c r="A371" s="77" t="s">
        <v>3373</v>
      </c>
      <c r="B371" s="136" t="s">
        <v>5672</v>
      </c>
      <c r="C371" s="72"/>
      <c r="D371" s="125">
        <v>1740924</v>
      </c>
      <c r="E371" s="125">
        <v>1556815</v>
      </c>
      <c r="F371" s="125">
        <v>1211960</v>
      </c>
      <c r="G371" s="247">
        <v>556309</v>
      </c>
      <c r="H371" s="125">
        <v>518411</v>
      </c>
      <c r="I371" s="125">
        <v>1820000</v>
      </c>
      <c r="J371" s="125">
        <v>1820000</v>
      </c>
      <c r="K371" s="125">
        <v>1920000</v>
      </c>
      <c r="L371" s="125">
        <v>0</v>
      </c>
      <c r="M371" s="125">
        <v>0</v>
      </c>
      <c r="N371" s="247">
        <v>100000</v>
      </c>
      <c r="O371" s="247">
        <v>0</v>
      </c>
    </row>
    <row r="372" spans="1:15" s="145" customFormat="1" ht="15.75">
      <c r="A372" s="70"/>
      <c r="B372" s="105"/>
      <c r="C372" s="72"/>
      <c r="D372" s="125">
        <v>0</v>
      </c>
      <c r="E372" s="125">
        <v>0</v>
      </c>
      <c r="F372" s="125">
        <v>0</v>
      </c>
      <c r="G372" s="247">
        <v>0</v>
      </c>
      <c r="H372" s="125">
        <v>0</v>
      </c>
      <c r="I372" s="125">
        <v>0</v>
      </c>
      <c r="J372" s="125">
        <v>0</v>
      </c>
      <c r="K372" s="125">
        <v>0</v>
      </c>
      <c r="L372" s="125">
        <v>0</v>
      </c>
      <c r="M372" s="125">
        <v>0</v>
      </c>
      <c r="N372" s="247">
        <v>0</v>
      </c>
      <c r="O372" s="247">
        <v>0</v>
      </c>
    </row>
    <row r="373" spans="1:15" s="145" customFormat="1" ht="15.75">
      <c r="A373" s="70" t="s">
        <v>2779</v>
      </c>
      <c r="B373" s="105" t="s">
        <v>5673</v>
      </c>
      <c r="C373" s="72"/>
      <c r="D373" s="125">
        <v>0</v>
      </c>
      <c r="E373" s="125">
        <v>0</v>
      </c>
      <c r="F373" s="125">
        <v>0</v>
      </c>
      <c r="G373" s="247">
        <v>0</v>
      </c>
      <c r="H373" s="125">
        <v>0</v>
      </c>
      <c r="I373" s="125">
        <v>0</v>
      </c>
      <c r="J373" s="125">
        <v>0</v>
      </c>
      <c r="K373" s="125">
        <v>0</v>
      </c>
      <c r="L373" s="125">
        <v>0</v>
      </c>
      <c r="M373" s="125">
        <v>0</v>
      </c>
      <c r="N373" s="247">
        <v>0</v>
      </c>
      <c r="O373" s="247">
        <v>0</v>
      </c>
    </row>
    <row r="374" spans="1:15" s="145" customFormat="1" ht="15.75">
      <c r="A374" s="70" t="s">
        <v>3374</v>
      </c>
      <c r="B374" s="105" t="s">
        <v>5674</v>
      </c>
      <c r="C374" s="72" t="s">
        <v>637</v>
      </c>
      <c r="D374" s="125">
        <v>101124</v>
      </c>
      <c r="E374" s="125">
        <v>111058</v>
      </c>
      <c r="F374" s="125">
        <v>223000</v>
      </c>
      <c r="G374" s="247">
        <v>146000</v>
      </c>
      <c r="H374" s="125">
        <v>135000</v>
      </c>
      <c r="I374" s="125">
        <v>300000</v>
      </c>
      <c r="J374" s="125">
        <v>300000</v>
      </c>
      <c r="K374" s="125">
        <v>300000</v>
      </c>
      <c r="L374" s="125">
        <v>0</v>
      </c>
      <c r="M374" s="125">
        <v>0</v>
      </c>
      <c r="N374" s="247">
        <v>0</v>
      </c>
      <c r="O374" s="247">
        <v>0</v>
      </c>
    </row>
    <row r="375" spans="1:15" s="145" customFormat="1" ht="15.75">
      <c r="A375" s="70" t="s">
        <v>3368</v>
      </c>
      <c r="B375" s="105" t="s">
        <v>5669</v>
      </c>
      <c r="C375" s="72" t="s">
        <v>638</v>
      </c>
      <c r="D375" s="125">
        <v>178350</v>
      </c>
      <c r="E375" s="125">
        <v>333000</v>
      </c>
      <c r="F375" s="125">
        <v>108000</v>
      </c>
      <c r="G375" s="247">
        <v>9860</v>
      </c>
      <c r="H375" s="125">
        <v>0</v>
      </c>
      <c r="I375" s="125">
        <v>200000</v>
      </c>
      <c r="J375" s="125">
        <v>200000</v>
      </c>
      <c r="K375" s="125">
        <v>200000</v>
      </c>
      <c r="L375" s="125">
        <v>0</v>
      </c>
      <c r="M375" s="125">
        <v>0</v>
      </c>
      <c r="N375" s="247">
        <v>0</v>
      </c>
      <c r="O375" s="247">
        <v>0</v>
      </c>
    </row>
    <row r="376" spans="1:15" s="145" customFormat="1" ht="15.75">
      <c r="A376" s="70" t="s">
        <v>3375</v>
      </c>
      <c r="B376" s="105" t="s">
        <v>5675</v>
      </c>
      <c r="C376" s="72" t="s">
        <v>640</v>
      </c>
      <c r="D376" s="125">
        <v>39265</v>
      </c>
      <c r="E376" s="125">
        <v>59477</v>
      </c>
      <c r="F376" s="125">
        <v>48386</v>
      </c>
      <c r="G376" s="247">
        <v>25463</v>
      </c>
      <c r="H376" s="125">
        <v>35305</v>
      </c>
      <c r="I376" s="125">
        <v>50000</v>
      </c>
      <c r="J376" s="125">
        <v>50000</v>
      </c>
      <c r="K376" s="125">
        <v>80000</v>
      </c>
      <c r="L376" s="125">
        <v>0</v>
      </c>
      <c r="M376" s="125">
        <v>0</v>
      </c>
      <c r="N376" s="247">
        <v>30000</v>
      </c>
      <c r="O376" s="247">
        <v>0</v>
      </c>
    </row>
    <row r="377" spans="1:15" s="145" customFormat="1" ht="15.75">
      <c r="A377" s="70"/>
      <c r="B377" s="105"/>
      <c r="C377" s="72"/>
      <c r="D377" s="125">
        <v>0</v>
      </c>
      <c r="E377" s="125">
        <v>0</v>
      </c>
      <c r="F377" s="125">
        <v>0</v>
      </c>
      <c r="G377" s="247">
        <v>0</v>
      </c>
      <c r="H377" s="125">
        <v>0</v>
      </c>
      <c r="I377" s="125">
        <v>0</v>
      </c>
      <c r="J377" s="125">
        <v>0</v>
      </c>
      <c r="K377" s="125">
        <v>0</v>
      </c>
      <c r="L377" s="125">
        <v>0</v>
      </c>
      <c r="M377" s="125">
        <v>0</v>
      </c>
      <c r="N377" s="247">
        <v>0</v>
      </c>
      <c r="O377" s="247">
        <v>0</v>
      </c>
    </row>
    <row r="378" spans="1:15" s="145" customFormat="1" ht="15.75">
      <c r="A378" s="77" t="s">
        <v>3376</v>
      </c>
      <c r="B378" s="136" t="s">
        <v>5676</v>
      </c>
      <c r="C378" s="72"/>
      <c r="D378" s="125">
        <v>318739</v>
      </c>
      <c r="E378" s="125">
        <v>503535</v>
      </c>
      <c r="F378" s="125">
        <v>379386</v>
      </c>
      <c r="G378" s="247">
        <v>181323</v>
      </c>
      <c r="H378" s="125">
        <v>170305</v>
      </c>
      <c r="I378" s="125">
        <v>550000</v>
      </c>
      <c r="J378" s="125">
        <v>550000</v>
      </c>
      <c r="K378" s="125">
        <v>580000</v>
      </c>
      <c r="L378" s="125">
        <v>0</v>
      </c>
      <c r="M378" s="125">
        <v>0</v>
      </c>
      <c r="N378" s="247">
        <v>30000</v>
      </c>
      <c r="O378" s="247">
        <v>0</v>
      </c>
    </row>
    <row r="379" spans="1:15" s="145" customFormat="1" ht="15.75">
      <c r="A379" s="70"/>
      <c r="B379" s="105"/>
      <c r="C379" s="72"/>
      <c r="D379" s="125">
        <v>0</v>
      </c>
      <c r="E379" s="125">
        <v>0</v>
      </c>
      <c r="F379" s="125">
        <v>0</v>
      </c>
      <c r="G379" s="247">
        <v>0</v>
      </c>
      <c r="H379" s="125">
        <v>0</v>
      </c>
      <c r="I379" s="125">
        <v>0</v>
      </c>
      <c r="J379" s="125">
        <v>0</v>
      </c>
      <c r="K379" s="125">
        <v>0</v>
      </c>
      <c r="L379" s="125">
        <v>0</v>
      </c>
      <c r="M379" s="125">
        <v>0</v>
      </c>
      <c r="N379" s="247">
        <v>0</v>
      </c>
      <c r="O379" s="247">
        <v>0</v>
      </c>
    </row>
    <row r="380" spans="1:15" s="145" customFormat="1" ht="31.5">
      <c r="A380" s="70" t="s">
        <v>2784</v>
      </c>
      <c r="B380" s="105" t="s">
        <v>5677</v>
      </c>
      <c r="C380" s="72"/>
      <c r="D380" s="125">
        <v>0</v>
      </c>
      <c r="E380" s="125">
        <v>0</v>
      </c>
      <c r="F380" s="125">
        <v>0</v>
      </c>
      <c r="G380" s="247">
        <v>0</v>
      </c>
      <c r="H380" s="125">
        <v>0</v>
      </c>
      <c r="I380" s="125">
        <v>0</v>
      </c>
      <c r="J380" s="125">
        <v>0</v>
      </c>
      <c r="K380" s="125">
        <v>0</v>
      </c>
      <c r="L380" s="125">
        <v>0</v>
      </c>
      <c r="M380" s="125">
        <v>0</v>
      </c>
      <c r="N380" s="247">
        <v>0</v>
      </c>
      <c r="O380" s="247">
        <v>0</v>
      </c>
    </row>
    <row r="381" spans="1:15" s="145" customFormat="1" ht="15.75">
      <c r="A381" s="70" t="s">
        <v>3356</v>
      </c>
      <c r="B381" s="105" t="s">
        <v>5656</v>
      </c>
      <c r="C381" s="72" t="s">
        <v>1690</v>
      </c>
      <c r="D381" s="125">
        <v>10000</v>
      </c>
      <c r="E381" s="125">
        <v>529475</v>
      </c>
      <c r="F381" s="125">
        <v>1786250</v>
      </c>
      <c r="G381" s="247">
        <v>1060750</v>
      </c>
      <c r="H381" s="125">
        <v>1049625</v>
      </c>
      <c r="I381" s="125">
        <v>2500000</v>
      </c>
      <c r="J381" s="125">
        <v>2500000</v>
      </c>
      <c r="K381" s="125">
        <v>2700000</v>
      </c>
      <c r="L381" s="125">
        <v>0</v>
      </c>
      <c r="M381" s="125">
        <v>0</v>
      </c>
      <c r="N381" s="247">
        <v>200000</v>
      </c>
      <c r="O381" s="247">
        <v>0</v>
      </c>
    </row>
    <row r="382" spans="1:15" s="145" customFormat="1" ht="15.75">
      <c r="A382" s="70" t="s">
        <v>3363</v>
      </c>
      <c r="B382" s="105" t="s">
        <v>5678</v>
      </c>
      <c r="C382" s="72" t="s">
        <v>1691</v>
      </c>
      <c r="D382" s="125">
        <v>855</v>
      </c>
      <c r="E382" s="125">
        <v>32968</v>
      </c>
      <c r="F382" s="125">
        <v>52000</v>
      </c>
      <c r="G382" s="247">
        <v>19125</v>
      </c>
      <c r="H382" s="125">
        <v>6500</v>
      </c>
      <c r="I382" s="125">
        <v>100000</v>
      </c>
      <c r="J382" s="125">
        <v>100000</v>
      </c>
      <c r="K382" s="125">
        <v>200000</v>
      </c>
      <c r="L382" s="125">
        <v>0</v>
      </c>
      <c r="M382" s="125">
        <v>0</v>
      </c>
      <c r="N382" s="247">
        <v>100000</v>
      </c>
      <c r="O382" s="247">
        <v>0</v>
      </c>
    </row>
    <row r="383" spans="1:15" s="145" customFormat="1" ht="15.75">
      <c r="A383" s="70" t="s">
        <v>3369</v>
      </c>
      <c r="B383" s="105" t="s">
        <v>5679</v>
      </c>
      <c r="C383" s="72" t="s">
        <v>1692</v>
      </c>
      <c r="D383" s="125">
        <v>9000</v>
      </c>
      <c r="E383" s="125">
        <v>153000</v>
      </c>
      <c r="F383" s="125">
        <v>301500</v>
      </c>
      <c r="G383" s="247">
        <v>184500</v>
      </c>
      <c r="H383" s="125">
        <v>114000</v>
      </c>
      <c r="I383" s="125">
        <v>700000</v>
      </c>
      <c r="J383" s="125">
        <v>700000</v>
      </c>
      <c r="K383" s="125">
        <v>500000</v>
      </c>
      <c r="L383" s="125">
        <v>0</v>
      </c>
      <c r="M383" s="125">
        <v>0</v>
      </c>
      <c r="N383" s="247">
        <v>0</v>
      </c>
      <c r="O383" s="247">
        <v>200000</v>
      </c>
    </row>
    <row r="384" spans="1:15" s="145" customFormat="1" ht="15.75">
      <c r="A384" s="70" t="s">
        <v>3359</v>
      </c>
      <c r="B384" s="105" t="s">
        <v>5658</v>
      </c>
      <c r="C384" s="72" t="s">
        <v>1693</v>
      </c>
      <c r="D384" s="125">
        <v>0</v>
      </c>
      <c r="E384" s="125">
        <v>0</v>
      </c>
      <c r="F384" s="125">
        <v>16500</v>
      </c>
      <c r="G384" s="247">
        <v>7500</v>
      </c>
      <c r="H384" s="125">
        <v>6000</v>
      </c>
      <c r="I384" s="125">
        <v>0</v>
      </c>
      <c r="J384" s="125">
        <v>0</v>
      </c>
      <c r="K384" s="125">
        <v>0</v>
      </c>
      <c r="L384" s="125">
        <v>0</v>
      </c>
      <c r="M384" s="125">
        <v>0</v>
      </c>
      <c r="N384" s="247">
        <v>0</v>
      </c>
      <c r="O384" s="247">
        <v>0</v>
      </c>
    </row>
    <row r="385" spans="1:15" s="145" customFormat="1" ht="15.75">
      <c r="A385" s="70" t="s">
        <v>3360</v>
      </c>
      <c r="B385" s="105" t="s">
        <v>5680</v>
      </c>
      <c r="C385" s="72" t="s">
        <v>1694</v>
      </c>
      <c r="D385" s="125">
        <v>420</v>
      </c>
      <c r="E385" s="125">
        <v>3952</v>
      </c>
      <c r="F385" s="125">
        <v>92229</v>
      </c>
      <c r="G385" s="247">
        <v>72152</v>
      </c>
      <c r="H385" s="125">
        <v>27168</v>
      </c>
      <c r="I385" s="125">
        <v>300000</v>
      </c>
      <c r="J385" s="125">
        <v>300000</v>
      </c>
      <c r="K385" s="125">
        <v>100000</v>
      </c>
      <c r="L385" s="125">
        <v>0</v>
      </c>
      <c r="M385" s="125">
        <v>0</v>
      </c>
      <c r="N385" s="247">
        <v>0</v>
      </c>
      <c r="O385" s="247">
        <v>200000</v>
      </c>
    </row>
    <row r="386" spans="1:15" s="145" customFormat="1" ht="15.75">
      <c r="A386" s="70" t="s">
        <v>3377</v>
      </c>
      <c r="B386" s="105" t="s">
        <v>5681</v>
      </c>
      <c r="C386" s="72" t="s">
        <v>1713</v>
      </c>
      <c r="D386" s="125">
        <v>0</v>
      </c>
      <c r="E386" s="125">
        <v>0</v>
      </c>
      <c r="F386" s="125">
        <v>0</v>
      </c>
      <c r="G386" s="247">
        <v>0</v>
      </c>
      <c r="H386" s="125">
        <v>0</v>
      </c>
      <c r="I386" s="125">
        <v>0</v>
      </c>
      <c r="J386" s="125">
        <v>0</v>
      </c>
      <c r="K386" s="125">
        <v>240000</v>
      </c>
      <c r="L386" s="125">
        <v>0</v>
      </c>
      <c r="M386" s="125">
        <v>0</v>
      </c>
      <c r="N386" s="247">
        <v>240000</v>
      </c>
      <c r="O386" s="247">
        <v>0</v>
      </c>
    </row>
    <row r="387" spans="1:15" s="145" customFormat="1" ht="15.75">
      <c r="A387" s="70"/>
      <c r="B387" s="105"/>
      <c r="C387" s="72"/>
      <c r="D387" s="125">
        <v>0</v>
      </c>
      <c r="E387" s="125">
        <v>0</v>
      </c>
      <c r="F387" s="125">
        <v>0</v>
      </c>
      <c r="G387" s="247">
        <v>0</v>
      </c>
      <c r="H387" s="125">
        <v>0</v>
      </c>
      <c r="I387" s="125">
        <v>0</v>
      </c>
      <c r="J387" s="125">
        <v>0</v>
      </c>
      <c r="K387" s="125">
        <v>0</v>
      </c>
      <c r="L387" s="125">
        <v>0</v>
      </c>
      <c r="M387" s="125">
        <v>0</v>
      </c>
      <c r="N387" s="247">
        <v>0</v>
      </c>
      <c r="O387" s="247">
        <v>0</v>
      </c>
    </row>
    <row r="388" spans="1:15" s="145" customFormat="1" ht="13.5">
      <c r="A388" s="254" t="s">
        <v>3378</v>
      </c>
      <c r="B388" s="136" t="s">
        <v>5682</v>
      </c>
      <c r="C388" s="72"/>
      <c r="D388" s="125">
        <v>20275</v>
      </c>
      <c r="E388" s="125">
        <v>719395</v>
      </c>
      <c r="F388" s="125">
        <v>2248479</v>
      </c>
      <c r="G388" s="247">
        <v>1344027</v>
      </c>
      <c r="H388" s="125">
        <v>1203293</v>
      </c>
      <c r="I388" s="125">
        <v>3600000</v>
      </c>
      <c r="J388" s="125">
        <v>3600000</v>
      </c>
      <c r="K388" s="125">
        <v>3740000</v>
      </c>
      <c r="L388" s="125">
        <v>0</v>
      </c>
      <c r="M388" s="125">
        <v>0</v>
      </c>
      <c r="N388" s="247">
        <v>140000</v>
      </c>
      <c r="O388" s="247">
        <v>0</v>
      </c>
    </row>
    <row r="389" spans="1:15" s="145" customFormat="1" ht="15.75">
      <c r="A389" s="70"/>
      <c r="B389" s="105"/>
      <c r="C389" s="72"/>
      <c r="D389" s="125">
        <v>0</v>
      </c>
      <c r="E389" s="125">
        <v>0</v>
      </c>
      <c r="F389" s="125">
        <v>0</v>
      </c>
      <c r="G389" s="247">
        <v>0</v>
      </c>
      <c r="H389" s="125">
        <v>0</v>
      </c>
      <c r="I389" s="125">
        <v>0</v>
      </c>
      <c r="J389" s="125">
        <v>0</v>
      </c>
      <c r="K389" s="125">
        <v>0</v>
      </c>
      <c r="L389" s="125">
        <v>0</v>
      </c>
      <c r="M389" s="125">
        <v>0</v>
      </c>
      <c r="N389" s="247">
        <v>0</v>
      </c>
      <c r="O389" s="247">
        <v>0</v>
      </c>
    </row>
    <row r="390" spans="1:15" s="145" customFormat="1" ht="15.75">
      <c r="A390" s="70" t="s">
        <v>2788</v>
      </c>
      <c r="B390" s="105" t="s">
        <v>5683</v>
      </c>
      <c r="C390" s="72"/>
      <c r="D390" s="125">
        <v>0</v>
      </c>
      <c r="E390" s="125">
        <v>0</v>
      </c>
      <c r="F390" s="125">
        <v>0</v>
      </c>
      <c r="G390" s="247">
        <v>0</v>
      </c>
      <c r="H390" s="125">
        <v>0</v>
      </c>
      <c r="I390" s="125">
        <v>0</v>
      </c>
      <c r="J390" s="125">
        <v>0</v>
      </c>
      <c r="K390" s="125">
        <v>0</v>
      </c>
      <c r="L390" s="125">
        <v>0</v>
      </c>
      <c r="M390" s="125">
        <v>0</v>
      </c>
      <c r="N390" s="247">
        <v>0</v>
      </c>
      <c r="O390" s="247">
        <v>0</v>
      </c>
    </row>
    <row r="391" spans="1:15" s="145" customFormat="1" ht="15.75">
      <c r="A391" s="70" t="s">
        <v>3356</v>
      </c>
      <c r="B391" s="105" t="s">
        <v>5656</v>
      </c>
      <c r="C391" s="72" t="s">
        <v>1695</v>
      </c>
      <c r="D391" s="125">
        <v>0</v>
      </c>
      <c r="E391" s="125">
        <v>60976</v>
      </c>
      <c r="F391" s="125">
        <v>31094</v>
      </c>
      <c r="G391" s="247">
        <v>14428</v>
      </c>
      <c r="H391" s="125">
        <v>31332</v>
      </c>
      <c r="I391" s="125">
        <v>500000</v>
      </c>
      <c r="J391" s="125">
        <v>500000</v>
      </c>
      <c r="K391" s="125">
        <v>100000</v>
      </c>
      <c r="L391" s="125">
        <v>0</v>
      </c>
      <c r="M391" s="125">
        <v>0</v>
      </c>
      <c r="N391" s="247">
        <v>0</v>
      </c>
      <c r="O391" s="247">
        <v>400000</v>
      </c>
    </row>
    <row r="392" spans="1:15" s="145" customFormat="1" ht="15.75">
      <c r="A392" s="70" t="s">
        <v>3379</v>
      </c>
      <c r="B392" s="105" t="s">
        <v>5684</v>
      </c>
      <c r="C392" s="72" t="s">
        <v>1696</v>
      </c>
      <c r="D392" s="125">
        <v>0</v>
      </c>
      <c r="E392" s="125">
        <v>22500</v>
      </c>
      <c r="F392" s="125">
        <v>39000</v>
      </c>
      <c r="G392" s="247">
        <v>28500</v>
      </c>
      <c r="H392" s="125">
        <v>18000</v>
      </c>
      <c r="I392" s="125">
        <v>350000</v>
      </c>
      <c r="J392" s="125">
        <v>350000</v>
      </c>
      <c r="K392" s="125">
        <v>58000</v>
      </c>
      <c r="L392" s="125">
        <v>0</v>
      </c>
      <c r="M392" s="125">
        <v>0</v>
      </c>
      <c r="N392" s="247">
        <v>0</v>
      </c>
      <c r="O392" s="247">
        <v>292000</v>
      </c>
    </row>
    <row r="393" spans="1:15" s="145" customFormat="1" ht="15.75">
      <c r="A393" s="70" t="s">
        <v>3430</v>
      </c>
      <c r="B393" s="105" t="s">
        <v>5685</v>
      </c>
      <c r="C393" s="72" t="s">
        <v>1697</v>
      </c>
      <c r="D393" s="125">
        <v>0</v>
      </c>
      <c r="E393" s="125">
        <v>0</v>
      </c>
      <c r="F393" s="125">
        <v>0</v>
      </c>
      <c r="G393" s="247">
        <v>0</v>
      </c>
      <c r="H393" s="125">
        <v>0</v>
      </c>
      <c r="I393" s="125">
        <v>5000</v>
      </c>
      <c r="J393" s="125">
        <v>5000</v>
      </c>
      <c r="K393" s="125">
        <v>0</v>
      </c>
      <c r="L393" s="125">
        <v>0</v>
      </c>
      <c r="M393" s="125">
        <v>0</v>
      </c>
      <c r="N393" s="247">
        <v>0</v>
      </c>
      <c r="O393" s="247">
        <v>5000</v>
      </c>
    </row>
    <row r="394" spans="1:15" s="145" customFormat="1" ht="15.75">
      <c r="A394" s="70" t="s">
        <v>3380</v>
      </c>
      <c r="B394" s="105" t="s">
        <v>5686</v>
      </c>
      <c r="C394" s="72" t="s">
        <v>1698</v>
      </c>
      <c r="D394" s="125">
        <v>0</v>
      </c>
      <c r="E394" s="125">
        <v>0</v>
      </c>
      <c r="F394" s="125">
        <v>0</v>
      </c>
      <c r="G394" s="247">
        <v>0</v>
      </c>
      <c r="H394" s="125">
        <v>0</v>
      </c>
      <c r="I394" s="125">
        <v>300000</v>
      </c>
      <c r="J394" s="125">
        <v>300000</v>
      </c>
      <c r="K394" s="125">
        <v>0</v>
      </c>
      <c r="L394" s="125">
        <v>0</v>
      </c>
      <c r="M394" s="125">
        <v>0</v>
      </c>
      <c r="N394" s="247">
        <v>0</v>
      </c>
      <c r="O394" s="247">
        <v>300000</v>
      </c>
    </row>
    <row r="395" spans="1:15" s="145" customFormat="1" ht="15.75">
      <c r="A395" s="70" t="s">
        <v>3371</v>
      </c>
      <c r="B395" s="105" t="s">
        <v>5670</v>
      </c>
      <c r="C395" s="72" t="s">
        <v>1699</v>
      </c>
      <c r="D395" s="125">
        <v>0</v>
      </c>
      <c r="E395" s="125">
        <v>0</v>
      </c>
      <c r="F395" s="125">
        <v>0</v>
      </c>
      <c r="G395" s="247">
        <v>0</v>
      </c>
      <c r="H395" s="125">
        <v>0</v>
      </c>
      <c r="I395" s="125">
        <v>20000</v>
      </c>
      <c r="J395" s="125">
        <v>20000</v>
      </c>
      <c r="K395" s="125">
        <v>2000</v>
      </c>
      <c r="L395" s="125">
        <v>0</v>
      </c>
      <c r="M395" s="125">
        <v>0</v>
      </c>
      <c r="N395" s="247">
        <v>0</v>
      </c>
      <c r="O395" s="247">
        <v>18000</v>
      </c>
    </row>
    <row r="396" spans="1:15" s="145" customFormat="1" ht="15.75">
      <c r="A396" s="70"/>
      <c r="B396" s="105"/>
      <c r="C396" s="72"/>
      <c r="D396" s="125">
        <v>0</v>
      </c>
      <c r="E396" s="125">
        <v>0</v>
      </c>
      <c r="F396" s="125">
        <v>0</v>
      </c>
      <c r="G396" s="247">
        <v>0</v>
      </c>
      <c r="H396" s="125">
        <v>0</v>
      </c>
      <c r="I396" s="125">
        <v>0</v>
      </c>
      <c r="J396" s="125">
        <v>0</v>
      </c>
      <c r="K396" s="125">
        <v>0</v>
      </c>
      <c r="L396" s="125">
        <v>0</v>
      </c>
      <c r="M396" s="125">
        <v>0</v>
      </c>
      <c r="N396" s="247">
        <v>0</v>
      </c>
      <c r="O396" s="247">
        <v>0</v>
      </c>
    </row>
    <row r="397" spans="1:15" s="145" customFormat="1" ht="15.75">
      <c r="A397" s="77" t="s">
        <v>3381</v>
      </c>
      <c r="B397" s="136" t="s">
        <v>5687</v>
      </c>
      <c r="C397" s="72"/>
      <c r="D397" s="125">
        <v>0</v>
      </c>
      <c r="E397" s="125">
        <v>83476</v>
      </c>
      <c r="F397" s="125">
        <v>70094</v>
      </c>
      <c r="G397" s="247">
        <v>42928</v>
      </c>
      <c r="H397" s="125">
        <v>49332</v>
      </c>
      <c r="I397" s="125">
        <v>1175000</v>
      </c>
      <c r="J397" s="125">
        <v>1175000</v>
      </c>
      <c r="K397" s="125">
        <v>160000</v>
      </c>
      <c r="L397" s="125">
        <v>0</v>
      </c>
      <c r="M397" s="125">
        <v>0</v>
      </c>
      <c r="N397" s="247">
        <v>0</v>
      </c>
      <c r="O397" s="247">
        <v>1015000</v>
      </c>
    </row>
    <row r="398" spans="1:15" s="145" customFormat="1" ht="15.75">
      <c r="A398" s="70"/>
      <c r="B398" s="105"/>
      <c r="C398" s="72"/>
      <c r="D398" s="125">
        <v>0</v>
      </c>
      <c r="E398" s="125">
        <v>0</v>
      </c>
      <c r="F398" s="125">
        <v>0</v>
      </c>
      <c r="G398" s="247">
        <v>0</v>
      </c>
      <c r="H398" s="125">
        <v>0</v>
      </c>
      <c r="I398" s="125">
        <v>0</v>
      </c>
      <c r="J398" s="125">
        <v>0</v>
      </c>
      <c r="K398" s="125">
        <v>0</v>
      </c>
      <c r="L398" s="125">
        <v>0</v>
      </c>
      <c r="M398" s="125">
        <v>0</v>
      </c>
      <c r="N398" s="247">
        <v>0</v>
      </c>
      <c r="O398" s="247">
        <v>0</v>
      </c>
    </row>
    <row r="399" spans="1:15" s="145" customFormat="1" ht="15.75">
      <c r="A399" s="88" t="s">
        <v>2796</v>
      </c>
      <c r="B399" s="105" t="s">
        <v>5688</v>
      </c>
      <c r="C399" s="72"/>
      <c r="D399" s="125">
        <v>0</v>
      </c>
      <c r="E399" s="125">
        <v>0</v>
      </c>
      <c r="F399" s="125">
        <v>0</v>
      </c>
      <c r="G399" s="247">
        <v>0</v>
      </c>
      <c r="H399" s="125">
        <v>0</v>
      </c>
      <c r="I399" s="125">
        <v>0</v>
      </c>
      <c r="J399" s="125">
        <v>0</v>
      </c>
      <c r="K399" s="125">
        <v>0</v>
      </c>
      <c r="L399" s="125">
        <v>0</v>
      </c>
      <c r="M399" s="125">
        <v>0</v>
      </c>
      <c r="N399" s="247">
        <v>0</v>
      </c>
      <c r="O399" s="247">
        <v>0</v>
      </c>
    </row>
    <row r="400" spans="1:15" s="145" customFormat="1" ht="15.75">
      <c r="A400" s="70" t="s">
        <v>3356</v>
      </c>
      <c r="B400" s="105" t="s">
        <v>5656</v>
      </c>
      <c r="C400" s="72" t="s">
        <v>1700</v>
      </c>
      <c r="D400" s="125">
        <v>1398444</v>
      </c>
      <c r="E400" s="125">
        <v>1775972</v>
      </c>
      <c r="F400" s="125">
        <v>1890495</v>
      </c>
      <c r="G400" s="247">
        <v>1196759</v>
      </c>
      <c r="H400" s="125">
        <v>779796</v>
      </c>
      <c r="I400" s="125">
        <v>2000000</v>
      </c>
      <c r="J400" s="125">
        <v>2000000</v>
      </c>
      <c r="K400" s="125">
        <v>1200000</v>
      </c>
      <c r="L400" s="125">
        <v>0</v>
      </c>
      <c r="M400" s="125">
        <v>0</v>
      </c>
      <c r="N400" s="247">
        <v>0</v>
      </c>
      <c r="O400" s="247">
        <v>800000</v>
      </c>
    </row>
    <row r="401" spans="1:15" s="145" customFormat="1" ht="15.75">
      <c r="A401" s="70" t="s">
        <v>3363</v>
      </c>
      <c r="B401" s="105" t="s">
        <v>5678</v>
      </c>
      <c r="C401" s="72" t="s">
        <v>1701</v>
      </c>
      <c r="D401" s="125">
        <v>0</v>
      </c>
      <c r="E401" s="125">
        <v>0</v>
      </c>
      <c r="F401" s="125">
        <v>0</v>
      </c>
      <c r="G401" s="247">
        <v>0</v>
      </c>
      <c r="H401" s="125">
        <v>0</v>
      </c>
      <c r="I401" s="125">
        <v>50000</v>
      </c>
      <c r="J401" s="125">
        <v>50000</v>
      </c>
      <c r="K401" s="125">
        <v>20000</v>
      </c>
      <c r="L401" s="125">
        <v>0</v>
      </c>
      <c r="M401" s="125">
        <v>0</v>
      </c>
      <c r="N401" s="247">
        <v>0</v>
      </c>
      <c r="O401" s="247">
        <v>30000</v>
      </c>
    </row>
    <row r="402" spans="1:15" s="145" customFormat="1" ht="15.75">
      <c r="A402" s="70" t="s">
        <v>3382</v>
      </c>
      <c r="B402" s="105" t="s">
        <v>5648</v>
      </c>
      <c r="C402" s="72" t="s">
        <v>1702</v>
      </c>
      <c r="D402" s="125">
        <v>24000</v>
      </c>
      <c r="E402" s="125">
        <v>27450</v>
      </c>
      <c r="F402" s="125">
        <v>4500</v>
      </c>
      <c r="G402" s="247">
        <v>4500</v>
      </c>
      <c r="H402" s="125">
        <v>3000</v>
      </c>
      <c r="I402" s="125">
        <v>300000</v>
      </c>
      <c r="J402" s="125">
        <v>300000</v>
      </c>
      <c r="K402" s="125">
        <v>50000</v>
      </c>
      <c r="L402" s="125">
        <v>0</v>
      </c>
      <c r="M402" s="125">
        <v>0</v>
      </c>
      <c r="N402" s="247">
        <v>0</v>
      </c>
      <c r="O402" s="247">
        <v>250000</v>
      </c>
    </row>
    <row r="403" spans="1:15" s="145" customFormat="1" ht="15.75">
      <c r="A403" s="70" t="s">
        <v>3364</v>
      </c>
      <c r="B403" s="105" t="s">
        <v>5649</v>
      </c>
      <c r="C403" s="72" t="s">
        <v>1703</v>
      </c>
      <c r="D403" s="125">
        <v>0</v>
      </c>
      <c r="E403" s="125">
        <v>0</v>
      </c>
      <c r="F403" s="125">
        <v>0</v>
      </c>
      <c r="G403" s="247">
        <v>0</v>
      </c>
      <c r="H403" s="125">
        <v>0</v>
      </c>
      <c r="I403" s="125">
        <v>500000</v>
      </c>
      <c r="J403" s="125">
        <v>500000</v>
      </c>
      <c r="K403" s="125">
        <v>240000</v>
      </c>
      <c r="L403" s="125">
        <v>0</v>
      </c>
      <c r="M403" s="125">
        <v>0</v>
      </c>
      <c r="N403" s="247">
        <v>0</v>
      </c>
      <c r="O403" s="247">
        <v>260000</v>
      </c>
    </row>
    <row r="404" spans="1:15" s="145" customFormat="1" ht="15.75">
      <c r="A404" s="70" t="s">
        <v>3371</v>
      </c>
      <c r="B404" s="105" t="s">
        <v>5680</v>
      </c>
      <c r="C404" s="72" t="s">
        <v>1704</v>
      </c>
      <c r="D404" s="125">
        <v>83698</v>
      </c>
      <c r="E404" s="125">
        <v>139490</v>
      </c>
      <c r="F404" s="125">
        <v>137589</v>
      </c>
      <c r="G404" s="247">
        <v>98584</v>
      </c>
      <c r="H404" s="125">
        <v>72351</v>
      </c>
      <c r="I404" s="125">
        <v>200000</v>
      </c>
      <c r="J404" s="125">
        <v>200000</v>
      </c>
      <c r="K404" s="125">
        <v>200000</v>
      </c>
      <c r="L404" s="125">
        <v>0</v>
      </c>
      <c r="M404" s="125">
        <v>0</v>
      </c>
      <c r="N404" s="247">
        <v>0</v>
      </c>
      <c r="O404" s="247">
        <v>0</v>
      </c>
    </row>
    <row r="405" spans="1:15" s="145" customFormat="1" ht="15.75">
      <c r="A405" s="70"/>
      <c r="B405" s="105"/>
      <c r="C405" s="72"/>
      <c r="D405" s="125">
        <v>0</v>
      </c>
      <c r="E405" s="125">
        <v>0</v>
      </c>
      <c r="F405" s="125">
        <v>0</v>
      </c>
      <c r="G405" s="247">
        <v>0</v>
      </c>
      <c r="H405" s="125">
        <v>0</v>
      </c>
      <c r="I405" s="125">
        <v>0</v>
      </c>
      <c r="J405" s="125">
        <v>0</v>
      </c>
      <c r="K405" s="125">
        <v>0</v>
      </c>
      <c r="L405" s="125">
        <v>0</v>
      </c>
      <c r="M405" s="125">
        <v>0</v>
      </c>
      <c r="N405" s="247">
        <v>0</v>
      </c>
      <c r="O405" s="247">
        <v>0</v>
      </c>
    </row>
    <row r="406" spans="1:15" s="145" customFormat="1" ht="15.75">
      <c r="A406" s="77" t="s">
        <v>3383</v>
      </c>
      <c r="B406" s="136" t="s">
        <v>5689</v>
      </c>
      <c r="C406" s="72"/>
      <c r="D406" s="125">
        <v>1506142</v>
      </c>
      <c r="E406" s="125">
        <v>1942912</v>
      </c>
      <c r="F406" s="125">
        <v>2032584</v>
      </c>
      <c r="G406" s="247">
        <v>1299843</v>
      </c>
      <c r="H406" s="125">
        <v>855147</v>
      </c>
      <c r="I406" s="125">
        <v>3050000</v>
      </c>
      <c r="J406" s="125">
        <v>3050000</v>
      </c>
      <c r="K406" s="125">
        <v>1710000</v>
      </c>
      <c r="L406" s="125">
        <v>0</v>
      </c>
      <c r="M406" s="125">
        <v>0</v>
      </c>
      <c r="N406" s="247">
        <v>0</v>
      </c>
      <c r="O406" s="247">
        <v>1340000</v>
      </c>
    </row>
    <row r="407" spans="1:15" s="145" customFormat="1" ht="15.75">
      <c r="A407" s="70" t="s">
        <v>2798</v>
      </c>
      <c r="B407" s="105" t="s">
        <v>5690</v>
      </c>
      <c r="C407" s="72"/>
      <c r="D407" s="125">
        <v>0</v>
      </c>
      <c r="E407" s="125">
        <v>0</v>
      </c>
      <c r="F407" s="125">
        <v>0</v>
      </c>
      <c r="G407" s="247">
        <v>0</v>
      </c>
      <c r="H407" s="125">
        <v>0</v>
      </c>
      <c r="I407" s="125">
        <v>0</v>
      </c>
      <c r="J407" s="125">
        <v>0</v>
      </c>
      <c r="K407" s="125">
        <v>0</v>
      </c>
      <c r="L407" s="125">
        <v>0</v>
      </c>
      <c r="M407" s="125">
        <v>0</v>
      </c>
      <c r="N407" s="247">
        <v>0</v>
      </c>
      <c r="O407" s="247">
        <v>0</v>
      </c>
    </row>
    <row r="408" spans="1:15" s="145" customFormat="1" ht="15.75">
      <c r="A408" s="70" t="s">
        <v>3356</v>
      </c>
      <c r="B408" s="105" t="s">
        <v>5656</v>
      </c>
      <c r="C408" s="72" t="s">
        <v>1705</v>
      </c>
      <c r="D408" s="125">
        <v>0</v>
      </c>
      <c r="E408" s="125">
        <v>2353882</v>
      </c>
      <c r="F408" s="125">
        <v>3084026</v>
      </c>
      <c r="G408" s="247">
        <v>1705388</v>
      </c>
      <c r="H408" s="125">
        <v>1676013</v>
      </c>
      <c r="I408" s="125">
        <v>3000000</v>
      </c>
      <c r="J408" s="125">
        <v>3000000</v>
      </c>
      <c r="K408" s="125">
        <v>5000000</v>
      </c>
      <c r="L408" s="125">
        <v>0</v>
      </c>
      <c r="M408" s="125">
        <v>0</v>
      </c>
      <c r="N408" s="247">
        <v>2000000</v>
      </c>
      <c r="O408" s="247">
        <v>0</v>
      </c>
    </row>
    <row r="409" spans="1:15" s="145" customFormat="1" ht="15.75">
      <c r="A409" s="70" t="s">
        <v>3384</v>
      </c>
      <c r="B409" s="105" t="s">
        <v>5691</v>
      </c>
      <c r="C409" s="72" t="s">
        <v>1706</v>
      </c>
      <c r="D409" s="125">
        <v>0</v>
      </c>
      <c r="E409" s="125">
        <v>170000</v>
      </c>
      <c r="F409" s="125">
        <v>82500</v>
      </c>
      <c r="G409" s="247">
        <v>63000</v>
      </c>
      <c r="H409" s="125">
        <v>70500</v>
      </c>
      <c r="I409" s="125">
        <v>200000</v>
      </c>
      <c r="J409" s="125">
        <v>200000</v>
      </c>
      <c r="K409" s="125">
        <v>300000</v>
      </c>
      <c r="L409" s="125">
        <v>0</v>
      </c>
      <c r="M409" s="125">
        <v>0</v>
      </c>
      <c r="N409" s="247">
        <v>100000</v>
      </c>
      <c r="O409" s="247">
        <v>0</v>
      </c>
    </row>
    <row r="410" spans="1:15" s="145" customFormat="1" ht="15.75">
      <c r="A410" s="70" t="s">
        <v>3385</v>
      </c>
      <c r="B410" s="105" t="s">
        <v>5692</v>
      </c>
      <c r="C410" s="72" t="s">
        <v>1707</v>
      </c>
      <c r="D410" s="125">
        <v>0</v>
      </c>
      <c r="E410" s="125">
        <v>0</v>
      </c>
      <c r="F410" s="125">
        <v>0</v>
      </c>
      <c r="G410" s="247">
        <v>-10500</v>
      </c>
      <c r="H410" s="125">
        <v>0</v>
      </c>
      <c r="I410" s="125">
        <v>50000</v>
      </c>
      <c r="J410" s="125">
        <v>50000</v>
      </c>
      <c r="K410" s="125">
        <v>25000</v>
      </c>
      <c r="L410" s="125">
        <v>0</v>
      </c>
      <c r="M410" s="125">
        <v>0</v>
      </c>
      <c r="N410" s="247">
        <v>0</v>
      </c>
      <c r="O410" s="247">
        <v>25000</v>
      </c>
    </row>
    <row r="411" spans="1:15" s="145" customFormat="1" ht="15.75">
      <c r="A411" s="70" t="s">
        <v>3386</v>
      </c>
      <c r="B411" s="105" t="s">
        <v>5693</v>
      </c>
      <c r="C411" s="72" t="s">
        <v>1708</v>
      </c>
      <c r="D411" s="125">
        <v>0</v>
      </c>
      <c r="E411" s="125">
        <v>0</v>
      </c>
      <c r="F411" s="125">
        <v>0</v>
      </c>
      <c r="G411" s="247">
        <v>0</v>
      </c>
      <c r="H411" s="125">
        <v>0</v>
      </c>
      <c r="I411" s="125">
        <v>100000</v>
      </c>
      <c r="J411" s="125">
        <v>100000</v>
      </c>
      <c r="K411" s="125">
        <v>15000</v>
      </c>
      <c r="L411" s="125">
        <v>0</v>
      </c>
      <c r="M411" s="125">
        <v>0</v>
      </c>
      <c r="N411" s="247">
        <v>0</v>
      </c>
      <c r="O411" s="247">
        <v>85000</v>
      </c>
    </row>
    <row r="412" spans="1:15" s="145" customFormat="1" ht="15.75">
      <c r="A412" s="70" t="s">
        <v>3387</v>
      </c>
      <c r="B412" s="105" t="s">
        <v>5694</v>
      </c>
      <c r="C412" s="72" t="s">
        <v>1709</v>
      </c>
      <c r="D412" s="125">
        <v>0</v>
      </c>
      <c r="E412" s="125">
        <v>0</v>
      </c>
      <c r="F412" s="125">
        <v>162000</v>
      </c>
      <c r="G412" s="247">
        <v>162000</v>
      </c>
      <c r="H412" s="125">
        <v>0</v>
      </c>
      <c r="I412" s="125">
        <v>486000</v>
      </c>
      <c r="J412" s="125">
        <v>486000</v>
      </c>
      <c r="K412" s="125">
        <v>486000</v>
      </c>
      <c r="L412" s="125">
        <v>0</v>
      </c>
      <c r="M412" s="125">
        <v>0</v>
      </c>
      <c r="N412" s="247">
        <v>0</v>
      </c>
      <c r="O412" s="247">
        <v>0</v>
      </c>
    </row>
    <row r="413" spans="1:15" s="145" customFormat="1" ht="15.75">
      <c r="A413" s="70" t="s">
        <v>3365</v>
      </c>
      <c r="B413" s="105" t="s">
        <v>5664</v>
      </c>
      <c r="C413" s="72" t="s">
        <v>1710</v>
      </c>
      <c r="D413" s="125">
        <v>0</v>
      </c>
      <c r="E413" s="125">
        <v>0</v>
      </c>
      <c r="F413" s="125">
        <v>0</v>
      </c>
      <c r="G413" s="247">
        <v>0</v>
      </c>
      <c r="H413" s="125">
        <v>0</v>
      </c>
      <c r="I413" s="125">
        <v>0</v>
      </c>
      <c r="J413" s="125">
        <v>0</v>
      </c>
      <c r="K413" s="125">
        <v>0</v>
      </c>
      <c r="L413" s="125">
        <v>0</v>
      </c>
      <c r="M413" s="125">
        <v>0</v>
      </c>
      <c r="N413" s="247">
        <v>0</v>
      </c>
      <c r="O413" s="247">
        <v>0</v>
      </c>
    </row>
    <row r="414" spans="1:15" s="145" customFormat="1" ht="15.75">
      <c r="A414" s="70" t="s">
        <v>3353</v>
      </c>
      <c r="B414" s="105" t="s">
        <v>5665</v>
      </c>
      <c r="C414" s="72" t="s">
        <v>1711</v>
      </c>
      <c r="D414" s="125">
        <v>0</v>
      </c>
      <c r="E414" s="125">
        <v>455827</v>
      </c>
      <c r="F414" s="125">
        <v>491151</v>
      </c>
      <c r="G414" s="247">
        <v>301967</v>
      </c>
      <c r="H414" s="125">
        <v>342976</v>
      </c>
      <c r="I414" s="125">
        <v>500000</v>
      </c>
      <c r="J414" s="125">
        <v>500000</v>
      </c>
      <c r="K414" s="125">
        <v>800000</v>
      </c>
      <c r="L414" s="125">
        <v>0</v>
      </c>
      <c r="M414" s="125">
        <v>0</v>
      </c>
      <c r="N414" s="247">
        <v>300000</v>
      </c>
      <c r="O414" s="247">
        <v>0</v>
      </c>
    </row>
    <row r="415" spans="1:15" s="145" customFormat="1" ht="15.75">
      <c r="A415" s="70"/>
      <c r="B415" s="105"/>
      <c r="C415" s="72"/>
      <c r="D415" s="125">
        <v>0</v>
      </c>
      <c r="E415" s="125">
        <v>0</v>
      </c>
      <c r="F415" s="125">
        <v>0</v>
      </c>
      <c r="G415" s="247">
        <v>0</v>
      </c>
      <c r="H415" s="125">
        <v>0</v>
      </c>
      <c r="I415" s="125">
        <v>0</v>
      </c>
      <c r="J415" s="125">
        <v>0</v>
      </c>
      <c r="K415" s="125">
        <v>0</v>
      </c>
      <c r="L415" s="125">
        <v>0</v>
      </c>
      <c r="M415" s="125">
        <v>0</v>
      </c>
      <c r="N415" s="247">
        <v>0</v>
      </c>
      <c r="O415" s="247">
        <v>0</v>
      </c>
    </row>
    <row r="416" spans="1:15" s="145" customFormat="1" ht="15.75">
      <c r="A416" s="77" t="s">
        <v>3388</v>
      </c>
      <c r="B416" s="136" t="s">
        <v>5695</v>
      </c>
      <c r="C416" s="72"/>
      <c r="D416" s="125">
        <v>0</v>
      </c>
      <c r="E416" s="125">
        <v>2979709</v>
      </c>
      <c r="F416" s="125">
        <v>3819677</v>
      </c>
      <c r="G416" s="247">
        <v>2221855</v>
      </c>
      <c r="H416" s="125">
        <v>2089489</v>
      </c>
      <c r="I416" s="125">
        <v>4336000</v>
      </c>
      <c r="J416" s="125">
        <v>4336000</v>
      </c>
      <c r="K416" s="125">
        <v>6626000</v>
      </c>
      <c r="L416" s="125">
        <v>0</v>
      </c>
      <c r="M416" s="125">
        <v>0</v>
      </c>
      <c r="N416" s="247">
        <v>2290000</v>
      </c>
      <c r="O416" s="247">
        <v>0</v>
      </c>
    </row>
    <row r="417" spans="1:15" s="145" customFormat="1" ht="15.75">
      <c r="A417" s="70"/>
      <c r="B417" s="105"/>
      <c r="C417" s="72"/>
      <c r="D417" s="125">
        <v>0</v>
      </c>
      <c r="E417" s="125">
        <v>0</v>
      </c>
      <c r="F417" s="125">
        <v>0</v>
      </c>
      <c r="G417" s="247">
        <v>0</v>
      </c>
      <c r="H417" s="125">
        <v>0</v>
      </c>
      <c r="I417" s="125">
        <v>0</v>
      </c>
      <c r="J417" s="125">
        <v>0</v>
      </c>
      <c r="K417" s="125">
        <v>0</v>
      </c>
      <c r="L417" s="125">
        <v>0</v>
      </c>
      <c r="M417" s="125">
        <v>0</v>
      </c>
      <c r="N417" s="247">
        <v>0</v>
      </c>
      <c r="O417" s="247">
        <v>0</v>
      </c>
    </row>
    <row r="418" spans="1:15" s="145" customFormat="1" ht="15.75">
      <c r="A418" s="70" t="s">
        <v>2800</v>
      </c>
      <c r="B418" s="105" t="s">
        <v>5696</v>
      </c>
      <c r="C418" s="72"/>
      <c r="D418" s="125">
        <v>0</v>
      </c>
      <c r="E418" s="125">
        <v>0</v>
      </c>
      <c r="F418" s="125">
        <v>0</v>
      </c>
      <c r="G418" s="247">
        <v>0</v>
      </c>
      <c r="H418" s="125">
        <v>0</v>
      </c>
      <c r="I418" s="125">
        <v>0</v>
      </c>
      <c r="J418" s="125">
        <v>0</v>
      </c>
      <c r="K418" s="125">
        <v>0</v>
      </c>
      <c r="L418" s="125">
        <v>0</v>
      </c>
      <c r="M418" s="125">
        <v>0</v>
      </c>
      <c r="N418" s="247">
        <v>0</v>
      </c>
      <c r="O418" s="247">
        <v>0</v>
      </c>
    </row>
    <row r="419" spans="1:15" s="145" customFormat="1" ht="15.75">
      <c r="A419" s="70" t="s">
        <v>3356</v>
      </c>
      <c r="B419" s="105" t="s">
        <v>5656</v>
      </c>
      <c r="C419" s="72" t="s">
        <v>1714</v>
      </c>
      <c r="D419" s="125">
        <v>0</v>
      </c>
      <c r="E419" s="125">
        <v>149400</v>
      </c>
      <c r="F419" s="125">
        <v>223800</v>
      </c>
      <c r="G419" s="247">
        <v>98472</v>
      </c>
      <c r="H419" s="125">
        <v>13428</v>
      </c>
      <c r="I419" s="125">
        <v>300000</v>
      </c>
      <c r="J419" s="125">
        <v>300000</v>
      </c>
      <c r="K419" s="125">
        <v>50000</v>
      </c>
      <c r="L419" s="125">
        <v>0</v>
      </c>
      <c r="M419" s="125">
        <v>0</v>
      </c>
      <c r="N419" s="247">
        <v>0</v>
      </c>
      <c r="O419" s="247">
        <v>250000</v>
      </c>
    </row>
    <row r="420" spans="1:15" s="145" customFormat="1" ht="15.75">
      <c r="A420" s="70" t="s">
        <v>3358</v>
      </c>
      <c r="B420" s="105" t="s">
        <v>5697</v>
      </c>
      <c r="C420" s="72" t="s">
        <v>1715</v>
      </c>
      <c r="D420" s="125">
        <v>0</v>
      </c>
      <c r="E420" s="125">
        <v>0</v>
      </c>
      <c r="F420" s="125">
        <v>0</v>
      </c>
      <c r="G420" s="247">
        <v>0</v>
      </c>
      <c r="H420" s="125">
        <v>0</v>
      </c>
      <c r="I420" s="125">
        <v>50000</v>
      </c>
      <c r="J420" s="125">
        <v>50000</v>
      </c>
      <c r="K420" s="125">
        <v>0</v>
      </c>
      <c r="L420" s="125">
        <v>0</v>
      </c>
      <c r="M420" s="125">
        <v>0</v>
      </c>
      <c r="N420" s="247">
        <v>0</v>
      </c>
      <c r="O420" s="247">
        <v>50000</v>
      </c>
    </row>
    <row r="421" spans="1:15" s="145" customFormat="1" ht="15.75">
      <c r="A421" s="70" t="s">
        <v>3360</v>
      </c>
      <c r="B421" s="105" t="s">
        <v>5680</v>
      </c>
      <c r="C421" s="72" t="s">
        <v>1716</v>
      </c>
      <c r="D421" s="125">
        <v>0</v>
      </c>
      <c r="E421" s="125">
        <v>0</v>
      </c>
      <c r="F421" s="125">
        <v>0</v>
      </c>
      <c r="G421" s="247">
        <v>0</v>
      </c>
      <c r="H421" s="125">
        <v>0</v>
      </c>
      <c r="I421" s="125">
        <v>5000</v>
      </c>
      <c r="J421" s="125">
        <v>5000</v>
      </c>
      <c r="K421" s="125">
        <v>0</v>
      </c>
      <c r="L421" s="125">
        <v>0</v>
      </c>
      <c r="M421" s="125">
        <v>0</v>
      </c>
      <c r="N421" s="247">
        <v>0</v>
      </c>
      <c r="O421" s="247">
        <v>5000</v>
      </c>
    </row>
    <row r="422" spans="1:15" s="145" customFormat="1" ht="15.75">
      <c r="A422" s="70"/>
      <c r="B422" s="105"/>
      <c r="C422" s="72"/>
      <c r="D422" s="125">
        <v>0</v>
      </c>
      <c r="E422" s="125">
        <v>0</v>
      </c>
      <c r="F422" s="125">
        <v>0</v>
      </c>
      <c r="G422" s="247">
        <v>0</v>
      </c>
      <c r="H422" s="125">
        <v>0</v>
      </c>
      <c r="I422" s="125">
        <v>0</v>
      </c>
      <c r="J422" s="125">
        <v>0</v>
      </c>
      <c r="K422" s="125">
        <v>0</v>
      </c>
      <c r="L422" s="125">
        <v>0</v>
      </c>
      <c r="M422" s="125">
        <v>0</v>
      </c>
      <c r="N422" s="247">
        <v>0</v>
      </c>
      <c r="O422" s="247">
        <v>0</v>
      </c>
    </row>
    <row r="423" spans="1:15" s="145" customFormat="1" ht="15.75">
      <c r="A423" s="77" t="s">
        <v>3390</v>
      </c>
      <c r="B423" s="136" t="s">
        <v>5698</v>
      </c>
      <c r="C423" s="72"/>
      <c r="D423" s="125">
        <v>0</v>
      </c>
      <c r="E423" s="125">
        <v>149400</v>
      </c>
      <c r="F423" s="125">
        <v>223800</v>
      </c>
      <c r="G423" s="247">
        <v>98472</v>
      </c>
      <c r="H423" s="125">
        <v>13428</v>
      </c>
      <c r="I423" s="125">
        <v>355000</v>
      </c>
      <c r="J423" s="125">
        <v>355000</v>
      </c>
      <c r="K423" s="125">
        <v>50000</v>
      </c>
      <c r="L423" s="125">
        <v>0</v>
      </c>
      <c r="M423" s="125">
        <v>0</v>
      </c>
      <c r="N423" s="247">
        <v>0</v>
      </c>
      <c r="O423" s="247">
        <v>305000</v>
      </c>
    </row>
    <row r="424" spans="1:15" s="145" customFormat="1" ht="15.75">
      <c r="A424" s="70"/>
      <c r="B424" s="105"/>
      <c r="C424" s="72"/>
      <c r="D424" s="125">
        <v>0</v>
      </c>
      <c r="E424" s="125">
        <v>0</v>
      </c>
      <c r="F424" s="125">
        <v>0</v>
      </c>
      <c r="G424" s="247">
        <v>0</v>
      </c>
      <c r="H424" s="125">
        <v>0</v>
      </c>
      <c r="I424" s="125">
        <v>0</v>
      </c>
      <c r="J424" s="125">
        <v>0</v>
      </c>
      <c r="K424" s="125">
        <v>0</v>
      </c>
      <c r="L424" s="125">
        <v>0</v>
      </c>
      <c r="M424" s="125">
        <v>0</v>
      </c>
      <c r="N424" s="247">
        <v>0</v>
      </c>
      <c r="O424" s="247">
        <v>0</v>
      </c>
    </row>
    <row r="425" spans="1:15" s="145" customFormat="1" ht="15.75">
      <c r="A425" s="70" t="s">
        <v>2801</v>
      </c>
      <c r="B425" s="105" t="s">
        <v>5699</v>
      </c>
      <c r="C425" s="72"/>
      <c r="D425" s="125">
        <v>0</v>
      </c>
      <c r="E425" s="125">
        <v>0</v>
      </c>
      <c r="F425" s="125">
        <v>0</v>
      </c>
      <c r="G425" s="247">
        <v>0</v>
      </c>
      <c r="H425" s="125">
        <v>0</v>
      </c>
      <c r="I425" s="125">
        <v>0</v>
      </c>
      <c r="J425" s="125">
        <v>0</v>
      </c>
      <c r="K425" s="125">
        <v>0</v>
      </c>
      <c r="L425" s="125">
        <v>0</v>
      </c>
      <c r="M425" s="125">
        <v>0</v>
      </c>
      <c r="N425" s="247">
        <v>0</v>
      </c>
      <c r="O425" s="247">
        <v>0</v>
      </c>
    </row>
    <row r="426" spans="1:15" s="145" customFormat="1" ht="15.75">
      <c r="A426" s="70" t="s">
        <v>3356</v>
      </c>
      <c r="B426" s="105" t="s">
        <v>5656</v>
      </c>
      <c r="C426" s="72" t="s">
        <v>1717</v>
      </c>
      <c r="D426" s="125">
        <v>0</v>
      </c>
      <c r="E426" s="125">
        <v>0</v>
      </c>
      <c r="F426" s="125">
        <v>0</v>
      </c>
      <c r="G426" s="247">
        <v>0</v>
      </c>
      <c r="H426" s="125">
        <v>0</v>
      </c>
      <c r="I426" s="125">
        <v>1000000</v>
      </c>
      <c r="J426" s="125">
        <v>1000000</v>
      </c>
      <c r="K426" s="125">
        <v>1000000</v>
      </c>
      <c r="L426" s="125">
        <v>0</v>
      </c>
      <c r="M426" s="125">
        <v>0</v>
      </c>
      <c r="N426" s="247">
        <v>0</v>
      </c>
      <c r="O426" s="247">
        <v>0</v>
      </c>
    </row>
    <row r="427" spans="1:15" s="145" customFormat="1" ht="15.75">
      <c r="A427" s="70" t="s">
        <v>3389</v>
      </c>
      <c r="B427" s="105" t="s">
        <v>5678</v>
      </c>
      <c r="C427" s="72" t="s">
        <v>1718</v>
      </c>
      <c r="D427" s="125">
        <v>0</v>
      </c>
      <c r="E427" s="125">
        <v>0</v>
      </c>
      <c r="F427" s="125">
        <v>0</v>
      </c>
      <c r="G427" s="247">
        <v>0</v>
      </c>
      <c r="H427" s="125">
        <v>0</v>
      </c>
      <c r="I427" s="125">
        <v>100000</v>
      </c>
      <c r="J427" s="125">
        <v>100000</v>
      </c>
      <c r="K427" s="125">
        <v>0</v>
      </c>
      <c r="L427" s="125">
        <v>0</v>
      </c>
      <c r="M427" s="125">
        <v>0</v>
      </c>
      <c r="N427" s="247">
        <v>0</v>
      </c>
      <c r="O427" s="247">
        <v>100000</v>
      </c>
    </row>
    <row r="428" spans="1:15" s="145" customFormat="1" ht="15.75">
      <c r="A428" s="70" t="s">
        <v>3349</v>
      </c>
      <c r="B428" s="105" t="s">
        <v>5648</v>
      </c>
      <c r="C428" s="72" t="s">
        <v>1719</v>
      </c>
      <c r="D428" s="125">
        <v>0</v>
      </c>
      <c r="E428" s="125">
        <v>0</v>
      </c>
      <c r="F428" s="125">
        <v>0</v>
      </c>
      <c r="G428" s="247">
        <v>0</v>
      </c>
      <c r="H428" s="125">
        <v>0</v>
      </c>
      <c r="I428" s="125">
        <v>300000</v>
      </c>
      <c r="J428" s="125">
        <v>300000</v>
      </c>
      <c r="K428" s="125">
        <v>525000</v>
      </c>
      <c r="L428" s="125">
        <v>0</v>
      </c>
      <c r="M428" s="125">
        <v>0</v>
      </c>
      <c r="N428" s="247">
        <v>225000</v>
      </c>
      <c r="O428" s="247">
        <v>0</v>
      </c>
    </row>
    <row r="429" spans="1:15" s="145" customFormat="1" ht="15.75">
      <c r="A429" s="70" t="s">
        <v>3364</v>
      </c>
      <c r="B429" s="105" t="s">
        <v>5649</v>
      </c>
      <c r="C429" s="72" t="s">
        <v>1720</v>
      </c>
      <c r="D429" s="125">
        <v>0</v>
      </c>
      <c r="E429" s="125">
        <v>0</v>
      </c>
      <c r="F429" s="125">
        <v>0</v>
      </c>
      <c r="G429" s="247">
        <v>0</v>
      </c>
      <c r="H429" s="125">
        <v>0</v>
      </c>
      <c r="I429" s="125">
        <v>200000</v>
      </c>
      <c r="J429" s="125">
        <v>200000</v>
      </c>
      <c r="K429" s="125">
        <v>240000</v>
      </c>
      <c r="L429" s="125">
        <v>0</v>
      </c>
      <c r="M429" s="125">
        <v>0</v>
      </c>
      <c r="N429" s="247">
        <v>40000</v>
      </c>
      <c r="O429" s="247">
        <v>0</v>
      </c>
    </row>
    <row r="430" spans="1:15" s="145" customFormat="1" ht="15.75">
      <c r="A430" s="70" t="s">
        <v>3391</v>
      </c>
      <c r="B430" s="105" t="s">
        <v>5701</v>
      </c>
      <c r="C430" s="72" t="s">
        <v>1721</v>
      </c>
      <c r="D430" s="125">
        <v>0</v>
      </c>
      <c r="E430" s="125">
        <v>0</v>
      </c>
      <c r="F430" s="125">
        <v>0</v>
      </c>
      <c r="G430" s="247">
        <v>0</v>
      </c>
      <c r="H430" s="125">
        <v>0</v>
      </c>
      <c r="I430" s="125">
        <v>50000</v>
      </c>
      <c r="J430" s="125">
        <v>50000</v>
      </c>
      <c r="K430" s="125">
        <v>15000</v>
      </c>
      <c r="L430" s="125">
        <v>0</v>
      </c>
      <c r="M430" s="125">
        <v>0</v>
      </c>
      <c r="N430" s="247">
        <v>0</v>
      </c>
      <c r="O430" s="247">
        <v>35000</v>
      </c>
    </row>
    <row r="431" spans="1:15" s="145" customFormat="1" ht="15.75">
      <c r="A431" s="70" t="s">
        <v>3353</v>
      </c>
      <c r="B431" s="105" t="s">
        <v>5665</v>
      </c>
      <c r="C431" s="72" t="s">
        <v>1722</v>
      </c>
      <c r="D431" s="125">
        <v>0</v>
      </c>
      <c r="E431" s="125">
        <v>0</v>
      </c>
      <c r="F431" s="125">
        <v>0</v>
      </c>
      <c r="G431" s="247">
        <v>0</v>
      </c>
      <c r="H431" s="125">
        <v>0</v>
      </c>
      <c r="I431" s="125">
        <v>200000</v>
      </c>
      <c r="J431" s="125">
        <v>200000</v>
      </c>
      <c r="K431" s="125">
        <v>60000</v>
      </c>
      <c r="L431" s="125">
        <v>0</v>
      </c>
      <c r="M431" s="125">
        <v>0</v>
      </c>
      <c r="N431" s="247">
        <v>0</v>
      </c>
      <c r="O431" s="247">
        <v>140000</v>
      </c>
    </row>
    <row r="432" spans="1:15" s="145" customFormat="1" ht="15.75">
      <c r="A432" s="70"/>
      <c r="B432" s="105"/>
      <c r="C432" s="72"/>
      <c r="D432" s="125">
        <v>0</v>
      </c>
      <c r="E432" s="125">
        <v>0</v>
      </c>
      <c r="F432" s="125">
        <v>0</v>
      </c>
      <c r="G432" s="247">
        <v>0</v>
      </c>
      <c r="H432" s="125">
        <v>0</v>
      </c>
      <c r="I432" s="125">
        <v>0</v>
      </c>
      <c r="J432" s="125">
        <v>0</v>
      </c>
      <c r="K432" s="125">
        <v>0</v>
      </c>
      <c r="L432" s="125">
        <v>0</v>
      </c>
      <c r="M432" s="125">
        <v>0</v>
      </c>
      <c r="N432" s="247">
        <v>0</v>
      </c>
      <c r="O432" s="247">
        <v>0</v>
      </c>
    </row>
    <row r="433" spans="1:15" s="145" customFormat="1" ht="15.75">
      <c r="A433" s="77" t="s">
        <v>3392</v>
      </c>
      <c r="B433" s="136" t="s">
        <v>5702</v>
      </c>
      <c r="C433" s="72"/>
      <c r="D433" s="125">
        <v>0</v>
      </c>
      <c r="E433" s="125">
        <v>0</v>
      </c>
      <c r="F433" s="125">
        <v>0</v>
      </c>
      <c r="G433" s="247">
        <v>0</v>
      </c>
      <c r="H433" s="125">
        <v>0</v>
      </c>
      <c r="I433" s="125">
        <v>1850000</v>
      </c>
      <c r="J433" s="125">
        <v>1850000</v>
      </c>
      <c r="K433" s="125">
        <v>1840000</v>
      </c>
      <c r="L433" s="125">
        <v>0</v>
      </c>
      <c r="M433" s="125">
        <v>0</v>
      </c>
      <c r="N433" s="247">
        <v>0</v>
      </c>
      <c r="O433" s="247">
        <v>10000</v>
      </c>
    </row>
    <row r="434" spans="1:15" s="145" customFormat="1" ht="15.75">
      <c r="A434" s="70"/>
      <c r="B434" s="105"/>
      <c r="C434" s="72"/>
      <c r="D434" s="125">
        <v>0</v>
      </c>
      <c r="E434" s="125">
        <v>0</v>
      </c>
      <c r="F434" s="125">
        <v>0</v>
      </c>
      <c r="G434" s="247">
        <v>0</v>
      </c>
      <c r="H434" s="125">
        <v>0</v>
      </c>
      <c r="I434" s="125">
        <v>0</v>
      </c>
      <c r="J434" s="125">
        <v>0</v>
      </c>
      <c r="K434" s="125">
        <v>0</v>
      </c>
      <c r="L434" s="125">
        <v>0</v>
      </c>
      <c r="M434" s="125">
        <v>0</v>
      </c>
      <c r="N434" s="247">
        <v>0</v>
      </c>
      <c r="O434" s="247">
        <v>0</v>
      </c>
    </row>
    <row r="435" spans="1:15" s="145" customFormat="1" ht="15.75">
      <c r="A435" s="70" t="s">
        <v>2802</v>
      </c>
      <c r="B435" s="105" t="s">
        <v>5703</v>
      </c>
      <c r="C435" s="72"/>
      <c r="D435" s="125">
        <v>0</v>
      </c>
      <c r="E435" s="125">
        <v>0</v>
      </c>
      <c r="F435" s="125">
        <v>0</v>
      </c>
      <c r="G435" s="247">
        <v>0</v>
      </c>
      <c r="H435" s="125">
        <v>0</v>
      </c>
      <c r="I435" s="125">
        <v>0</v>
      </c>
      <c r="J435" s="125">
        <v>0</v>
      </c>
      <c r="K435" s="125">
        <v>0</v>
      </c>
      <c r="L435" s="125">
        <v>0</v>
      </c>
      <c r="M435" s="125">
        <v>0</v>
      </c>
      <c r="N435" s="247">
        <v>0</v>
      </c>
      <c r="O435" s="247">
        <v>0</v>
      </c>
    </row>
    <row r="436" spans="1:15" s="145" customFormat="1" ht="15.75">
      <c r="A436" s="70" t="s">
        <v>3356</v>
      </c>
      <c r="B436" s="105" t="s">
        <v>5656</v>
      </c>
      <c r="C436" s="72" t="s">
        <v>1723</v>
      </c>
      <c r="D436" s="125">
        <v>0</v>
      </c>
      <c r="E436" s="125">
        <v>1983106</v>
      </c>
      <c r="F436" s="125">
        <v>2760028</v>
      </c>
      <c r="G436" s="247">
        <v>1730662</v>
      </c>
      <c r="H436" s="125">
        <v>1221634</v>
      </c>
      <c r="I436" s="125">
        <v>3000000</v>
      </c>
      <c r="J436" s="125">
        <v>3000000</v>
      </c>
      <c r="K436" s="125">
        <v>3500000</v>
      </c>
      <c r="L436" s="125">
        <v>0</v>
      </c>
      <c r="M436" s="125">
        <v>0</v>
      </c>
      <c r="N436" s="247">
        <v>500000</v>
      </c>
      <c r="O436" s="247">
        <v>0</v>
      </c>
    </row>
    <row r="437" spans="1:15" s="145" customFormat="1" ht="15.75">
      <c r="A437" s="70" t="s">
        <v>3389</v>
      </c>
      <c r="B437" s="105" t="s">
        <v>5678</v>
      </c>
      <c r="C437" s="72" t="s">
        <v>1724</v>
      </c>
      <c r="D437" s="125">
        <v>0</v>
      </c>
      <c r="E437" s="125">
        <v>0</v>
      </c>
      <c r="F437" s="125">
        <v>0</v>
      </c>
      <c r="G437" s="247">
        <v>0</v>
      </c>
      <c r="H437" s="125">
        <v>0</v>
      </c>
      <c r="I437" s="125">
        <v>150000</v>
      </c>
      <c r="J437" s="125">
        <v>150000</v>
      </c>
      <c r="K437" s="125">
        <v>0</v>
      </c>
      <c r="L437" s="125">
        <v>0</v>
      </c>
      <c r="M437" s="125">
        <v>0</v>
      </c>
      <c r="N437" s="247">
        <v>0</v>
      </c>
      <c r="O437" s="247">
        <v>150000</v>
      </c>
    </row>
    <row r="438" spans="1:15" s="145" customFormat="1" ht="15.75">
      <c r="A438" s="70" t="s">
        <v>3349</v>
      </c>
      <c r="B438" s="105" t="s">
        <v>5648</v>
      </c>
      <c r="C438" s="72" t="s">
        <v>1725</v>
      </c>
      <c r="D438" s="125">
        <v>0</v>
      </c>
      <c r="E438" s="125">
        <v>0</v>
      </c>
      <c r="F438" s="125">
        <v>32700</v>
      </c>
      <c r="G438" s="247">
        <v>32700</v>
      </c>
      <c r="H438" s="125">
        <v>1500</v>
      </c>
      <c r="I438" s="125">
        <v>150000</v>
      </c>
      <c r="J438" s="125">
        <v>150000</v>
      </c>
      <c r="K438" s="125">
        <v>50000</v>
      </c>
      <c r="L438" s="125">
        <v>0</v>
      </c>
      <c r="M438" s="125">
        <v>0</v>
      </c>
      <c r="N438" s="247">
        <v>0</v>
      </c>
      <c r="O438" s="247">
        <v>100000</v>
      </c>
    </row>
    <row r="439" spans="1:15" s="145" customFormat="1" ht="15.75">
      <c r="A439" s="70" t="s">
        <v>3370</v>
      </c>
      <c r="B439" s="105" t="s">
        <v>5700</v>
      </c>
      <c r="C439" s="72" t="s">
        <v>3124</v>
      </c>
      <c r="D439" s="125">
        <v>0</v>
      </c>
      <c r="E439" s="125">
        <v>18000</v>
      </c>
      <c r="F439" s="125">
        <v>0</v>
      </c>
      <c r="G439" s="247">
        <v>0</v>
      </c>
      <c r="H439" s="125">
        <v>0</v>
      </c>
      <c r="I439" s="125">
        <v>0</v>
      </c>
      <c r="J439" s="125">
        <v>0</v>
      </c>
      <c r="K439" s="125">
        <v>0</v>
      </c>
      <c r="L439" s="125">
        <v>0</v>
      </c>
      <c r="M439" s="125">
        <v>0</v>
      </c>
      <c r="N439" s="247">
        <v>0</v>
      </c>
      <c r="O439" s="247">
        <v>0</v>
      </c>
    </row>
    <row r="440" spans="1:15" s="145" customFormat="1" ht="15.75">
      <c r="A440" s="70" t="s">
        <v>3353</v>
      </c>
      <c r="B440" s="105" t="s">
        <v>5670</v>
      </c>
      <c r="C440" s="72" t="s">
        <v>1726</v>
      </c>
      <c r="D440" s="125">
        <v>0</v>
      </c>
      <c r="E440" s="125">
        <v>147715</v>
      </c>
      <c r="F440" s="125">
        <v>271843</v>
      </c>
      <c r="G440" s="247">
        <v>134118</v>
      </c>
      <c r="H440" s="125">
        <v>191945</v>
      </c>
      <c r="I440" s="125">
        <v>300000</v>
      </c>
      <c r="J440" s="125">
        <v>300000</v>
      </c>
      <c r="K440" s="125">
        <v>550000</v>
      </c>
      <c r="L440" s="125">
        <v>0</v>
      </c>
      <c r="M440" s="125">
        <v>0</v>
      </c>
      <c r="N440" s="247">
        <v>250000</v>
      </c>
      <c r="O440" s="247">
        <v>0</v>
      </c>
    </row>
    <row r="441" spans="1:15" s="145" customFormat="1" ht="15.75">
      <c r="A441" s="70"/>
      <c r="B441" s="105"/>
      <c r="C441" s="72"/>
      <c r="D441" s="125">
        <v>0</v>
      </c>
      <c r="E441" s="125">
        <v>0</v>
      </c>
      <c r="F441" s="125">
        <v>0</v>
      </c>
      <c r="G441" s="247">
        <v>0</v>
      </c>
      <c r="H441" s="125">
        <v>0</v>
      </c>
      <c r="I441" s="125">
        <v>0</v>
      </c>
      <c r="J441" s="125">
        <v>0</v>
      </c>
      <c r="K441" s="125">
        <v>0</v>
      </c>
      <c r="L441" s="125">
        <v>0</v>
      </c>
      <c r="M441" s="125">
        <v>0</v>
      </c>
      <c r="N441" s="247">
        <v>0</v>
      </c>
      <c r="O441" s="247">
        <v>0</v>
      </c>
    </row>
    <row r="442" spans="1:15" s="145" customFormat="1" ht="15.75">
      <c r="A442" s="77" t="s">
        <v>3393</v>
      </c>
      <c r="B442" s="136" t="s">
        <v>5704</v>
      </c>
      <c r="C442" s="72"/>
      <c r="D442" s="125">
        <v>0</v>
      </c>
      <c r="E442" s="125">
        <v>2148821</v>
      </c>
      <c r="F442" s="125">
        <v>3064571</v>
      </c>
      <c r="G442" s="247">
        <v>1897480</v>
      </c>
      <c r="H442" s="125">
        <v>1415079</v>
      </c>
      <c r="I442" s="125">
        <v>3600000</v>
      </c>
      <c r="J442" s="125">
        <v>3600000</v>
      </c>
      <c r="K442" s="125">
        <v>4100000</v>
      </c>
      <c r="L442" s="125">
        <v>0</v>
      </c>
      <c r="M442" s="125">
        <v>0</v>
      </c>
      <c r="N442" s="247">
        <v>500000</v>
      </c>
      <c r="O442" s="247">
        <v>0</v>
      </c>
    </row>
    <row r="443" spans="1:15" s="145" customFormat="1" ht="15.75">
      <c r="A443" s="70"/>
      <c r="B443" s="105"/>
      <c r="C443" s="72"/>
      <c r="D443" s="125">
        <v>0</v>
      </c>
      <c r="E443" s="125">
        <v>0</v>
      </c>
      <c r="F443" s="125">
        <v>0</v>
      </c>
      <c r="G443" s="247">
        <v>0</v>
      </c>
      <c r="H443" s="125">
        <v>0</v>
      </c>
      <c r="I443" s="125">
        <v>0</v>
      </c>
      <c r="J443" s="125">
        <v>0</v>
      </c>
      <c r="K443" s="125">
        <v>0</v>
      </c>
      <c r="L443" s="125">
        <v>0</v>
      </c>
      <c r="M443" s="125">
        <v>0</v>
      </c>
      <c r="N443" s="247">
        <v>0</v>
      </c>
      <c r="O443" s="247">
        <v>0</v>
      </c>
    </row>
    <row r="444" spans="1:15" s="145" customFormat="1" ht="15.75">
      <c r="A444" s="77" t="s">
        <v>2803</v>
      </c>
      <c r="B444" s="136" t="s">
        <v>5705</v>
      </c>
      <c r="C444" s="72"/>
      <c r="D444" s="125">
        <v>29865770</v>
      </c>
      <c r="E444" s="125">
        <v>34627406</v>
      </c>
      <c r="F444" s="125">
        <v>33567665</v>
      </c>
      <c r="G444" s="247">
        <v>17791673.600000001</v>
      </c>
      <c r="H444" s="125">
        <v>19230067</v>
      </c>
      <c r="I444" s="125">
        <v>56996000</v>
      </c>
      <c r="J444" s="125">
        <v>56996000</v>
      </c>
      <c r="K444" s="125">
        <v>56031000</v>
      </c>
      <c r="L444" s="125">
        <v>0</v>
      </c>
      <c r="M444" s="125">
        <v>0</v>
      </c>
      <c r="N444" s="247">
        <v>0</v>
      </c>
      <c r="O444" s="247">
        <v>965000</v>
      </c>
    </row>
    <row r="445" spans="1:15" s="145" customFormat="1" ht="15.75">
      <c r="A445" s="70"/>
      <c r="B445" s="105"/>
      <c r="C445" s="72"/>
      <c r="D445" s="125">
        <v>0</v>
      </c>
      <c r="E445" s="125">
        <v>0</v>
      </c>
      <c r="F445" s="125">
        <v>0</v>
      </c>
      <c r="G445" s="247">
        <v>0</v>
      </c>
      <c r="H445" s="125">
        <v>0</v>
      </c>
      <c r="I445" s="125">
        <v>0</v>
      </c>
      <c r="J445" s="125">
        <v>0</v>
      </c>
      <c r="K445" s="125">
        <v>0</v>
      </c>
      <c r="L445" s="125">
        <v>0</v>
      </c>
      <c r="M445" s="125">
        <v>0</v>
      </c>
      <c r="N445" s="247">
        <v>0</v>
      </c>
      <c r="O445" s="247">
        <v>0</v>
      </c>
    </row>
    <row r="446" spans="1:15" s="145" customFormat="1" ht="15.75">
      <c r="A446" s="70" t="s">
        <v>2804</v>
      </c>
      <c r="B446" s="105" t="s">
        <v>5706</v>
      </c>
      <c r="C446" s="72"/>
      <c r="D446" s="125">
        <v>0</v>
      </c>
      <c r="E446" s="125">
        <v>0</v>
      </c>
      <c r="F446" s="125">
        <v>0</v>
      </c>
      <c r="G446" s="247">
        <v>0</v>
      </c>
      <c r="H446" s="125">
        <v>0</v>
      </c>
      <c r="I446" s="125">
        <v>0</v>
      </c>
      <c r="J446" s="125">
        <v>0</v>
      </c>
      <c r="K446" s="125">
        <v>0</v>
      </c>
      <c r="L446" s="125">
        <v>0</v>
      </c>
      <c r="M446" s="125">
        <v>0</v>
      </c>
      <c r="N446" s="247">
        <v>0</v>
      </c>
      <c r="O446" s="247">
        <v>0</v>
      </c>
    </row>
    <row r="447" spans="1:15" s="145" customFormat="1" ht="15.75">
      <c r="A447" s="70" t="s">
        <v>3394</v>
      </c>
      <c r="B447" s="105" t="s">
        <v>5707</v>
      </c>
      <c r="C447" s="72" t="s">
        <v>641</v>
      </c>
      <c r="D447" s="125">
        <v>13059382</v>
      </c>
      <c r="E447" s="125">
        <v>15926848</v>
      </c>
      <c r="F447" s="125">
        <v>15952536</v>
      </c>
      <c r="G447" s="247">
        <v>10488625</v>
      </c>
      <c r="H447" s="125">
        <v>5439307</v>
      </c>
      <c r="I447" s="125">
        <v>30000000</v>
      </c>
      <c r="J447" s="125">
        <v>30000000</v>
      </c>
      <c r="K447" s="125">
        <v>15000000</v>
      </c>
      <c r="L447" s="125">
        <v>0</v>
      </c>
      <c r="M447" s="125">
        <v>0</v>
      </c>
      <c r="N447" s="247">
        <v>0</v>
      </c>
      <c r="O447" s="247">
        <v>15000000</v>
      </c>
    </row>
    <row r="448" spans="1:15" s="145" customFormat="1" ht="15.75">
      <c r="A448" s="70" t="s">
        <v>3395</v>
      </c>
      <c r="B448" s="105" t="s">
        <v>5708</v>
      </c>
      <c r="C448" s="72" t="s">
        <v>124</v>
      </c>
      <c r="D448" s="125">
        <v>20230</v>
      </c>
      <c r="E448" s="125">
        <v>67230</v>
      </c>
      <c r="F448" s="125">
        <v>155346</v>
      </c>
      <c r="G448" s="247">
        <v>105766</v>
      </c>
      <c r="H448" s="125">
        <v>529686</v>
      </c>
      <c r="I448" s="125">
        <v>300000</v>
      </c>
      <c r="J448" s="125">
        <v>300000</v>
      </c>
      <c r="K448" s="125">
        <v>300000</v>
      </c>
      <c r="L448" s="125">
        <v>0</v>
      </c>
      <c r="M448" s="125">
        <v>0</v>
      </c>
      <c r="N448" s="247">
        <v>0</v>
      </c>
      <c r="O448" s="247">
        <v>0</v>
      </c>
    </row>
    <row r="449" spans="1:15" s="145" customFormat="1" ht="15.75">
      <c r="A449" s="70"/>
      <c r="B449" s="105"/>
      <c r="C449" s="72"/>
      <c r="D449" s="125">
        <v>0</v>
      </c>
      <c r="E449" s="125">
        <v>0</v>
      </c>
      <c r="F449" s="125">
        <v>0</v>
      </c>
      <c r="G449" s="247">
        <v>0</v>
      </c>
      <c r="H449" s="125">
        <v>0</v>
      </c>
      <c r="I449" s="125">
        <v>0</v>
      </c>
      <c r="J449" s="125">
        <v>0</v>
      </c>
      <c r="K449" s="125">
        <v>0</v>
      </c>
      <c r="L449" s="125">
        <v>0</v>
      </c>
      <c r="M449" s="125">
        <v>0</v>
      </c>
      <c r="N449" s="247">
        <v>0</v>
      </c>
      <c r="O449" s="247">
        <v>0</v>
      </c>
    </row>
    <row r="450" spans="1:15" s="145" customFormat="1" ht="15.75">
      <c r="A450" s="77" t="s">
        <v>2809</v>
      </c>
      <c r="B450" s="136" t="s">
        <v>5709</v>
      </c>
      <c r="C450" s="72"/>
      <c r="D450" s="125">
        <v>13079612</v>
      </c>
      <c r="E450" s="125">
        <v>15994078</v>
      </c>
      <c r="F450" s="125">
        <v>16107882</v>
      </c>
      <c r="G450" s="247">
        <v>10594391</v>
      </c>
      <c r="H450" s="125">
        <v>5968993</v>
      </c>
      <c r="I450" s="125">
        <v>30300000</v>
      </c>
      <c r="J450" s="125">
        <v>30300000</v>
      </c>
      <c r="K450" s="125">
        <v>15300000</v>
      </c>
      <c r="L450" s="125">
        <v>0</v>
      </c>
      <c r="M450" s="125">
        <v>0</v>
      </c>
      <c r="N450" s="247">
        <v>0</v>
      </c>
      <c r="O450" s="247">
        <v>15000000</v>
      </c>
    </row>
    <row r="451" spans="1:15" s="145" customFormat="1" ht="15.75">
      <c r="A451" s="70"/>
      <c r="B451" s="105"/>
      <c r="C451" s="72"/>
      <c r="D451" s="125">
        <v>0</v>
      </c>
      <c r="E451" s="125">
        <v>0</v>
      </c>
      <c r="F451" s="125">
        <v>0</v>
      </c>
      <c r="G451" s="247">
        <v>0</v>
      </c>
      <c r="H451" s="125">
        <v>0</v>
      </c>
      <c r="I451" s="125">
        <v>0</v>
      </c>
      <c r="J451" s="125">
        <v>0</v>
      </c>
      <c r="K451" s="125">
        <v>0</v>
      </c>
      <c r="L451" s="125">
        <v>0</v>
      </c>
      <c r="M451" s="125">
        <v>0</v>
      </c>
      <c r="N451" s="247">
        <v>0</v>
      </c>
      <c r="O451" s="247">
        <v>0</v>
      </c>
    </row>
    <row r="452" spans="1:15" s="145" customFormat="1" ht="15.75">
      <c r="A452" s="70" t="s">
        <v>3396</v>
      </c>
      <c r="B452" s="105" t="s">
        <v>5710</v>
      </c>
      <c r="C452" s="72"/>
      <c r="D452" s="125">
        <v>0</v>
      </c>
      <c r="E452" s="125">
        <v>0</v>
      </c>
      <c r="F452" s="125">
        <v>0</v>
      </c>
      <c r="G452" s="247">
        <v>0</v>
      </c>
      <c r="H452" s="125">
        <v>0</v>
      </c>
      <c r="I452" s="125">
        <v>0</v>
      </c>
      <c r="J452" s="125">
        <v>0</v>
      </c>
      <c r="K452" s="125">
        <v>0</v>
      </c>
      <c r="L452" s="125">
        <v>0</v>
      </c>
      <c r="M452" s="125">
        <v>0</v>
      </c>
      <c r="N452" s="247">
        <v>0</v>
      </c>
      <c r="O452" s="247">
        <v>0</v>
      </c>
    </row>
    <row r="453" spans="1:15" s="145" customFormat="1" ht="15.75">
      <c r="A453" s="70" t="s">
        <v>3397</v>
      </c>
      <c r="B453" s="105" t="s">
        <v>5711</v>
      </c>
      <c r="C453" s="72" t="s">
        <v>547</v>
      </c>
      <c r="D453" s="125">
        <v>1113600</v>
      </c>
      <c r="E453" s="125">
        <v>840182</v>
      </c>
      <c r="F453" s="125">
        <v>938950</v>
      </c>
      <c r="G453" s="247">
        <v>561950</v>
      </c>
      <c r="H453" s="125">
        <v>503670</v>
      </c>
      <c r="I453" s="125">
        <v>800000</v>
      </c>
      <c r="J453" s="125">
        <v>800000</v>
      </c>
      <c r="K453" s="125">
        <v>800000</v>
      </c>
      <c r="L453" s="125">
        <v>0</v>
      </c>
      <c r="M453" s="125">
        <v>0</v>
      </c>
      <c r="N453" s="247">
        <v>0</v>
      </c>
      <c r="O453" s="247">
        <v>0</v>
      </c>
    </row>
    <row r="454" spans="1:15" s="145" customFormat="1" ht="15.75">
      <c r="A454" s="70" t="s">
        <v>3398</v>
      </c>
      <c r="B454" s="105" t="s">
        <v>5712</v>
      </c>
      <c r="C454" s="72" t="s">
        <v>548</v>
      </c>
      <c r="D454" s="125">
        <v>3048730</v>
      </c>
      <c r="E454" s="125">
        <v>2492940</v>
      </c>
      <c r="F454" s="125">
        <v>2761380</v>
      </c>
      <c r="G454" s="247">
        <v>1475030</v>
      </c>
      <c r="H454" s="125">
        <v>1545490</v>
      </c>
      <c r="I454" s="125">
        <v>1500000</v>
      </c>
      <c r="J454" s="125">
        <v>1500000</v>
      </c>
      <c r="K454" s="125">
        <v>2500000</v>
      </c>
      <c r="L454" s="125">
        <v>0</v>
      </c>
      <c r="M454" s="125">
        <v>0</v>
      </c>
      <c r="N454" s="247">
        <v>1000000</v>
      </c>
      <c r="O454" s="247">
        <v>0</v>
      </c>
    </row>
    <row r="455" spans="1:15" s="145" customFormat="1" ht="15.75">
      <c r="A455" s="70" t="s">
        <v>3399</v>
      </c>
      <c r="B455" s="105" t="s">
        <v>5713</v>
      </c>
      <c r="C455" s="72" t="s">
        <v>860</v>
      </c>
      <c r="D455" s="125">
        <v>1073590</v>
      </c>
      <c r="E455" s="125">
        <v>561395</v>
      </c>
      <c r="F455" s="125">
        <v>764420</v>
      </c>
      <c r="G455" s="247">
        <v>521420</v>
      </c>
      <c r="H455" s="125">
        <v>572850</v>
      </c>
      <c r="I455" s="125">
        <v>800000</v>
      </c>
      <c r="J455" s="125">
        <v>800000</v>
      </c>
      <c r="K455" s="125">
        <v>800000</v>
      </c>
      <c r="L455" s="125">
        <v>0</v>
      </c>
      <c r="M455" s="125">
        <v>0</v>
      </c>
      <c r="N455" s="247">
        <v>0</v>
      </c>
      <c r="O455" s="247">
        <v>0</v>
      </c>
    </row>
    <row r="456" spans="1:15" s="145" customFormat="1" ht="15.75">
      <c r="A456" s="70" t="s">
        <v>3400</v>
      </c>
      <c r="B456" s="105" t="s">
        <v>5714</v>
      </c>
      <c r="C456" s="72" t="s">
        <v>861</v>
      </c>
      <c r="D456" s="125">
        <v>239725</v>
      </c>
      <c r="E456" s="125">
        <v>231600</v>
      </c>
      <c r="F456" s="125">
        <v>247000</v>
      </c>
      <c r="G456" s="247">
        <v>161800</v>
      </c>
      <c r="H456" s="125">
        <v>134800</v>
      </c>
      <c r="I456" s="125">
        <v>250000</v>
      </c>
      <c r="J456" s="125">
        <v>250000</v>
      </c>
      <c r="K456" s="125">
        <v>250000</v>
      </c>
      <c r="L456" s="125">
        <v>0</v>
      </c>
      <c r="M456" s="125">
        <v>0</v>
      </c>
      <c r="N456" s="247">
        <v>0</v>
      </c>
      <c r="O456" s="247">
        <v>0</v>
      </c>
    </row>
    <row r="457" spans="1:15" s="145" customFormat="1" ht="15.75">
      <c r="A457" s="70" t="s">
        <v>3401</v>
      </c>
      <c r="B457" s="105" t="s">
        <v>5715</v>
      </c>
      <c r="C457" s="72" t="s">
        <v>496</v>
      </c>
      <c r="D457" s="125">
        <v>93725</v>
      </c>
      <c r="E457" s="125">
        <v>29550</v>
      </c>
      <c r="F457" s="125">
        <v>16850</v>
      </c>
      <c r="G457" s="247">
        <v>14100</v>
      </c>
      <c r="H457" s="125">
        <v>22200</v>
      </c>
      <c r="I457" s="125">
        <v>60000</v>
      </c>
      <c r="J457" s="125">
        <v>60000</v>
      </c>
      <c r="K457" s="125">
        <v>50000</v>
      </c>
      <c r="L457" s="125">
        <v>0</v>
      </c>
      <c r="M457" s="125">
        <v>0</v>
      </c>
      <c r="N457" s="247">
        <v>0</v>
      </c>
      <c r="O457" s="247">
        <v>10000</v>
      </c>
    </row>
    <row r="458" spans="1:15" s="145" customFormat="1" ht="15.75">
      <c r="A458" s="70" t="s">
        <v>3402</v>
      </c>
      <c r="B458" s="105" t="s">
        <v>268</v>
      </c>
      <c r="C458" s="72" t="s">
        <v>1385</v>
      </c>
      <c r="D458" s="125">
        <v>154510</v>
      </c>
      <c r="E458" s="125">
        <v>138300</v>
      </c>
      <c r="F458" s="125">
        <v>252910</v>
      </c>
      <c r="G458" s="247">
        <v>57750</v>
      </c>
      <c r="H458" s="125">
        <v>199280</v>
      </c>
      <c r="I458" s="125">
        <v>1000000</v>
      </c>
      <c r="J458" s="125">
        <v>1000000</v>
      </c>
      <c r="K458" s="125">
        <v>1000000</v>
      </c>
      <c r="L458" s="125">
        <v>0</v>
      </c>
      <c r="M458" s="125">
        <v>0</v>
      </c>
      <c r="N458" s="247">
        <v>0</v>
      </c>
      <c r="O458" s="247">
        <v>0</v>
      </c>
    </row>
    <row r="459" spans="1:15" s="145" customFormat="1" ht="15.75">
      <c r="A459" s="70"/>
      <c r="B459" s="105"/>
      <c r="C459" s="72"/>
      <c r="D459" s="125">
        <v>0</v>
      </c>
      <c r="E459" s="125">
        <v>0</v>
      </c>
      <c r="F459" s="125">
        <v>0</v>
      </c>
      <c r="G459" s="247">
        <v>0</v>
      </c>
      <c r="H459" s="125">
        <v>0</v>
      </c>
      <c r="I459" s="125">
        <v>0</v>
      </c>
      <c r="J459" s="125">
        <v>0</v>
      </c>
      <c r="K459" s="125">
        <v>0</v>
      </c>
      <c r="L459" s="125">
        <v>0</v>
      </c>
      <c r="M459" s="125">
        <v>0</v>
      </c>
      <c r="N459" s="247">
        <v>0</v>
      </c>
      <c r="O459" s="247">
        <v>0</v>
      </c>
    </row>
    <row r="460" spans="1:15" s="145" customFormat="1" ht="15.75">
      <c r="A460" s="77" t="s">
        <v>3403</v>
      </c>
      <c r="B460" s="136" t="s">
        <v>5716</v>
      </c>
      <c r="C460" s="72"/>
      <c r="D460" s="125">
        <v>5723880</v>
      </c>
      <c r="E460" s="125">
        <v>4293967</v>
      </c>
      <c r="F460" s="125">
        <v>4981510</v>
      </c>
      <c r="G460" s="247">
        <v>2792050</v>
      </c>
      <c r="H460" s="125">
        <v>2978290</v>
      </c>
      <c r="I460" s="125">
        <v>4410000</v>
      </c>
      <c r="J460" s="125">
        <v>4410000</v>
      </c>
      <c r="K460" s="125">
        <v>5400000</v>
      </c>
      <c r="L460" s="125">
        <v>0</v>
      </c>
      <c r="M460" s="125">
        <v>0</v>
      </c>
      <c r="N460" s="247">
        <v>990000</v>
      </c>
      <c r="O460" s="247">
        <v>0</v>
      </c>
    </row>
    <row r="461" spans="1:15" s="145" customFormat="1" ht="31.5">
      <c r="A461" s="70" t="s">
        <v>3404</v>
      </c>
      <c r="B461" s="105" t="s">
        <v>5717</v>
      </c>
      <c r="C461" s="72" t="s">
        <v>92</v>
      </c>
      <c r="D461" s="125">
        <v>0</v>
      </c>
      <c r="E461" s="125">
        <v>9970214</v>
      </c>
      <c r="F461" s="125">
        <v>25868983</v>
      </c>
      <c r="G461" s="247">
        <v>14066605</v>
      </c>
      <c r="H461" s="125">
        <v>1664165</v>
      </c>
      <c r="I461" s="125">
        <v>15000000</v>
      </c>
      <c r="J461" s="125">
        <v>15000000</v>
      </c>
      <c r="K461" s="125">
        <v>15000000</v>
      </c>
      <c r="L461" s="125">
        <v>0</v>
      </c>
      <c r="M461" s="125">
        <v>0</v>
      </c>
      <c r="N461" s="247">
        <v>0</v>
      </c>
      <c r="O461" s="247">
        <v>0</v>
      </c>
    </row>
    <row r="462" spans="1:15" s="145" customFormat="1" ht="15.75">
      <c r="A462" s="70"/>
      <c r="B462" s="105"/>
      <c r="C462" s="72"/>
      <c r="D462" s="125">
        <v>0</v>
      </c>
      <c r="E462" s="125">
        <v>0</v>
      </c>
      <c r="F462" s="125">
        <v>0</v>
      </c>
      <c r="G462" s="247">
        <v>0</v>
      </c>
      <c r="H462" s="125">
        <v>0</v>
      </c>
      <c r="I462" s="125">
        <v>0</v>
      </c>
      <c r="J462" s="125">
        <v>0</v>
      </c>
      <c r="K462" s="125">
        <v>0</v>
      </c>
      <c r="L462" s="125">
        <v>0</v>
      </c>
      <c r="M462" s="125">
        <v>0</v>
      </c>
      <c r="N462" s="247">
        <v>0</v>
      </c>
      <c r="O462" s="247">
        <v>0</v>
      </c>
    </row>
    <row r="463" spans="1:15" s="145" customFormat="1" ht="15.75">
      <c r="A463" s="70" t="s">
        <v>3405</v>
      </c>
      <c r="B463" s="105" t="s">
        <v>5718</v>
      </c>
      <c r="C463" s="72" t="s">
        <v>530</v>
      </c>
      <c r="D463" s="125">
        <v>0</v>
      </c>
      <c r="E463" s="125">
        <v>1893689</v>
      </c>
      <c r="F463" s="125">
        <v>0</v>
      </c>
      <c r="G463" s="247">
        <v>0</v>
      </c>
      <c r="H463" s="125">
        <v>0</v>
      </c>
      <c r="I463" s="125">
        <v>5000000</v>
      </c>
      <c r="J463" s="125">
        <v>5000000</v>
      </c>
      <c r="K463" s="125">
        <v>5000000</v>
      </c>
      <c r="L463" s="125">
        <v>0</v>
      </c>
      <c r="M463" s="125">
        <v>0</v>
      </c>
      <c r="N463" s="247">
        <v>0</v>
      </c>
      <c r="O463" s="247">
        <v>0</v>
      </c>
    </row>
    <row r="464" spans="1:15" s="145" customFormat="1" ht="15.75">
      <c r="A464" s="70" t="s">
        <v>3406</v>
      </c>
      <c r="B464" s="105" t="s">
        <v>5719</v>
      </c>
      <c r="C464" s="72" t="s">
        <v>813</v>
      </c>
      <c r="D464" s="125">
        <v>0</v>
      </c>
      <c r="E464" s="125">
        <v>1513402</v>
      </c>
      <c r="F464" s="125">
        <v>3065433</v>
      </c>
      <c r="G464" s="247">
        <v>1651852</v>
      </c>
      <c r="H464" s="125">
        <v>194839</v>
      </c>
      <c r="I464" s="125">
        <v>3000000</v>
      </c>
      <c r="J464" s="125">
        <v>3000000</v>
      </c>
      <c r="K464" s="125">
        <v>3000000</v>
      </c>
      <c r="L464" s="125">
        <v>0</v>
      </c>
      <c r="M464" s="125">
        <v>0</v>
      </c>
      <c r="N464" s="247">
        <v>0</v>
      </c>
      <c r="O464" s="247">
        <v>0</v>
      </c>
    </row>
    <row r="465" spans="1:15" s="145" customFormat="1" ht="15.75">
      <c r="A465" s="70" t="s">
        <v>3407</v>
      </c>
      <c r="B465" s="105" t="s">
        <v>5720</v>
      </c>
      <c r="C465" s="72" t="s">
        <v>814</v>
      </c>
      <c r="D465" s="125">
        <v>424062176</v>
      </c>
      <c r="E465" s="125">
        <v>450385938</v>
      </c>
      <c r="F465" s="125">
        <v>632249002</v>
      </c>
      <c r="G465" s="247">
        <v>65507497.389999986</v>
      </c>
      <c r="H465" s="125">
        <v>667024822</v>
      </c>
      <c r="I465" s="125">
        <v>500000000</v>
      </c>
      <c r="J465" s="125">
        <v>500000000</v>
      </c>
      <c r="K465" s="125">
        <v>900000000</v>
      </c>
      <c r="L465" s="125">
        <v>0</v>
      </c>
      <c r="M465" s="125">
        <v>0</v>
      </c>
      <c r="N465" s="247">
        <v>400000000</v>
      </c>
      <c r="O465" s="247">
        <v>0</v>
      </c>
    </row>
    <row r="466" spans="1:15" s="145" customFormat="1" ht="31.5">
      <c r="A466" s="70" t="s">
        <v>3408</v>
      </c>
      <c r="B466" s="105" t="s">
        <v>5721</v>
      </c>
      <c r="C466" s="72" t="s">
        <v>4799</v>
      </c>
      <c r="D466" s="125">
        <v>53761855</v>
      </c>
      <c r="E466" s="125">
        <v>85936011</v>
      </c>
      <c r="F466" s="125">
        <v>31859649</v>
      </c>
      <c r="G466" s="247">
        <v>31859649</v>
      </c>
      <c r="H466" s="125">
        <v>-33334900</v>
      </c>
      <c r="I466" s="125">
        <v>80000000</v>
      </c>
      <c r="J466" s="125">
        <v>80000000</v>
      </c>
      <c r="K466" s="125">
        <v>80000000</v>
      </c>
      <c r="L466" s="125">
        <v>0</v>
      </c>
      <c r="M466" s="125">
        <v>0</v>
      </c>
      <c r="N466" s="247">
        <v>0</v>
      </c>
      <c r="O466" s="247">
        <v>0</v>
      </c>
    </row>
    <row r="467" spans="1:15" s="145" customFormat="1" ht="15.75">
      <c r="A467" s="70" t="s">
        <v>3409</v>
      </c>
      <c r="B467" s="105" t="s">
        <v>5722</v>
      </c>
      <c r="C467" s="72" t="s">
        <v>1686</v>
      </c>
      <c r="D467" s="125">
        <v>2027170</v>
      </c>
      <c r="E467" s="125">
        <v>0</v>
      </c>
      <c r="F467" s="125">
        <v>233000</v>
      </c>
      <c r="G467" s="247">
        <v>180000</v>
      </c>
      <c r="H467" s="125">
        <v>4503000</v>
      </c>
      <c r="I467" s="125">
        <v>0</v>
      </c>
      <c r="J467" s="125">
        <v>0</v>
      </c>
      <c r="K467" s="125">
        <v>0</v>
      </c>
      <c r="L467" s="125">
        <v>0</v>
      </c>
      <c r="M467" s="125">
        <v>0</v>
      </c>
      <c r="N467" s="247">
        <v>0</v>
      </c>
      <c r="O467" s="247">
        <v>0</v>
      </c>
    </row>
    <row r="468" spans="1:15" s="145" customFormat="1" ht="15.75">
      <c r="A468" s="70" t="s">
        <v>3410</v>
      </c>
      <c r="B468" s="105" t="s">
        <v>5723</v>
      </c>
      <c r="C468" s="72" t="s">
        <v>4800</v>
      </c>
      <c r="D468" s="125">
        <v>0</v>
      </c>
      <c r="E468" s="125">
        <v>165560000</v>
      </c>
      <c r="F468" s="125">
        <v>30280000</v>
      </c>
      <c r="G468" s="247">
        <v>30280000</v>
      </c>
      <c r="H468" s="125">
        <v>0</v>
      </c>
      <c r="I468" s="125">
        <v>0</v>
      </c>
      <c r="J468" s="125">
        <v>0</v>
      </c>
      <c r="K468" s="125">
        <v>0</v>
      </c>
      <c r="L468" s="125">
        <v>0</v>
      </c>
      <c r="M468" s="125">
        <v>0</v>
      </c>
      <c r="N468" s="247">
        <v>0</v>
      </c>
      <c r="O468" s="247">
        <v>0</v>
      </c>
    </row>
    <row r="469" spans="1:15" s="145" customFormat="1" ht="31.5">
      <c r="A469" s="70" t="s">
        <v>3411</v>
      </c>
      <c r="B469" s="105" t="s">
        <v>5724</v>
      </c>
      <c r="C469" s="72" t="s">
        <v>4803</v>
      </c>
      <c r="D469" s="125">
        <v>0</v>
      </c>
      <c r="E469" s="125">
        <v>0</v>
      </c>
      <c r="F469" s="125">
        <v>0</v>
      </c>
      <c r="G469" s="247">
        <v>0</v>
      </c>
      <c r="H469" s="125">
        <v>0</v>
      </c>
      <c r="I469" s="125">
        <v>2000000000</v>
      </c>
      <c r="J469" s="125">
        <v>2000000000</v>
      </c>
      <c r="K469" s="125">
        <v>0</v>
      </c>
      <c r="L469" s="125">
        <v>0</v>
      </c>
      <c r="M469" s="125">
        <v>0</v>
      </c>
      <c r="N469" s="247">
        <v>0</v>
      </c>
      <c r="O469" s="247">
        <v>2000000000</v>
      </c>
    </row>
    <row r="470" spans="1:15" s="145" customFormat="1" ht="31.5">
      <c r="A470" s="70" t="s">
        <v>4748</v>
      </c>
      <c r="B470" s="105" t="s">
        <v>5725</v>
      </c>
      <c r="C470" s="72" t="s">
        <v>4801</v>
      </c>
      <c r="D470" s="125">
        <v>1666929632</v>
      </c>
      <c r="E470" s="125">
        <v>184534650</v>
      </c>
      <c r="F470" s="125">
        <v>0</v>
      </c>
      <c r="G470" s="247">
        <v>0</v>
      </c>
      <c r="H470" s="125">
        <v>21500000</v>
      </c>
      <c r="I470" s="125">
        <v>2026943799.9999998</v>
      </c>
      <c r="J470" s="125">
        <v>2026943799.9999998</v>
      </c>
      <c r="K470" s="125">
        <v>0</v>
      </c>
      <c r="L470" s="125">
        <v>0</v>
      </c>
      <c r="M470" s="125">
        <v>0</v>
      </c>
      <c r="N470" s="247">
        <v>0</v>
      </c>
      <c r="O470" s="247">
        <v>2026943799.9999998</v>
      </c>
    </row>
    <row r="471" spans="1:15" s="145" customFormat="1" ht="31.5">
      <c r="A471" s="70" t="s">
        <v>4743</v>
      </c>
      <c r="B471" s="105" t="s">
        <v>5726</v>
      </c>
      <c r="C471" s="72" t="s">
        <v>1028</v>
      </c>
      <c r="D471" s="125">
        <v>105793584</v>
      </c>
      <c r="E471" s="125">
        <v>140321032</v>
      </c>
      <c r="F471" s="125">
        <v>196858000</v>
      </c>
      <c r="G471" s="247">
        <v>82833591</v>
      </c>
      <c r="H471" s="125">
        <v>109841642</v>
      </c>
      <c r="I471" s="125">
        <v>166000000</v>
      </c>
      <c r="J471" s="125">
        <v>166000000</v>
      </c>
      <c r="K471" s="125">
        <v>350000000</v>
      </c>
      <c r="L471" s="125">
        <v>0</v>
      </c>
      <c r="M471" s="125">
        <v>0</v>
      </c>
      <c r="N471" s="247">
        <v>184000000</v>
      </c>
      <c r="O471" s="247">
        <v>0</v>
      </c>
    </row>
    <row r="472" spans="1:15" s="145" customFormat="1" ht="15.75">
      <c r="A472" s="70" t="s">
        <v>3412</v>
      </c>
      <c r="B472" s="105" t="s">
        <v>5727</v>
      </c>
      <c r="C472" s="72" t="s">
        <v>4804</v>
      </c>
      <c r="D472" s="125">
        <v>45164719</v>
      </c>
      <c r="E472" s="125">
        <v>0</v>
      </c>
      <c r="F472" s="125">
        <v>0</v>
      </c>
      <c r="G472" s="247">
        <v>0</v>
      </c>
      <c r="H472" s="125">
        <v>0</v>
      </c>
      <c r="I472" s="125">
        <v>0</v>
      </c>
      <c r="J472" s="125">
        <v>0</v>
      </c>
      <c r="K472" s="125">
        <v>0</v>
      </c>
      <c r="L472" s="125">
        <v>0</v>
      </c>
      <c r="M472" s="125">
        <v>0</v>
      </c>
      <c r="N472" s="247">
        <v>0</v>
      </c>
      <c r="O472" s="247">
        <v>0</v>
      </c>
    </row>
    <row r="473" spans="1:15" s="145" customFormat="1" ht="31.5">
      <c r="A473" s="70" t="s">
        <v>3701</v>
      </c>
      <c r="B473" s="105" t="s">
        <v>5728</v>
      </c>
      <c r="C473" s="72" t="s">
        <v>4805</v>
      </c>
      <c r="D473" s="125">
        <v>3500000</v>
      </c>
      <c r="E473" s="125">
        <v>3400000</v>
      </c>
      <c r="F473" s="125">
        <v>0</v>
      </c>
      <c r="G473" s="247">
        <v>0</v>
      </c>
      <c r="H473" s="125">
        <v>0</v>
      </c>
      <c r="I473" s="125">
        <v>0</v>
      </c>
      <c r="J473" s="125">
        <v>0</v>
      </c>
      <c r="K473" s="125">
        <v>0</v>
      </c>
      <c r="L473" s="125">
        <v>0</v>
      </c>
      <c r="M473" s="125">
        <v>0</v>
      </c>
      <c r="N473" s="247">
        <v>0</v>
      </c>
      <c r="O473" s="247">
        <v>0</v>
      </c>
    </row>
    <row r="474" spans="1:15" s="145" customFormat="1" ht="15.75">
      <c r="A474" s="70" t="s">
        <v>3413</v>
      </c>
      <c r="B474" s="105" t="s">
        <v>5729</v>
      </c>
      <c r="C474" s="72" t="s">
        <v>1292</v>
      </c>
      <c r="D474" s="125">
        <v>0</v>
      </c>
      <c r="E474" s="125">
        <v>8937593</v>
      </c>
      <c r="F474" s="125">
        <v>12566613</v>
      </c>
      <c r="G474" s="247">
        <v>8104384</v>
      </c>
      <c r="H474" s="125">
        <v>0</v>
      </c>
      <c r="I474" s="125">
        <v>0</v>
      </c>
      <c r="J474" s="125">
        <v>0</v>
      </c>
      <c r="K474" s="125">
        <v>0</v>
      </c>
      <c r="L474" s="125">
        <v>0</v>
      </c>
      <c r="M474" s="125">
        <v>0</v>
      </c>
      <c r="N474" s="247">
        <v>0</v>
      </c>
      <c r="O474" s="247">
        <v>0</v>
      </c>
    </row>
    <row r="475" spans="1:15" s="145" customFormat="1" ht="31.5">
      <c r="A475" s="70" t="s">
        <v>3414</v>
      </c>
      <c r="B475" s="105" t="s">
        <v>5730</v>
      </c>
      <c r="C475" s="72" t="s">
        <v>4806</v>
      </c>
      <c r="D475" s="125">
        <v>0</v>
      </c>
      <c r="E475" s="125">
        <v>260000</v>
      </c>
      <c r="F475" s="125">
        <v>0</v>
      </c>
      <c r="G475" s="247">
        <v>0</v>
      </c>
      <c r="H475" s="125">
        <v>0</v>
      </c>
      <c r="I475" s="125">
        <v>0</v>
      </c>
      <c r="J475" s="125">
        <v>0</v>
      </c>
      <c r="K475" s="125">
        <v>0</v>
      </c>
      <c r="L475" s="125">
        <v>0</v>
      </c>
      <c r="M475" s="125">
        <v>0</v>
      </c>
      <c r="N475" s="247">
        <v>0</v>
      </c>
      <c r="O475" s="247">
        <v>0</v>
      </c>
    </row>
    <row r="476" spans="1:15" s="145" customFormat="1" ht="31.5">
      <c r="A476" s="70" t="s">
        <v>3415</v>
      </c>
      <c r="B476" s="105" t="s">
        <v>5731</v>
      </c>
      <c r="C476" s="72" t="s">
        <v>4807</v>
      </c>
      <c r="D476" s="125">
        <v>0</v>
      </c>
      <c r="E476" s="125">
        <v>0</v>
      </c>
      <c r="F476" s="125">
        <v>5000000</v>
      </c>
      <c r="G476" s="247">
        <v>5000000</v>
      </c>
      <c r="H476" s="125">
        <v>0</v>
      </c>
      <c r="I476" s="125">
        <v>0</v>
      </c>
      <c r="J476" s="125">
        <v>0</v>
      </c>
      <c r="K476" s="125">
        <v>0</v>
      </c>
      <c r="L476" s="125">
        <v>0</v>
      </c>
      <c r="M476" s="125">
        <v>0</v>
      </c>
      <c r="N476" s="247">
        <v>0</v>
      </c>
      <c r="O476" s="247">
        <v>0</v>
      </c>
    </row>
    <row r="477" spans="1:15" s="145" customFormat="1" ht="31.5">
      <c r="A477" s="70" t="s">
        <v>3416</v>
      </c>
      <c r="B477" s="105" t="s">
        <v>5732</v>
      </c>
      <c r="C477" s="72" t="s">
        <v>1513</v>
      </c>
      <c r="D477" s="125">
        <v>0</v>
      </c>
      <c r="E477" s="125">
        <v>1000000</v>
      </c>
      <c r="F477" s="125">
        <v>2577000</v>
      </c>
      <c r="G477" s="247">
        <v>2577000</v>
      </c>
      <c r="H477" s="125">
        <v>0</v>
      </c>
      <c r="I477" s="125">
        <v>0</v>
      </c>
      <c r="J477" s="125">
        <v>0</v>
      </c>
      <c r="K477" s="125">
        <v>0</v>
      </c>
      <c r="L477" s="125">
        <v>0</v>
      </c>
      <c r="M477" s="125">
        <v>0</v>
      </c>
      <c r="N477" s="247">
        <v>0</v>
      </c>
      <c r="O477" s="247">
        <v>0</v>
      </c>
    </row>
    <row r="478" spans="1:15" s="145" customFormat="1" ht="31.5">
      <c r="A478" s="70" t="s">
        <v>3417</v>
      </c>
      <c r="B478" s="105" t="s">
        <v>5733</v>
      </c>
      <c r="C478" s="72" t="s">
        <v>4808</v>
      </c>
      <c r="D478" s="125">
        <v>5000000</v>
      </c>
      <c r="E478" s="125">
        <v>0</v>
      </c>
      <c r="F478" s="125">
        <v>0</v>
      </c>
      <c r="G478" s="247">
        <v>0</v>
      </c>
      <c r="H478" s="125">
        <v>0</v>
      </c>
      <c r="I478" s="125">
        <v>0</v>
      </c>
      <c r="J478" s="125">
        <v>0</v>
      </c>
      <c r="K478" s="125">
        <v>0</v>
      </c>
      <c r="L478" s="125">
        <v>0</v>
      </c>
      <c r="M478" s="125">
        <v>0</v>
      </c>
      <c r="N478" s="247">
        <v>0</v>
      </c>
      <c r="O478" s="247">
        <v>0</v>
      </c>
    </row>
    <row r="479" spans="1:15" s="145" customFormat="1" ht="15.75">
      <c r="A479" s="70"/>
      <c r="B479" s="105"/>
      <c r="C479" s="72"/>
      <c r="D479" s="125">
        <v>0</v>
      </c>
      <c r="E479" s="125">
        <v>0</v>
      </c>
      <c r="F479" s="125">
        <v>0</v>
      </c>
      <c r="G479" s="247">
        <v>0</v>
      </c>
      <c r="H479" s="125">
        <v>0</v>
      </c>
      <c r="I479" s="125">
        <v>0</v>
      </c>
      <c r="J479" s="125">
        <v>0</v>
      </c>
      <c r="K479" s="125">
        <v>0</v>
      </c>
      <c r="L479" s="125">
        <v>0</v>
      </c>
      <c r="M479" s="125">
        <v>0</v>
      </c>
      <c r="N479" s="247"/>
      <c r="O479" s="247"/>
    </row>
    <row r="480" spans="1:15" s="145" customFormat="1" ht="15.75">
      <c r="A480" s="77" t="s">
        <v>2936</v>
      </c>
      <c r="B480" s="136" t="s">
        <v>5734</v>
      </c>
      <c r="C480" s="72"/>
      <c r="D480" s="125">
        <v>25904242050</v>
      </c>
      <c r="E480" s="125">
        <v>28404626075</v>
      </c>
      <c r="F480" s="125">
        <v>33787359931</v>
      </c>
      <c r="G480" s="247">
        <v>18285683961.82</v>
      </c>
      <c r="H480" s="125">
        <v>14533342667</v>
      </c>
      <c r="I480" s="125">
        <v>47896509800</v>
      </c>
      <c r="J480" s="125">
        <v>47896509800</v>
      </c>
      <c r="K480" s="125">
        <v>41759700000</v>
      </c>
      <c r="L480" s="125">
        <v>0</v>
      </c>
      <c r="M480" s="125">
        <v>0</v>
      </c>
      <c r="N480" s="247"/>
      <c r="O480" s="247"/>
    </row>
    <row r="481" spans="1:15" s="145" customFormat="1" ht="15.75">
      <c r="A481" s="255"/>
      <c r="B481" s="256"/>
      <c r="C481" s="72"/>
      <c r="D481" s="125">
        <v>0</v>
      </c>
      <c r="E481" s="125">
        <v>0</v>
      </c>
      <c r="F481" s="125">
        <v>0</v>
      </c>
      <c r="G481" s="247">
        <v>0</v>
      </c>
      <c r="H481" s="125">
        <v>0</v>
      </c>
      <c r="I481" s="125">
        <v>0</v>
      </c>
      <c r="J481" s="125">
        <v>0</v>
      </c>
      <c r="K481" s="125">
        <v>0</v>
      </c>
      <c r="L481" s="125">
        <v>0</v>
      </c>
      <c r="M481" s="125">
        <v>0</v>
      </c>
      <c r="N481" s="247"/>
      <c r="O481" s="247"/>
    </row>
    <row r="482" spans="1:15" s="145" customFormat="1" ht="15.75">
      <c r="A482" s="77" t="s">
        <v>3121</v>
      </c>
      <c r="B482" s="136" t="s">
        <v>5735</v>
      </c>
      <c r="C482" s="72"/>
      <c r="D482" s="125">
        <v>7223293741</v>
      </c>
      <c r="E482" s="125">
        <v>7940657792</v>
      </c>
      <c r="F482" s="125">
        <v>6986257375</v>
      </c>
      <c r="G482" s="247">
        <v>3691207282.7200003</v>
      </c>
      <c r="H482" s="125">
        <v>3403697073</v>
      </c>
      <c r="I482" s="125">
        <v>11213861499</v>
      </c>
      <c r="J482" s="125">
        <v>11213861499</v>
      </c>
      <c r="K482" s="125">
        <v>13686224273</v>
      </c>
      <c r="L482" s="125">
        <v>0</v>
      </c>
      <c r="M482" s="125">
        <v>0</v>
      </c>
      <c r="N482" s="125"/>
      <c r="O482" s="125"/>
    </row>
    <row r="483" spans="1:15" s="145" customFormat="1" ht="15.75">
      <c r="A483" s="255"/>
      <c r="B483" s="256"/>
      <c r="C483" s="72"/>
      <c r="D483" s="125">
        <v>0</v>
      </c>
      <c r="E483" s="125">
        <v>0</v>
      </c>
      <c r="F483" s="125">
        <v>0</v>
      </c>
      <c r="G483" s="247">
        <v>0</v>
      </c>
      <c r="H483" s="125">
        <v>0</v>
      </c>
      <c r="I483" s="125">
        <v>0</v>
      </c>
      <c r="J483" s="125">
        <v>0</v>
      </c>
      <c r="K483" s="125">
        <v>0</v>
      </c>
      <c r="L483" s="125">
        <v>0</v>
      </c>
      <c r="M483" s="125">
        <v>0</v>
      </c>
      <c r="N483" s="247"/>
      <c r="O483" s="247"/>
    </row>
    <row r="484" spans="1:15" s="145" customFormat="1" ht="15.75">
      <c r="A484" s="77" t="s">
        <v>3431</v>
      </c>
      <c r="B484" s="136" t="s">
        <v>5736</v>
      </c>
      <c r="C484" s="72"/>
      <c r="D484" s="125">
        <v>33127535791</v>
      </c>
      <c r="E484" s="125">
        <v>36345283867</v>
      </c>
      <c r="F484" s="125">
        <v>40773617306</v>
      </c>
      <c r="G484" s="247">
        <v>21976891244.540001</v>
      </c>
      <c r="H484" s="125">
        <v>17937039740</v>
      </c>
      <c r="I484" s="125">
        <v>59110371299</v>
      </c>
      <c r="J484" s="125">
        <v>59110371299</v>
      </c>
      <c r="K484" s="125">
        <v>55445924273</v>
      </c>
      <c r="L484" s="125">
        <v>0</v>
      </c>
      <c r="M484" s="125">
        <v>0</v>
      </c>
      <c r="N484" s="123"/>
      <c r="O484" s="123"/>
    </row>
    <row r="485" spans="1:15" s="145" customFormat="1" ht="15.75">
      <c r="A485" s="255"/>
      <c r="B485" s="256"/>
      <c r="C485" s="72"/>
      <c r="D485" s="125">
        <v>0</v>
      </c>
      <c r="E485" s="125">
        <v>0</v>
      </c>
      <c r="F485" s="125">
        <v>0</v>
      </c>
      <c r="G485" s="247"/>
      <c r="H485" s="125"/>
      <c r="I485" s="125">
        <v>0</v>
      </c>
      <c r="J485" s="125">
        <v>0</v>
      </c>
      <c r="K485" s="125">
        <v>0</v>
      </c>
      <c r="L485" s="125">
        <v>0</v>
      </c>
      <c r="M485" s="125">
        <v>0</v>
      </c>
      <c r="N485" s="247"/>
      <c r="O485" s="247"/>
    </row>
    <row r="486" spans="1:15" s="145" customFormat="1" ht="15.75">
      <c r="A486" s="77" t="s">
        <v>2939</v>
      </c>
      <c r="B486" s="136" t="s">
        <v>5737</v>
      </c>
      <c r="C486" s="72"/>
      <c r="D486" s="125">
        <v>3305964246</v>
      </c>
      <c r="E486" s="125">
        <v>3087694698</v>
      </c>
      <c r="F486" s="125">
        <v>400282726</v>
      </c>
      <c r="G486" s="247"/>
      <c r="H486" s="125"/>
      <c r="I486" s="125">
        <v>1630361499</v>
      </c>
      <c r="J486" s="125">
        <v>1630361499</v>
      </c>
      <c r="K486" s="125">
        <v>-554075727</v>
      </c>
      <c r="L486" s="125">
        <v>0</v>
      </c>
      <c r="M486" s="125">
        <v>0</v>
      </c>
      <c r="N486" s="247"/>
      <c r="O486" s="247"/>
    </row>
    <row r="487" spans="1:15" s="145" customFormat="1" ht="15.75">
      <c r="A487" s="255"/>
      <c r="B487" s="256"/>
      <c r="C487" s="72"/>
      <c r="D487" s="125">
        <v>0</v>
      </c>
      <c r="E487" s="125">
        <v>0</v>
      </c>
      <c r="F487" s="125">
        <v>0</v>
      </c>
      <c r="G487" s="247"/>
      <c r="H487" s="125"/>
      <c r="I487" s="125">
        <v>0</v>
      </c>
      <c r="J487" s="125">
        <v>0</v>
      </c>
      <c r="K487" s="125">
        <v>0</v>
      </c>
      <c r="L487" s="125">
        <v>0</v>
      </c>
      <c r="M487" s="125">
        <v>0</v>
      </c>
      <c r="N487" s="247"/>
      <c r="O487" s="247"/>
    </row>
    <row r="488" spans="1:15" s="145" customFormat="1" ht="15.75">
      <c r="A488" s="77" t="s">
        <v>3431</v>
      </c>
      <c r="B488" s="136" t="s">
        <v>5738</v>
      </c>
      <c r="C488" s="72"/>
      <c r="D488" s="125">
        <v>29821571545</v>
      </c>
      <c r="E488" s="125">
        <v>33257589169</v>
      </c>
      <c r="F488" s="125">
        <v>40373334580</v>
      </c>
      <c r="G488" s="247"/>
      <c r="H488" s="125"/>
      <c r="I488" s="125">
        <v>57480009800</v>
      </c>
      <c r="J488" s="125">
        <v>57480009800</v>
      </c>
      <c r="K488" s="125">
        <v>56000000000</v>
      </c>
      <c r="L488" s="125">
        <v>0</v>
      </c>
      <c r="M488" s="125">
        <v>0</v>
      </c>
      <c r="N488" s="123"/>
      <c r="O488" s="123"/>
    </row>
    <row r="489" spans="1:15" s="145" customFormat="1" ht="11.25">
      <c r="B489" s="144"/>
      <c r="C489" s="72"/>
      <c r="D489" s="157"/>
      <c r="E489" s="157"/>
      <c r="F489" s="157"/>
      <c r="G489" s="157"/>
      <c r="H489" s="157"/>
      <c r="I489" s="157"/>
      <c r="J489" s="157"/>
      <c r="K489" s="157"/>
      <c r="L489" s="157"/>
      <c r="M489" s="157"/>
      <c r="N489" s="157"/>
      <c r="O489" s="157"/>
    </row>
    <row r="490" spans="1:15" s="145" customFormat="1" ht="11.25">
      <c r="B490" s="144"/>
      <c r="C490" s="72"/>
      <c r="D490" s="157"/>
      <c r="E490" s="157"/>
      <c r="F490" s="157"/>
      <c r="G490" s="157"/>
      <c r="H490" s="157"/>
      <c r="I490" s="157"/>
      <c r="J490" s="157"/>
      <c r="K490" s="157"/>
      <c r="L490" s="157"/>
      <c r="M490" s="157"/>
      <c r="N490" s="157"/>
      <c r="O490" s="157"/>
    </row>
    <row r="491" spans="1:15" s="145" customFormat="1" ht="11.25">
      <c r="B491" s="144"/>
      <c r="D491" s="157"/>
      <c r="E491" s="157"/>
      <c r="F491" s="157"/>
      <c r="G491" s="157"/>
      <c r="H491" s="157"/>
      <c r="I491" s="157"/>
      <c r="J491" s="157"/>
      <c r="K491" s="157"/>
      <c r="L491" s="157"/>
      <c r="M491" s="157"/>
      <c r="N491" s="157"/>
      <c r="O491" s="157"/>
    </row>
    <row r="492" spans="1:15" s="145" customFormat="1" ht="11.25">
      <c r="B492" s="144"/>
      <c r="D492" s="157"/>
      <c r="E492" s="157"/>
      <c r="F492" s="157"/>
      <c r="G492" s="157"/>
      <c r="H492" s="157"/>
      <c r="I492" s="157"/>
      <c r="J492" s="157"/>
      <c r="K492" s="157"/>
      <c r="L492" s="157"/>
      <c r="M492" s="157"/>
      <c r="N492" s="157"/>
      <c r="O492" s="157"/>
    </row>
  </sheetData>
  <mergeCells count="18">
    <mergeCell ref="B2:B5"/>
    <mergeCell ref="D2:H2"/>
    <mergeCell ref="N2:O4"/>
    <mergeCell ref="A1:G1"/>
    <mergeCell ref="H1:O1"/>
    <mergeCell ref="I3:I5"/>
    <mergeCell ref="J3:J5"/>
    <mergeCell ref="K3:K5"/>
    <mergeCell ref="L3:L5"/>
    <mergeCell ref="M3:M5"/>
    <mergeCell ref="I2:J2"/>
    <mergeCell ref="K2:M2"/>
    <mergeCell ref="D3:D5"/>
    <mergeCell ref="E3:E5"/>
    <mergeCell ref="F3:F5"/>
    <mergeCell ref="G3:G5"/>
    <mergeCell ref="H3:H5"/>
    <mergeCell ref="A2:A5"/>
  </mergeCells>
  <phoneticPr fontId="8" type="noConversion"/>
  <printOptions horizontalCentered="1" gridLines="1" gridLinesSet="0"/>
  <pageMargins left="0.5" right="0.5" top="0.7" bottom="1.5" header="0.5" footer="0.5"/>
  <pageSetup paperSize="5" firstPageNumber="8" pageOrder="overThenDown" orientation="portrait" blackAndWhite="1" useFirstPageNumber="1" r:id="rId1"/>
  <headerFooter alignWithMargins="0">
    <oddHeader>&amp;C&amp;P</oddHeader>
  </headerFooter>
  <rowBreaks count="9" manualBreakCount="9">
    <brk id="56" max="20" man="1"/>
    <brk id="107" max="20" man="1"/>
    <brk id="159" max="20" man="1"/>
    <brk id="211" max="20" man="1"/>
    <brk id="255" max="20" man="1"/>
    <brk id="300" max="20" man="1"/>
    <brk id="353" max="20" man="1"/>
    <brk id="406" max="20" man="1"/>
    <brk id="460"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4" codeName="Sheet10">
    <tabColor indexed="45"/>
  </sheetPr>
  <dimension ref="A1:I2630"/>
  <sheetViews>
    <sheetView showZeros="0" zoomScaleNormal="100" zoomScaleSheetLayoutView="100" workbookViewId="0">
      <pane ySplit="3" topLeftCell="A4" activePane="bottomLeft" state="frozen"/>
      <selection activeCell="A6" sqref="A6"/>
      <selection pane="bottomLeft" activeCell="A4" sqref="A4"/>
    </sheetView>
  </sheetViews>
  <sheetFormatPr defaultColWidth="9.33203125" defaultRowHeight="12"/>
  <cols>
    <col min="1" max="1" width="28.83203125" style="66" customWidth="1"/>
    <col min="2" max="2" width="28.83203125" style="103" hidden="1" customWidth="1"/>
    <col min="3" max="3" width="11.83203125" style="64" customWidth="1"/>
    <col min="4" max="4" width="3.33203125" style="69" customWidth="1"/>
    <col min="5" max="9" width="15.33203125" style="66" customWidth="1"/>
    <col min="10" max="36" width="11.33203125" style="64" customWidth="1"/>
    <col min="37" max="16384" width="9.33203125" style="64"/>
  </cols>
  <sheetData>
    <row r="1" spans="1:9" ht="15.75">
      <c r="A1" s="306" t="s">
        <v>2072</v>
      </c>
      <c r="B1" s="306"/>
      <c r="C1" s="306"/>
      <c r="D1" s="306"/>
      <c r="E1" s="306"/>
      <c r="F1" s="306"/>
      <c r="G1" s="306"/>
      <c r="H1" s="306"/>
      <c r="I1" s="306"/>
    </row>
    <row r="2" spans="1:9" ht="15.75">
      <c r="A2" s="309" t="s">
        <v>2071</v>
      </c>
      <c r="B2" s="311" t="s">
        <v>924</v>
      </c>
      <c r="C2" s="313" t="s">
        <v>234</v>
      </c>
      <c r="D2" s="313"/>
      <c r="E2" s="307" t="s">
        <v>2073</v>
      </c>
      <c r="F2" s="307"/>
      <c r="G2" s="307"/>
      <c r="H2" s="308" t="s">
        <v>13059</v>
      </c>
      <c r="I2" s="308" t="s">
        <v>13060</v>
      </c>
    </row>
    <row r="3" spans="1:9" ht="15.75">
      <c r="A3" s="310"/>
      <c r="B3" s="312"/>
      <c r="C3" s="314"/>
      <c r="D3" s="314"/>
      <c r="E3" s="85" t="s">
        <v>1727</v>
      </c>
      <c r="F3" s="85" t="s">
        <v>2069</v>
      </c>
      <c r="G3" s="85" t="s">
        <v>1762</v>
      </c>
      <c r="H3" s="308"/>
      <c r="I3" s="308"/>
    </row>
    <row r="4" spans="1:9" s="145" customFormat="1" ht="15.75" customHeight="1">
      <c r="A4" s="89"/>
      <c r="B4" s="144"/>
      <c r="E4" s="89"/>
      <c r="F4" s="89"/>
      <c r="G4" s="89"/>
      <c r="H4" s="89"/>
      <c r="I4" s="89"/>
    </row>
    <row r="5" spans="1:9" s="145" customFormat="1" ht="15.75">
      <c r="A5" s="70" t="s">
        <v>2074</v>
      </c>
      <c r="B5" s="105" t="s">
        <v>5773</v>
      </c>
      <c r="C5" s="72"/>
      <c r="D5" s="76"/>
      <c r="E5" s="125">
        <v>0</v>
      </c>
      <c r="F5" s="125">
        <v>0</v>
      </c>
      <c r="G5" s="125">
        <v>0</v>
      </c>
      <c r="H5" s="125">
        <v>0</v>
      </c>
      <c r="I5" s="125">
        <v>0</v>
      </c>
    </row>
    <row r="6" spans="1:9" s="145" customFormat="1" ht="15.75">
      <c r="A6" s="70" t="s">
        <v>2075</v>
      </c>
      <c r="B6" s="105" t="s">
        <v>5774</v>
      </c>
      <c r="C6" s="72"/>
      <c r="D6" s="76"/>
      <c r="E6" s="125">
        <v>0</v>
      </c>
      <c r="F6" s="125">
        <v>0</v>
      </c>
      <c r="G6" s="125">
        <v>0</v>
      </c>
      <c r="H6" s="125">
        <v>0</v>
      </c>
      <c r="I6" s="125">
        <v>0</v>
      </c>
    </row>
    <row r="7" spans="1:9" s="145" customFormat="1" ht="15.75">
      <c r="A7" s="70" t="s">
        <v>2076</v>
      </c>
      <c r="B7" s="105" t="s">
        <v>5775</v>
      </c>
      <c r="C7" s="72"/>
      <c r="D7" s="76"/>
      <c r="E7" s="125">
        <v>0</v>
      </c>
      <c r="F7" s="125">
        <v>0</v>
      </c>
      <c r="G7" s="125">
        <v>0</v>
      </c>
      <c r="H7" s="125">
        <v>0</v>
      </c>
      <c r="I7" s="125">
        <v>0</v>
      </c>
    </row>
    <row r="8" spans="1:9" s="145" customFormat="1" ht="47.25">
      <c r="A8" s="70" t="s">
        <v>2077</v>
      </c>
      <c r="B8" s="105" t="s">
        <v>5776</v>
      </c>
      <c r="C8" s="72" t="s">
        <v>168</v>
      </c>
      <c r="D8" s="76"/>
      <c r="E8" s="125">
        <v>1031198</v>
      </c>
      <c r="F8" s="125">
        <v>1101057</v>
      </c>
      <c r="G8" s="125">
        <v>1191964</v>
      </c>
      <c r="H8" s="125">
        <v>1500000</v>
      </c>
      <c r="I8" s="125">
        <v>2000000</v>
      </c>
    </row>
    <row r="9" spans="1:9" s="145" customFormat="1" ht="15.75">
      <c r="A9" s="70" t="s">
        <v>2078</v>
      </c>
      <c r="B9" s="105" t="s">
        <v>5777</v>
      </c>
      <c r="C9" s="72" t="s">
        <v>165</v>
      </c>
      <c r="D9" s="76"/>
      <c r="E9" s="125">
        <v>31853678</v>
      </c>
      <c r="F9" s="125">
        <v>33475150</v>
      </c>
      <c r="G9" s="125">
        <v>35806543</v>
      </c>
      <c r="H9" s="125">
        <v>42500000</v>
      </c>
      <c r="I9" s="125">
        <v>45000000</v>
      </c>
    </row>
    <row r="10" spans="1:9" s="145" customFormat="1" ht="15.75">
      <c r="A10" s="70" t="s">
        <v>2079</v>
      </c>
      <c r="B10" s="105" t="s">
        <v>5778</v>
      </c>
      <c r="C10" s="72" t="s">
        <v>166</v>
      </c>
      <c r="D10" s="76"/>
      <c r="E10" s="125">
        <v>7392997</v>
      </c>
      <c r="F10" s="125">
        <v>5578556</v>
      </c>
      <c r="G10" s="125">
        <v>5089168</v>
      </c>
      <c r="H10" s="125">
        <v>7500000</v>
      </c>
      <c r="I10" s="125">
        <v>10000000</v>
      </c>
    </row>
    <row r="11" spans="1:9" s="145" customFormat="1" ht="15.75">
      <c r="A11" s="70" t="s">
        <v>2080</v>
      </c>
      <c r="B11" s="105" t="s">
        <v>5779</v>
      </c>
      <c r="C11" s="72" t="s">
        <v>167</v>
      </c>
      <c r="D11" s="76"/>
      <c r="E11" s="125">
        <v>793104</v>
      </c>
      <c r="F11" s="125">
        <v>643043</v>
      </c>
      <c r="G11" s="125">
        <v>713127</v>
      </c>
      <c r="H11" s="125">
        <v>2500000</v>
      </c>
      <c r="I11" s="125">
        <v>2000000</v>
      </c>
    </row>
    <row r="12" spans="1:9" s="148" customFormat="1" ht="15.75">
      <c r="A12" s="74" t="s">
        <v>2081</v>
      </c>
      <c r="B12" s="135" t="s">
        <v>5780</v>
      </c>
      <c r="C12" s="146" t="s">
        <v>149</v>
      </c>
      <c r="D12" s="147"/>
      <c r="E12" s="125">
        <v>0</v>
      </c>
      <c r="F12" s="125">
        <v>3362</v>
      </c>
      <c r="G12" s="125">
        <v>35220</v>
      </c>
      <c r="H12" s="125">
        <v>2000000</v>
      </c>
      <c r="I12" s="125">
        <v>1600000</v>
      </c>
    </row>
    <row r="13" spans="1:9" s="145" customFormat="1" ht="15.75">
      <c r="A13" s="70" t="s">
        <v>2082</v>
      </c>
      <c r="B13" s="105" t="s">
        <v>5781</v>
      </c>
      <c r="C13" s="72" t="s">
        <v>150</v>
      </c>
      <c r="D13" s="76"/>
      <c r="E13" s="125">
        <v>150457</v>
      </c>
      <c r="F13" s="125">
        <v>148487</v>
      </c>
      <c r="G13" s="125">
        <v>189830</v>
      </c>
      <c r="H13" s="125">
        <v>200000</v>
      </c>
      <c r="I13" s="125">
        <v>160000</v>
      </c>
    </row>
    <row r="14" spans="1:9" s="145" customFormat="1" ht="15.75">
      <c r="A14" s="70" t="s">
        <v>2083</v>
      </c>
      <c r="B14" s="105" t="s">
        <v>5782</v>
      </c>
      <c r="C14" s="72" t="s">
        <v>151</v>
      </c>
      <c r="D14" s="76"/>
      <c r="E14" s="125">
        <v>297860</v>
      </c>
      <c r="F14" s="125">
        <v>253700</v>
      </c>
      <c r="G14" s="125">
        <v>158700</v>
      </c>
      <c r="H14" s="125">
        <v>500000</v>
      </c>
      <c r="I14" s="125">
        <v>400000</v>
      </c>
    </row>
    <row r="15" spans="1:9" s="145" customFormat="1" ht="47.25">
      <c r="A15" s="70" t="s">
        <v>2084</v>
      </c>
      <c r="B15" s="105" t="s">
        <v>5783</v>
      </c>
      <c r="C15" s="72" t="s">
        <v>425</v>
      </c>
      <c r="D15" s="76"/>
      <c r="E15" s="125">
        <v>0</v>
      </c>
      <c r="F15" s="125">
        <v>1800</v>
      </c>
      <c r="G15" s="125">
        <v>0</v>
      </c>
      <c r="H15" s="125">
        <v>120000</v>
      </c>
      <c r="I15" s="125">
        <v>160000</v>
      </c>
    </row>
    <row r="16" spans="1:9" s="145" customFormat="1" ht="31.5">
      <c r="A16" s="70" t="s">
        <v>2851</v>
      </c>
      <c r="B16" s="105" t="s">
        <v>5784</v>
      </c>
      <c r="C16" s="72" t="s">
        <v>426</v>
      </c>
      <c r="D16" s="76"/>
      <c r="E16" s="125">
        <v>76493</v>
      </c>
      <c r="F16" s="125">
        <v>73480</v>
      </c>
      <c r="G16" s="125">
        <v>46400</v>
      </c>
      <c r="H16" s="125">
        <v>300000</v>
      </c>
      <c r="I16" s="125">
        <v>240000</v>
      </c>
    </row>
    <row r="17" spans="1:9" s="145" customFormat="1" ht="47.25">
      <c r="A17" s="70" t="s">
        <v>2085</v>
      </c>
      <c r="B17" s="105" t="s">
        <v>5785</v>
      </c>
      <c r="C17" s="72" t="s">
        <v>427</v>
      </c>
      <c r="D17" s="76"/>
      <c r="E17" s="125">
        <v>0</v>
      </c>
      <c r="F17" s="125">
        <v>0</v>
      </c>
      <c r="G17" s="125">
        <v>0</v>
      </c>
      <c r="H17" s="125">
        <v>1000</v>
      </c>
      <c r="I17" s="125">
        <v>800</v>
      </c>
    </row>
    <row r="18" spans="1:9" s="145" customFormat="1" ht="31.5">
      <c r="A18" s="70" t="s">
        <v>2086</v>
      </c>
      <c r="B18" s="105" t="s">
        <v>5786</v>
      </c>
      <c r="C18" s="72" t="s">
        <v>428</v>
      </c>
      <c r="D18" s="76"/>
      <c r="E18" s="125">
        <v>0</v>
      </c>
      <c r="F18" s="125">
        <v>0</v>
      </c>
      <c r="G18" s="125">
        <v>0</v>
      </c>
      <c r="H18" s="125">
        <v>5000</v>
      </c>
      <c r="I18" s="125">
        <v>4000</v>
      </c>
    </row>
    <row r="19" spans="1:9" s="145" customFormat="1" ht="15.75">
      <c r="A19" s="70" t="s">
        <v>2087</v>
      </c>
      <c r="B19" s="105" t="s">
        <v>5787</v>
      </c>
      <c r="C19" s="72" t="s">
        <v>429</v>
      </c>
      <c r="D19" s="76"/>
      <c r="E19" s="125">
        <v>150789</v>
      </c>
      <c r="F19" s="125">
        <v>260496</v>
      </c>
      <c r="G19" s="125">
        <v>290981</v>
      </c>
      <c r="H19" s="125">
        <v>200000</v>
      </c>
      <c r="I19" s="125">
        <v>160000</v>
      </c>
    </row>
    <row r="20" spans="1:9" s="145" customFormat="1" ht="15.75">
      <c r="A20" s="70" t="s">
        <v>2088</v>
      </c>
      <c r="B20" s="105" t="s">
        <v>5788</v>
      </c>
      <c r="C20" s="72" t="s">
        <v>430</v>
      </c>
      <c r="D20" s="76"/>
      <c r="E20" s="125">
        <v>129856</v>
      </c>
      <c r="F20" s="125">
        <v>79289</v>
      </c>
      <c r="G20" s="125">
        <v>121566</v>
      </c>
      <c r="H20" s="125">
        <v>60000</v>
      </c>
      <c r="I20" s="125">
        <v>48000</v>
      </c>
    </row>
    <row r="21" spans="1:9" s="145" customFormat="1" ht="31.5">
      <c r="A21" s="70" t="s">
        <v>2089</v>
      </c>
      <c r="B21" s="105" t="s">
        <v>5789</v>
      </c>
      <c r="C21" s="72" t="s">
        <v>431</v>
      </c>
      <c r="D21" s="76"/>
      <c r="E21" s="125">
        <v>20000</v>
      </c>
      <c r="F21" s="125">
        <v>0</v>
      </c>
      <c r="G21" s="125">
        <v>40000</v>
      </c>
      <c r="H21" s="125">
        <v>20000</v>
      </c>
      <c r="I21" s="125">
        <v>16000</v>
      </c>
    </row>
    <row r="22" spans="1:9" s="145" customFormat="1" ht="31.5">
      <c r="A22" s="70" t="s">
        <v>2090</v>
      </c>
      <c r="B22" s="105" t="s">
        <v>5790</v>
      </c>
      <c r="C22" s="72" t="s">
        <v>432</v>
      </c>
      <c r="D22" s="76"/>
      <c r="E22" s="125">
        <v>0</v>
      </c>
      <c r="F22" s="125">
        <v>0</v>
      </c>
      <c r="G22" s="125">
        <v>116070</v>
      </c>
      <c r="H22" s="125">
        <v>60000</v>
      </c>
      <c r="I22" s="125">
        <v>48000</v>
      </c>
    </row>
    <row r="23" spans="1:9" s="145" customFormat="1" ht="15.75">
      <c r="A23" s="70" t="s">
        <v>2091</v>
      </c>
      <c r="B23" s="105" t="s">
        <v>5791</v>
      </c>
      <c r="C23" s="72" t="s">
        <v>433</v>
      </c>
      <c r="D23" s="76"/>
      <c r="E23" s="125">
        <v>12945851</v>
      </c>
      <c r="F23" s="125">
        <v>12962095</v>
      </c>
      <c r="G23" s="125">
        <v>14672799</v>
      </c>
      <c r="H23" s="125">
        <v>15000000</v>
      </c>
      <c r="I23" s="125">
        <v>14000000</v>
      </c>
    </row>
    <row r="24" spans="1:9" s="145" customFormat="1" ht="15.75">
      <c r="A24" s="70" t="s">
        <v>2092</v>
      </c>
      <c r="B24" s="105" t="s">
        <v>5792</v>
      </c>
      <c r="C24" s="72" t="s">
        <v>434</v>
      </c>
      <c r="D24" s="76"/>
      <c r="E24" s="125">
        <v>548319</v>
      </c>
      <c r="F24" s="125">
        <v>421693</v>
      </c>
      <c r="G24" s="125">
        <v>343220</v>
      </c>
      <c r="H24" s="125">
        <v>600000</v>
      </c>
      <c r="I24" s="125">
        <v>480000</v>
      </c>
    </row>
    <row r="25" spans="1:9" s="145" customFormat="1" ht="15.75">
      <c r="A25" s="70" t="s">
        <v>2093</v>
      </c>
      <c r="B25" s="105" t="s">
        <v>5793</v>
      </c>
      <c r="C25" s="72" t="s">
        <v>310</v>
      </c>
      <c r="D25" s="76"/>
      <c r="E25" s="125">
        <v>161217</v>
      </c>
      <c r="F25" s="125">
        <v>202765</v>
      </c>
      <c r="G25" s="125">
        <v>162735</v>
      </c>
      <c r="H25" s="125">
        <v>250000</v>
      </c>
      <c r="I25" s="125">
        <v>200000</v>
      </c>
    </row>
    <row r="26" spans="1:9" s="145" customFormat="1" ht="31.5">
      <c r="A26" s="70" t="s">
        <v>2094</v>
      </c>
      <c r="B26" s="105" t="s">
        <v>5794</v>
      </c>
      <c r="C26" s="72" t="s">
        <v>311</v>
      </c>
      <c r="D26" s="76"/>
      <c r="E26" s="125">
        <v>59238</v>
      </c>
      <c r="F26" s="125">
        <v>72494</v>
      </c>
      <c r="G26" s="125">
        <v>53611</v>
      </c>
      <c r="H26" s="125">
        <v>60000</v>
      </c>
      <c r="I26" s="125">
        <v>48000</v>
      </c>
    </row>
    <row r="27" spans="1:9" s="145" customFormat="1" ht="15.75">
      <c r="A27" s="70" t="s">
        <v>2095</v>
      </c>
      <c r="B27" s="105" t="s">
        <v>5795</v>
      </c>
      <c r="C27" s="72" t="s">
        <v>312</v>
      </c>
      <c r="D27" s="76"/>
      <c r="E27" s="125">
        <v>83794</v>
      </c>
      <c r="F27" s="125">
        <v>61320</v>
      </c>
      <c r="G27" s="125">
        <v>119095</v>
      </c>
      <c r="H27" s="125">
        <v>60000</v>
      </c>
      <c r="I27" s="125">
        <v>48000</v>
      </c>
    </row>
    <row r="28" spans="1:9" s="145" customFormat="1" ht="31.5">
      <c r="A28" s="70" t="s">
        <v>2096</v>
      </c>
      <c r="B28" s="105" t="s">
        <v>5796</v>
      </c>
      <c r="C28" s="72" t="s">
        <v>1055</v>
      </c>
      <c r="D28" s="76"/>
      <c r="E28" s="125">
        <v>41931</v>
      </c>
      <c r="F28" s="125">
        <v>50050</v>
      </c>
      <c r="G28" s="125">
        <v>46615</v>
      </c>
      <c r="H28" s="125">
        <v>60000</v>
      </c>
      <c r="I28" s="125">
        <v>48000</v>
      </c>
    </row>
    <row r="29" spans="1:9" s="145" customFormat="1" ht="31.5">
      <c r="A29" s="70" t="s">
        <v>2097</v>
      </c>
      <c r="B29" s="105" t="s">
        <v>5797</v>
      </c>
      <c r="C29" s="72" t="s">
        <v>1056</v>
      </c>
      <c r="D29" s="76"/>
      <c r="E29" s="125">
        <v>42595</v>
      </c>
      <c r="F29" s="125">
        <v>41700</v>
      </c>
      <c r="G29" s="125">
        <v>18395</v>
      </c>
      <c r="H29" s="125">
        <v>60000</v>
      </c>
      <c r="I29" s="125">
        <v>48000</v>
      </c>
    </row>
    <row r="30" spans="1:9" s="145" customFormat="1" ht="31.5">
      <c r="A30" s="70" t="s">
        <v>2098</v>
      </c>
      <c r="B30" s="105" t="s">
        <v>5798</v>
      </c>
      <c r="C30" s="72" t="s">
        <v>313</v>
      </c>
      <c r="D30" s="76"/>
      <c r="E30" s="125">
        <v>127360</v>
      </c>
      <c r="F30" s="125">
        <v>74220</v>
      </c>
      <c r="G30" s="125">
        <v>98180</v>
      </c>
      <c r="H30" s="125">
        <v>300000</v>
      </c>
      <c r="I30" s="125">
        <v>240000</v>
      </c>
    </row>
    <row r="31" spans="1:9" s="145" customFormat="1" ht="31.5">
      <c r="A31" s="70" t="s">
        <v>2099</v>
      </c>
      <c r="B31" s="105" t="s">
        <v>5799</v>
      </c>
      <c r="C31" s="72" t="s">
        <v>314</v>
      </c>
      <c r="D31" s="76"/>
      <c r="E31" s="125">
        <v>10978</v>
      </c>
      <c r="F31" s="125">
        <v>5645</v>
      </c>
      <c r="G31" s="125">
        <v>2490</v>
      </c>
      <c r="H31" s="125">
        <v>15000</v>
      </c>
      <c r="I31" s="125">
        <v>12000</v>
      </c>
    </row>
    <row r="32" spans="1:9" s="145" customFormat="1" ht="31.5">
      <c r="A32" s="70" t="s">
        <v>2100</v>
      </c>
      <c r="B32" s="105" t="s">
        <v>5800</v>
      </c>
      <c r="C32" s="72" t="s">
        <v>714</v>
      </c>
      <c r="D32" s="76"/>
      <c r="E32" s="125">
        <v>14742</v>
      </c>
      <c r="F32" s="125">
        <v>12445</v>
      </c>
      <c r="G32" s="125">
        <v>2220</v>
      </c>
      <c r="H32" s="125">
        <v>15000</v>
      </c>
      <c r="I32" s="125">
        <v>12000</v>
      </c>
    </row>
    <row r="33" spans="1:9" s="145" customFormat="1" ht="31.5">
      <c r="A33" s="70" t="s">
        <v>2101</v>
      </c>
      <c r="B33" s="105" t="s">
        <v>5801</v>
      </c>
      <c r="C33" s="72" t="s">
        <v>715</v>
      </c>
      <c r="D33" s="76"/>
      <c r="E33" s="125">
        <v>14246</v>
      </c>
      <c r="F33" s="125">
        <v>7800</v>
      </c>
      <c r="G33" s="125">
        <v>0</v>
      </c>
      <c r="H33" s="125">
        <v>15000</v>
      </c>
      <c r="I33" s="125">
        <v>12000</v>
      </c>
    </row>
    <row r="34" spans="1:9" s="145" customFormat="1" ht="31.5">
      <c r="A34" s="70" t="s">
        <v>2102</v>
      </c>
      <c r="B34" s="105" t="s">
        <v>5802</v>
      </c>
      <c r="C34" s="72" t="s">
        <v>716</v>
      </c>
      <c r="D34" s="76"/>
      <c r="E34" s="125">
        <v>24777</v>
      </c>
      <c r="F34" s="125">
        <v>20510</v>
      </c>
      <c r="G34" s="125">
        <v>9711</v>
      </c>
      <c r="H34" s="125">
        <v>15000</v>
      </c>
      <c r="I34" s="125">
        <v>12000</v>
      </c>
    </row>
    <row r="35" spans="1:9" s="145" customFormat="1" ht="31.5">
      <c r="A35" s="70" t="s">
        <v>2103</v>
      </c>
      <c r="B35" s="105" t="s">
        <v>5803</v>
      </c>
      <c r="C35" s="72" t="s">
        <v>717</v>
      </c>
      <c r="D35" s="76"/>
      <c r="E35" s="125">
        <v>199665</v>
      </c>
      <c r="F35" s="125">
        <v>167700</v>
      </c>
      <c r="G35" s="125">
        <v>154631</v>
      </c>
      <c r="H35" s="125">
        <v>200000</v>
      </c>
      <c r="I35" s="125">
        <v>160000</v>
      </c>
    </row>
    <row r="36" spans="1:9" s="145" customFormat="1" ht="15.75">
      <c r="A36" s="70" t="s">
        <v>2104</v>
      </c>
      <c r="B36" s="105" t="s">
        <v>5804</v>
      </c>
      <c r="C36" s="72" t="s">
        <v>718</v>
      </c>
      <c r="D36" s="76"/>
      <c r="E36" s="125">
        <v>30000</v>
      </c>
      <c r="F36" s="125">
        <v>0</v>
      </c>
      <c r="G36" s="125">
        <v>0</v>
      </c>
      <c r="H36" s="125">
        <v>0</v>
      </c>
      <c r="I36" s="125">
        <v>0</v>
      </c>
    </row>
    <row r="37" spans="1:9" s="145" customFormat="1" ht="31.5">
      <c r="A37" s="70" t="s">
        <v>2105</v>
      </c>
      <c r="B37" s="105" t="s">
        <v>5805</v>
      </c>
      <c r="C37" s="72" t="s">
        <v>719</v>
      </c>
      <c r="D37" s="76"/>
      <c r="E37" s="125">
        <v>0</v>
      </c>
      <c r="F37" s="125">
        <v>0</v>
      </c>
      <c r="G37" s="125">
        <v>0</v>
      </c>
      <c r="H37" s="125">
        <v>25000</v>
      </c>
      <c r="I37" s="125">
        <v>20000</v>
      </c>
    </row>
    <row r="38" spans="1:9" s="145" customFormat="1" ht="47.25">
      <c r="A38" s="70" t="s">
        <v>2106</v>
      </c>
      <c r="B38" s="105" t="s">
        <v>5806</v>
      </c>
      <c r="C38" s="72" t="s">
        <v>720</v>
      </c>
      <c r="D38" s="76"/>
      <c r="E38" s="125">
        <v>0</v>
      </c>
      <c r="F38" s="125">
        <v>0</v>
      </c>
      <c r="G38" s="125">
        <v>0</v>
      </c>
      <c r="H38" s="125">
        <v>1000000</v>
      </c>
      <c r="I38" s="125">
        <v>800000</v>
      </c>
    </row>
    <row r="39" spans="1:9" s="145" customFormat="1" ht="31.5">
      <c r="A39" s="70" t="s">
        <v>2107</v>
      </c>
      <c r="B39" s="105" t="s">
        <v>5807</v>
      </c>
      <c r="C39" s="72" t="s">
        <v>721</v>
      </c>
      <c r="D39" s="76"/>
      <c r="E39" s="125">
        <v>0</v>
      </c>
      <c r="F39" s="125">
        <v>0</v>
      </c>
      <c r="G39" s="125">
        <v>0</v>
      </c>
      <c r="H39" s="125">
        <v>5000</v>
      </c>
      <c r="I39" s="125">
        <v>4000</v>
      </c>
    </row>
    <row r="40" spans="1:9" s="145" customFormat="1" ht="31.5">
      <c r="A40" s="70" t="s">
        <v>2108</v>
      </c>
      <c r="B40" s="105" t="s">
        <v>5808</v>
      </c>
      <c r="C40" s="72" t="s">
        <v>789</v>
      </c>
      <c r="D40" s="76"/>
      <c r="E40" s="125">
        <v>0</v>
      </c>
      <c r="F40" s="125">
        <v>0</v>
      </c>
      <c r="G40" s="125">
        <v>0</v>
      </c>
      <c r="H40" s="125">
        <v>100000</v>
      </c>
      <c r="I40" s="125">
        <v>80000</v>
      </c>
    </row>
    <row r="41" spans="1:9" s="145" customFormat="1" ht="15.75">
      <c r="A41" s="70" t="s">
        <v>2109</v>
      </c>
      <c r="B41" s="105" t="s">
        <v>5809</v>
      </c>
      <c r="C41" s="72" t="s">
        <v>722</v>
      </c>
      <c r="D41" s="76"/>
      <c r="E41" s="125">
        <v>0</v>
      </c>
      <c r="F41" s="125">
        <v>0</v>
      </c>
      <c r="G41" s="125">
        <v>0</v>
      </c>
      <c r="H41" s="125">
        <v>100000</v>
      </c>
      <c r="I41" s="125">
        <v>80000</v>
      </c>
    </row>
    <row r="42" spans="1:9" s="145" customFormat="1" ht="47.25">
      <c r="A42" s="70" t="s">
        <v>2110</v>
      </c>
      <c r="B42" s="105" t="s">
        <v>5810</v>
      </c>
      <c r="C42" s="72" t="s">
        <v>159</v>
      </c>
      <c r="D42" s="76"/>
      <c r="E42" s="125">
        <v>21906</v>
      </c>
      <c r="F42" s="125">
        <v>132790</v>
      </c>
      <c r="G42" s="125">
        <v>60180</v>
      </c>
      <c r="H42" s="125">
        <v>2000000</v>
      </c>
      <c r="I42" s="125">
        <v>1600000</v>
      </c>
    </row>
    <row r="43" spans="1:9" s="145" customFormat="1" ht="15.75">
      <c r="A43" s="70" t="s">
        <v>2116</v>
      </c>
      <c r="B43" s="105" t="s">
        <v>5811</v>
      </c>
      <c r="C43" s="72" t="s">
        <v>1386</v>
      </c>
      <c r="D43" s="76"/>
      <c r="E43" s="125">
        <v>60000</v>
      </c>
      <c r="F43" s="125">
        <v>0</v>
      </c>
      <c r="G43" s="125">
        <v>0</v>
      </c>
      <c r="H43" s="125">
        <v>60000</v>
      </c>
      <c r="I43" s="125">
        <v>48000</v>
      </c>
    </row>
    <row r="44" spans="1:9" s="145" customFormat="1" ht="31.5">
      <c r="A44" s="70" t="s">
        <v>2118</v>
      </c>
      <c r="B44" s="105" t="s">
        <v>5812</v>
      </c>
      <c r="C44" s="72" t="s">
        <v>1545</v>
      </c>
      <c r="D44" s="76"/>
      <c r="E44" s="125">
        <v>0</v>
      </c>
      <c r="F44" s="125">
        <v>1215133</v>
      </c>
      <c r="G44" s="125">
        <v>544028</v>
      </c>
      <c r="H44" s="125">
        <v>5000000</v>
      </c>
      <c r="I44" s="125">
        <v>4000000</v>
      </c>
    </row>
    <row r="45" spans="1:9" s="145" customFormat="1" ht="47.25">
      <c r="A45" s="70" t="s">
        <v>2119</v>
      </c>
      <c r="B45" s="105" t="s">
        <v>5813</v>
      </c>
      <c r="C45" s="72" t="s">
        <v>1657</v>
      </c>
      <c r="D45" s="76"/>
      <c r="E45" s="125">
        <v>0</v>
      </c>
      <c r="F45" s="125">
        <v>0</v>
      </c>
      <c r="G45" s="125">
        <v>3672000</v>
      </c>
      <c r="H45" s="125">
        <v>5000000</v>
      </c>
      <c r="I45" s="125">
        <v>4000000</v>
      </c>
    </row>
    <row r="46" spans="1:9" s="145" customFormat="1" ht="47.25">
      <c r="A46" s="70" t="s">
        <v>2861</v>
      </c>
      <c r="B46" s="105" t="s">
        <v>5814</v>
      </c>
      <c r="C46" s="72" t="s">
        <v>1785</v>
      </c>
      <c r="D46" s="76"/>
      <c r="E46" s="125">
        <v>0</v>
      </c>
      <c r="F46" s="125">
        <v>1793180</v>
      </c>
      <c r="G46" s="125">
        <v>1739895</v>
      </c>
      <c r="H46" s="125">
        <v>2500000</v>
      </c>
      <c r="I46" s="125">
        <v>2500000</v>
      </c>
    </row>
    <row r="47" spans="1:9" s="145" customFormat="1" ht="31.5">
      <c r="A47" s="70" t="s">
        <v>4250</v>
      </c>
      <c r="B47" s="105" t="s">
        <v>5815</v>
      </c>
      <c r="C47" s="72" t="s">
        <v>4669</v>
      </c>
      <c r="D47" s="76"/>
      <c r="E47" s="125">
        <v>0</v>
      </c>
      <c r="F47" s="125">
        <v>0</v>
      </c>
      <c r="G47" s="125">
        <v>712000</v>
      </c>
      <c r="H47" s="125">
        <v>500000</v>
      </c>
      <c r="I47" s="125">
        <v>0</v>
      </c>
    </row>
    <row r="48" spans="1:9" s="145" customFormat="1" ht="31.5">
      <c r="A48" s="70" t="s">
        <v>10438</v>
      </c>
      <c r="B48" s="105" t="s">
        <v>5816</v>
      </c>
      <c r="C48" s="72" t="s">
        <v>4670</v>
      </c>
      <c r="D48" s="76"/>
      <c r="E48" s="125">
        <v>645247</v>
      </c>
      <c r="F48" s="125">
        <v>949805</v>
      </c>
      <c r="G48" s="125">
        <v>1299791</v>
      </c>
      <c r="H48" s="125">
        <v>11450000</v>
      </c>
      <c r="I48" s="125">
        <v>2560000</v>
      </c>
    </row>
    <row r="49" spans="1:9" s="145" customFormat="1" ht="47.25">
      <c r="A49" s="70" t="s">
        <v>10439</v>
      </c>
      <c r="B49" s="105" t="s">
        <v>5817</v>
      </c>
      <c r="C49" s="72" t="s">
        <v>4671</v>
      </c>
      <c r="D49" s="76"/>
      <c r="E49" s="125">
        <v>16711457</v>
      </c>
      <c r="F49" s="125">
        <v>5842919</v>
      </c>
      <c r="G49" s="125">
        <v>14371406</v>
      </c>
      <c r="H49" s="125">
        <v>57115000</v>
      </c>
      <c r="I49" s="125">
        <v>9515000</v>
      </c>
    </row>
    <row r="50" spans="1:9" s="145" customFormat="1" ht="31.5">
      <c r="A50" s="70" t="s">
        <v>10440</v>
      </c>
      <c r="B50" s="105" t="s">
        <v>5818</v>
      </c>
      <c r="C50" s="72" t="s">
        <v>4672</v>
      </c>
      <c r="D50" s="76"/>
      <c r="E50" s="125">
        <v>4598403</v>
      </c>
      <c r="F50" s="125">
        <v>4132623</v>
      </c>
      <c r="G50" s="125">
        <v>6366127</v>
      </c>
      <c r="H50" s="125">
        <v>9440000</v>
      </c>
      <c r="I50" s="125">
        <v>14135000</v>
      </c>
    </row>
    <row r="51" spans="1:9" s="145" customFormat="1" ht="15.75">
      <c r="A51" s="70"/>
      <c r="B51" s="105"/>
      <c r="C51" s="72"/>
      <c r="D51" s="76"/>
      <c r="E51" s="125">
        <v>0</v>
      </c>
      <c r="F51" s="125">
        <v>0</v>
      </c>
      <c r="G51" s="125">
        <v>0</v>
      </c>
      <c r="H51" s="125">
        <v>0</v>
      </c>
      <c r="I51" s="125">
        <v>0</v>
      </c>
    </row>
    <row r="52" spans="1:9" s="145" customFormat="1" ht="15.75">
      <c r="A52" s="77" t="s">
        <v>2120</v>
      </c>
      <c r="B52" s="136" t="s">
        <v>5819</v>
      </c>
      <c r="C52" s="72"/>
      <c r="D52" s="76"/>
      <c r="E52" s="125">
        <v>78238158</v>
      </c>
      <c r="F52" s="125">
        <v>69785307</v>
      </c>
      <c r="G52" s="125">
        <v>88248698</v>
      </c>
      <c r="H52" s="125">
        <v>168411000</v>
      </c>
      <c r="I52" s="125">
        <v>116498800</v>
      </c>
    </row>
    <row r="53" spans="1:9" s="145" customFormat="1" ht="15.75">
      <c r="A53" s="70"/>
      <c r="B53" s="105"/>
      <c r="C53" s="72"/>
      <c r="D53" s="76"/>
      <c r="E53" s="125">
        <v>0</v>
      </c>
      <c r="F53" s="125">
        <v>0</v>
      </c>
      <c r="G53" s="125">
        <v>0</v>
      </c>
      <c r="H53" s="125">
        <v>0</v>
      </c>
      <c r="I53" s="125">
        <v>0</v>
      </c>
    </row>
    <row r="54" spans="1:9" s="145" customFormat="1" ht="15.75">
      <c r="A54" s="70" t="s">
        <v>2121</v>
      </c>
      <c r="B54" s="105" t="s">
        <v>5820</v>
      </c>
      <c r="C54" s="72"/>
      <c r="D54" s="76"/>
      <c r="E54" s="125">
        <v>0</v>
      </c>
      <c r="F54" s="125">
        <v>0</v>
      </c>
      <c r="G54" s="125">
        <v>0</v>
      </c>
      <c r="H54" s="125">
        <v>0</v>
      </c>
      <c r="I54" s="125">
        <v>0</v>
      </c>
    </row>
    <row r="55" spans="1:9" s="145" customFormat="1" ht="47.25">
      <c r="A55" s="70" t="s">
        <v>2122</v>
      </c>
      <c r="B55" s="105" t="s">
        <v>5821</v>
      </c>
      <c r="C55" s="72" t="s">
        <v>375</v>
      </c>
      <c r="D55" s="76"/>
      <c r="E55" s="125">
        <v>1600994</v>
      </c>
      <c r="F55" s="125">
        <v>1626729</v>
      </c>
      <c r="G55" s="125">
        <v>1755460</v>
      </c>
      <c r="H55" s="125">
        <v>2200000</v>
      </c>
      <c r="I55" s="125">
        <v>2500000</v>
      </c>
    </row>
    <row r="56" spans="1:9" s="145" customFormat="1" ht="15.75">
      <c r="A56" s="70" t="s">
        <v>2078</v>
      </c>
      <c r="B56" s="105" t="s">
        <v>5777</v>
      </c>
      <c r="C56" s="72" t="s">
        <v>376</v>
      </c>
      <c r="D56" s="76"/>
      <c r="E56" s="125">
        <v>22855648</v>
      </c>
      <c r="F56" s="125">
        <v>24303637</v>
      </c>
      <c r="G56" s="125">
        <v>28145211</v>
      </c>
      <c r="H56" s="125">
        <v>31500000</v>
      </c>
      <c r="I56" s="125">
        <v>35000000</v>
      </c>
    </row>
    <row r="57" spans="1:9" s="145" customFormat="1" ht="15.75">
      <c r="A57" s="70" t="s">
        <v>2123</v>
      </c>
      <c r="B57" s="105" t="s">
        <v>5822</v>
      </c>
      <c r="C57" s="72" t="s">
        <v>519</v>
      </c>
      <c r="D57" s="76"/>
      <c r="E57" s="125">
        <v>153324</v>
      </c>
      <c r="F57" s="125">
        <v>56982</v>
      </c>
      <c r="G57" s="125">
        <v>96249</v>
      </c>
      <c r="H57" s="125">
        <v>300000</v>
      </c>
      <c r="I57" s="125">
        <v>300000</v>
      </c>
    </row>
    <row r="58" spans="1:9" s="145" customFormat="1" ht="15.75">
      <c r="A58" s="70"/>
      <c r="B58" s="105"/>
      <c r="C58" s="72"/>
      <c r="D58" s="76"/>
      <c r="E58" s="125">
        <v>0</v>
      </c>
      <c r="F58" s="125">
        <v>0</v>
      </c>
      <c r="G58" s="125">
        <v>0</v>
      </c>
      <c r="H58" s="125">
        <v>0</v>
      </c>
      <c r="I58" s="125">
        <v>0</v>
      </c>
    </row>
    <row r="59" spans="1:9" s="145" customFormat="1" ht="15.75">
      <c r="A59" s="77" t="s">
        <v>2124</v>
      </c>
      <c r="B59" s="136" t="s">
        <v>5823</v>
      </c>
      <c r="C59" s="72"/>
      <c r="D59" s="76"/>
      <c r="E59" s="125">
        <v>24609966</v>
      </c>
      <c r="F59" s="125">
        <v>25987348</v>
      </c>
      <c r="G59" s="125">
        <v>29996920</v>
      </c>
      <c r="H59" s="125">
        <v>34000000</v>
      </c>
      <c r="I59" s="125">
        <v>37800000</v>
      </c>
    </row>
    <row r="60" spans="1:9" s="145" customFormat="1" ht="15.75">
      <c r="A60" s="70"/>
      <c r="B60" s="105"/>
      <c r="C60" s="72"/>
      <c r="D60" s="76"/>
      <c r="E60" s="125">
        <v>0</v>
      </c>
      <c r="F60" s="125">
        <v>0</v>
      </c>
      <c r="G60" s="125">
        <v>0</v>
      </c>
      <c r="H60" s="125">
        <v>0</v>
      </c>
      <c r="I60" s="125">
        <v>0</v>
      </c>
    </row>
    <row r="61" spans="1:9" s="145" customFormat="1" ht="15.75">
      <c r="A61" s="70" t="s">
        <v>2125</v>
      </c>
      <c r="B61" s="105" t="s">
        <v>5824</v>
      </c>
      <c r="C61" s="72"/>
      <c r="D61" s="76"/>
      <c r="E61" s="125">
        <v>0</v>
      </c>
      <c r="F61" s="125">
        <v>0</v>
      </c>
      <c r="G61" s="125">
        <v>0</v>
      </c>
      <c r="H61" s="125">
        <v>0</v>
      </c>
      <c r="I61" s="125">
        <v>0</v>
      </c>
    </row>
    <row r="62" spans="1:9" s="145" customFormat="1" ht="47.25">
      <c r="A62" s="70" t="s">
        <v>2126</v>
      </c>
      <c r="B62" s="105" t="s">
        <v>5825</v>
      </c>
      <c r="C62" s="72" t="s">
        <v>520</v>
      </c>
      <c r="D62" s="76"/>
      <c r="E62" s="125">
        <v>1488203</v>
      </c>
      <c r="F62" s="125">
        <v>2711973</v>
      </c>
      <c r="G62" s="125">
        <v>1744095</v>
      </c>
      <c r="H62" s="125">
        <v>2500000</v>
      </c>
      <c r="I62" s="125">
        <v>3000000</v>
      </c>
    </row>
    <row r="63" spans="1:9" s="145" customFormat="1" ht="47.25">
      <c r="A63" s="70" t="s">
        <v>2127</v>
      </c>
      <c r="B63" s="105" t="s">
        <v>5826</v>
      </c>
      <c r="C63" s="72" t="s">
        <v>960</v>
      </c>
      <c r="D63" s="76"/>
      <c r="E63" s="125">
        <v>1713176</v>
      </c>
      <c r="F63" s="125">
        <v>1139336</v>
      </c>
      <c r="G63" s="125">
        <v>1051185</v>
      </c>
      <c r="H63" s="125">
        <v>1500000</v>
      </c>
      <c r="I63" s="125">
        <v>2000000</v>
      </c>
    </row>
    <row r="64" spans="1:9" s="145" customFormat="1" ht="15.75">
      <c r="A64" s="70" t="s">
        <v>2128</v>
      </c>
      <c r="B64" s="105" t="s">
        <v>5827</v>
      </c>
      <c r="C64" s="72" t="s">
        <v>1016</v>
      </c>
      <c r="D64" s="76"/>
      <c r="E64" s="125">
        <v>15963608</v>
      </c>
      <c r="F64" s="125">
        <v>16474467</v>
      </c>
      <c r="G64" s="125">
        <v>15941845</v>
      </c>
      <c r="H64" s="125">
        <v>20000000</v>
      </c>
      <c r="I64" s="125">
        <v>30000000</v>
      </c>
    </row>
    <row r="65" spans="1:9" s="145" customFormat="1" ht="15.75">
      <c r="A65" s="70" t="s">
        <v>2129</v>
      </c>
      <c r="B65" s="105" t="s">
        <v>5828</v>
      </c>
      <c r="C65" s="72" t="s">
        <v>1017</v>
      </c>
      <c r="D65" s="76"/>
      <c r="E65" s="125">
        <v>962423</v>
      </c>
      <c r="F65" s="125">
        <v>666868</v>
      </c>
      <c r="G65" s="125">
        <v>1929754</v>
      </c>
      <c r="H65" s="125">
        <v>1275000</v>
      </c>
      <c r="I65" s="125">
        <v>1500000</v>
      </c>
    </row>
    <row r="66" spans="1:9" s="145" customFormat="1" ht="31.5">
      <c r="A66" s="70" t="s">
        <v>2130</v>
      </c>
      <c r="B66" s="105" t="s">
        <v>5829</v>
      </c>
      <c r="C66" s="72" t="s">
        <v>1018</v>
      </c>
      <c r="D66" s="76"/>
      <c r="E66" s="125">
        <v>0</v>
      </c>
      <c r="F66" s="125">
        <v>0</v>
      </c>
      <c r="G66" s="125">
        <v>0</v>
      </c>
      <c r="H66" s="125">
        <v>700000</v>
      </c>
      <c r="I66" s="125">
        <v>560000</v>
      </c>
    </row>
    <row r="67" spans="1:9" s="145" customFormat="1" ht="15.75">
      <c r="A67" s="70"/>
      <c r="B67" s="105"/>
      <c r="C67" s="72"/>
      <c r="D67" s="76"/>
      <c r="E67" s="125">
        <v>0</v>
      </c>
      <c r="F67" s="125">
        <v>0</v>
      </c>
      <c r="G67" s="125">
        <v>0</v>
      </c>
      <c r="H67" s="125">
        <v>0</v>
      </c>
      <c r="I67" s="125">
        <v>0</v>
      </c>
    </row>
    <row r="68" spans="1:9" s="145" customFormat="1" ht="15.75">
      <c r="A68" s="77" t="s">
        <v>2132</v>
      </c>
      <c r="B68" s="136" t="s">
        <v>5830</v>
      </c>
      <c r="C68" s="72"/>
      <c r="D68" s="76"/>
      <c r="E68" s="125">
        <v>20127410</v>
      </c>
      <c r="F68" s="125">
        <v>20992644</v>
      </c>
      <c r="G68" s="125">
        <v>20666879</v>
      </c>
      <c r="H68" s="125">
        <v>25975000</v>
      </c>
      <c r="I68" s="125">
        <v>37060000</v>
      </c>
    </row>
    <row r="69" spans="1:9" s="145" customFormat="1" ht="15.75">
      <c r="A69" s="70"/>
      <c r="B69" s="105"/>
      <c r="C69" s="72"/>
      <c r="D69" s="76"/>
      <c r="E69" s="125">
        <v>0</v>
      </c>
      <c r="F69" s="125">
        <v>0</v>
      </c>
      <c r="G69" s="125">
        <v>0</v>
      </c>
      <c r="H69" s="125">
        <v>0</v>
      </c>
      <c r="I69" s="125">
        <v>0</v>
      </c>
    </row>
    <row r="70" spans="1:9" s="145" customFormat="1" ht="15.75">
      <c r="A70" s="88" t="s">
        <v>2133</v>
      </c>
      <c r="B70" s="105" t="s">
        <v>5831</v>
      </c>
      <c r="C70" s="72"/>
      <c r="D70" s="76"/>
      <c r="E70" s="125">
        <v>0</v>
      </c>
      <c r="F70" s="125">
        <v>0</v>
      </c>
      <c r="G70" s="125">
        <v>0</v>
      </c>
      <c r="H70" s="125">
        <v>0</v>
      </c>
      <c r="I70" s="125">
        <v>0</v>
      </c>
    </row>
    <row r="71" spans="1:9" s="145" customFormat="1" ht="31.5">
      <c r="A71" s="70" t="s">
        <v>2134</v>
      </c>
      <c r="B71" s="105" t="s">
        <v>5832</v>
      </c>
      <c r="C71" s="72" t="s">
        <v>523</v>
      </c>
      <c r="D71" s="76"/>
      <c r="E71" s="125">
        <v>584314</v>
      </c>
      <c r="F71" s="125">
        <v>756064</v>
      </c>
      <c r="G71" s="125">
        <v>945856</v>
      </c>
      <c r="H71" s="125">
        <v>2500000</v>
      </c>
      <c r="I71" s="125">
        <v>3000000</v>
      </c>
    </row>
    <row r="72" spans="1:9" s="145" customFormat="1" ht="15.75">
      <c r="A72" s="70" t="s">
        <v>2078</v>
      </c>
      <c r="B72" s="105" t="s">
        <v>5777</v>
      </c>
      <c r="C72" s="72" t="s">
        <v>524</v>
      </c>
      <c r="D72" s="76"/>
      <c r="E72" s="125">
        <v>8527664</v>
      </c>
      <c r="F72" s="125">
        <v>11116883</v>
      </c>
      <c r="G72" s="125">
        <v>11788340</v>
      </c>
      <c r="H72" s="125">
        <v>12500000</v>
      </c>
      <c r="I72" s="125">
        <v>15000000</v>
      </c>
    </row>
    <row r="73" spans="1:9" s="145" customFormat="1" ht="15.75">
      <c r="A73" s="70" t="s">
        <v>2123</v>
      </c>
      <c r="B73" s="105" t="s">
        <v>5822</v>
      </c>
      <c r="C73" s="72" t="s">
        <v>622</v>
      </c>
      <c r="D73" s="76"/>
      <c r="E73" s="125">
        <v>388780</v>
      </c>
      <c r="F73" s="125">
        <v>129848</v>
      </c>
      <c r="G73" s="125">
        <v>108214</v>
      </c>
      <c r="H73" s="125">
        <v>600000</v>
      </c>
      <c r="I73" s="125">
        <v>700000</v>
      </c>
    </row>
    <row r="74" spans="1:9" s="145" customFormat="1" ht="47.25">
      <c r="A74" s="70" t="s">
        <v>2135</v>
      </c>
      <c r="B74" s="105" t="s">
        <v>5833</v>
      </c>
      <c r="C74" s="72" t="s">
        <v>623</v>
      </c>
      <c r="D74" s="76"/>
      <c r="E74" s="125">
        <v>106076</v>
      </c>
      <c r="F74" s="125">
        <v>63204</v>
      </c>
      <c r="G74" s="125">
        <v>54607</v>
      </c>
      <c r="H74" s="125">
        <v>250000</v>
      </c>
      <c r="I74" s="125">
        <v>240000</v>
      </c>
    </row>
    <row r="75" spans="1:9" s="145" customFormat="1" ht="31.5">
      <c r="A75" s="70" t="s">
        <v>2136</v>
      </c>
      <c r="B75" s="105" t="s">
        <v>5834</v>
      </c>
      <c r="C75" s="72" t="s">
        <v>525</v>
      </c>
      <c r="D75" s="76"/>
      <c r="E75" s="125">
        <v>19332</v>
      </c>
      <c r="F75" s="125">
        <v>15844</v>
      </c>
      <c r="G75" s="125">
        <v>11680</v>
      </c>
      <c r="H75" s="125">
        <v>125000</v>
      </c>
      <c r="I75" s="125">
        <v>160000</v>
      </c>
    </row>
    <row r="76" spans="1:9" s="145" customFormat="1">
      <c r="A76" s="89"/>
      <c r="B76" s="137"/>
      <c r="E76" s="125">
        <v>0</v>
      </c>
      <c r="F76" s="125">
        <v>0</v>
      </c>
      <c r="G76" s="125">
        <v>0</v>
      </c>
      <c r="H76" s="125">
        <v>0</v>
      </c>
      <c r="I76" s="125">
        <v>0</v>
      </c>
    </row>
    <row r="77" spans="1:9" s="145" customFormat="1" ht="31.5">
      <c r="A77" s="77" t="s">
        <v>2137</v>
      </c>
      <c r="B77" s="136" t="s">
        <v>5835</v>
      </c>
      <c r="C77" s="72"/>
      <c r="D77" s="76"/>
      <c r="E77" s="125">
        <v>9626166</v>
      </c>
      <c r="F77" s="125">
        <v>12081843</v>
      </c>
      <c r="G77" s="125">
        <v>12908697</v>
      </c>
      <c r="H77" s="125">
        <v>15975000</v>
      </c>
      <c r="I77" s="125">
        <v>19100000</v>
      </c>
    </row>
    <row r="78" spans="1:9" s="145" customFormat="1" ht="15.75">
      <c r="A78" s="70"/>
      <c r="B78" s="105"/>
      <c r="C78" s="72"/>
      <c r="D78" s="76"/>
      <c r="E78" s="125">
        <v>0</v>
      </c>
      <c r="F78" s="125">
        <v>0</v>
      </c>
      <c r="G78" s="125">
        <v>0</v>
      </c>
      <c r="H78" s="125">
        <v>0</v>
      </c>
      <c r="I78" s="125">
        <v>0</v>
      </c>
    </row>
    <row r="79" spans="1:9" s="145" customFormat="1" ht="15.75">
      <c r="A79" s="88" t="s">
        <v>2138</v>
      </c>
      <c r="B79" s="105" t="s">
        <v>5836</v>
      </c>
      <c r="C79" s="72"/>
      <c r="D79" s="76"/>
      <c r="E79" s="125">
        <v>0</v>
      </c>
      <c r="F79" s="125">
        <v>0</v>
      </c>
      <c r="G79" s="125">
        <v>0</v>
      </c>
      <c r="H79" s="125">
        <v>0</v>
      </c>
      <c r="I79" s="125">
        <v>0</v>
      </c>
    </row>
    <row r="80" spans="1:9" s="145" customFormat="1" ht="31.5">
      <c r="A80" s="70" t="s">
        <v>2139</v>
      </c>
      <c r="B80" s="105" t="s">
        <v>5837</v>
      </c>
      <c r="C80" s="72" t="s">
        <v>526</v>
      </c>
      <c r="D80" s="76"/>
      <c r="E80" s="125">
        <v>0</v>
      </c>
      <c r="F80" s="125">
        <v>0</v>
      </c>
      <c r="G80" s="125">
        <v>156177</v>
      </c>
      <c r="H80" s="125">
        <v>2500000</v>
      </c>
      <c r="I80" s="125">
        <v>3000000</v>
      </c>
    </row>
    <row r="81" spans="1:9" s="145" customFormat="1" ht="15.75">
      <c r="A81" s="70" t="s">
        <v>2078</v>
      </c>
      <c r="B81" s="105" t="s">
        <v>5777</v>
      </c>
      <c r="C81" s="72" t="s">
        <v>527</v>
      </c>
      <c r="D81" s="76"/>
      <c r="E81" s="125">
        <v>4917631</v>
      </c>
      <c r="F81" s="125">
        <v>5670265</v>
      </c>
      <c r="G81" s="125">
        <v>8237117</v>
      </c>
      <c r="H81" s="125">
        <v>8500000</v>
      </c>
      <c r="I81" s="125">
        <v>10000000</v>
      </c>
    </row>
    <row r="82" spans="1:9" s="145" customFormat="1" ht="15.75">
      <c r="A82" s="70" t="s">
        <v>2123</v>
      </c>
      <c r="B82" s="105" t="s">
        <v>5822</v>
      </c>
      <c r="C82" s="72" t="s">
        <v>528</v>
      </c>
      <c r="D82" s="76"/>
      <c r="E82" s="125">
        <v>264856</v>
      </c>
      <c r="F82" s="125">
        <v>101416</v>
      </c>
      <c r="G82" s="125">
        <v>124563</v>
      </c>
      <c r="H82" s="125">
        <v>600000</v>
      </c>
      <c r="I82" s="125">
        <v>700000</v>
      </c>
    </row>
    <row r="83" spans="1:9" s="145" customFormat="1" ht="47.25">
      <c r="A83" s="70" t="s">
        <v>2140</v>
      </c>
      <c r="B83" s="105" t="s">
        <v>5838</v>
      </c>
      <c r="C83" s="72" t="s">
        <v>10</v>
      </c>
      <c r="D83" s="76"/>
      <c r="E83" s="125">
        <v>0</v>
      </c>
      <c r="F83" s="125">
        <v>0</v>
      </c>
      <c r="G83" s="125">
        <v>1400</v>
      </c>
      <c r="H83" s="125">
        <v>85000</v>
      </c>
      <c r="I83" s="125">
        <v>160000</v>
      </c>
    </row>
    <row r="84" spans="1:9" s="145" customFormat="1" ht="45">
      <c r="A84" s="73" t="s">
        <v>2141</v>
      </c>
      <c r="B84" s="105" t="s">
        <v>5839</v>
      </c>
      <c r="C84" s="72" t="s">
        <v>1387</v>
      </c>
      <c r="D84" s="76"/>
      <c r="E84" s="125">
        <v>130800</v>
      </c>
      <c r="F84" s="125">
        <v>0</v>
      </c>
      <c r="G84" s="125">
        <v>0</v>
      </c>
      <c r="H84" s="125">
        <v>170000</v>
      </c>
      <c r="I84" s="125">
        <v>240000</v>
      </c>
    </row>
    <row r="85" spans="1:9" s="145" customFormat="1">
      <c r="A85" s="89"/>
      <c r="B85" s="137"/>
      <c r="E85" s="125">
        <v>0</v>
      </c>
      <c r="F85" s="125">
        <v>0</v>
      </c>
      <c r="G85" s="125">
        <v>0</v>
      </c>
      <c r="H85" s="125">
        <v>0</v>
      </c>
      <c r="I85" s="125">
        <v>0</v>
      </c>
    </row>
    <row r="86" spans="1:9" s="145" customFormat="1" ht="31.5">
      <c r="A86" s="77" t="s">
        <v>2142</v>
      </c>
      <c r="B86" s="136" t="s">
        <v>5840</v>
      </c>
      <c r="C86" s="72"/>
      <c r="D86" s="76"/>
      <c r="E86" s="125">
        <v>5313287</v>
      </c>
      <c r="F86" s="125">
        <v>5771681</v>
      </c>
      <c r="G86" s="125">
        <v>8519257</v>
      </c>
      <c r="H86" s="125">
        <v>11855000</v>
      </c>
      <c r="I86" s="125">
        <v>14100000</v>
      </c>
    </row>
    <row r="87" spans="1:9" s="145" customFormat="1" ht="15.75">
      <c r="A87" s="70"/>
      <c r="B87" s="105"/>
      <c r="C87" s="72"/>
      <c r="D87" s="76"/>
      <c r="E87" s="125">
        <v>0</v>
      </c>
      <c r="F87" s="125">
        <v>0</v>
      </c>
      <c r="G87" s="125">
        <v>0</v>
      </c>
      <c r="H87" s="125">
        <v>0</v>
      </c>
      <c r="I87" s="125">
        <v>0</v>
      </c>
    </row>
    <row r="88" spans="1:9" s="145" customFormat="1" ht="15.75">
      <c r="A88" s="88" t="s">
        <v>2143</v>
      </c>
      <c r="B88" s="105" t="s">
        <v>5841</v>
      </c>
      <c r="C88" s="72"/>
      <c r="D88" s="76"/>
      <c r="E88" s="125">
        <v>0</v>
      </c>
      <c r="F88" s="125">
        <v>0</v>
      </c>
      <c r="G88" s="125">
        <v>0</v>
      </c>
      <c r="H88" s="125">
        <v>0</v>
      </c>
      <c r="I88" s="125">
        <v>0</v>
      </c>
    </row>
    <row r="89" spans="1:9" s="145" customFormat="1" ht="31.5">
      <c r="A89" s="70" t="s">
        <v>2144</v>
      </c>
      <c r="B89" s="105" t="s">
        <v>5842</v>
      </c>
      <c r="C89" s="72" t="s">
        <v>1388</v>
      </c>
      <c r="D89" s="76"/>
      <c r="E89" s="125">
        <v>801819</v>
      </c>
      <c r="F89" s="125">
        <v>836451</v>
      </c>
      <c r="G89" s="125">
        <v>1029923</v>
      </c>
      <c r="H89" s="125">
        <v>3300000</v>
      </c>
      <c r="I89" s="125">
        <v>3000000</v>
      </c>
    </row>
    <row r="90" spans="1:9" s="145" customFormat="1" ht="15.75">
      <c r="A90" s="70" t="s">
        <v>2078</v>
      </c>
      <c r="B90" s="105" t="s">
        <v>5777</v>
      </c>
      <c r="C90" s="72" t="s">
        <v>1389</v>
      </c>
      <c r="D90" s="76"/>
      <c r="E90" s="125">
        <v>0</v>
      </c>
      <c r="F90" s="125">
        <v>0</v>
      </c>
      <c r="G90" s="125">
        <v>7790663</v>
      </c>
      <c r="H90" s="125">
        <v>12500000</v>
      </c>
      <c r="I90" s="125">
        <v>15000000</v>
      </c>
    </row>
    <row r="91" spans="1:9" s="145" customFormat="1" ht="15.75">
      <c r="A91" s="70" t="s">
        <v>2123</v>
      </c>
      <c r="B91" s="105" t="s">
        <v>5822</v>
      </c>
      <c r="C91" s="72" t="s">
        <v>1390</v>
      </c>
      <c r="D91" s="76"/>
      <c r="E91" s="125">
        <v>362260</v>
      </c>
      <c r="F91" s="125">
        <v>167836</v>
      </c>
      <c r="G91" s="125">
        <v>174390</v>
      </c>
      <c r="H91" s="125">
        <v>600000</v>
      </c>
      <c r="I91" s="125">
        <v>700000</v>
      </c>
    </row>
    <row r="92" spans="1:9" s="145" customFormat="1" ht="47.25">
      <c r="A92" s="70" t="s">
        <v>2145</v>
      </c>
      <c r="B92" s="105" t="s">
        <v>5843</v>
      </c>
      <c r="C92" s="72" t="s">
        <v>1391</v>
      </c>
      <c r="D92" s="76"/>
      <c r="E92" s="125">
        <v>3035</v>
      </c>
      <c r="F92" s="125">
        <v>1400</v>
      </c>
      <c r="G92" s="125">
        <v>3560</v>
      </c>
      <c r="H92" s="125">
        <v>100000</v>
      </c>
      <c r="I92" s="125">
        <v>160000</v>
      </c>
    </row>
    <row r="93" spans="1:9" s="145" customFormat="1" ht="31.5">
      <c r="A93" s="77" t="s">
        <v>2146</v>
      </c>
      <c r="B93" s="136" t="s">
        <v>5844</v>
      </c>
      <c r="C93" s="72"/>
      <c r="D93" s="76"/>
      <c r="E93" s="125">
        <v>1167114</v>
      </c>
      <c r="F93" s="125">
        <v>1005687</v>
      </c>
      <c r="G93" s="125">
        <v>8998536</v>
      </c>
      <c r="H93" s="125">
        <v>16500000</v>
      </c>
      <c r="I93" s="125">
        <v>18860000</v>
      </c>
    </row>
    <row r="94" spans="1:9" s="145" customFormat="1" ht="15.75">
      <c r="A94" s="70" t="s">
        <v>2147</v>
      </c>
      <c r="B94" s="105" t="s">
        <v>5845</v>
      </c>
      <c r="C94" s="72"/>
      <c r="D94" s="76"/>
      <c r="E94" s="125">
        <v>0</v>
      </c>
      <c r="F94" s="125">
        <v>0</v>
      </c>
      <c r="G94" s="125">
        <v>0</v>
      </c>
      <c r="H94" s="125">
        <v>0</v>
      </c>
      <c r="I94" s="125">
        <v>0</v>
      </c>
    </row>
    <row r="95" spans="1:9" s="145" customFormat="1" ht="15.75">
      <c r="A95" s="70" t="s">
        <v>2148</v>
      </c>
      <c r="B95" s="105" t="s">
        <v>5777</v>
      </c>
      <c r="C95" s="72" t="s">
        <v>574</v>
      </c>
      <c r="D95" s="76"/>
      <c r="E95" s="125">
        <v>0</v>
      </c>
      <c r="F95" s="125">
        <v>0</v>
      </c>
      <c r="G95" s="125">
        <v>6811234</v>
      </c>
      <c r="H95" s="125">
        <v>12500000</v>
      </c>
      <c r="I95" s="125">
        <v>12500000</v>
      </c>
    </row>
    <row r="96" spans="1:9" s="145" customFormat="1" ht="15.75">
      <c r="A96" s="70" t="s">
        <v>2149</v>
      </c>
      <c r="B96" s="105" t="s">
        <v>5822</v>
      </c>
      <c r="C96" s="72" t="s">
        <v>575</v>
      </c>
      <c r="D96" s="76"/>
      <c r="E96" s="125">
        <v>35166</v>
      </c>
      <c r="F96" s="125">
        <v>28049</v>
      </c>
      <c r="G96" s="125">
        <v>35660</v>
      </c>
      <c r="H96" s="125">
        <v>120000</v>
      </c>
      <c r="I96" s="125">
        <v>200000</v>
      </c>
    </row>
    <row r="97" spans="1:9" s="145" customFormat="1">
      <c r="A97" s="89"/>
      <c r="B97" s="137"/>
      <c r="E97" s="125">
        <v>0</v>
      </c>
      <c r="F97" s="125">
        <v>0</v>
      </c>
      <c r="G97" s="125">
        <v>0</v>
      </c>
      <c r="H97" s="125">
        <v>0</v>
      </c>
      <c r="I97" s="125">
        <v>0</v>
      </c>
    </row>
    <row r="98" spans="1:9" s="145" customFormat="1" ht="15.75">
      <c r="A98" s="77" t="s">
        <v>2150</v>
      </c>
      <c r="B98" s="136" t="s">
        <v>5846</v>
      </c>
      <c r="C98" s="72"/>
      <c r="D98" s="76"/>
      <c r="E98" s="125">
        <v>35166</v>
      </c>
      <c r="F98" s="125">
        <v>28049</v>
      </c>
      <c r="G98" s="125">
        <v>6846894</v>
      </c>
      <c r="H98" s="125">
        <v>12620000</v>
      </c>
      <c r="I98" s="125">
        <v>12700000</v>
      </c>
    </row>
    <row r="99" spans="1:9" s="145" customFormat="1" ht="15.75">
      <c r="A99" s="70"/>
      <c r="B99" s="105"/>
      <c r="C99" s="72"/>
      <c r="D99" s="76"/>
      <c r="E99" s="125">
        <v>0</v>
      </c>
      <c r="F99" s="125">
        <v>0</v>
      </c>
      <c r="G99" s="125">
        <v>0</v>
      </c>
      <c r="H99" s="125">
        <v>0</v>
      </c>
      <c r="I99" s="125">
        <v>0</v>
      </c>
    </row>
    <row r="100" spans="1:9" s="145" customFormat="1" ht="15.75">
      <c r="A100" s="77" t="s">
        <v>2151</v>
      </c>
      <c r="B100" s="136" t="s">
        <v>5847</v>
      </c>
      <c r="C100" s="72"/>
      <c r="D100" s="76"/>
      <c r="E100" s="125">
        <v>36269143</v>
      </c>
      <c r="F100" s="125">
        <v>39879904</v>
      </c>
      <c r="G100" s="125">
        <v>57940263</v>
      </c>
      <c r="H100" s="125">
        <v>82925000</v>
      </c>
      <c r="I100" s="125">
        <v>101820000</v>
      </c>
    </row>
    <row r="101" spans="1:9" s="145" customFormat="1" ht="15.75">
      <c r="A101" s="70"/>
      <c r="B101" s="105"/>
      <c r="C101" s="72"/>
      <c r="D101" s="76"/>
      <c r="E101" s="125">
        <v>0</v>
      </c>
      <c r="F101" s="125">
        <v>0</v>
      </c>
      <c r="G101" s="125">
        <v>0</v>
      </c>
      <c r="H101" s="125">
        <v>0</v>
      </c>
      <c r="I101" s="125">
        <v>0</v>
      </c>
    </row>
    <row r="102" spans="1:9" s="145" customFormat="1" ht="15.75">
      <c r="A102" s="70" t="s">
        <v>2152</v>
      </c>
      <c r="B102" s="105" t="s">
        <v>5848</v>
      </c>
      <c r="C102" s="72"/>
      <c r="D102" s="76"/>
      <c r="E102" s="125">
        <v>0</v>
      </c>
      <c r="F102" s="125">
        <v>0</v>
      </c>
      <c r="G102" s="125">
        <v>0</v>
      </c>
      <c r="H102" s="125">
        <v>0</v>
      </c>
      <c r="I102" s="125">
        <v>0</v>
      </c>
    </row>
    <row r="103" spans="1:9" s="145" customFormat="1" ht="47.25">
      <c r="A103" s="70" t="s">
        <v>2153</v>
      </c>
      <c r="B103" s="105" t="s">
        <v>5849</v>
      </c>
      <c r="C103" s="72" t="s">
        <v>686</v>
      </c>
      <c r="D103" s="76"/>
      <c r="E103" s="125">
        <v>293084</v>
      </c>
      <c r="F103" s="125">
        <v>1031779</v>
      </c>
      <c r="G103" s="125">
        <v>1081781</v>
      </c>
      <c r="H103" s="125">
        <v>2700000</v>
      </c>
      <c r="I103" s="125">
        <v>2000000</v>
      </c>
    </row>
    <row r="104" spans="1:9" s="145" customFormat="1" ht="15.75">
      <c r="A104" s="70" t="s">
        <v>2078</v>
      </c>
      <c r="B104" s="105" t="s">
        <v>5777</v>
      </c>
      <c r="C104" s="72" t="s">
        <v>687</v>
      </c>
      <c r="D104" s="76"/>
      <c r="E104" s="125">
        <v>3794282</v>
      </c>
      <c r="F104" s="125">
        <v>4695065</v>
      </c>
      <c r="G104" s="125">
        <v>5128703</v>
      </c>
      <c r="H104" s="125">
        <v>8000000</v>
      </c>
      <c r="I104" s="125">
        <v>10000000</v>
      </c>
    </row>
    <row r="105" spans="1:9" s="145" customFormat="1" ht="15.75">
      <c r="A105" s="70" t="s">
        <v>2123</v>
      </c>
      <c r="B105" s="105" t="s">
        <v>5822</v>
      </c>
      <c r="C105" s="72" t="s">
        <v>688</v>
      </c>
      <c r="D105" s="76"/>
      <c r="E105" s="125">
        <v>148869</v>
      </c>
      <c r="F105" s="125">
        <v>67522</v>
      </c>
      <c r="G105" s="125">
        <v>106810</v>
      </c>
      <c r="H105" s="125">
        <v>150000</v>
      </c>
      <c r="I105" s="125">
        <v>150000</v>
      </c>
    </row>
    <row r="106" spans="1:9" s="145" customFormat="1">
      <c r="A106" s="89"/>
      <c r="B106" s="137"/>
      <c r="E106" s="125">
        <v>0</v>
      </c>
      <c r="F106" s="125">
        <v>0</v>
      </c>
      <c r="G106" s="125">
        <v>0</v>
      </c>
      <c r="H106" s="125">
        <v>0</v>
      </c>
      <c r="I106" s="125">
        <v>0</v>
      </c>
    </row>
    <row r="107" spans="1:9" s="145" customFormat="1" ht="15.75">
      <c r="A107" s="77" t="s">
        <v>2154</v>
      </c>
      <c r="B107" s="136" t="s">
        <v>5850</v>
      </c>
      <c r="C107" s="72"/>
      <c r="D107" s="76"/>
      <c r="E107" s="125">
        <v>4236235</v>
      </c>
      <c r="F107" s="125">
        <v>5794366</v>
      </c>
      <c r="G107" s="125">
        <v>6317294</v>
      </c>
      <c r="H107" s="125">
        <v>10850000</v>
      </c>
      <c r="I107" s="125">
        <v>12150000</v>
      </c>
    </row>
    <row r="108" spans="1:9" s="145" customFormat="1" ht="15.75">
      <c r="A108" s="70"/>
      <c r="B108" s="105"/>
      <c r="C108" s="72"/>
      <c r="D108" s="76"/>
      <c r="E108" s="125">
        <v>0</v>
      </c>
      <c r="F108" s="125">
        <v>0</v>
      </c>
      <c r="G108" s="125">
        <v>0</v>
      </c>
      <c r="H108" s="125">
        <v>0</v>
      </c>
      <c r="I108" s="125">
        <v>0</v>
      </c>
    </row>
    <row r="109" spans="1:9" s="145" customFormat="1" ht="15.75">
      <c r="A109" s="88" t="s">
        <v>4308</v>
      </c>
      <c r="B109" s="105" t="s">
        <v>5851</v>
      </c>
      <c r="C109" s="72"/>
      <c r="D109" s="76"/>
      <c r="E109" s="125">
        <v>0</v>
      </c>
      <c r="F109" s="125">
        <v>0</v>
      </c>
      <c r="G109" s="125">
        <v>0</v>
      </c>
      <c r="H109" s="125">
        <v>0</v>
      </c>
      <c r="I109" s="125">
        <v>0</v>
      </c>
    </row>
    <row r="110" spans="1:9" s="145" customFormat="1" ht="15.75">
      <c r="A110" s="70" t="s">
        <v>4309</v>
      </c>
      <c r="B110" s="105" t="s">
        <v>5852</v>
      </c>
      <c r="C110" s="72" t="s">
        <v>4814</v>
      </c>
      <c r="D110" s="76"/>
      <c r="E110" s="125">
        <v>0</v>
      </c>
      <c r="F110" s="125">
        <v>0</v>
      </c>
      <c r="G110" s="125">
        <v>0</v>
      </c>
      <c r="H110" s="125">
        <v>1500000</v>
      </c>
      <c r="I110" s="125">
        <v>1500000</v>
      </c>
    </row>
    <row r="111" spans="1:9" s="145" customFormat="1" ht="15.75">
      <c r="A111" s="70"/>
      <c r="B111" s="105"/>
      <c r="C111" s="72"/>
      <c r="D111" s="76"/>
      <c r="E111" s="125">
        <v>0</v>
      </c>
      <c r="F111" s="125">
        <v>0</v>
      </c>
      <c r="G111" s="125">
        <v>0</v>
      </c>
      <c r="H111" s="125">
        <v>0</v>
      </c>
      <c r="I111" s="125">
        <v>0</v>
      </c>
    </row>
    <row r="112" spans="1:9" s="145" customFormat="1" ht="31.5">
      <c r="A112" s="77" t="s">
        <v>4310</v>
      </c>
      <c r="B112" s="136" t="s">
        <v>5853</v>
      </c>
      <c r="C112" s="72"/>
      <c r="D112" s="76"/>
      <c r="E112" s="125">
        <v>0</v>
      </c>
      <c r="F112" s="125">
        <v>0</v>
      </c>
      <c r="G112" s="125">
        <v>0</v>
      </c>
      <c r="H112" s="125">
        <v>1500000</v>
      </c>
      <c r="I112" s="125">
        <v>1500000</v>
      </c>
    </row>
    <row r="113" spans="1:9" s="145" customFormat="1" ht="15.75">
      <c r="A113" s="70"/>
      <c r="B113" s="105"/>
      <c r="C113" s="72"/>
      <c r="D113" s="76"/>
      <c r="E113" s="125">
        <v>0</v>
      </c>
      <c r="F113" s="125">
        <v>0</v>
      </c>
      <c r="G113" s="125">
        <v>0</v>
      </c>
      <c r="H113" s="125">
        <v>0</v>
      </c>
      <c r="I113" s="125">
        <v>0</v>
      </c>
    </row>
    <row r="114" spans="1:9" s="145" customFormat="1" ht="15.75">
      <c r="A114" s="70" t="s">
        <v>2155</v>
      </c>
      <c r="B114" s="105" t="s">
        <v>5854</v>
      </c>
      <c r="C114" s="72"/>
      <c r="D114" s="76"/>
      <c r="E114" s="125">
        <v>0</v>
      </c>
      <c r="F114" s="125">
        <v>0</v>
      </c>
      <c r="G114" s="125">
        <v>0</v>
      </c>
      <c r="H114" s="125">
        <v>0</v>
      </c>
      <c r="I114" s="125">
        <v>0</v>
      </c>
    </row>
    <row r="115" spans="1:9" s="145" customFormat="1" ht="15.75">
      <c r="A115" s="70" t="s">
        <v>2148</v>
      </c>
      <c r="B115" s="105" t="s">
        <v>5855</v>
      </c>
      <c r="C115" s="72" t="s">
        <v>689</v>
      </c>
      <c r="D115" s="76"/>
      <c r="E115" s="125">
        <v>13467017</v>
      </c>
      <c r="F115" s="125">
        <v>14462421</v>
      </c>
      <c r="G115" s="125">
        <v>23459179</v>
      </c>
      <c r="H115" s="125">
        <v>25000000</v>
      </c>
      <c r="I115" s="125">
        <v>30000000</v>
      </c>
    </row>
    <row r="116" spans="1:9" s="145" customFormat="1" ht="15.75">
      <c r="A116" s="70" t="s">
        <v>2149</v>
      </c>
      <c r="B116" s="105" t="s">
        <v>5856</v>
      </c>
      <c r="C116" s="72" t="s">
        <v>690</v>
      </c>
      <c r="D116" s="76"/>
      <c r="E116" s="125">
        <v>394330</v>
      </c>
      <c r="F116" s="125">
        <v>287881</v>
      </c>
      <c r="G116" s="125">
        <v>343005</v>
      </c>
      <c r="H116" s="125">
        <v>500000</v>
      </c>
      <c r="I116" s="125">
        <v>500000</v>
      </c>
    </row>
    <row r="117" spans="1:9" s="145" customFormat="1" ht="31.5">
      <c r="A117" s="70" t="s">
        <v>2156</v>
      </c>
      <c r="B117" s="105" t="s">
        <v>5857</v>
      </c>
      <c r="C117" s="72" t="s">
        <v>1114</v>
      </c>
      <c r="D117" s="76"/>
      <c r="E117" s="125">
        <v>238517</v>
      </c>
      <c r="F117" s="125">
        <v>105074</v>
      </c>
      <c r="G117" s="125">
        <v>0</v>
      </c>
      <c r="H117" s="125">
        <v>0</v>
      </c>
      <c r="I117" s="125">
        <v>4000000</v>
      </c>
    </row>
    <row r="118" spans="1:9" s="145" customFormat="1" ht="31.5">
      <c r="A118" s="70" t="s">
        <v>2157</v>
      </c>
      <c r="B118" s="105" t="s">
        <v>5858</v>
      </c>
      <c r="C118" s="72" t="s">
        <v>1115</v>
      </c>
      <c r="D118" s="76"/>
      <c r="E118" s="125">
        <v>459732</v>
      </c>
      <c r="F118" s="125">
        <v>0</v>
      </c>
      <c r="G118" s="125">
        <v>0</v>
      </c>
      <c r="H118" s="125">
        <v>1020000</v>
      </c>
      <c r="I118" s="125">
        <v>800000</v>
      </c>
    </row>
    <row r="119" spans="1:9" s="145" customFormat="1" ht="31.5">
      <c r="A119" s="70" t="s">
        <v>2158</v>
      </c>
      <c r="B119" s="105" t="s">
        <v>5859</v>
      </c>
      <c r="C119" s="72" t="s">
        <v>1116</v>
      </c>
      <c r="D119" s="76"/>
      <c r="E119" s="125">
        <v>155752</v>
      </c>
      <c r="F119" s="125">
        <v>304943</v>
      </c>
      <c r="G119" s="125">
        <v>551627</v>
      </c>
      <c r="H119" s="125">
        <v>2000000</v>
      </c>
      <c r="I119" s="125">
        <v>4000000</v>
      </c>
    </row>
    <row r="120" spans="1:9" s="145" customFormat="1" ht="31.5">
      <c r="A120" s="70" t="s">
        <v>2159</v>
      </c>
      <c r="B120" s="105" t="s">
        <v>5860</v>
      </c>
      <c r="C120" s="72" t="s">
        <v>1117</v>
      </c>
      <c r="D120" s="76"/>
      <c r="E120" s="125">
        <v>5000000</v>
      </c>
      <c r="F120" s="125">
        <v>0</v>
      </c>
      <c r="G120" s="125">
        <v>1388036</v>
      </c>
      <c r="H120" s="125">
        <v>10000000</v>
      </c>
      <c r="I120" s="125">
        <v>8000000</v>
      </c>
    </row>
    <row r="121" spans="1:9" s="145" customFormat="1" ht="15.75">
      <c r="A121" s="70" t="s">
        <v>2160</v>
      </c>
      <c r="B121" s="105" t="s">
        <v>5861</v>
      </c>
      <c r="C121" s="72" t="s">
        <v>1297</v>
      </c>
      <c r="D121" s="76"/>
      <c r="E121" s="125">
        <v>0</v>
      </c>
      <c r="F121" s="125">
        <v>0</v>
      </c>
      <c r="G121" s="125">
        <v>0</v>
      </c>
      <c r="H121" s="125">
        <v>1000000</v>
      </c>
      <c r="I121" s="125">
        <v>800000</v>
      </c>
    </row>
    <row r="122" spans="1:9" s="145" customFormat="1">
      <c r="A122" s="89"/>
      <c r="B122" s="137"/>
      <c r="E122" s="125">
        <v>0</v>
      </c>
      <c r="F122" s="125">
        <v>0</v>
      </c>
      <c r="G122" s="125">
        <v>0</v>
      </c>
      <c r="H122" s="125">
        <v>0</v>
      </c>
      <c r="I122" s="125">
        <v>0</v>
      </c>
    </row>
    <row r="123" spans="1:9" s="145" customFormat="1" ht="15.75">
      <c r="A123" s="77" t="s">
        <v>2161</v>
      </c>
      <c r="B123" s="136" t="s">
        <v>5862</v>
      </c>
      <c r="C123" s="72"/>
      <c r="D123" s="76"/>
      <c r="E123" s="125">
        <v>19715348</v>
      </c>
      <c r="F123" s="125">
        <v>15160319</v>
      </c>
      <c r="G123" s="125">
        <v>25741847</v>
      </c>
      <c r="H123" s="125">
        <v>39520000</v>
      </c>
      <c r="I123" s="125">
        <v>48100000</v>
      </c>
    </row>
    <row r="124" spans="1:9" s="145" customFormat="1" ht="15.75">
      <c r="A124" s="70"/>
      <c r="B124" s="105"/>
      <c r="C124" s="72"/>
      <c r="D124" s="76"/>
      <c r="E124" s="125">
        <v>0</v>
      </c>
      <c r="F124" s="125">
        <v>0</v>
      </c>
      <c r="G124" s="125">
        <v>0</v>
      </c>
      <c r="H124" s="125">
        <v>0</v>
      </c>
      <c r="I124" s="125">
        <v>0</v>
      </c>
    </row>
    <row r="125" spans="1:9" s="145" customFormat="1" ht="15.75">
      <c r="A125" s="70" t="s">
        <v>4661</v>
      </c>
      <c r="B125" s="105" t="s">
        <v>5863</v>
      </c>
      <c r="C125" s="72"/>
      <c r="D125" s="76"/>
      <c r="E125" s="125">
        <v>0</v>
      </c>
      <c r="F125" s="125">
        <v>0</v>
      </c>
      <c r="G125" s="125">
        <v>0</v>
      </c>
      <c r="H125" s="125">
        <v>0</v>
      </c>
      <c r="I125" s="125">
        <v>0</v>
      </c>
    </row>
    <row r="126" spans="1:9" s="145" customFormat="1" ht="15.75">
      <c r="A126" s="70" t="s">
        <v>4662</v>
      </c>
      <c r="B126" s="105" t="s">
        <v>5855</v>
      </c>
      <c r="C126" s="72" t="s">
        <v>4815</v>
      </c>
      <c r="D126" s="76"/>
      <c r="E126" s="125">
        <v>0</v>
      </c>
      <c r="F126" s="125">
        <v>0</v>
      </c>
      <c r="G126" s="125">
        <v>0</v>
      </c>
      <c r="H126" s="125">
        <v>7000000</v>
      </c>
      <c r="I126" s="125">
        <v>7000000</v>
      </c>
    </row>
    <row r="127" spans="1:9" s="145" customFormat="1" ht="31.5">
      <c r="A127" s="70" t="s">
        <v>4663</v>
      </c>
      <c r="B127" s="105" t="s">
        <v>5864</v>
      </c>
      <c r="C127" s="72" t="s">
        <v>4816</v>
      </c>
      <c r="D127" s="76"/>
      <c r="E127" s="125">
        <v>0</v>
      </c>
      <c r="F127" s="125">
        <v>0</v>
      </c>
      <c r="G127" s="125">
        <v>0</v>
      </c>
      <c r="H127" s="125">
        <v>3000000</v>
      </c>
      <c r="I127" s="125">
        <v>0</v>
      </c>
    </row>
    <row r="128" spans="1:9" s="145" customFormat="1" ht="15.75">
      <c r="A128" s="70"/>
      <c r="B128" s="105"/>
      <c r="C128" s="72"/>
      <c r="D128" s="76"/>
      <c r="E128" s="125">
        <v>0</v>
      </c>
      <c r="F128" s="125">
        <v>0</v>
      </c>
      <c r="G128" s="125">
        <v>0</v>
      </c>
      <c r="H128" s="125">
        <v>0</v>
      </c>
      <c r="I128" s="125">
        <v>0</v>
      </c>
    </row>
    <row r="129" spans="1:9" s="145" customFormat="1" ht="31.5">
      <c r="A129" s="77" t="s">
        <v>4664</v>
      </c>
      <c r="B129" s="136" t="s">
        <v>5865</v>
      </c>
      <c r="C129" s="72"/>
      <c r="D129" s="76"/>
      <c r="E129" s="125">
        <v>0</v>
      </c>
      <c r="F129" s="125">
        <v>0</v>
      </c>
      <c r="G129" s="125">
        <v>0</v>
      </c>
      <c r="H129" s="125">
        <v>10000000</v>
      </c>
      <c r="I129" s="125">
        <v>7000000</v>
      </c>
    </row>
    <row r="130" spans="1:9" s="145" customFormat="1" ht="15.75">
      <c r="A130" s="70"/>
      <c r="B130" s="105"/>
      <c r="C130" s="72"/>
      <c r="D130" s="76"/>
      <c r="E130" s="125">
        <v>0</v>
      </c>
      <c r="F130" s="125">
        <v>0</v>
      </c>
      <c r="G130" s="125">
        <v>0</v>
      </c>
      <c r="H130" s="125">
        <v>0</v>
      </c>
      <c r="I130" s="125">
        <v>0</v>
      </c>
    </row>
    <row r="131" spans="1:9" s="145" customFormat="1" ht="15.75">
      <c r="A131" s="70" t="s">
        <v>4665</v>
      </c>
      <c r="B131" s="105" t="s">
        <v>5866</v>
      </c>
      <c r="C131" s="72"/>
      <c r="D131" s="76"/>
      <c r="E131" s="125">
        <v>0</v>
      </c>
      <c r="F131" s="125">
        <v>0</v>
      </c>
      <c r="G131" s="125">
        <v>0</v>
      </c>
      <c r="H131" s="125">
        <v>0</v>
      </c>
      <c r="I131" s="125">
        <v>0</v>
      </c>
    </row>
    <row r="132" spans="1:9" s="145" customFormat="1" ht="15.75">
      <c r="A132" s="70" t="s">
        <v>4662</v>
      </c>
      <c r="B132" s="105" t="s">
        <v>5855</v>
      </c>
      <c r="C132" s="72" t="s">
        <v>4817</v>
      </c>
      <c r="D132" s="76"/>
      <c r="E132" s="125">
        <v>0</v>
      </c>
      <c r="F132" s="125">
        <v>0</v>
      </c>
      <c r="G132" s="125">
        <v>0</v>
      </c>
      <c r="H132" s="125">
        <v>2500000</v>
      </c>
      <c r="I132" s="125">
        <v>3000000</v>
      </c>
    </row>
    <row r="133" spans="1:9" s="145" customFormat="1" ht="15.75">
      <c r="A133" s="70"/>
      <c r="B133" s="105"/>
      <c r="C133" s="72"/>
      <c r="D133" s="76"/>
      <c r="E133" s="125">
        <v>0</v>
      </c>
      <c r="F133" s="125">
        <v>0</v>
      </c>
      <c r="G133" s="125">
        <v>0</v>
      </c>
      <c r="H133" s="125">
        <v>0</v>
      </c>
      <c r="I133" s="125">
        <v>0</v>
      </c>
    </row>
    <row r="134" spans="1:9" s="145" customFormat="1" ht="15.75">
      <c r="A134" s="77" t="s">
        <v>4666</v>
      </c>
      <c r="B134" s="136" t="s">
        <v>5867</v>
      </c>
      <c r="C134" s="72"/>
      <c r="D134" s="76"/>
      <c r="E134" s="125">
        <v>0</v>
      </c>
      <c r="F134" s="125">
        <v>0</v>
      </c>
      <c r="G134" s="125">
        <v>0</v>
      </c>
      <c r="H134" s="125">
        <v>2500000</v>
      </c>
      <c r="I134" s="125">
        <v>3000000</v>
      </c>
    </row>
    <row r="135" spans="1:9" s="145" customFormat="1" ht="15.75">
      <c r="A135" s="70"/>
      <c r="B135" s="105"/>
      <c r="C135" s="72"/>
      <c r="D135" s="76"/>
      <c r="E135" s="125">
        <v>0</v>
      </c>
      <c r="F135" s="125">
        <v>0</v>
      </c>
      <c r="G135" s="125">
        <v>0</v>
      </c>
      <c r="H135" s="125">
        <v>0</v>
      </c>
      <c r="I135" s="125">
        <v>0</v>
      </c>
    </row>
    <row r="136" spans="1:9" s="145" customFormat="1" ht="15.75">
      <c r="A136" s="70" t="s">
        <v>2162</v>
      </c>
      <c r="B136" s="105" t="s">
        <v>5868</v>
      </c>
      <c r="C136" s="72"/>
      <c r="D136" s="76"/>
      <c r="E136" s="125">
        <v>0</v>
      </c>
      <c r="F136" s="125">
        <v>0</v>
      </c>
      <c r="G136" s="125">
        <v>0</v>
      </c>
      <c r="H136" s="125">
        <v>0</v>
      </c>
      <c r="I136" s="125">
        <v>0</v>
      </c>
    </row>
    <row r="137" spans="1:9" s="145" customFormat="1" ht="15.75">
      <c r="A137" s="70" t="s">
        <v>2148</v>
      </c>
      <c r="B137" s="105" t="s">
        <v>5855</v>
      </c>
      <c r="C137" s="72" t="s">
        <v>691</v>
      </c>
      <c r="D137" s="76"/>
      <c r="E137" s="125">
        <v>162389404</v>
      </c>
      <c r="F137" s="125">
        <v>204218558</v>
      </c>
      <c r="G137" s="125">
        <v>179303630</v>
      </c>
      <c r="H137" s="125">
        <v>230000000</v>
      </c>
      <c r="I137" s="125">
        <v>240000000</v>
      </c>
    </row>
    <row r="138" spans="1:9" s="145" customFormat="1" ht="15.75">
      <c r="A138" s="70" t="s">
        <v>2149</v>
      </c>
      <c r="B138" s="105" t="s">
        <v>5856</v>
      </c>
      <c r="C138" s="72" t="s">
        <v>692</v>
      </c>
      <c r="D138" s="76"/>
      <c r="E138" s="125">
        <v>453403</v>
      </c>
      <c r="F138" s="125">
        <v>788240</v>
      </c>
      <c r="G138" s="125">
        <v>349488</v>
      </c>
      <c r="H138" s="125">
        <v>1500000</v>
      </c>
      <c r="I138" s="125">
        <v>2150000</v>
      </c>
    </row>
    <row r="139" spans="1:9" s="145" customFormat="1" ht="15.75">
      <c r="A139" s="70" t="s">
        <v>2163</v>
      </c>
      <c r="B139" s="105" t="s">
        <v>5869</v>
      </c>
      <c r="C139" s="72" t="s">
        <v>1236</v>
      </c>
      <c r="D139" s="76"/>
      <c r="E139" s="125">
        <v>0</v>
      </c>
      <c r="F139" s="125">
        <v>0</v>
      </c>
      <c r="G139" s="125">
        <v>264909679</v>
      </c>
      <c r="H139" s="125">
        <v>190000000</v>
      </c>
      <c r="I139" s="125">
        <v>140000000</v>
      </c>
    </row>
    <row r="140" spans="1:9" s="145" customFormat="1" ht="31.5">
      <c r="A140" s="70" t="s">
        <v>5195</v>
      </c>
      <c r="B140" s="105" t="s">
        <v>5870</v>
      </c>
      <c r="C140" s="72" t="s">
        <v>5194</v>
      </c>
      <c r="D140" s="76"/>
      <c r="E140" s="125">
        <v>0</v>
      </c>
      <c r="F140" s="125">
        <v>0</v>
      </c>
      <c r="G140" s="125">
        <v>0</v>
      </c>
      <c r="H140" s="125">
        <v>1000000</v>
      </c>
      <c r="I140" s="125">
        <v>0</v>
      </c>
    </row>
    <row r="141" spans="1:9" s="145" customFormat="1" ht="15.75">
      <c r="A141" s="70" t="s">
        <v>2164</v>
      </c>
      <c r="B141" s="105" t="s">
        <v>5871</v>
      </c>
      <c r="C141" s="72" t="s">
        <v>1270</v>
      </c>
      <c r="D141" s="76"/>
      <c r="E141" s="125">
        <v>0</v>
      </c>
      <c r="F141" s="125">
        <v>496373</v>
      </c>
      <c r="G141" s="125">
        <v>0</v>
      </c>
      <c r="H141" s="125">
        <v>2125000</v>
      </c>
      <c r="I141" s="125">
        <v>2040000</v>
      </c>
    </row>
    <row r="142" spans="1:9" s="145" customFormat="1" ht="47.25">
      <c r="A142" s="70" t="s">
        <v>2165</v>
      </c>
      <c r="B142" s="105" t="s">
        <v>5872</v>
      </c>
      <c r="C142" s="72" t="s">
        <v>1546</v>
      </c>
      <c r="D142" s="76"/>
      <c r="E142" s="125">
        <v>0</v>
      </c>
      <c r="F142" s="125">
        <v>0</v>
      </c>
      <c r="G142" s="125">
        <v>0</v>
      </c>
      <c r="H142" s="125">
        <v>3700000</v>
      </c>
      <c r="I142" s="125">
        <v>0</v>
      </c>
    </row>
    <row r="143" spans="1:9" s="145" customFormat="1" ht="15.75">
      <c r="A143" s="77" t="s">
        <v>2166</v>
      </c>
      <c r="B143" s="136" t="s">
        <v>5873</v>
      </c>
      <c r="C143" s="72"/>
      <c r="D143" s="76"/>
      <c r="E143" s="125">
        <v>162842807</v>
      </c>
      <c r="F143" s="125">
        <v>205503171</v>
      </c>
      <c r="G143" s="125">
        <v>444562797</v>
      </c>
      <c r="H143" s="125">
        <v>428325000</v>
      </c>
      <c r="I143" s="125">
        <v>384190000</v>
      </c>
    </row>
    <row r="144" spans="1:9" s="145" customFormat="1" ht="15.75">
      <c r="A144" s="70"/>
      <c r="B144" s="105"/>
      <c r="C144" s="72"/>
      <c r="D144" s="76"/>
      <c r="E144" s="125">
        <v>0</v>
      </c>
      <c r="F144" s="125">
        <v>0</v>
      </c>
      <c r="G144" s="125">
        <v>0</v>
      </c>
      <c r="H144" s="125">
        <v>0</v>
      </c>
      <c r="I144" s="125">
        <v>0</v>
      </c>
    </row>
    <row r="145" spans="1:9" s="145" customFormat="1" ht="31.5">
      <c r="A145" s="77" t="s">
        <v>4667</v>
      </c>
      <c r="B145" s="136" t="s">
        <v>5874</v>
      </c>
      <c r="C145" s="72"/>
      <c r="D145" s="76"/>
      <c r="E145" s="125">
        <v>186794390</v>
      </c>
      <c r="F145" s="125">
        <v>226457856</v>
      </c>
      <c r="G145" s="125">
        <v>476621938</v>
      </c>
      <c r="H145" s="125">
        <v>492695000</v>
      </c>
      <c r="I145" s="125">
        <v>455940000</v>
      </c>
    </row>
    <row r="146" spans="1:9" s="145" customFormat="1">
      <c r="A146" s="89"/>
      <c r="B146" s="137"/>
      <c r="E146" s="125">
        <v>0</v>
      </c>
      <c r="F146" s="125">
        <v>0</v>
      </c>
      <c r="G146" s="125">
        <v>0</v>
      </c>
      <c r="H146" s="125">
        <v>0</v>
      </c>
      <c r="I146" s="125">
        <v>0</v>
      </c>
    </row>
    <row r="147" spans="1:9" s="145" customFormat="1" ht="15.75">
      <c r="A147" s="88" t="s">
        <v>2167</v>
      </c>
      <c r="B147" s="105" t="s">
        <v>5875</v>
      </c>
      <c r="C147" s="72"/>
      <c r="D147" s="76"/>
      <c r="E147" s="125">
        <v>0</v>
      </c>
      <c r="F147" s="125">
        <v>0</v>
      </c>
      <c r="G147" s="125">
        <v>0</v>
      </c>
      <c r="H147" s="125">
        <v>0</v>
      </c>
      <c r="I147" s="125">
        <v>0</v>
      </c>
    </row>
    <row r="148" spans="1:9" s="145" customFormat="1" ht="27">
      <c r="A148" s="71" t="s">
        <v>2168</v>
      </c>
      <c r="B148" s="105" t="s">
        <v>5876</v>
      </c>
      <c r="C148" s="72" t="s">
        <v>693</v>
      </c>
      <c r="D148" s="76"/>
      <c r="E148" s="125">
        <v>998474</v>
      </c>
      <c r="F148" s="125">
        <v>1140662</v>
      </c>
      <c r="G148" s="125">
        <v>0</v>
      </c>
      <c r="H148" s="125">
        <v>0</v>
      </c>
      <c r="I148" s="125">
        <v>0</v>
      </c>
    </row>
    <row r="149" spans="1:9" s="145" customFormat="1" ht="15.75">
      <c r="A149" s="70" t="s">
        <v>2078</v>
      </c>
      <c r="B149" s="105" t="s">
        <v>5777</v>
      </c>
      <c r="C149" s="72" t="s">
        <v>694</v>
      </c>
      <c r="D149" s="76"/>
      <c r="E149" s="125">
        <v>11371268</v>
      </c>
      <c r="F149" s="125">
        <v>11595437</v>
      </c>
      <c r="G149" s="125">
        <v>10317310</v>
      </c>
      <c r="H149" s="125">
        <v>15000000</v>
      </c>
      <c r="I149" s="125">
        <v>17500000</v>
      </c>
    </row>
    <row r="150" spans="1:9" s="145" customFormat="1" ht="15.75">
      <c r="A150" s="70" t="s">
        <v>2123</v>
      </c>
      <c r="B150" s="105" t="s">
        <v>5822</v>
      </c>
      <c r="C150" s="72" t="s">
        <v>695</v>
      </c>
      <c r="D150" s="76"/>
      <c r="E150" s="125">
        <v>85699</v>
      </c>
      <c r="F150" s="125">
        <v>31741</v>
      </c>
      <c r="G150" s="125">
        <v>37992</v>
      </c>
      <c r="H150" s="125">
        <v>200000</v>
      </c>
      <c r="I150" s="125">
        <v>200000</v>
      </c>
    </row>
    <row r="151" spans="1:9" s="145" customFormat="1" ht="15.75">
      <c r="A151" s="70"/>
      <c r="B151" s="105"/>
      <c r="C151" s="72"/>
      <c r="D151" s="76"/>
      <c r="E151" s="125">
        <v>0</v>
      </c>
      <c r="F151" s="125">
        <v>0</v>
      </c>
      <c r="G151" s="125">
        <v>0</v>
      </c>
      <c r="H151" s="125">
        <v>0</v>
      </c>
      <c r="I151" s="125">
        <v>0</v>
      </c>
    </row>
    <row r="152" spans="1:9" s="145" customFormat="1" ht="15.75">
      <c r="A152" s="77" t="s">
        <v>2169</v>
      </c>
      <c r="B152" s="136" t="s">
        <v>5877</v>
      </c>
      <c r="C152" s="72"/>
      <c r="D152" s="76"/>
      <c r="E152" s="125">
        <v>12455441</v>
      </c>
      <c r="F152" s="125">
        <v>12767840</v>
      </c>
      <c r="G152" s="125">
        <v>10355302</v>
      </c>
      <c r="H152" s="125">
        <v>15200000</v>
      </c>
      <c r="I152" s="125">
        <v>17700000</v>
      </c>
    </row>
    <row r="153" spans="1:9" s="145" customFormat="1" ht="15.75">
      <c r="A153" s="70"/>
      <c r="B153" s="105"/>
      <c r="C153" s="72"/>
      <c r="D153" s="76"/>
      <c r="E153" s="125">
        <v>0</v>
      </c>
      <c r="F153" s="125">
        <v>0</v>
      </c>
      <c r="G153" s="125">
        <v>0</v>
      </c>
      <c r="H153" s="125">
        <v>0</v>
      </c>
      <c r="I153" s="125">
        <v>0</v>
      </c>
    </row>
    <row r="154" spans="1:9" s="145" customFormat="1" ht="15.75">
      <c r="A154" s="70" t="s">
        <v>2170</v>
      </c>
      <c r="B154" s="105" t="s">
        <v>5878</v>
      </c>
      <c r="C154" s="72"/>
      <c r="D154" s="76"/>
      <c r="E154" s="125">
        <v>0</v>
      </c>
      <c r="F154" s="125">
        <v>0</v>
      </c>
      <c r="G154" s="125">
        <v>0</v>
      </c>
      <c r="H154" s="125">
        <v>0</v>
      </c>
      <c r="I154" s="125">
        <v>0</v>
      </c>
    </row>
    <row r="155" spans="1:9" s="145" customFormat="1" ht="47.25">
      <c r="A155" s="70" t="s">
        <v>2171</v>
      </c>
      <c r="B155" s="105" t="s">
        <v>5879</v>
      </c>
      <c r="C155" s="72" t="s">
        <v>626</v>
      </c>
      <c r="D155" s="76"/>
      <c r="E155" s="125">
        <v>4233982</v>
      </c>
      <c r="F155" s="125">
        <v>3580498</v>
      </c>
      <c r="G155" s="125">
        <v>3531846</v>
      </c>
      <c r="H155" s="125">
        <v>10000000</v>
      </c>
      <c r="I155" s="125">
        <v>8000000</v>
      </c>
    </row>
    <row r="156" spans="1:9" s="145" customFormat="1" ht="31.5">
      <c r="A156" s="70" t="s">
        <v>2172</v>
      </c>
      <c r="B156" s="105" t="s">
        <v>5880</v>
      </c>
      <c r="C156" s="72" t="s">
        <v>627</v>
      </c>
      <c r="D156" s="76"/>
      <c r="E156" s="125">
        <v>803240</v>
      </c>
      <c r="F156" s="125">
        <v>935972</v>
      </c>
      <c r="G156" s="125">
        <v>549270</v>
      </c>
      <c r="H156" s="125">
        <v>3000000</v>
      </c>
      <c r="I156" s="125">
        <v>4000000</v>
      </c>
    </row>
    <row r="157" spans="1:9" s="145" customFormat="1" ht="31.5">
      <c r="A157" s="70" t="s">
        <v>2173</v>
      </c>
      <c r="B157" s="105" t="s">
        <v>5881</v>
      </c>
      <c r="C157" s="72" t="s">
        <v>628</v>
      </c>
      <c r="D157" s="76"/>
      <c r="E157" s="125">
        <v>3261858</v>
      </c>
      <c r="F157" s="125">
        <v>3637036</v>
      </c>
      <c r="G157" s="125">
        <v>3993656</v>
      </c>
      <c r="H157" s="125">
        <v>4000000</v>
      </c>
      <c r="I157" s="125">
        <v>4000000</v>
      </c>
    </row>
    <row r="158" spans="1:9" s="145" customFormat="1" ht="15.75">
      <c r="A158" s="77" t="s">
        <v>2174</v>
      </c>
      <c r="B158" s="136" t="s">
        <v>5882</v>
      </c>
      <c r="C158" s="72"/>
      <c r="D158" s="76"/>
      <c r="E158" s="125">
        <v>8299080</v>
      </c>
      <c r="F158" s="125">
        <v>8153506</v>
      </c>
      <c r="G158" s="125">
        <v>8074772</v>
      </c>
      <c r="H158" s="125">
        <v>17000000</v>
      </c>
      <c r="I158" s="125">
        <v>16000000</v>
      </c>
    </row>
    <row r="159" spans="1:9" s="145" customFormat="1">
      <c r="A159" s="89"/>
      <c r="B159" s="137"/>
      <c r="E159" s="125">
        <v>0</v>
      </c>
      <c r="F159" s="125">
        <v>0</v>
      </c>
      <c r="G159" s="125">
        <v>0</v>
      </c>
      <c r="H159" s="125">
        <v>0</v>
      </c>
      <c r="I159" s="125">
        <v>0</v>
      </c>
    </row>
    <row r="160" spans="1:9" s="145" customFormat="1" ht="31.5">
      <c r="A160" s="77" t="s">
        <v>2175</v>
      </c>
      <c r="B160" s="136" t="s">
        <v>5883</v>
      </c>
      <c r="C160" s="72"/>
      <c r="D160" s="76"/>
      <c r="E160" s="125">
        <v>20754521</v>
      </c>
      <c r="F160" s="125">
        <v>20921346</v>
      </c>
      <c r="G160" s="125">
        <v>18430074</v>
      </c>
      <c r="H160" s="125">
        <v>32200000</v>
      </c>
      <c r="I160" s="125">
        <v>33700000</v>
      </c>
    </row>
    <row r="161" spans="1:9" s="145" customFormat="1">
      <c r="A161" s="89"/>
      <c r="B161" s="137"/>
      <c r="E161" s="125">
        <v>0</v>
      </c>
      <c r="F161" s="125">
        <v>0</v>
      </c>
      <c r="G161" s="125">
        <v>0</v>
      </c>
      <c r="H161" s="125">
        <v>0</v>
      </c>
      <c r="I161" s="125">
        <v>0</v>
      </c>
    </row>
    <row r="162" spans="1:9" s="145" customFormat="1" ht="15.75">
      <c r="A162" s="70" t="s">
        <v>2176</v>
      </c>
      <c r="B162" s="105" t="s">
        <v>5884</v>
      </c>
      <c r="C162" s="72"/>
      <c r="D162" s="76"/>
      <c r="E162" s="125">
        <v>0</v>
      </c>
      <c r="F162" s="125">
        <v>0</v>
      </c>
      <c r="G162" s="125">
        <v>0</v>
      </c>
      <c r="H162" s="125">
        <v>0</v>
      </c>
      <c r="I162" s="125">
        <v>0</v>
      </c>
    </row>
    <row r="163" spans="1:9" s="145" customFormat="1" ht="15.75">
      <c r="A163" s="70" t="s">
        <v>2148</v>
      </c>
      <c r="B163" s="105" t="s">
        <v>5855</v>
      </c>
      <c r="C163" s="72" t="s">
        <v>696</v>
      </c>
      <c r="D163" s="76"/>
      <c r="E163" s="125">
        <v>69994971</v>
      </c>
      <c r="F163" s="125">
        <v>70977612</v>
      </c>
      <c r="G163" s="125">
        <v>75087279</v>
      </c>
      <c r="H163" s="125">
        <v>87500000</v>
      </c>
      <c r="I163" s="125">
        <v>95000000</v>
      </c>
    </row>
    <row r="164" spans="1:9" s="145" customFormat="1" ht="15.75">
      <c r="A164" s="70" t="s">
        <v>2149</v>
      </c>
      <c r="B164" s="105" t="s">
        <v>5885</v>
      </c>
      <c r="C164" s="72" t="s">
        <v>697</v>
      </c>
      <c r="D164" s="76"/>
      <c r="E164" s="125">
        <v>4253661</v>
      </c>
      <c r="F164" s="125">
        <v>4376976</v>
      </c>
      <c r="G164" s="125">
        <v>4080099</v>
      </c>
      <c r="H164" s="125">
        <v>5079341</v>
      </c>
      <c r="I164" s="125">
        <v>6468332</v>
      </c>
    </row>
    <row r="165" spans="1:9" s="145" customFormat="1" ht="15.75">
      <c r="A165" s="70" t="s">
        <v>2177</v>
      </c>
      <c r="B165" s="105" t="s">
        <v>5886</v>
      </c>
      <c r="C165" s="72" t="s">
        <v>698</v>
      </c>
      <c r="D165" s="76"/>
      <c r="E165" s="125">
        <v>0</v>
      </c>
      <c r="F165" s="125">
        <v>0</v>
      </c>
      <c r="G165" s="125">
        <v>0</v>
      </c>
      <c r="H165" s="125">
        <v>1700</v>
      </c>
      <c r="I165" s="125">
        <v>1700</v>
      </c>
    </row>
    <row r="166" spans="1:9" s="145" customFormat="1" ht="54">
      <c r="A166" s="71" t="s">
        <v>2178</v>
      </c>
      <c r="B166" s="105" t="s">
        <v>5887</v>
      </c>
      <c r="C166" s="72" t="s">
        <v>699</v>
      </c>
      <c r="D166" s="76"/>
      <c r="E166" s="125">
        <v>58568</v>
      </c>
      <c r="F166" s="125">
        <v>0</v>
      </c>
      <c r="G166" s="125">
        <v>40254</v>
      </c>
      <c r="H166" s="125">
        <v>100000</v>
      </c>
      <c r="I166" s="125">
        <v>80000</v>
      </c>
    </row>
    <row r="167" spans="1:9" s="145" customFormat="1" ht="15.75">
      <c r="A167" s="70" t="s">
        <v>2179</v>
      </c>
      <c r="B167" s="105" t="s">
        <v>5888</v>
      </c>
      <c r="C167" s="72" t="s">
        <v>363</v>
      </c>
      <c r="D167" s="76"/>
      <c r="E167" s="125">
        <v>0</v>
      </c>
      <c r="F167" s="125">
        <v>0</v>
      </c>
      <c r="G167" s="125">
        <v>11450</v>
      </c>
      <c r="H167" s="125">
        <v>250000</v>
      </c>
      <c r="I167" s="125">
        <v>200000</v>
      </c>
    </row>
    <row r="168" spans="1:9" s="145" customFormat="1" ht="15.75">
      <c r="A168" s="70" t="s">
        <v>2180</v>
      </c>
      <c r="B168" s="105" t="s">
        <v>5889</v>
      </c>
      <c r="C168" s="72" t="s">
        <v>751</v>
      </c>
      <c r="D168" s="76"/>
      <c r="E168" s="125">
        <v>0</v>
      </c>
      <c r="F168" s="125">
        <v>0</v>
      </c>
      <c r="G168" s="125">
        <v>0</v>
      </c>
      <c r="H168" s="125">
        <v>1500000</v>
      </c>
      <c r="I168" s="125">
        <v>1200000</v>
      </c>
    </row>
    <row r="169" spans="1:9" s="145" customFormat="1" ht="31.5">
      <c r="A169" s="70" t="s">
        <v>2181</v>
      </c>
      <c r="B169" s="105" t="s">
        <v>5890</v>
      </c>
      <c r="C169" s="72" t="s">
        <v>501</v>
      </c>
      <c r="D169" s="76"/>
      <c r="E169" s="125">
        <v>82452339</v>
      </c>
      <c r="F169" s="125">
        <v>122580638</v>
      </c>
      <c r="G169" s="125">
        <v>132982145</v>
      </c>
      <c r="H169" s="125">
        <v>180000000</v>
      </c>
      <c r="I169" s="125">
        <v>200000000</v>
      </c>
    </row>
    <row r="170" spans="1:9" s="145" customFormat="1" ht="31.5">
      <c r="A170" s="70" t="s">
        <v>2182</v>
      </c>
      <c r="B170" s="105" t="s">
        <v>5891</v>
      </c>
      <c r="C170" s="72" t="s">
        <v>1076</v>
      </c>
      <c r="D170" s="76"/>
      <c r="E170" s="125">
        <v>1814655</v>
      </c>
      <c r="F170" s="125">
        <v>1865801</v>
      </c>
      <c r="G170" s="125">
        <v>1380455</v>
      </c>
      <c r="H170" s="125">
        <v>5000000</v>
      </c>
      <c r="I170" s="125">
        <v>5600000</v>
      </c>
    </row>
    <row r="171" spans="1:9" s="145" customFormat="1" ht="15.75">
      <c r="A171" s="70" t="s">
        <v>2183</v>
      </c>
      <c r="B171" s="105" t="s">
        <v>5892</v>
      </c>
      <c r="C171" s="72" t="s">
        <v>1113</v>
      </c>
      <c r="D171" s="76"/>
      <c r="E171" s="125">
        <v>20000000</v>
      </c>
      <c r="F171" s="125">
        <v>50000000</v>
      </c>
      <c r="G171" s="125">
        <v>70000000</v>
      </c>
      <c r="H171" s="125">
        <v>120000000</v>
      </c>
      <c r="I171" s="125">
        <v>120000000</v>
      </c>
    </row>
    <row r="172" spans="1:9" s="145" customFormat="1" ht="47.25">
      <c r="A172" s="70" t="s">
        <v>5196</v>
      </c>
      <c r="B172" s="105" t="s">
        <v>5893</v>
      </c>
      <c r="C172" s="72" t="s">
        <v>5197</v>
      </c>
      <c r="D172" s="76"/>
      <c r="E172" s="125">
        <v>0</v>
      </c>
      <c r="F172" s="125">
        <v>0</v>
      </c>
      <c r="G172" s="125">
        <v>0</v>
      </c>
      <c r="H172" s="125">
        <v>5000000</v>
      </c>
      <c r="I172" s="125">
        <v>4000000</v>
      </c>
    </row>
    <row r="173" spans="1:9" s="145" customFormat="1" ht="47.25">
      <c r="A173" s="70" t="s">
        <v>10469</v>
      </c>
      <c r="B173" s="105"/>
      <c r="C173" s="72" t="s">
        <v>12640</v>
      </c>
      <c r="D173" s="76"/>
      <c r="E173" s="125">
        <v>0</v>
      </c>
      <c r="F173" s="125">
        <v>0</v>
      </c>
      <c r="G173" s="125">
        <v>0</v>
      </c>
      <c r="H173" s="125">
        <v>0</v>
      </c>
      <c r="I173" s="125">
        <v>8000000</v>
      </c>
    </row>
    <row r="174" spans="1:9" s="145" customFormat="1" ht="15.75">
      <c r="A174" s="70" t="s">
        <v>4790</v>
      </c>
      <c r="B174" s="105" t="s">
        <v>5894</v>
      </c>
      <c r="C174" s="72" t="s">
        <v>251</v>
      </c>
      <c r="D174" s="76"/>
      <c r="E174" s="125">
        <v>126856721</v>
      </c>
      <c r="F174" s="125">
        <v>123696385</v>
      </c>
      <c r="G174" s="125">
        <v>67152112</v>
      </c>
      <c r="H174" s="125">
        <v>160000000</v>
      </c>
      <c r="I174" s="125">
        <v>210000000</v>
      </c>
    </row>
    <row r="175" spans="1:9" s="145" customFormat="1" ht="31.5">
      <c r="A175" s="70" t="s">
        <v>4791</v>
      </c>
      <c r="B175" s="105" t="s">
        <v>5895</v>
      </c>
      <c r="C175" s="72" t="s">
        <v>252</v>
      </c>
      <c r="D175" s="76"/>
      <c r="E175" s="125">
        <v>376024991</v>
      </c>
      <c r="F175" s="125">
        <v>367589363</v>
      </c>
      <c r="G175" s="125">
        <v>269847593</v>
      </c>
      <c r="H175" s="125">
        <v>0</v>
      </c>
      <c r="I175" s="125">
        <v>0</v>
      </c>
    </row>
    <row r="176" spans="1:9" s="145" customFormat="1" ht="31.5">
      <c r="A176" s="70" t="s">
        <v>5240</v>
      </c>
      <c r="B176" s="105" t="s">
        <v>5896</v>
      </c>
      <c r="C176" s="72" t="s">
        <v>1289</v>
      </c>
      <c r="D176" s="76"/>
      <c r="E176" s="125">
        <v>0</v>
      </c>
      <c r="F176" s="125">
        <v>0</v>
      </c>
      <c r="G176" s="125">
        <v>0</v>
      </c>
      <c r="H176" s="125">
        <v>40000000</v>
      </c>
      <c r="I176" s="125">
        <v>0</v>
      </c>
    </row>
    <row r="177" spans="1:9" s="145" customFormat="1" ht="15.75">
      <c r="A177" s="70" t="s">
        <v>7823</v>
      </c>
      <c r="B177" s="105"/>
      <c r="C177" s="72" t="s">
        <v>12642</v>
      </c>
      <c r="D177" s="76"/>
      <c r="E177" s="125">
        <v>0</v>
      </c>
      <c r="F177" s="125">
        <v>0</v>
      </c>
      <c r="G177" s="125">
        <v>0</v>
      </c>
      <c r="H177" s="125">
        <v>0</v>
      </c>
      <c r="I177" s="125">
        <v>200000000</v>
      </c>
    </row>
    <row r="178" spans="1:9" s="145" customFormat="1" ht="15.75">
      <c r="A178" s="70" t="s">
        <v>4792</v>
      </c>
      <c r="B178" s="105" t="s">
        <v>5897</v>
      </c>
      <c r="C178" s="72" t="s">
        <v>253</v>
      </c>
      <c r="D178" s="76"/>
      <c r="E178" s="125">
        <v>389326180</v>
      </c>
      <c r="F178" s="125">
        <v>447263483</v>
      </c>
      <c r="G178" s="125">
        <v>495037583</v>
      </c>
      <c r="H178" s="125">
        <v>500000000</v>
      </c>
      <c r="I178" s="125">
        <v>500000000</v>
      </c>
    </row>
    <row r="179" spans="1:9" s="145" customFormat="1" ht="31.5">
      <c r="A179" s="70" t="s">
        <v>4793</v>
      </c>
      <c r="B179" s="105" t="s">
        <v>5898</v>
      </c>
      <c r="C179" s="72" t="s">
        <v>254</v>
      </c>
      <c r="D179" s="76"/>
      <c r="E179" s="125">
        <v>8187500</v>
      </c>
      <c r="F179" s="125">
        <v>10770753</v>
      </c>
      <c r="G179" s="125">
        <v>7671666</v>
      </c>
      <c r="H179" s="125">
        <v>40000000</v>
      </c>
      <c r="I179" s="125">
        <v>55000000</v>
      </c>
    </row>
    <row r="180" spans="1:9" s="145" customFormat="1" ht="31.5">
      <c r="A180" s="70" t="s">
        <v>12647</v>
      </c>
      <c r="B180" s="105"/>
      <c r="C180" s="72" t="s">
        <v>12641</v>
      </c>
      <c r="D180" s="76"/>
      <c r="E180" s="125">
        <v>0</v>
      </c>
      <c r="F180" s="125">
        <v>0</v>
      </c>
      <c r="G180" s="125">
        <v>0</v>
      </c>
      <c r="H180" s="125">
        <v>0</v>
      </c>
      <c r="I180" s="125">
        <v>4000000</v>
      </c>
    </row>
    <row r="181" spans="1:9" s="145" customFormat="1" ht="15.75" customHeight="1">
      <c r="A181" s="89"/>
      <c r="B181" s="137"/>
      <c r="E181" s="125">
        <v>0</v>
      </c>
      <c r="F181" s="125">
        <v>0</v>
      </c>
      <c r="G181" s="125">
        <v>0</v>
      </c>
      <c r="H181" s="125">
        <v>0</v>
      </c>
      <c r="I181" s="125">
        <v>0</v>
      </c>
    </row>
    <row r="182" spans="1:9" s="145" customFormat="1" ht="15.75">
      <c r="A182" s="77" t="s">
        <v>2184</v>
      </c>
      <c r="B182" s="136" t="s">
        <v>5899</v>
      </c>
      <c r="C182" s="72"/>
      <c r="D182" s="76"/>
      <c r="E182" s="125">
        <v>1078969586</v>
      </c>
      <c r="F182" s="125">
        <v>1199121011</v>
      </c>
      <c r="G182" s="125">
        <v>1123290636</v>
      </c>
      <c r="H182" s="125">
        <v>1144431041</v>
      </c>
      <c r="I182" s="125">
        <v>1409550032</v>
      </c>
    </row>
    <row r="183" spans="1:9" s="145" customFormat="1">
      <c r="A183" s="89"/>
      <c r="B183" s="137"/>
      <c r="E183" s="125">
        <v>0</v>
      </c>
      <c r="F183" s="125">
        <v>0</v>
      </c>
      <c r="G183" s="125">
        <v>0</v>
      </c>
      <c r="H183" s="125">
        <v>0</v>
      </c>
      <c r="I183" s="125">
        <v>0</v>
      </c>
    </row>
    <row r="184" spans="1:9" s="145" customFormat="1" ht="31.5">
      <c r="A184" s="70" t="s">
        <v>2264</v>
      </c>
      <c r="B184" s="105" t="s">
        <v>5900</v>
      </c>
      <c r="C184" s="72" t="s">
        <v>412</v>
      </c>
      <c r="D184" s="76"/>
      <c r="E184" s="125">
        <v>265296000</v>
      </c>
      <c r="F184" s="125">
        <v>255783930</v>
      </c>
      <c r="G184" s="125">
        <v>265776000</v>
      </c>
      <c r="H184" s="125">
        <v>525969100</v>
      </c>
      <c r="I184" s="125">
        <v>30521075</v>
      </c>
    </row>
    <row r="185" spans="1:9" s="145" customFormat="1" ht="15.75">
      <c r="A185" s="70" t="s">
        <v>2265</v>
      </c>
      <c r="B185" s="105" t="s">
        <v>5901</v>
      </c>
      <c r="C185" s="72" t="s">
        <v>414</v>
      </c>
      <c r="D185" s="76"/>
      <c r="E185" s="125">
        <v>64459624</v>
      </c>
      <c r="F185" s="125">
        <v>90989814</v>
      </c>
      <c r="G185" s="125">
        <v>120520280</v>
      </c>
      <c r="H185" s="125">
        <v>125538003</v>
      </c>
      <c r="I185" s="125">
        <v>126930020</v>
      </c>
    </row>
    <row r="186" spans="1:9" s="145" customFormat="1">
      <c r="A186" s="89"/>
      <c r="B186" s="137"/>
      <c r="E186" s="125">
        <v>0</v>
      </c>
      <c r="F186" s="125">
        <v>0</v>
      </c>
      <c r="G186" s="125">
        <v>0</v>
      </c>
      <c r="H186" s="125">
        <v>0</v>
      </c>
      <c r="I186" s="125">
        <v>0</v>
      </c>
    </row>
    <row r="187" spans="1:9" s="145" customFormat="1" ht="15.75">
      <c r="A187" s="88" t="s">
        <v>2185</v>
      </c>
      <c r="B187" s="105" t="s">
        <v>5902</v>
      </c>
      <c r="C187" s="72"/>
      <c r="D187" s="76"/>
      <c r="E187" s="125">
        <v>0</v>
      </c>
      <c r="F187" s="125">
        <v>0</v>
      </c>
      <c r="G187" s="125">
        <v>0</v>
      </c>
      <c r="H187" s="125">
        <v>0</v>
      </c>
      <c r="I187" s="125">
        <v>0</v>
      </c>
    </row>
    <row r="188" spans="1:9" s="145" customFormat="1" ht="15.75">
      <c r="A188" s="70" t="s">
        <v>2148</v>
      </c>
      <c r="B188" s="105" t="s">
        <v>5855</v>
      </c>
      <c r="C188" s="72" t="s">
        <v>752</v>
      </c>
      <c r="D188" s="76"/>
      <c r="E188" s="125">
        <v>51356216</v>
      </c>
      <c r="F188" s="125">
        <v>56278383</v>
      </c>
      <c r="G188" s="125">
        <v>64001868</v>
      </c>
      <c r="H188" s="125">
        <v>85000000</v>
      </c>
      <c r="I188" s="125">
        <v>95000000</v>
      </c>
    </row>
    <row r="189" spans="1:9" s="145" customFormat="1" ht="15.75">
      <c r="A189" s="70" t="s">
        <v>2123</v>
      </c>
      <c r="B189" s="105" t="s">
        <v>5822</v>
      </c>
      <c r="C189" s="72" t="s">
        <v>828</v>
      </c>
      <c r="D189" s="76"/>
      <c r="E189" s="125">
        <v>8882124</v>
      </c>
      <c r="F189" s="125">
        <v>7124121</v>
      </c>
      <c r="G189" s="125">
        <v>10165259</v>
      </c>
      <c r="H189" s="125">
        <v>35000000</v>
      </c>
      <c r="I189" s="125">
        <v>35000000</v>
      </c>
    </row>
    <row r="190" spans="1:9" s="145" customFormat="1" ht="31.5">
      <c r="A190" s="70" t="s">
        <v>2186</v>
      </c>
      <c r="B190" s="105" t="s">
        <v>5903</v>
      </c>
      <c r="C190" s="72" t="s">
        <v>829</v>
      </c>
      <c r="D190" s="76"/>
      <c r="E190" s="125">
        <v>0</v>
      </c>
      <c r="F190" s="125">
        <v>2350000</v>
      </c>
      <c r="G190" s="125">
        <v>0</v>
      </c>
      <c r="H190" s="125">
        <v>10000000</v>
      </c>
      <c r="I190" s="125">
        <v>8000000</v>
      </c>
    </row>
    <row r="191" spans="1:9" s="145" customFormat="1" ht="15.75">
      <c r="A191" s="70" t="s">
        <v>2187</v>
      </c>
      <c r="B191" s="105" t="s">
        <v>5904</v>
      </c>
      <c r="C191" s="72" t="s">
        <v>830</v>
      </c>
      <c r="D191" s="76"/>
      <c r="E191" s="125">
        <v>42000</v>
      </c>
      <c r="F191" s="125">
        <v>0</v>
      </c>
      <c r="G191" s="125">
        <v>0</v>
      </c>
      <c r="H191" s="125">
        <v>1500000</v>
      </c>
      <c r="I191" s="125">
        <v>1200000</v>
      </c>
    </row>
    <row r="192" spans="1:9" s="145" customFormat="1" ht="31.5">
      <c r="A192" s="70" t="s">
        <v>2188</v>
      </c>
      <c r="B192" s="105" t="s">
        <v>5905</v>
      </c>
      <c r="C192" s="72" t="s">
        <v>831</v>
      </c>
      <c r="D192" s="76"/>
      <c r="E192" s="125">
        <v>372500</v>
      </c>
      <c r="F192" s="125">
        <v>813515</v>
      </c>
      <c r="G192" s="125">
        <v>0</v>
      </c>
      <c r="H192" s="125">
        <v>5000000</v>
      </c>
      <c r="I192" s="125">
        <v>4000000</v>
      </c>
    </row>
    <row r="193" spans="1:9" s="145" customFormat="1" ht="15.75">
      <c r="A193" s="70" t="s">
        <v>2189</v>
      </c>
      <c r="B193" s="105" t="s">
        <v>5906</v>
      </c>
      <c r="C193" s="72" t="s">
        <v>832</v>
      </c>
      <c r="D193" s="76"/>
      <c r="E193" s="125">
        <v>0</v>
      </c>
      <c r="F193" s="125">
        <v>0</v>
      </c>
      <c r="G193" s="125">
        <v>0</v>
      </c>
      <c r="H193" s="125">
        <v>8000000</v>
      </c>
      <c r="I193" s="125">
        <v>6400000</v>
      </c>
    </row>
    <row r="194" spans="1:9" s="145" customFormat="1" ht="47.25">
      <c r="A194" s="70" t="s">
        <v>10474</v>
      </c>
      <c r="B194" s="105" t="s">
        <v>5907</v>
      </c>
      <c r="C194" s="72" t="s">
        <v>1057</v>
      </c>
      <c r="D194" s="76"/>
      <c r="E194" s="125">
        <v>0</v>
      </c>
      <c r="F194" s="125">
        <v>0</v>
      </c>
      <c r="G194" s="125">
        <v>8828814</v>
      </c>
      <c r="H194" s="125">
        <v>35000000</v>
      </c>
      <c r="I194" s="125">
        <v>8000000</v>
      </c>
    </row>
    <row r="195" spans="1:9" s="145" customFormat="1" ht="63">
      <c r="A195" s="70" t="s">
        <v>2190</v>
      </c>
      <c r="B195" s="105" t="s">
        <v>5908</v>
      </c>
      <c r="C195" s="72" t="s">
        <v>1119</v>
      </c>
      <c r="D195" s="76"/>
      <c r="E195" s="125">
        <v>0</v>
      </c>
      <c r="F195" s="125">
        <v>0</v>
      </c>
      <c r="G195" s="125">
        <v>0</v>
      </c>
      <c r="H195" s="125">
        <v>1000000</v>
      </c>
      <c r="I195" s="125">
        <v>800000</v>
      </c>
    </row>
    <row r="196" spans="1:9" s="145" customFormat="1" ht="31.5">
      <c r="A196" s="70" t="s">
        <v>2191</v>
      </c>
      <c r="B196" s="105" t="s">
        <v>5909</v>
      </c>
      <c r="C196" s="72" t="s">
        <v>1392</v>
      </c>
      <c r="D196" s="76"/>
      <c r="E196" s="125">
        <v>0</v>
      </c>
      <c r="F196" s="125">
        <v>0</v>
      </c>
      <c r="G196" s="125">
        <v>0</v>
      </c>
      <c r="H196" s="125">
        <v>2200000</v>
      </c>
      <c r="I196" s="125">
        <v>1760000</v>
      </c>
    </row>
    <row r="197" spans="1:9" s="145" customFormat="1" ht="15">
      <c r="A197" s="73" t="s">
        <v>12623</v>
      </c>
      <c r="B197" s="105" t="s">
        <v>5910</v>
      </c>
      <c r="C197" s="72" t="s">
        <v>1786</v>
      </c>
      <c r="D197" s="76"/>
      <c r="E197" s="125">
        <v>0</v>
      </c>
      <c r="F197" s="125">
        <v>0</v>
      </c>
      <c r="G197" s="125">
        <v>0</v>
      </c>
      <c r="H197" s="125">
        <v>120000000</v>
      </c>
      <c r="I197" s="125">
        <v>200000000</v>
      </c>
    </row>
    <row r="198" spans="1:9" s="145" customFormat="1">
      <c r="A198" s="89"/>
      <c r="B198" s="137"/>
      <c r="E198" s="125">
        <v>0</v>
      </c>
      <c r="F198" s="125">
        <v>0</v>
      </c>
      <c r="G198" s="125">
        <v>0</v>
      </c>
      <c r="H198" s="125">
        <v>0</v>
      </c>
      <c r="I198" s="125">
        <v>0</v>
      </c>
    </row>
    <row r="199" spans="1:9" s="145" customFormat="1" ht="31.5">
      <c r="A199" s="77" t="s">
        <v>2192</v>
      </c>
      <c r="B199" s="136" t="s">
        <v>5911</v>
      </c>
      <c r="C199" s="72"/>
      <c r="D199" s="76"/>
      <c r="E199" s="125">
        <v>60652840</v>
      </c>
      <c r="F199" s="125">
        <v>66566019</v>
      </c>
      <c r="G199" s="125">
        <v>82995941</v>
      </c>
      <c r="H199" s="125">
        <v>302700000</v>
      </c>
      <c r="I199" s="125">
        <v>360160000</v>
      </c>
    </row>
    <row r="200" spans="1:9" s="145" customFormat="1">
      <c r="A200" s="89"/>
      <c r="B200" s="137"/>
      <c r="E200" s="125">
        <v>0</v>
      </c>
      <c r="F200" s="125">
        <v>0</v>
      </c>
      <c r="G200" s="125">
        <v>0</v>
      </c>
      <c r="H200" s="125">
        <v>0</v>
      </c>
      <c r="I200" s="125">
        <v>0</v>
      </c>
    </row>
    <row r="201" spans="1:9" s="145" customFormat="1" ht="15.75">
      <c r="A201" s="70" t="s">
        <v>2193</v>
      </c>
      <c r="B201" s="105" t="s">
        <v>5912</v>
      </c>
      <c r="C201" s="72"/>
      <c r="D201" s="76"/>
      <c r="E201" s="125">
        <v>0</v>
      </c>
      <c r="F201" s="125">
        <v>0</v>
      </c>
      <c r="G201" s="125">
        <v>0</v>
      </c>
      <c r="H201" s="125">
        <v>0</v>
      </c>
      <c r="I201" s="125">
        <v>0</v>
      </c>
    </row>
    <row r="202" spans="1:9" s="145" customFormat="1" ht="15.75">
      <c r="A202" s="70" t="s">
        <v>2148</v>
      </c>
      <c r="B202" s="105" t="s">
        <v>5855</v>
      </c>
      <c r="C202" s="72" t="s">
        <v>833</v>
      </c>
      <c r="D202" s="76"/>
      <c r="E202" s="125">
        <v>163858026</v>
      </c>
      <c r="F202" s="125">
        <v>0</v>
      </c>
      <c r="G202" s="125">
        <v>0</v>
      </c>
      <c r="H202" s="125">
        <v>0</v>
      </c>
      <c r="I202" s="125">
        <v>0</v>
      </c>
    </row>
    <row r="203" spans="1:9" s="145" customFormat="1" ht="15.75">
      <c r="A203" s="70" t="s">
        <v>2194</v>
      </c>
      <c r="B203" s="105" t="s">
        <v>5913</v>
      </c>
      <c r="C203" s="72" t="s">
        <v>873</v>
      </c>
      <c r="D203" s="76"/>
      <c r="E203" s="125">
        <v>15000000</v>
      </c>
      <c r="F203" s="125">
        <v>0</v>
      </c>
      <c r="G203" s="125">
        <v>0</v>
      </c>
      <c r="H203" s="125">
        <v>0</v>
      </c>
      <c r="I203" s="125">
        <v>0</v>
      </c>
    </row>
    <row r="204" spans="1:9" s="145" customFormat="1" ht="15.75">
      <c r="A204" s="70" t="s">
        <v>2123</v>
      </c>
      <c r="B204" s="105" t="s">
        <v>5822</v>
      </c>
      <c r="C204" s="72" t="s">
        <v>874</v>
      </c>
      <c r="D204" s="76"/>
      <c r="E204" s="125">
        <v>3373334</v>
      </c>
      <c r="F204" s="125">
        <v>0</v>
      </c>
      <c r="G204" s="125">
        <v>0</v>
      </c>
      <c r="H204" s="125">
        <v>0</v>
      </c>
      <c r="I204" s="125">
        <v>0</v>
      </c>
    </row>
    <row r="205" spans="1:9" s="145" customFormat="1" ht="15.75">
      <c r="A205" s="70" t="s">
        <v>2195</v>
      </c>
      <c r="B205" s="105" t="s">
        <v>5914</v>
      </c>
      <c r="C205" s="72" t="s">
        <v>875</v>
      </c>
      <c r="D205" s="76"/>
      <c r="E205" s="125">
        <v>4715905</v>
      </c>
      <c r="F205" s="125">
        <v>2416968</v>
      </c>
      <c r="G205" s="125">
        <v>0</v>
      </c>
      <c r="H205" s="125">
        <v>200000</v>
      </c>
      <c r="I205" s="125">
        <v>0</v>
      </c>
    </row>
    <row r="206" spans="1:9" s="145" customFormat="1" ht="31.5">
      <c r="A206" s="70" t="s">
        <v>2862</v>
      </c>
      <c r="B206" s="105" t="s">
        <v>5915</v>
      </c>
      <c r="C206" s="72" t="s">
        <v>257</v>
      </c>
      <c r="D206" s="76"/>
      <c r="E206" s="125">
        <v>3198799</v>
      </c>
      <c r="F206" s="125">
        <v>2538870</v>
      </c>
      <c r="G206" s="125">
        <v>1120000</v>
      </c>
      <c r="H206" s="125">
        <v>1540000</v>
      </c>
      <c r="I206" s="125">
        <v>1700000</v>
      </c>
    </row>
    <row r="207" spans="1:9" s="145" customFormat="1" ht="47.25">
      <c r="A207" s="70" t="s">
        <v>2196</v>
      </c>
      <c r="B207" s="105" t="s">
        <v>5916</v>
      </c>
      <c r="C207" s="72" t="s">
        <v>11</v>
      </c>
      <c r="D207" s="76"/>
      <c r="E207" s="125">
        <v>2920880</v>
      </c>
      <c r="F207" s="125">
        <v>0</v>
      </c>
      <c r="G207" s="125">
        <v>0</v>
      </c>
      <c r="H207" s="125">
        <v>0</v>
      </c>
      <c r="I207" s="125">
        <v>0</v>
      </c>
    </row>
    <row r="208" spans="1:9" s="145" customFormat="1" ht="81">
      <c r="A208" s="71" t="s">
        <v>2197</v>
      </c>
      <c r="B208" s="105" t="s">
        <v>5917</v>
      </c>
      <c r="C208" s="72" t="s">
        <v>1118</v>
      </c>
      <c r="D208" s="76"/>
      <c r="E208" s="125">
        <v>51053</v>
      </c>
      <c r="F208" s="125">
        <v>87875</v>
      </c>
      <c r="G208" s="125">
        <v>0</v>
      </c>
      <c r="H208" s="125">
        <v>0</v>
      </c>
      <c r="I208" s="125">
        <v>0</v>
      </c>
    </row>
    <row r="209" spans="1:9" s="145" customFormat="1" ht="47.25">
      <c r="A209" s="70" t="s">
        <v>2198</v>
      </c>
      <c r="B209" s="105" t="s">
        <v>5918</v>
      </c>
      <c r="C209" s="72" t="s">
        <v>1233</v>
      </c>
      <c r="D209" s="76"/>
      <c r="E209" s="125">
        <v>203923</v>
      </c>
      <c r="F209" s="125">
        <v>0</v>
      </c>
      <c r="G209" s="125">
        <v>0</v>
      </c>
      <c r="H209" s="125">
        <v>0</v>
      </c>
      <c r="I209" s="125">
        <v>0</v>
      </c>
    </row>
    <row r="210" spans="1:9" s="145" customFormat="1">
      <c r="A210" s="89"/>
      <c r="B210" s="137"/>
      <c r="E210" s="125">
        <v>0</v>
      </c>
      <c r="F210" s="125">
        <v>0</v>
      </c>
      <c r="G210" s="125">
        <v>0</v>
      </c>
      <c r="H210" s="125">
        <v>0</v>
      </c>
      <c r="I210" s="125">
        <v>0</v>
      </c>
    </row>
    <row r="211" spans="1:9" s="145" customFormat="1" ht="15.75">
      <c r="A211" s="77" t="s">
        <v>2199</v>
      </c>
      <c r="B211" s="136" t="s">
        <v>5919</v>
      </c>
      <c r="C211" s="72"/>
      <c r="D211" s="76"/>
      <c r="E211" s="125">
        <v>193321920</v>
      </c>
      <c r="F211" s="125">
        <v>5043713</v>
      </c>
      <c r="G211" s="125">
        <v>1120000</v>
      </c>
      <c r="H211" s="125">
        <v>1740000</v>
      </c>
      <c r="I211" s="125">
        <v>1700000</v>
      </c>
    </row>
    <row r="212" spans="1:9" s="145" customFormat="1" ht="15.75">
      <c r="A212" s="70"/>
      <c r="B212" s="105"/>
      <c r="C212" s="72"/>
      <c r="D212" s="76"/>
      <c r="E212" s="125">
        <v>0</v>
      </c>
      <c r="F212" s="125">
        <v>0</v>
      </c>
      <c r="G212" s="125">
        <v>0</v>
      </c>
      <c r="H212" s="125">
        <v>0</v>
      </c>
      <c r="I212" s="125">
        <v>0</v>
      </c>
    </row>
    <row r="213" spans="1:9" s="145" customFormat="1" ht="15.75">
      <c r="A213" s="77" t="s">
        <v>2200</v>
      </c>
      <c r="B213" s="136" t="s">
        <v>5920</v>
      </c>
      <c r="C213" s="72"/>
      <c r="D213" s="76"/>
      <c r="E213" s="125">
        <v>193321920</v>
      </c>
      <c r="F213" s="125">
        <v>5043713</v>
      </c>
      <c r="G213" s="125">
        <v>1120000</v>
      </c>
      <c r="H213" s="125">
        <v>1740000</v>
      </c>
      <c r="I213" s="125">
        <v>1700000</v>
      </c>
    </row>
    <row r="214" spans="1:9" s="145" customFormat="1" ht="15.75">
      <c r="A214" s="70"/>
      <c r="B214" s="105"/>
      <c r="C214" s="72"/>
      <c r="D214" s="76"/>
      <c r="E214" s="125">
        <v>0</v>
      </c>
      <c r="F214" s="125">
        <v>0</v>
      </c>
      <c r="G214" s="125">
        <v>0</v>
      </c>
      <c r="H214" s="125">
        <v>0</v>
      </c>
      <c r="I214" s="125">
        <v>0</v>
      </c>
    </row>
    <row r="215" spans="1:9" s="145" customFormat="1" ht="15.75">
      <c r="A215" s="70" t="s">
        <v>2201</v>
      </c>
      <c r="B215" s="105" t="s">
        <v>5921</v>
      </c>
      <c r="C215" s="72"/>
      <c r="D215" s="76"/>
      <c r="E215" s="125">
        <v>0</v>
      </c>
      <c r="F215" s="125">
        <v>0</v>
      </c>
      <c r="G215" s="125">
        <v>0</v>
      </c>
      <c r="H215" s="125">
        <v>0</v>
      </c>
      <c r="I215" s="125">
        <v>0</v>
      </c>
    </row>
    <row r="216" spans="1:9" s="145" customFormat="1" ht="15.75">
      <c r="A216" s="70" t="s">
        <v>2148</v>
      </c>
      <c r="B216" s="105" t="s">
        <v>5855</v>
      </c>
      <c r="C216" s="72" t="s">
        <v>1529</v>
      </c>
      <c r="D216" s="76"/>
      <c r="E216" s="125">
        <v>5149096</v>
      </c>
      <c r="F216" s="125">
        <v>175823911</v>
      </c>
      <c r="G216" s="125">
        <v>133833354</v>
      </c>
      <c r="H216" s="125">
        <v>200000000</v>
      </c>
      <c r="I216" s="125">
        <v>200000000</v>
      </c>
    </row>
    <row r="217" spans="1:9" s="145" customFormat="1" ht="15.75">
      <c r="A217" s="70" t="s">
        <v>2194</v>
      </c>
      <c r="B217" s="105" t="s">
        <v>5913</v>
      </c>
      <c r="C217" s="72" t="s">
        <v>1540</v>
      </c>
      <c r="D217" s="76"/>
      <c r="E217" s="125">
        <v>0</v>
      </c>
      <c r="F217" s="125">
        <v>15000000</v>
      </c>
      <c r="G217" s="125">
        <v>20000000</v>
      </c>
      <c r="H217" s="125">
        <v>40000000</v>
      </c>
      <c r="I217" s="125">
        <v>40000000</v>
      </c>
    </row>
    <row r="218" spans="1:9" s="145" customFormat="1" ht="15.75">
      <c r="A218" s="70" t="s">
        <v>2123</v>
      </c>
      <c r="B218" s="105" t="s">
        <v>5822</v>
      </c>
      <c r="C218" s="72" t="s">
        <v>1541</v>
      </c>
      <c r="D218" s="76"/>
      <c r="E218" s="125">
        <v>0</v>
      </c>
      <c r="F218" s="125">
        <v>3747175</v>
      </c>
      <c r="G218" s="125">
        <v>2065385</v>
      </c>
      <c r="H218" s="125">
        <v>2500000</v>
      </c>
      <c r="I218" s="125">
        <v>1500000</v>
      </c>
    </row>
    <row r="219" spans="1:9" s="145" customFormat="1" ht="47.25">
      <c r="A219" s="70" t="s">
        <v>2202</v>
      </c>
      <c r="B219" s="105" t="s">
        <v>5922</v>
      </c>
      <c r="C219" s="72" t="s">
        <v>1542</v>
      </c>
      <c r="D219" s="76"/>
      <c r="E219" s="125">
        <v>0</v>
      </c>
      <c r="F219" s="125">
        <v>68790</v>
      </c>
      <c r="G219" s="125">
        <v>227132</v>
      </c>
      <c r="H219" s="125">
        <v>225000</v>
      </c>
      <c r="I219" s="125">
        <v>160000</v>
      </c>
    </row>
    <row r="220" spans="1:9" s="145" customFormat="1" ht="31.5">
      <c r="A220" s="70" t="s">
        <v>2203</v>
      </c>
      <c r="B220" s="105" t="s">
        <v>5923</v>
      </c>
      <c r="C220" s="72" t="s">
        <v>1543</v>
      </c>
      <c r="D220" s="76"/>
      <c r="E220" s="125">
        <v>0</v>
      </c>
      <c r="F220" s="125">
        <v>749111</v>
      </c>
      <c r="G220" s="125">
        <v>0</v>
      </c>
      <c r="H220" s="125">
        <v>0</v>
      </c>
      <c r="I220" s="125">
        <v>2000000</v>
      </c>
    </row>
    <row r="221" spans="1:9" s="145" customFormat="1" ht="15.75">
      <c r="A221" s="70" t="s">
        <v>2204</v>
      </c>
      <c r="B221" s="105" t="s">
        <v>5924</v>
      </c>
      <c r="C221" s="72" t="s">
        <v>1544</v>
      </c>
      <c r="D221" s="76"/>
      <c r="E221" s="125">
        <v>0</v>
      </c>
      <c r="F221" s="125">
        <v>69725</v>
      </c>
      <c r="G221" s="125">
        <v>0</v>
      </c>
      <c r="H221" s="125">
        <v>5000000</v>
      </c>
      <c r="I221" s="125">
        <v>8000000</v>
      </c>
    </row>
    <row r="222" spans="1:9" s="145" customFormat="1" ht="15.75">
      <c r="A222" s="70"/>
      <c r="B222" s="105"/>
      <c r="C222" s="72"/>
      <c r="D222" s="76"/>
      <c r="E222" s="125">
        <v>0</v>
      </c>
      <c r="F222" s="125">
        <v>0</v>
      </c>
      <c r="G222" s="125">
        <v>0</v>
      </c>
      <c r="H222" s="125">
        <v>0</v>
      </c>
      <c r="I222" s="125">
        <v>0</v>
      </c>
    </row>
    <row r="223" spans="1:9" s="145" customFormat="1" ht="15.75">
      <c r="A223" s="77" t="s">
        <v>2205</v>
      </c>
      <c r="B223" s="136" t="s">
        <v>5925</v>
      </c>
      <c r="C223" s="72"/>
      <c r="D223" s="76"/>
      <c r="E223" s="125">
        <v>5149096</v>
      </c>
      <c r="F223" s="125">
        <v>195458712</v>
      </c>
      <c r="G223" s="125">
        <v>156125871</v>
      </c>
      <c r="H223" s="125">
        <v>247725000</v>
      </c>
      <c r="I223" s="125">
        <v>251660000</v>
      </c>
    </row>
    <row r="224" spans="1:9" s="145" customFormat="1" ht="15.75">
      <c r="A224" s="70"/>
      <c r="B224" s="105"/>
      <c r="C224" s="72"/>
      <c r="D224" s="76"/>
      <c r="E224" s="125">
        <v>0</v>
      </c>
      <c r="F224" s="125">
        <v>0</v>
      </c>
      <c r="G224" s="125">
        <v>0</v>
      </c>
      <c r="H224" s="125">
        <v>0</v>
      </c>
      <c r="I224" s="125">
        <v>0</v>
      </c>
    </row>
    <row r="225" spans="1:9" s="145" customFormat="1" ht="15.75">
      <c r="A225" s="70" t="s">
        <v>2206</v>
      </c>
      <c r="B225" s="105" t="s">
        <v>5926</v>
      </c>
      <c r="C225" s="72"/>
      <c r="D225" s="76"/>
      <c r="E225" s="125">
        <v>0</v>
      </c>
      <c r="F225" s="125">
        <v>0</v>
      </c>
      <c r="G225" s="125">
        <v>0</v>
      </c>
      <c r="H225" s="125">
        <v>0</v>
      </c>
      <c r="I225" s="125">
        <v>0</v>
      </c>
    </row>
    <row r="226" spans="1:9" s="145" customFormat="1" ht="15.75">
      <c r="A226" s="70" t="s">
        <v>2863</v>
      </c>
      <c r="B226" s="105" t="s">
        <v>5927</v>
      </c>
      <c r="C226" s="72"/>
      <c r="D226" s="76"/>
      <c r="E226" s="125">
        <v>0</v>
      </c>
      <c r="F226" s="125">
        <v>0</v>
      </c>
      <c r="G226" s="125">
        <v>0</v>
      </c>
      <c r="H226" s="125">
        <v>0</v>
      </c>
      <c r="I226" s="125">
        <v>0</v>
      </c>
    </row>
    <row r="227" spans="1:9" s="145" customFormat="1" ht="15.75">
      <c r="A227" s="70" t="s">
        <v>2864</v>
      </c>
      <c r="B227" s="105" t="s">
        <v>5928</v>
      </c>
      <c r="C227" s="72" t="s">
        <v>208</v>
      </c>
      <c r="D227" s="76"/>
      <c r="E227" s="125">
        <v>9988200</v>
      </c>
      <c r="F227" s="125">
        <v>9469580</v>
      </c>
      <c r="G227" s="125">
        <v>10796140</v>
      </c>
      <c r="H227" s="125">
        <v>13900000</v>
      </c>
      <c r="I227" s="125">
        <v>15500000</v>
      </c>
    </row>
    <row r="228" spans="1:9" s="145" customFormat="1" ht="15.75">
      <c r="A228" s="70" t="s">
        <v>2865</v>
      </c>
      <c r="B228" s="105" t="s">
        <v>5929</v>
      </c>
      <c r="C228" s="72" t="s">
        <v>205</v>
      </c>
      <c r="D228" s="76"/>
      <c r="E228" s="125">
        <v>0</v>
      </c>
      <c r="F228" s="125">
        <v>1651180</v>
      </c>
      <c r="G228" s="125">
        <v>2000000</v>
      </c>
      <c r="H228" s="125">
        <v>2000000</v>
      </c>
      <c r="I228" s="125">
        <v>3000000</v>
      </c>
    </row>
    <row r="229" spans="1:9" s="145" customFormat="1" ht="47.25">
      <c r="A229" s="70" t="s">
        <v>2207</v>
      </c>
      <c r="B229" s="105" t="s">
        <v>5930</v>
      </c>
      <c r="C229" s="72" t="s">
        <v>206</v>
      </c>
      <c r="D229" s="76"/>
      <c r="E229" s="125">
        <v>2509237</v>
      </c>
      <c r="F229" s="125">
        <v>2536594</v>
      </c>
      <c r="G229" s="125">
        <v>663601</v>
      </c>
      <c r="H229" s="125">
        <v>2500000</v>
      </c>
      <c r="I229" s="125">
        <v>2500000</v>
      </c>
    </row>
    <row r="230" spans="1:9" s="145" customFormat="1" ht="15.75">
      <c r="A230" s="70" t="s">
        <v>2208</v>
      </c>
      <c r="B230" s="105" t="s">
        <v>5931</v>
      </c>
      <c r="C230" s="72" t="s">
        <v>207</v>
      </c>
      <c r="D230" s="76"/>
      <c r="E230" s="125">
        <v>24299561</v>
      </c>
      <c r="F230" s="125">
        <v>10625000</v>
      </c>
      <c r="G230" s="125">
        <v>7842866</v>
      </c>
      <c r="H230" s="125">
        <v>12500000</v>
      </c>
      <c r="I230" s="125">
        <v>15000000</v>
      </c>
    </row>
    <row r="231" spans="1:9" s="145" customFormat="1" ht="31.5">
      <c r="A231" s="70" t="s">
        <v>2209</v>
      </c>
      <c r="B231" s="105" t="s">
        <v>5932</v>
      </c>
      <c r="C231" s="72" t="s">
        <v>155</v>
      </c>
      <c r="D231" s="76"/>
      <c r="E231" s="125">
        <v>385904</v>
      </c>
      <c r="F231" s="125">
        <v>0</v>
      </c>
      <c r="G231" s="125">
        <v>493098</v>
      </c>
      <c r="H231" s="125">
        <v>1000000</v>
      </c>
      <c r="I231" s="125">
        <v>1000000</v>
      </c>
    </row>
    <row r="232" spans="1:9" s="145" customFormat="1" ht="31.5">
      <c r="A232" s="70" t="s">
        <v>10475</v>
      </c>
      <c r="B232" s="105" t="s">
        <v>5933</v>
      </c>
      <c r="C232" s="72" t="s">
        <v>1120</v>
      </c>
      <c r="D232" s="76"/>
      <c r="E232" s="125">
        <v>939938</v>
      </c>
      <c r="F232" s="125">
        <v>268800</v>
      </c>
      <c r="G232" s="125">
        <v>1455955</v>
      </c>
      <c r="H232" s="125">
        <v>1600000</v>
      </c>
      <c r="I232" s="125">
        <v>2000000</v>
      </c>
    </row>
    <row r="233" spans="1:9" s="145" customFormat="1" ht="31.5">
      <c r="A233" s="70" t="s">
        <v>2866</v>
      </c>
      <c r="B233" s="105" t="s">
        <v>5934</v>
      </c>
      <c r="C233" s="72" t="s">
        <v>1121</v>
      </c>
      <c r="D233" s="76"/>
      <c r="E233" s="125">
        <v>357877</v>
      </c>
      <c r="F233" s="125">
        <v>588397</v>
      </c>
      <c r="G233" s="125">
        <v>657878</v>
      </c>
      <c r="H233" s="125">
        <v>800000</v>
      </c>
      <c r="I233" s="125">
        <v>1500000</v>
      </c>
    </row>
    <row r="234" spans="1:9" s="145" customFormat="1" ht="45">
      <c r="A234" s="73" t="s">
        <v>2867</v>
      </c>
      <c r="B234" s="105" t="s">
        <v>5935</v>
      </c>
      <c r="C234" s="72" t="s">
        <v>1122</v>
      </c>
      <c r="D234" s="76"/>
      <c r="E234" s="125">
        <v>200000</v>
      </c>
      <c r="F234" s="125">
        <v>160201</v>
      </c>
      <c r="G234" s="125">
        <v>400000</v>
      </c>
      <c r="H234" s="125">
        <v>800000</v>
      </c>
      <c r="I234" s="125">
        <v>1500000</v>
      </c>
    </row>
    <row r="235" spans="1:9" s="145" customFormat="1" ht="31.5">
      <c r="A235" s="70" t="s">
        <v>2912</v>
      </c>
      <c r="B235" s="105" t="s">
        <v>5936</v>
      </c>
      <c r="C235" s="72" t="s">
        <v>1123</v>
      </c>
      <c r="D235" s="76"/>
      <c r="E235" s="125">
        <v>0</v>
      </c>
      <c r="F235" s="125">
        <v>1665292</v>
      </c>
      <c r="G235" s="125">
        <v>1560893</v>
      </c>
      <c r="H235" s="125">
        <v>2000000</v>
      </c>
      <c r="I235" s="125">
        <v>2500000</v>
      </c>
    </row>
    <row r="236" spans="1:9" s="145" customFormat="1" ht="47.25">
      <c r="A236" s="70" t="s">
        <v>3677</v>
      </c>
      <c r="B236" s="105" t="s">
        <v>5937</v>
      </c>
      <c r="C236" s="72" t="s">
        <v>4818</v>
      </c>
      <c r="D236" s="76"/>
      <c r="E236" s="125">
        <v>0</v>
      </c>
      <c r="F236" s="125">
        <v>0</v>
      </c>
      <c r="G236" s="125">
        <v>0</v>
      </c>
      <c r="H236" s="125">
        <v>1500000</v>
      </c>
      <c r="I236" s="125">
        <v>1200000</v>
      </c>
    </row>
    <row r="237" spans="1:9" s="145" customFormat="1" ht="47.25">
      <c r="A237" s="70" t="s">
        <v>4668</v>
      </c>
      <c r="B237" s="105" t="s">
        <v>5938</v>
      </c>
      <c r="C237" s="72" t="s">
        <v>4819</v>
      </c>
      <c r="D237" s="76"/>
      <c r="E237" s="125">
        <v>0</v>
      </c>
      <c r="F237" s="125">
        <v>0</v>
      </c>
      <c r="G237" s="125">
        <v>0</v>
      </c>
      <c r="H237" s="125">
        <v>1500000</v>
      </c>
      <c r="I237" s="125">
        <v>1500000</v>
      </c>
    </row>
    <row r="238" spans="1:9" s="145" customFormat="1" ht="47.25">
      <c r="A238" s="70" t="s">
        <v>10476</v>
      </c>
      <c r="B238" s="105" t="s">
        <v>5939</v>
      </c>
      <c r="C238" s="72" t="s">
        <v>4820</v>
      </c>
      <c r="D238" s="76"/>
      <c r="E238" s="125">
        <v>0</v>
      </c>
      <c r="F238" s="125">
        <v>0</v>
      </c>
      <c r="G238" s="125">
        <v>0</v>
      </c>
      <c r="H238" s="125">
        <v>1200000</v>
      </c>
      <c r="I238" s="125">
        <v>1200000</v>
      </c>
    </row>
    <row r="239" spans="1:9" s="145" customFormat="1" ht="15.75">
      <c r="A239" s="70"/>
      <c r="B239" s="105"/>
      <c r="C239" s="72"/>
      <c r="D239" s="76"/>
      <c r="E239" s="125">
        <v>0</v>
      </c>
      <c r="F239" s="125">
        <v>0</v>
      </c>
      <c r="G239" s="125">
        <v>0</v>
      </c>
      <c r="H239" s="125">
        <v>0</v>
      </c>
      <c r="I239" s="125">
        <v>0</v>
      </c>
    </row>
    <row r="240" spans="1:9" s="145" customFormat="1" ht="15.75">
      <c r="A240" s="77" t="s">
        <v>2210</v>
      </c>
      <c r="B240" s="136" t="s">
        <v>5940</v>
      </c>
      <c r="C240" s="72"/>
      <c r="D240" s="76"/>
      <c r="E240" s="125">
        <v>38680717</v>
      </c>
      <c r="F240" s="125">
        <v>26965044</v>
      </c>
      <c r="G240" s="125">
        <v>25870431</v>
      </c>
      <c r="H240" s="125">
        <v>41300000</v>
      </c>
      <c r="I240" s="125">
        <v>48400000</v>
      </c>
    </row>
    <row r="241" spans="1:9" s="145" customFormat="1" ht="15.75">
      <c r="A241" s="70"/>
      <c r="B241" s="105"/>
      <c r="C241" s="72"/>
      <c r="D241" s="76"/>
      <c r="E241" s="125">
        <v>0</v>
      </c>
      <c r="F241" s="125">
        <v>0</v>
      </c>
      <c r="G241" s="125">
        <v>0</v>
      </c>
      <c r="H241" s="125">
        <v>0</v>
      </c>
      <c r="I241" s="125">
        <v>0</v>
      </c>
    </row>
    <row r="242" spans="1:9" s="145" customFormat="1" ht="15.75">
      <c r="A242" s="70" t="s">
        <v>2211</v>
      </c>
      <c r="B242" s="105" t="s">
        <v>5941</v>
      </c>
      <c r="C242" s="72"/>
      <c r="D242" s="76"/>
      <c r="E242" s="125">
        <v>0</v>
      </c>
      <c r="F242" s="125">
        <v>0</v>
      </c>
      <c r="G242" s="125">
        <v>0</v>
      </c>
      <c r="H242" s="125">
        <v>0</v>
      </c>
      <c r="I242" s="125">
        <v>0</v>
      </c>
    </row>
    <row r="243" spans="1:9" s="145" customFormat="1" ht="15.75">
      <c r="A243" s="70" t="s">
        <v>2212</v>
      </c>
      <c r="B243" s="105" t="s">
        <v>5942</v>
      </c>
      <c r="C243" s="72" t="s">
        <v>470</v>
      </c>
      <c r="D243" s="76"/>
      <c r="E243" s="125">
        <v>15096396</v>
      </c>
      <c r="F243" s="125">
        <v>15309263</v>
      </c>
      <c r="G243" s="125">
        <v>16411724</v>
      </c>
      <c r="H243" s="125">
        <v>18500000</v>
      </c>
      <c r="I243" s="125">
        <v>20000000</v>
      </c>
    </row>
    <row r="244" spans="1:9" s="145" customFormat="1" ht="15.75">
      <c r="A244" s="70" t="s">
        <v>2213</v>
      </c>
      <c r="B244" s="105" t="s">
        <v>5943</v>
      </c>
      <c r="C244" s="72" t="s">
        <v>471</v>
      </c>
      <c r="D244" s="76"/>
      <c r="E244" s="125">
        <v>146640</v>
      </c>
      <c r="F244" s="125">
        <v>125895</v>
      </c>
      <c r="G244" s="125">
        <v>48263</v>
      </c>
      <c r="H244" s="125">
        <v>200000</v>
      </c>
      <c r="I244" s="125">
        <v>200000</v>
      </c>
    </row>
    <row r="245" spans="1:9" s="145" customFormat="1" ht="15.75">
      <c r="A245" s="70" t="s">
        <v>2214</v>
      </c>
      <c r="B245" s="105" t="s">
        <v>5944</v>
      </c>
      <c r="C245" s="72" t="s">
        <v>362</v>
      </c>
      <c r="D245" s="76"/>
      <c r="E245" s="125">
        <v>0</v>
      </c>
      <c r="F245" s="125">
        <v>21557</v>
      </c>
      <c r="G245" s="125">
        <v>3302</v>
      </c>
      <c r="H245" s="125">
        <v>100000</v>
      </c>
      <c r="I245" s="125">
        <v>104000</v>
      </c>
    </row>
    <row r="246" spans="1:9" s="145" customFormat="1" ht="31.5">
      <c r="A246" s="70" t="s">
        <v>3686</v>
      </c>
      <c r="B246" s="105" t="s">
        <v>5945</v>
      </c>
      <c r="C246" s="72" t="s">
        <v>737</v>
      </c>
      <c r="D246" s="76"/>
      <c r="E246" s="125">
        <v>0</v>
      </c>
      <c r="F246" s="125">
        <v>0</v>
      </c>
      <c r="G246" s="125">
        <v>0</v>
      </c>
      <c r="H246" s="125">
        <v>100000</v>
      </c>
      <c r="I246" s="125">
        <v>320000</v>
      </c>
    </row>
    <row r="247" spans="1:9" s="145" customFormat="1" ht="15.75">
      <c r="A247" s="70" t="s">
        <v>3685</v>
      </c>
      <c r="B247" s="105" t="s">
        <v>5946</v>
      </c>
      <c r="C247" s="72" t="s">
        <v>738</v>
      </c>
      <c r="D247" s="76"/>
      <c r="E247" s="125">
        <v>30000</v>
      </c>
      <c r="F247" s="125">
        <v>17806</v>
      </c>
      <c r="G247" s="125">
        <v>0</v>
      </c>
      <c r="H247" s="125">
        <v>0</v>
      </c>
      <c r="I247" s="125">
        <v>0</v>
      </c>
    </row>
    <row r="248" spans="1:9" s="145" customFormat="1" ht="15.75">
      <c r="A248" s="70"/>
      <c r="B248" s="105"/>
      <c r="C248" s="72"/>
      <c r="D248" s="76"/>
      <c r="E248" s="125">
        <v>0</v>
      </c>
      <c r="F248" s="125">
        <v>0</v>
      </c>
      <c r="G248" s="125">
        <v>0</v>
      </c>
      <c r="H248" s="125">
        <v>0</v>
      </c>
      <c r="I248" s="125">
        <v>0</v>
      </c>
    </row>
    <row r="249" spans="1:9" s="145" customFormat="1" ht="15.75">
      <c r="A249" s="77" t="s">
        <v>2215</v>
      </c>
      <c r="B249" s="136" t="s">
        <v>5947</v>
      </c>
      <c r="C249" s="72"/>
      <c r="D249" s="76"/>
      <c r="E249" s="125">
        <v>15273036</v>
      </c>
      <c r="F249" s="125">
        <v>15474521</v>
      </c>
      <c r="G249" s="125">
        <v>16463289</v>
      </c>
      <c r="H249" s="125">
        <v>18900000</v>
      </c>
      <c r="I249" s="125">
        <v>20624000</v>
      </c>
    </row>
    <row r="250" spans="1:9" s="145" customFormat="1" ht="15.75">
      <c r="A250" s="70"/>
      <c r="B250" s="105"/>
      <c r="C250" s="72"/>
      <c r="D250" s="76"/>
      <c r="E250" s="125">
        <v>0</v>
      </c>
      <c r="F250" s="125">
        <v>0</v>
      </c>
      <c r="G250" s="125">
        <v>0</v>
      </c>
      <c r="H250" s="125">
        <v>0</v>
      </c>
      <c r="I250" s="125">
        <v>0</v>
      </c>
    </row>
    <row r="251" spans="1:9" s="145" customFormat="1" ht="15.75">
      <c r="A251" s="70" t="s">
        <v>2216</v>
      </c>
      <c r="B251" s="105" t="s">
        <v>5948</v>
      </c>
      <c r="C251" s="72"/>
      <c r="D251" s="76"/>
      <c r="E251" s="125">
        <v>0</v>
      </c>
      <c r="F251" s="125">
        <v>0</v>
      </c>
      <c r="G251" s="125">
        <v>0</v>
      </c>
      <c r="H251" s="125">
        <v>0</v>
      </c>
      <c r="I251" s="125">
        <v>0</v>
      </c>
    </row>
    <row r="252" spans="1:9" s="145" customFormat="1" ht="15.75">
      <c r="A252" s="70" t="s">
        <v>2217</v>
      </c>
      <c r="B252" s="105" t="s">
        <v>5949</v>
      </c>
      <c r="C252" s="72" t="s">
        <v>739</v>
      </c>
      <c r="D252" s="76"/>
      <c r="E252" s="125">
        <v>4347858</v>
      </c>
      <c r="F252" s="125">
        <v>5166008</v>
      </c>
      <c r="G252" s="125">
        <v>6735912</v>
      </c>
      <c r="H252" s="125">
        <v>7500000</v>
      </c>
      <c r="I252" s="125">
        <v>10000000</v>
      </c>
    </row>
    <row r="253" spans="1:9" s="145" customFormat="1" ht="15.75">
      <c r="A253" s="70" t="s">
        <v>2149</v>
      </c>
      <c r="B253" s="105" t="s">
        <v>5885</v>
      </c>
      <c r="C253" s="72" t="s">
        <v>740</v>
      </c>
      <c r="D253" s="76"/>
      <c r="E253" s="125">
        <v>181518</v>
      </c>
      <c r="F253" s="125">
        <v>145242</v>
      </c>
      <c r="G253" s="125">
        <v>159999</v>
      </c>
      <c r="H253" s="125">
        <v>200000</v>
      </c>
      <c r="I253" s="125">
        <v>200000</v>
      </c>
    </row>
    <row r="254" spans="1:9" s="145" customFormat="1" ht="15.75">
      <c r="A254" s="70" t="s">
        <v>2218</v>
      </c>
      <c r="B254" s="105" t="s">
        <v>5950</v>
      </c>
      <c r="C254" s="72" t="s">
        <v>741</v>
      </c>
      <c r="D254" s="76"/>
      <c r="E254" s="125">
        <v>720953</v>
      </c>
      <c r="F254" s="125">
        <v>677461</v>
      </c>
      <c r="G254" s="125">
        <v>377000</v>
      </c>
      <c r="H254" s="125">
        <v>1000000</v>
      </c>
      <c r="I254" s="125">
        <v>800000</v>
      </c>
    </row>
    <row r="255" spans="1:9" s="145" customFormat="1" ht="31.5">
      <c r="A255" s="70" t="s">
        <v>4864</v>
      </c>
      <c r="B255" s="105" t="s">
        <v>5951</v>
      </c>
      <c r="C255" s="72" t="s">
        <v>742</v>
      </c>
      <c r="D255" s="76"/>
      <c r="E255" s="125">
        <v>0</v>
      </c>
      <c r="F255" s="125">
        <v>0</v>
      </c>
      <c r="G255" s="125">
        <v>0</v>
      </c>
      <c r="H255" s="125">
        <v>2500</v>
      </c>
      <c r="I255" s="125">
        <v>20000</v>
      </c>
    </row>
    <row r="256" spans="1:9" s="145" customFormat="1" ht="15.75">
      <c r="A256" s="70" t="s">
        <v>2219</v>
      </c>
      <c r="B256" s="105" t="s">
        <v>5952</v>
      </c>
      <c r="C256" s="72" t="s">
        <v>743</v>
      </c>
      <c r="D256" s="76"/>
      <c r="E256" s="125">
        <v>251735</v>
      </c>
      <c r="F256" s="125">
        <v>202310</v>
      </c>
      <c r="G256" s="125">
        <v>177175</v>
      </c>
      <c r="H256" s="125">
        <v>325000</v>
      </c>
      <c r="I256" s="125">
        <v>280000</v>
      </c>
    </row>
    <row r="257" spans="1:9" s="145" customFormat="1" ht="15.75">
      <c r="A257" s="70" t="s">
        <v>2220</v>
      </c>
      <c r="B257" s="105" t="s">
        <v>5953</v>
      </c>
      <c r="C257" s="72" t="s">
        <v>282</v>
      </c>
      <c r="D257" s="76"/>
      <c r="E257" s="125">
        <v>1664120</v>
      </c>
      <c r="F257" s="125">
        <v>1445000</v>
      </c>
      <c r="G257" s="125">
        <v>3327950</v>
      </c>
      <c r="H257" s="125">
        <v>3500000</v>
      </c>
      <c r="I257" s="125">
        <v>3200000</v>
      </c>
    </row>
    <row r="258" spans="1:9" s="145" customFormat="1" ht="15.75">
      <c r="A258" s="70" t="s">
        <v>2221</v>
      </c>
      <c r="B258" s="105" t="s">
        <v>5954</v>
      </c>
      <c r="C258" s="72" t="s">
        <v>283</v>
      </c>
      <c r="D258" s="76"/>
      <c r="E258" s="125">
        <v>5810000</v>
      </c>
      <c r="F258" s="125">
        <v>5372500</v>
      </c>
      <c r="G258" s="125">
        <v>5442500</v>
      </c>
      <c r="H258" s="125">
        <v>10000000</v>
      </c>
      <c r="I258" s="125">
        <v>8000000</v>
      </c>
    </row>
    <row r="259" spans="1:9" s="145" customFormat="1" ht="15.75">
      <c r="A259" s="70" t="s">
        <v>2222</v>
      </c>
      <c r="B259" s="105" t="s">
        <v>5955</v>
      </c>
      <c r="C259" s="72" t="s">
        <v>161</v>
      </c>
      <c r="D259" s="76"/>
      <c r="E259" s="125">
        <v>0</v>
      </c>
      <c r="F259" s="125">
        <v>0</v>
      </c>
      <c r="G259" s="125">
        <v>0</v>
      </c>
      <c r="H259" s="125">
        <v>2500000</v>
      </c>
      <c r="I259" s="125">
        <v>2000000</v>
      </c>
    </row>
    <row r="260" spans="1:9" s="145" customFormat="1" ht="31.5">
      <c r="A260" s="70" t="s">
        <v>2223</v>
      </c>
      <c r="B260" s="105"/>
      <c r="C260" s="72" t="s">
        <v>1058</v>
      </c>
      <c r="D260" s="76"/>
      <c r="E260" s="125">
        <v>0</v>
      </c>
      <c r="F260" s="125">
        <v>0</v>
      </c>
      <c r="G260" s="125">
        <v>0</v>
      </c>
      <c r="H260" s="125">
        <v>0</v>
      </c>
      <c r="I260" s="125">
        <v>2000000</v>
      </c>
    </row>
    <row r="261" spans="1:9" s="148" customFormat="1" ht="31.5">
      <c r="A261" s="74" t="s">
        <v>12668</v>
      </c>
      <c r="B261" s="135" t="s">
        <v>5956</v>
      </c>
      <c r="C261" s="72" t="s">
        <v>1298</v>
      </c>
      <c r="D261" s="147"/>
      <c r="E261" s="125">
        <v>1247496</v>
      </c>
      <c r="F261" s="125">
        <v>72869</v>
      </c>
      <c r="G261" s="125">
        <v>0</v>
      </c>
      <c r="H261" s="125">
        <v>2500000</v>
      </c>
      <c r="I261" s="125">
        <v>0</v>
      </c>
    </row>
    <row r="262" spans="1:9" s="148" customFormat="1" ht="31.5">
      <c r="A262" s="74" t="s">
        <v>2224</v>
      </c>
      <c r="B262" s="135" t="s">
        <v>5957</v>
      </c>
      <c r="C262" s="72" t="s">
        <v>1299</v>
      </c>
      <c r="D262" s="147"/>
      <c r="E262" s="125">
        <v>225667</v>
      </c>
      <c r="F262" s="125">
        <v>221000</v>
      </c>
      <c r="G262" s="125">
        <v>203874</v>
      </c>
      <c r="H262" s="125">
        <v>500000</v>
      </c>
      <c r="I262" s="125">
        <v>400000</v>
      </c>
    </row>
    <row r="263" spans="1:9" s="148" customFormat="1" ht="15.75">
      <c r="A263" s="74" t="s">
        <v>2225</v>
      </c>
      <c r="B263" s="135" t="s">
        <v>5958</v>
      </c>
      <c r="C263" s="72" t="s">
        <v>1300</v>
      </c>
      <c r="D263" s="147"/>
      <c r="E263" s="125">
        <v>10490</v>
      </c>
      <c r="F263" s="125">
        <v>1785</v>
      </c>
      <c r="G263" s="125">
        <v>3725</v>
      </c>
      <c r="H263" s="125">
        <v>1000000</v>
      </c>
      <c r="I263" s="125">
        <v>800000</v>
      </c>
    </row>
    <row r="264" spans="1:9" s="148" customFormat="1" ht="31.5">
      <c r="A264" s="74" t="s">
        <v>2226</v>
      </c>
      <c r="B264" s="135" t="s">
        <v>5959</v>
      </c>
      <c r="C264" s="72" t="s">
        <v>1393</v>
      </c>
      <c r="D264" s="147"/>
      <c r="E264" s="125">
        <v>0</v>
      </c>
      <c r="F264" s="125">
        <v>0</v>
      </c>
      <c r="G264" s="125">
        <v>0</v>
      </c>
      <c r="H264" s="125">
        <v>5000000</v>
      </c>
      <c r="I264" s="125">
        <v>0</v>
      </c>
    </row>
    <row r="265" spans="1:9" s="148" customFormat="1" ht="15.75">
      <c r="A265" s="74" t="s">
        <v>2227</v>
      </c>
      <c r="B265" s="135" t="s">
        <v>5960</v>
      </c>
      <c r="C265" s="72" t="s">
        <v>1364</v>
      </c>
      <c r="D265" s="147"/>
      <c r="E265" s="125">
        <v>308365</v>
      </c>
      <c r="F265" s="125">
        <v>568816</v>
      </c>
      <c r="G265" s="125">
        <v>1208367</v>
      </c>
      <c r="H265" s="125">
        <v>2500000</v>
      </c>
      <c r="I265" s="125">
        <v>2000000</v>
      </c>
    </row>
    <row r="266" spans="1:9" s="148" customFormat="1" ht="31.5">
      <c r="A266" s="74" t="s">
        <v>2228</v>
      </c>
      <c r="B266" s="135" t="s">
        <v>5961</v>
      </c>
      <c r="C266" s="72" t="s">
        <v>1365</v>
      </c>
      <c r="D266" s="147"/>
      <c r="E266" s="125">
        <v>0</v>
      </c>
      <c r="F266" s="125">
        <v>0</v>
      </c>
      <c r="G266" s="125">
        <v>109852</v>
      </c>
      <c r="H266" s="125">
        <v>200000</v>
      </c>
      <c r="I266" s="125">
        <v>400000</v>
      </c>
    </row>
    <row r="267" spans="1:9" s="148" customFormat="1" ht="47.25">
      <c r="A267" s="74" t="s">
        <v>2229</v>
      </c>
      <c r="B267" s="135" t="s">
        <v>5962</v>
      </c>
      <c r="C267" s="72" t="s">
        <v>1646</v>
      </c>
      <c r="D267" s="147"/>
      <c r="E267" s="125">
        <v>0</v>
      </c>
      <c r="F267" s="125">
        <v>0</v>
      </c>
      <c r="G267" s="125">
        <v>0</v>
      </c>
      <c r="H267" s="125">
        <v>2500000</v>
      </c>
      <c r="I267" s="125">
        <v>0</v>
      </c>
    </row>
    <row r="268" spans="1:9" s="148" customFormat="1" ht="47.25">
      <c r="A268" s="74" t="s">
        <v>5111</v>
      </c>
      <c r="B268" s="135" t="s">
        <v>5963</v>
      </c>
      <c r="C268" s="72" t="s">
        <v>1787</v>
      </c>
      <c r="D268" s="147" t="s">
        <v>862</v>
      </c>
      <c r="E268" s="125">
        <v>0</v>
      </c>
      <c r="F268" s="125">
        <v>0</v>
      </c>
      <c r="G268" s="125">
        <v>60040</v>
      </c>
      <c r="H268" s="125">
        <v>1000000</v>
      </c>
      <c r="I268" s="125">
        <v>800000</v>
      </c>
    </row>
    <row r="269" spans="1:9" s="148" customFormat="1" ht="63">
      <c r="A269" s="74" t="s">
        <v>5252</v>
      </c>
      <c r="B269" s="135" t="s">
        <v>5964</v>
      </c>
      <c r="C269" s="72" t="s">
        <v>5251</v>
      </c>
      <c r="D269" s="147"/>
      <c r="E269" s="125">
        <v>0</v>
      </c>
      <c r="F269" s="125">
        <v>0</v>
      </c>
      <c r="G269" s="125">
        <v>0</v>
      </c>
      <c r="H269" s="125">
        <v>4000000</v>
      </c>
      <c r="I269" s="125">
        <v>0</v>
      </c>
    </row>
    <row r="270" spans="1:9" s="145" customFormat="1" ht="15.75">
      <c r="A270" s="70"/>
      <c r="B270" s="105"/>
      <c r="C270" s="72"/>
      <c r="D270" s="76"/>
      <c r="E270" s="125">
        <v>0</v>
      </c>
      <c r="F270" s="125">
        <v>0</v>
      </c>
      <c r="G270" s="125">
        <v>0</v>
      </c>
      <c r="H270" s="125">
        <v>0</v>
      </c>
      <c r="I270" s="125">
        <v>0</v>
      </c>
    </row>
    <row r="271" spans="1:9" s="145" customFormat="1" ht="15.75">
      <c r="A271" s="77" t="s">
        <v>2230</v>
      </c>
      <c r="B271" s="136" t="s">
        <v>5965</v>
      </c>
      <c r="C271" s="72"/>
      <c r="D271" s="76"/>
      <c r="E271" s="125">
        <v>14768202</v>
      </c>
      <c r="F271" s="125">
        <v>13872991</v>
      </c>
      <c r="G271" s="125">
        <v>17806394</v>
      </c>
      <c r="H271" s="125">
        <v>44227500</v>
      </c>
      <c r="I271" s="125">
        <v>30900000</v>
      </c>
    </row>
    <row r="272" spans="1:9" s="145" customFormat="1" ht="15.75">
      <c r="A272" s="70"/>
      <c r="B272" s="105"/>
      <c r="C272" s="72"/>
      <c r="D272" s="76"/>
      <c r="E272" s="125">
        <v>0</v>
      </c>
      <c r="F272" s="125">
        <v>0</v>
      </c>
      <c r="G272" s="125">
        <v>0</v>
      </c>
      <c r="H272" s="125">
        <v>0</v>
      </c>
      <c r="I272" s="125">
        <v>0</v>
      </c>
    </row>
    <row r="273" spans="1:9" s="145" customFormat="1" ht="15.75">
      <c r="A273" s="70" t="s">
        <v>2231</v>
      </c>
      <c r="B273" s="105" t="s">
        <v>5966</v>
      </c>
      <c r="C273" s="72"/>
      <c r="D273" s="76"/>
      <c r="E273" s="125">
        <v>0</v>
      </c>
      <c r="F273" s="125">
        <v>0</v>
      </c>
      <c r="G273" s="125">
        <v>0</v>
      </c>
      <c r="H273" s="125">
        <v>0</v>
      </c>
      <c r="I273" s="125">
        <v>0</v>
      </c>
    </row>
    <row r="274" spans="1:9" s="145" customFormat="1" ht="15.75">
      <c r="A274" s="70" t="s">
        <v>2232</v>
      </c>
      <c r="B274" s="105" t="s">
        <v>5967</v>
      </c>
      <c r="C274" s="72"/>
      <c r="D274" s="76"/>
      <c r="E274" s="125">
        <v>0</v>
      </c>
      <c r="F274" s="125">
        <v>0</v>
      </c>
      <c r="G274" s="125">
        <v>0</v>
      </c>
      <c r="H274" s="125">
        <v>0</v>
      </c>
      <c r="I274" s="125">
        <v>0</v>
      </c>
    </row>
    <row r="275" spans="1:9" s="145" customFormat="1" ht="15.75">
      <c r="A275" s="70" t="s">
        <v>2233</v>
      </c>
      <c r="B275" s="105" t="s">
        <v>5968</v>
      </c>
      <c r="C275" s="72" t="s">
        <v>284</v>
      </c>
      <c r="D275" s="76"/>
      <c r="E275" s="125">
        <v>6068439</v>
      </c>
      <c r="F275" s="125">
        <v>8012107</v>
      </c>
      <c r="G275" s="125">
        <v>8447047</v>
      </c>
      <c r="H275" s="125">
        <v>8500000</v>
      </c>
      <c r="I275" s="125">
        <v>10000000</v>
      </c>
    </row>
    <row r="276" spans="1:9" s="145" customFormat="1" ht="15.75">
      <c r="A276" s="70" t="s">
        <v>2213</v>
      </c>
      <c r="B276" s="105" t="s">
        <v>5969</v>
      </c>
      <c r="C276" s="72" t="s">
        <v>285</v>
      </c>
      <c r="D276" s="76"/>
      <c r="E276" s="125">
        <v>232844</v>
      </c>
      <c r="F276" s="125">
        <v>251996</v>
      </c>
      <c r="G276" s="125">
        <v>149891</v>
      </c>
      <c r="H276" s="125">
        <v>300000</v>
      </c>
      <c r="I276" s="125">
        <v>300000</v>
      </c>
    </row>
    <row r="277" spans="1:9" s="145" customFormat="1" ht="31.5">
      <c r="A277" s="70" t="s">
        <v>2234</v>
      </c>
      <c r="B277" s="105" t="s">
        <v>5970</v>
      </c>
      <c r="C277" s="72" t="s">
        <v>286</v>
      </c>
      <c r="D277" s="76"/>
      <c r="E277" s="125">
        <v>2112</v>
      </c>
      <c r="F277" s="125">
        <v>0</v>
      </c>
      <c r="G277" s="125">
        <v>0</v>
      </c>
      <c r="H277" s="125">
        <v>10000</v>
      </c>
      <c r="I277" s="125">
        <v>8000</v>
      </c>
    </row>
    <row r="278" spans="1:9" s="145" customFormat="1" ht="15.75">
      <c r="A278" s="70" t="s">
        <v>2235</v>
      </c>
      <c r="B278" s="105" t="s">
        <v>5971</v>
      </c>
      <c r="C278" s="72" t="s">
        <v>287</v>
      </c>
      <c r="D278" s="76"/>
      <c r="E278" s="125">
        <v>60000</v>
      </c>
      <c r="F278" s="125">
        <v>0</v>
      </c>
      <c r="G278" s="125">
        <v>0</v>
      </c>
      <c r="H278" s="125">
        <v>300000</v>
      </c>
      <c r="I278" s="125">
        <v>240000</v>
      </c>
    </row>
    <row r="279" spans="1:9" s="145" customFormat="1" ht="15.75">
      <c r="A279" s="70" t="s">
        <v>2236</v>
      </c>
      <c r="B279" s="105" t="s">
        <v>5972</v>
      </c>
      <c r="C279" s="72" t="s">
        <v>288</v>
      </c>
      <c r="D279" s="76"/>
      <c r="E279" s="125">
        <v>30689663</v>
      </c>
      <c r="F279" s="125">
        <v>35677509</v>
      </c>
      <c r="G279" s="125">
        <v>29854990</v>
      </c>
      <c r="H279" s="125">
        <v>45000000</v>
      </c>
      <c r="I279" s="125">
        <v>40000000</v>
      </c>
    </row>
    <row r="280" spans="1:9" s="145" customFormat="1" ht="15.75">
      <c r="A280" s="70" t="s">
        <v>2237</v>
      </c>
      <c r="B280" s="105" t="s">
        <v>5973</v>
      </c>
      <c r="C280" s="72" t="s">
        <v>289</v>
      </c>
      <c r="D280" s="76"/>
      <c r="E280" s="125">
        <v>0</v>
      </c>
      <c r="F280" s="125">
        <v>6720</v>
      </c>
      <c r="G280" s="125">
        <v>218320</v>
      </c>
      <c r="H280" s="125">
        <v>300000</v>
      </c>
      <c r="I280" s="125">
        <v>240000</v>
      </c>
    </row>
    <row r="281" spans="1:9" s="145" customFormat="1" ht="31.5">
      <c r="A281" s="70" t="s">
        <v>2238</v>
      </c>
      <c r="B281" s="105" t="s">
        <v>5974</v>
      </c>
      <c r="C281" s="72" t="s">
        <v>1924</v>
      </c>
      <c r="D281" s="76"/>
      <c r="E281" s="125">
        <v>0</v>
      </c>
      <c r="F281" s="125">
        <v>0</v>
      </c>
      <c r="G281" s="125">
        <v>8492862</v>
      </c>
      <c r="H281" s="125">
        <v>0</v>
      </c>
      <c r="I281" s="125">
        <v>0</v>
      </c>
    </row>
    <row r="282" spans="1:9" s="145" customFormat="1" ht="31.5">
      <c r="A282" s="70" t="s">
        <v>5200</v>
      </c>
      <c r="B282" s="105" t="s">
        <v>5975</v>
      </c>
      <c r="C282" s="72" t="s">
        <v>5199</v>
      </c>
      <c r="D282" s="76"/>
      <c r="E282" s="125">
        <v>0</v>
      </c>
      <c r="F282" s="125">
        <v>0</v>
      </c>
      <c r="G282" s="125">
        <v>0</v>
      </c>
      <c r="H282" s="125">
        <v>7500000</v>
      </c>
      <c r="I282" s="125">
        <v>0</v>
      </c>
    </row>
    <row r="283" spans="1:9" s="145" customFormat="1" ht="15.75">
      <c r="A283" s="77" t="s">
        <v>2239</v>
      </c>
      <c r="B283" s="136" t="s">
        <v>5976</v>
      </c>
      <c r="C283" s="72"/>
      <c r="D283" s="76"/>
      <c r="E283" s="125">
        <v>37053058</v>
      </c>
      <c r="F283" s="125">
        <v>43948332</v>
      </c>
      <c r="G283" s="125">
        <v>47163110</v>
      </c>
      <c r="H283" s="125">
        <v>61910000</v>
      </c>
      <c r="I283" s="125">
        <v>50788000</v>
      </c>
    </row>
    <row r="284" spans="1:9" s="145" customFormat="1" ht="15.75">
      <c r="A284" s="70"/>
      <c r="B284" s="105"/>
      <c r="C284" s="72"/>
      <c r="D284" s="76"/>
      <c r="E284" s="125">
        <v>0</v>
      </c>
      <c r="F284" s="125">
        <v>0</v>
      </c>
      <c r="G284" s="125">
        <v>0</v>
      </c>
      <c r="H284" s="125">
        <v>0</v>
      </c>
      <c r="I284" s="125">
        <v>0</v>
      </c>
    </row>
    <row r="285" spans="1:9" s="145" customFormat="1" ht="15.75">
      <c r="A285" s="70" t="s">
        <v>2240</v>
      </c>
      <c r="B285" s="105" t="s">
        <v>5977</v>
      </c>
      <c r="C285" s="72"/>
      <c r="D285" s="76"/>
      <c r="E285" s="125">
        <v>0</v>
      </c>
      <c r="F285" s="125">
        <v>0</v>
      </c>
      <c r="G285" s="125">
        <v>0</v>
      </c>
      <c r="H285" s="125">
        <v>0</v>
      </c>
      <c r="I285" s="125">
        <v>0</v>
      </c>
    </row>
    <row r="286" spans="1:9" s="145" customFormat="1" ht="15.75">
      <c r="A286" s="70" t="s">
        <v>2148</v>
      </c>
      <c r="B286" s="105" t="s">
        <v>5855</v>
      </c>
      <c r="C286" s="72" t="s">
        <v>233</v>
      </c>
      <c r="D286" s="76"/>
      <c r="E286" s="125">
        <v>5159715</v>
      </c>
      <c r="F286" s="125">
        <v>4791118</v>
      </c>
      <c r="G286" s="125">
        <v>5376247</v>
      </c>
      <c r="H286" s="125">
        <v>5500000</v>
      </c>
      <c r="I286" s="125">
        <v>7500000</v>
      </c>
    </row>
    <row r="287" spans="1:9" s="145" customFormat="1" ht="15.75">
      <c r="A287" s="70" t="s">
        <v>2149</v>
      </c>
      <c r="B287" s="105" t="s">
        <v>5885</v>
      </c>
      <c r="C287" s="72" t="s">
        <v>889</v>
      </c>
      <c r="D287" s="76"/>
      <c r="E287" s="125">
        <v>218060</v>
      </c>
      <c r="F287" s="125">
        <v>202062</v>
      </c>
      <c r="G287" s="125">
        <v>96834</v>
      </c>
      <c r="H287" s="125">
        <v>250000</v>
      </c>
      <c r="I287" s="125">
        <v>250000</v>
      </c>
    </row>
    <row r="288" spans="1:9" s="145" customFormat="1" ht="90">
      <c r="A288" s="73" t="s">
        <v>2241</v>
      </c>
      <c r="B288" s="105" t="s">
        <v>5978</v>
      </c>
      <c r="C288" s="72" t="s">
        <v>926</v>
      </c>
      <c r="D288" s="76"/>
      <c r="E288" s="125">
        <v>57976748</v>
      </c>
      <c r="F288" s="125">
        <v>70547437</v>
      </c>
      <c r="G288" s="125">
        <v>79852212</v>
      </c>
      <c r="H288" s="125">
        <v>200000000</v>
      </c>
      <c r="I288" s="125">
        <v>404400000</v>
      </c>
    </row>
    <row r="289" spans="1:9" s="145" customFormat="1" ht="31.5">
      <c r="A289" s="70" t="s">
        <v>10447</v>
      </c>
      <c r="B289" s="105" t="s">
        <v>5979</v>
      </c>
      <c r="C289" s="72" t="s">
        <v>1647</v>
      </c>
      <c r="D289" s="76"/>
      <c r="E289" s="125">
        <v>0</v>
      </c>
      <c r="F289" s="125">
        <v>919900</v>
      </c>
      <c r="G289" s="125">
        <v>0</v>
      </c>
      <c r="H289" s="125">
        <v>0</v>
      </c>
      <c r="I289" s="125">
        <v>0</v>
      </c>
    </row>
    <row r="290" spans="1:9" s="145" customFormat="1" ht="31.5">
      <c r="A290" s="70" t="s">
        <v>10448</v>
      </c>
      <c r="B290" s="105" t="s">
        <v>5980</v>
      </c>
      <c r="C290" s="72" t="s">
        <v>1648</v>
      </c>
      <c r="D290" s="76"/>
      <c r="E290" s="125">
        <v>0</v>
      </c>
      <c r="F290" s="125">
        <v>899900</v>
      </c>
      <c r="G290" s="125">
        <v>0</v>
      </c>
      <c r="H290" s="125">
        <v>0</v>
      </c>
      <c r="I290" s="125">
        <v>0</v>
      </c>
    </row>
    <row r="291" spans="1:9" s="145" customFormat="1" ht="31.5">
      <c r="A291" s="70" t="s">
        <v>10449</v>
      </c>
      <c r="B291" s="105" t="s">
        <v>5981</v>
      </c>
      <c r="C291" s="72" t="s">
        <v>1649</v>
      </c>
      <c r="D291" s="76"/>
      <c r="E291" s="125">
        <v>0</v>
      </c>
      <c r="F291" s="125">
        <v>424450</v>
      </c>
      <c r="G291" s="125">
        <v>0</v>
      </c>
      <c r="H291" s="125">
        <v>0</v>
      </c>
      <c r="I291" s="125">
        <v>0</v>
      </c>
    </row>
    <row r="292" spans="1:9" s="145" customFormat="1" ht="63">
      <c r="A292" s="70" t="s">
        <v>10453</v>
      </c>
      <c r="B292" s="105" t="s">
        <v>5982</v>
      </c>
      <c r="C292" s="72" t="s">
        <v>1650</v>
      </c>
      <c r="D292" s="76"/>
      <c r="E292" s="125">
        <v>0</v>
      </c>
      <c r="F292" s="125">
        <v>899900</v>
      </c>
      <c r="G292" s="125">
        <v>0</v>
      </c>
      <c r="H292" s="125">
        <v>0</v>
      </c>
      <c r="I292" s="125">
        <v>0</v>
      </c>
    </row>
    <row r="293" spans="1:9" s="145" customFormat="1" ht="47.25">
      <c r="A293" s="70" t="s">
        <v>10452</v>
      </c>
      <c r="B293" s="105" t="s">
        <v>5983</v>
      </c>
      <c r="C293" s="72" t="s">
        <v>1651</v>
      </c>
      <c r="D293" s="76"/>
      <c r="E293" s="125">
        <v>0</v>
      </c>
      <c r="F293" s="125">
        <v>1697800</v>
      </c>
      <c r="G293" s="125">
        <v>0</v>
      </c>
      <c r="H293" s="125">
        <v>0</v>
      </c>
      <c r="I293" s="125">
        <v>0</v>
      </c>
    </row>
    <row r="294" spans="1:9" s="145" customFormat="1" ht="31.5">
      <c r="A294" s="70" t="s">
        <v>10450</v>
      </c>
      <c r="B294" s="105" t="s">
        <v>5984</v>
      </c>
      <c r="C294" s="72" t="s">
        <v>1652</v>
      </c>
      <c r="D294" s="76"/>
      <c r="E294" s="125">
        <v>0</v>
      </c>
      <c r="F294" s="125">
        <v>1904505</v>
      </c>
      <c r="G294" s="125">
        <v>0</v>
      </c>
      <c r="H294" s="125">
        <v>0</v>
      </c>
      <c r="I294" s="125">
        <v>0</v>
      </c>
    </row>
    <row r="295" spans="1:9" s="145" customFormat="1" ht="31.5">
      <c r="A295" s="70" t="s">
        <v>10451</v>
      </c>
      <c r="B295" s="105" t="s">
        <v>5985</v>
      </c>
      <c r="C295" s="72" t="s">
        <v>1925</v>
      </c>
      <c r="D295" s="76"/>
      <c r="E295" s="125">
        <v>0</v>
      </c>
      <c r="F295" s="125">
        <v>848900</v>
      </c>
      <c r="G295" s="125">
        <v>0</v>
      </c>
      <c r="H295" s="125">
        <v>0</v>
      </c>
      <c r="I295" s="125">
        <v>0</v>
      </c>
    </row>
    <row r="296" spans="1:9" s="145" customFormat="1" ht="31.5">
      <c r="A296" s="70" t="s">
        <v>2242</v>
      </c>
      <c r="B296" s="105" t="s">
        <v>5986</v>
      </c>
      <c r="C296" s="72" t="s">
        <v>1926</v>
      </c>
      <c r="D296" s="76"/>
      <c r="E296" s="125">
        <v>0</v>
      </c>
      <c r="F296" s="125">
        <v>0</v>
      </c>
      <c r="G296" s="125">
        <v>2382746</v>
      </c>
      <c r="H296" s="125">
        <v>0</v>
      </c>
      <c r="I296" s="125">
        <v>0</v>
      </c>
    </row>
    <row r="297" spans="1:9" s="145" customFormat="1" ht="31.5">
      <c r="A297" s="70" t="s">
        <v>5202</v>
      </c>
      <c r="B297" s="105" t="s">
        <v>5987</v>
      </c>
      <c r="C297" s="72" t="s">
        <v>5201</v>
      </c>
      <c r="D297" s="76"/>
      <c r="E297" s="125">
        <v>0</v>
      </c>
      <c r="F297" s="125">
        <v>0</v>
      </c>
      <c r="G297" s="125">
        <v>0</v>
      </c>
      <c r="H297" s="125">
        <v>68500000</v>
      </c>
      <c r="I297" s="125">
        <v>0</v>
      </c>
    </row>
    <row r="298" spans="1:9" s="145" customFormat="1" ht="31.5">
      <c r="A298" s="70" t="s">
        <v>5247</v>
      </c>
      <c r="B298" s="105" t="s">
        <v>5988</v>
      </c>
      <c r="C298" s="72" t="s">
        <v>5248</v>
      </c>
      <c r="D298" s="76"/>
      <c r="E298" s="125">
        <v>0</v>
      </c>
      <c r="F298" s="125">
        <v>0</v>
      </c>
      <c r="G298" s="125">
        <v>0</v>
      </c>
      <c r="H298" s="125">
        <v>80000000</v>
      </c>
      <c r="I298" s="125">
        <v>0</v>
      </c>
    </row>
    <row r="299" spans="1:9" s="145" customFormat="1" ht="47.25">
      <c r="A299" s="70" t="s">
        <v>12621</v>
      </c>
      <c r="B299" s="105"/>
      <c r="C299" s="72" t="s">
        <v>12643</v>
      </c>
      <c r="D299" s="76"/>
      <c r="E299" s="125">
        <v>0</v>
      </c>
      <c r="F299" s="125">
        <v>0</v>
      </c>
      <c r="G299" s="125">
        <v>0</v>
      </c>
      <c r="H299" s="125">
        <v>0</v>
      </c>
      <c r="I299" s="125">
        <v>48000000</v>
      </c>
    </row>
    <row r="300" spans="1:9" s="145" customFormat="1" ht="15.75">
      <c r="A300" s="70"/>
      <c r="B300" s="105"/>
      <c r="C300" s="72"/>
      <c r="D300" s="76"/>
      <c r="E300" s="125">
        <v>0</v>
      </c>
      <c r="F300" s="125">
        <v>0</v>
      </c>
      <c r="G300" s="125">
        <v>0</v>
      </c>
      <c r="H300" s="125">
        <v>0</v>
      </c>
      <c r="I300" s="125">
        <v>0</v>
      </c>
    </row>
    <row r="301" spans="1:9" s="145" customFormat="1" ht="15.75">
      <c r="A301" s="77" t="s">
        <v>3125</v>
      </c>
      <c r="B301" s="136" t="s">
        <v>5989</v>
      </c>
      <c r="C301" s="72"/>
      <c r="D301" s="76"/>
      <c r="E301" s="125">
        <v>63354523</v>
      </c>
      <c r="F301" s="125">
        <v>83135972</v>
      </c>
      <c r="G301" s="125">
        <v>87708039</v>
      </c>
      <c r="H301" s="125">
        <v>354250000</v>
      </c>
      <c r="I301" s="125">
        <v>460150000</v>
      </c>
    </row>
    <row r="302" spans="1:9" s="145" customFormat="1" ht="15.75">
      <c r="A302" s="70"/>
      <c r="B302" s="105"/>
      <c r="C302" s="72"/>
      <c r="D302" s="76"/>
      <c r="E302" s="125">
        <v>0</v>
      </c>
      <c r="F302" s="125">
        <v>0</v>
      </c>
      <c r="G302" s="125">
        <v>0</v>
      </c>
      <c r="H302" s="125">
        <v>0</v>
      </c>
      <c r="I302" s="125">
        <v>0</v>
      </c>
    </row>
    <row r="303" spans="1:9" s="145" customFormat="1" ht="47.25">
      <c r="A303" s="70" t="s">
        <v>3126</v>
      </c>
      <c r="B303" s="105" t="s">
        <v>5990</v>
      </c>
      <c r="C303" s="72" t="s">
        <v>416</v>
      </c>
      <c r="D303" s="76"/>
      <c r="E303" s="125">
        <v>4553868</v>
      </c>
      <c r="F303" s="125">
        <v>5641720</v>
      </c>
      <c r="G303" s="125">
        <v>5312736</v>
      </c>
      <c r="H303" s="125">
        <v>7072000</v>
      </c>
      <c r="I303" s="125">
        <v>6000000</v>
      </c>
    </row>
    <row r="304" spans="1:9" s="145" customFormat="1" ht="15.75">
      <c r="A304" s="77" t="s">
        <v>2243</v>
      </c>
      <c r="B304" s="136" t="s">
        <v>5991</v>
      </c>
      <c r="C304" s="72"/>
      <c r="D304" s="76"/>
      <c r="E304" s="125">
        <v>4553868</v>
      </c>
      <c r="F304" s="125">
        <v>5641720</v>
      </c>
      <c r="G304" s="125">
        <v>5312736</v>
      </c>
      <c r="H304" s="125">
        <v>7072000</v>
      </c>
      <c r="I304" s="125">
        <v>6000000</v>
      </c>
    </row>
    <row r="305" spans="1:9" s="145" customFormat="1" ht="15.75">
      <c r="A305" s="70"/>
      <c r="B305" s="105"/>
      <c r="C305" s="72"/>
      <c r="D305" s="76"/>
      <c r="E305" s="125">
        <v>0</v>
      </c>
      <c r="F305" s="125">
        <v>0</v>
      </c>
      <c r="G305" s="125">
        <v>0</v>
      </c>
      <c r="H305" s="125">
        <v>0</v>
      </c>
      <c r="I305" s="125">
        <v>0</v>
      </c>
    </row>
    <row r="306" spans="1:9" s="145" customFormat="1" ht="15.75">
      <c r="A306" s="70" t="s">
        <v>2244</v>
      </c>
      <c r="B306" s="105" t="s">
        <v>5992</v>
      </c>
      <c r="C306" s="72"/>
      <c r="D306" s="76"/>
      <c r="E306" s="125">
        <v>0</v>
      </c>
      <c r="F306" s="125">
        <v>0</v>
      </c>
      <c r="G306" s="125">
        <v>0</v>
      </c>
      <c r="H306" s="125">
        <v>0</v>
      </c>
      <c r="I306" s="125">
        <v>0</v>
      </c>
    </row>
    <row r="307" spans="1:9" s="145" customFormat="1" ht="15.75">
      <c r="A307" s="70" t="s">
        <v>2148</v>
      </c>
      <c r="B307" s="105" t="s">
        <v>5855</v>
      </c>
      <c r="C307" s="72" t="s">
        <v>417</v>
      </c>
      <c r="D307" s="76"/>
      <c r="E307" s="125">
        <v>8042154</v>
      </c>
      <c r="F307" s="125">
        <v>8816429</v>
      </c>
      <c r="G307" s="125">
        <v>10898800</v>
      </c>
      <c r="H307" s="125">
        <v>11500000</v>
      </c>
      <c r="I307" s="125">
        <v>15000000</v>
      </c>
    </row>
    <row r="308" spans="1:9" s="145" customFormat="1" ht="15.75">
      <c r="A308" s="70" t="s">
        <v>2149</v>
      </c>
      <c r="B308" s="105" t="s">
        <v>5885</v>
      </c>
      <c r="C308" s="72" t="s">
        <v>418</v>
      </c>
      <c r="D308" s="76"/>
      <c r="E308" s="125">
        <v>257102</v>
      </c>
      <c r="F308" s="125">
        <v>406412</v>
      </c>
      <c r="G308" s="125">
        <v>846965</v>
      </c>
      <c r="H308" s="125">
        <v>500000</v>
      </c>
      <c r="I308" s="125">
        <v>500000</v>
      </c>
    </row>
    <row r="309" spans="1:9" s="145" customFormat="1" ht="15.75">
      <c r="A309" s="70" t="s">
        <v>2245</v>
      </c>
      <c r="B309" s="105" t="s">
        <v>5993</v>
      </c>
      <c r="C309" s="72" t="s">
        <v>419</v>
      </c>
      <c r="D309" s="76"/>
      <c r="E309" s="125">
        <v>18536197</v>
      </c>
      <c r="F309" s="125">
        <v>17444269</v>
      </c>
      <c r="G309" s="125">
        <v>16966925</v>
      </c>
      <c r="H309" s="125">
        <v>32500000</v>
      </c>
      <c r="I309" s="125">
        <v>32000000</v>
      </c>
    </row>
    <row r="310" spans="1:9" s="145" customFormat="1" ht="31.5">
      <c r="A310" s="70" t="s">
        <v>2246</v>
      </c>
      <c r="B310" s="105" t="s">
        <v>5994</v>
      </c>
      <c r="C310" s="72" t="s">
        <v>1301</v>
      </c>
      <c r="D310" s="76"/>
      <c r="E310" s="125">
        <v>1769009</v>
      </c>
      <c r="F310" s="125">
        <v>0</v>
      </c>
      <c r="G310" s="125">
        <v>0</v>
      </c>
      <c r="H310" s="125">
        <v>3000000</v>
      </c>
      <c r="I310" s="125">
        <v>0</v>
      </c>
    </row>
    <row r="311" spans="1:9" s="145" customFormat="1" ht="15.75">
      <c r="A311" s="70"/>
      <c r="B311" s="105"/>
      <c r="C311" s="72"/>
      <c r="D311" s="76"/>
      <c r="E311" s="125">
        <v>0</v>
      </c>
      <c r="F311" s="125">
        <v>0</v>
      </c>
      <c r="G311" s="125">
        <v>0</v>
      </c>
      <c r="H311" s="125">
        <v>0</v>
      </c>
      <c r="I311" s="125">
        <v>0</v>
      </c>
    </row>
    <row r="312" spans="1:9" s="145" customFormat="1" ht="15.75">
      <c r="A312" s="77" t="s">
        <v>2247</v>
      </c>
      <c r="B312" s="136" t="s">
        <v>5995</v>
      </c>
      <c r="C312" s="72"/>
      <c r="D312" s="76"/>
      <c r="E312" s="125">
        <v>28604462</v>
      </c>
      <c r="F312" s="125">
        <v>26667110</v>
      </c>
      <c r="G312" s="125">
        <v>28712690</v>
      </c>
      <c r="H312" s="125">
        <v>47500000</v>
      </c>
      <c r="I312" s="125">
        <v>47500000</v>
      </c>
    </row>
    <row r="313" spans="1:9" s="145" customFormat="1" ht="15.75">
      <c r="A313" s="70"/>
      <c r="B313" s="105"/>
      <c r="C313" s="72"/>
      <c r="D313" s="76"/>
      <c r="E313" s="125">
        <v>0</v>
      </c>
      <c r="F313" s="125">
        <v>0</v>
      </c>
      <c r="G313" s="125">
        <v>0</v>
      </c>
      <c r="H313" s="125">
        <v>0</v>
      </c>
      <c r="I313" s="125">
        <v>0</v>
      </c>
    </row>
    <row r="314" spans="1:9" s="145" customFormat="1" ht="15.75">
      <c r="A314" s="70" t="s">
        <v>4652</v>
      </c>
      <c r="B314" s="105" t="s">
        <v>5996</v>
      </c>
      <c r="C314" s="72"/>
      <c r="D314" s="76"/>
      <c r="E314" s="125">
        <v>0</v>
      </c>
      <c r="F314" s="125">
        <v>0</v>
      </c>
      <c r="G314" s="125">
        <v>0</v>
      </c>
      <c r="H314" s="125">
        <v>0</v>
      </c>
      <c r="I314" s="125">
        <v>0</v>
      </c>
    </row>
    <row r="315" spans="1:9" s="145" customFormat="1" ht="31.5">
      <c r="A315" s="70" t="s">
        <v>2248</v>
      </c>
      <c r="B315" s="105" t="s">
        <v>5997</v>
      </c>
      <c r="C315" s="72" t="s">
        <v>420</v>
      </c>
      <c r="D315" s="76"/>
      <c r="E315" s="125">
        <v>10000</v>
      </c>
      <c r="F315" s="125">
        <v>46697</v>
      </c>
      <c r="G315" s="125">
        <v>288924</v>
      </c>
      <c r="H315" s="125">
        <v>0</v>
      </c>
      <c r="I315" s="125">
        <v>0</v>
      </c>
    </row>
    <row r="316" spans="1:9" s="145" customFormat="1" ht="15.75">
      <c r="A316" s="70" t="s">
        <v>2148</v>
      </c>
      <c r="B316" s="105" t="s">
        <v>5855</v>
      </c>
      <c r="C316" s="72" t="s">
        <v>4821</v>
      </c>
      <c r="D316" s="76"/>
      <c r="E316" s="125">
        <v>0</v>
      </c>
      <c r="F316" s="125">
        <v>0</v>
      </c>
      <c r="G316" s="125">
        <v>0</v>
      </c>
      <c r="H316" s="125">
        <v>3500000</v>
      </c>
      <c r="I316" s="125">
        <v>3500000</v>
      </c>
    </row>
    <row r="317" spans="1:9" s="145" customFormat="1" ht="15.75">
      <c r="A317" s="70" t="s">
        <v>2149</v>
      </c>
      <c r="B317" s="105" t="s">
        <v>5885</v>
      </c>
      <c r="C317" s="72" t="s">
        <v>4822</v>
      </c>
      <c r="D317" s="76"/>
      <c r="E317" s="125">
        <v>0</v>
      </c>
      <c r="F317" s="125">
        <v>0</v>
      </c>
      <c r="G317" s="125">
        <v>0</v>
      </c>
      <c r="H317" s="125">
        <v>200000</v>
      </c>
      <c r="I317" s="125">
        <v>200000</v>
      </c>
    </row>
    <row r="318" spans="1:9" s="145" customFormat="1" ht="63">
      <c r="A318" s="70" t="s">
        <v>5112</v>
      </c>
      <c r="B318" s="105" t="s">
        <v>5998</v>
      </c>
      <c r="C318" s="72" t="s">
        <v>4823</v>
      </c>
      <c r="D318" s="76"/>
      <c r="E318" s="125">
        <v>0</v>
      </c>
      <c r="F318" s="125">
        <v>0</v>
      </c>
      <c r="G318" s="125">
        <v>0</v>
      </c>
      <c r="H318" s="125">
        <v>5000000</v>
      </c>
      <c r="I318" s="125">
        <v>4000000</v>
      </c>
    </row>
    <row r="319" spans="1:9" s="145" customFormat="1" ht="31.5">
      <c r="A319" s="70" t="s">
        <v>5190</v>
      </c>
      <c r="B319" s="105" t="s">
        <v>5999</v>
      </c>
      <c r="C319" s="72" t="s">
        <v>5191</v>
      </c>
      <c r="D319" s="76"/>
      <c r="E319" s="125">
        <v>0</v>
      </c>
      <c r="F319" s="125">
        <v>0</v>
      </c>
      <c r="G319" s="125">
        <v>0</v>
      </c>
      <c r="H319" s="125">
        <v>7500000</v>
      </c>
      <c r="I319" s="125">
        <v>6000000</v>
      </c>
    </row>
    <row r="320" spans="1:9" s="145" customFormat="1" ht="15.75">
      <c r="A320" s="70"/>
      <c r="B320" s="105"/>
      <c r="C320" s="72"/>
      <c r="D320" s="76"/>
      <c r="E320" s="125">
        <v>0</v>
      </c>
      <c r="F320" s="125">
        <v>0</v>
      </c>
      <c r="G320" s="125">
        <v>0</v>
      </c>
      <c r="H320" s="125">
        <v>0</v>
      </c>
      <c r="I320" s="125">
        <v>0</v>
      </c>
    </row>
    <row r="321" spans="1:9" s="145" customFormat="1" ht="31.5">
      <c r="A321" s="77" t="s">
        <v>2249</v>
      </c>
      <c r="B321" s="136" t="s">
        <v>6000</v>
      </c>
      <c r="C321" s="72"/>
      <c r="D321" s="76"/>
      <c r="E321" s="125">
        <v>10000</v>
      </c>
      <c r="F321" s="125">
        <v>46697</v>
      </c>
      <c r="G321" s="125">
        <v>288924</v>
      </c>
      <c r="H321" s="125">
        <v>16200000</v>
      </c>
      <c r="I321" s="125">
        <v>13700000</v>
      </c>
    </row>
    <row r="322" spans="1:9" s="145" customFormat="1" ht="15.75">
      <c r="A322" s="70"/>
      <c r="B322" s="105"/>
      <c r="C322" s="72"/>
      <c r="D322" s="76"/>
      <c r="E322" s="125">
        <v>0</v>
      </c>
      <c r="F322" s="125">
        <v>0</v>
      </c>
      <c r="G322" s="125">
        <v>0</v>
      </c>
      <c r="H322" s="125">
        <v>0</v>
      </c>
      <c r="I322" s="125">
        <v>0</v>
      </c>
    </row>
    <row r="323" spans="1:9" s="145" customFormat="1" ht="15.75">
      <c r="A323" s="70" t="s">
        <v>2250</v>
      </c>
      <c r="B323" s="105" t="s">
        <v>6001</v>
      </c>
      <c r="C323" s="72" t="s">
        <v>125</v>
      </c>
      <c r="D323" s="76"/>
      <c r="E323" s="125">
        <v>1848048</v>
      </c>
      <c r="F323" s="125">
        <v>1083763</v>
      </c>
      <c r="G323" s="125">
        <v>930053</v>
      </c>
      <c r="H323" s="125">
        <v>5000000</v>
      </c>
      <c r="I323" s="125">
        <v>5000000</v>
      </c>
    </row>
    <row r="324" spans="1:9" s="145" customFormat="1" ht="47.25">
      <c r="A324" s="70" t="s">
        <v>3127</v>
      </c>
      <c r="B324" s="105" t="s">
        <v>6002</v>
      </c>
      <c r="C324" s="72" t="s">
        <v>126</v>
      </c>
      <c r="D324" s="76"/>
      <c r="E324" s="125">
        <v>508558</v>
      </c>
      <c r="F324" s="125">
        <v>1144580</v>
      </c>
      <c r="G324" s="125">
        <v>2729212</v>
      </c>
      <c r="H324" s="125">
        <v>500000</v>
      </c>
      <c r="I324" s="125">
        <v>3000000</v>
      </c>
    </row>
    <row r="325" spans="1:9" s="145" customFormat="1" ht="15.75">
      <c r="A325" s="70"/>
      <c r="B325" s="105"/>
      <c r="C325" s="72"/>
      <c r="D325" s="76"/>
      <c r="E325" s="125">
        <v>0</v>
      </c>
      <c r="F325" s="125">
        <v>0</v>
      </c>
      <c r="G325" s="125">
        <v>0</v>
      </c>
      <c r="H325" s="125">
        <v>0</v>
      </c>
      <c r="I325" s="125">
        <v>0</v>
      </c>
    </row>
    <row r="326" spans="1:9" s="145" customFormat="1" ht="15.75">
      <c r="A326" s="77" t="s">
        <v>2251</v>
      </c>
      <c r="B326" s="136" t="s">
        <v>6003</v>
      </c>
      <c r="C326" s="72"/>
      <c r="D326" s="76"/>
      <c r="E326" s="125">
        <v>2356606</v>
      </c>
      <c r="F326" s="125">
        <v>2228343</v>
      </c>
      <c r="G326" s="125">
        <v>3659265</v>
      </c>
      <c r="H326" s="125">
        <v>5500000</v>
      </c>
      <c r="I326" s="125">
        <v>8000000</v>
      </c>
    </row>
    <row r="327" spans="1:9" s="145" customFormat="1" ht="15.75">
      <c r="A327" s="70"/>
      <c r="B327" s="105"/>
      <c r="C327" s="72"/>
      <c r="D327" s="76"/>
      <c r="E327" s="125">
        <v>0</v>
      </c>
      <c r="F327" s="125">
        <v>0</v>
      </c>
      <c r="G327" s="125">
        <v>0</v>
      </c>
      <c r="H327" s="125">
        <v>0</v>
      </c>
      <c r="I327" s="125">
        <v>0</v>
      </c>
    </row>
    <row r="328" spans="1:9" s="145" customFormat="1" ht="15.75">
      <c r="A328" s="70" t="s">
        <v>2252</v>
      </c>
      <c r="B328" s="105" t="s">
        <v>6004</v>
      </c>
      <c r="C328" s="72"/>
      <c r="D328" s="76"/>
      <c r="E328" s="125">
        <v>0</v>
      </c>
      <c r="F328" s="125">
        <v>0</v>
      </c>
      <c r="G328" s="125">
        <v>0</v>
      </c>
      <c r="H328" s="125">
        <v>0</v>
      </c>
      <c r="I328" s="125">
        <v>0</v>
      </c>
    </row>
    <row r="329" spans="1:9" s="145" customFormat="1" ht="15.75">
      <c r="A329" s="70" t="s">
        <v>2253</v>
      </c>
      <c r="B329" s="105" t="s">
        <v>6005</v>
      </c>
      <c r="C329" s="72" t="s">
        <v>127</v>
      </c>
      <c r="D329" s="76"/>
      <c r="E329" s="125">
        <v>2646223</v>
      </c>
      <c r="F329" s="125">
        <v>8476586</v>
      </c>
      <c r="G329" s="125">
        <v>5812258</v>
      </c>
      <c r="H329" s="125">
        <v>121546000</v>
      </c>
      <c r="I329" s="125">
        <v>12000000</v>
      </c>
    </row>
    <row r="330" spans="1:9" s="145" customFormat="1" ht="15.75">
      <c r="A330" s="70"/>
      <c r="B330" s="105"/>
      <c r="C330" s="72"/>
      <c r="D330" s="76"/>
      <c r="E330" s="125">
        <v>0</v>
      </c>
      <c r="F330" s="125">
        <v>0</v>
      </c>
      <c r="G330" s="125">
        <v>0</v>
      </c>
      <c r="H330" s="125">
        <v>0</v>
      </c>
      <c r="I330" s="125">
        <v>0</v>
      </c>
    </row>
    <row r="331" spans="1:9" s="145" customFormat="1" ht="15.75">
      <c r="A331" s="77" t="s">
        <v>2254</v>
      </c>
      <c r="B331" s="136" t="s">
        <v>6006</v>
      </c>
      <c r="C331" s="72"/>
      <c r="D331" s="76"/>
      <c r="E331" s="125">
        <v>2646223</v>
      </c>
      <c r="F331" s="125">
        <v>8476586</v>
      </c>
      <c r="G331" s="125">
        <v>5812258</v>
      </c>
      <c r="H331" s="125">
        <v>121546000</v>
      </c>
      <c r="I331" s="125">
        <v>12000000</v>
      </c>
    </row>
    <row r="332" spans="1:9" s="145" customFormat="1" ht="15.75">
      <c r="A332" s="70"/>
      <c r="B332" s="105"/>
      <c r="C332" s="72"/>
      <c r="D332" s="76"/>
      <c r="E332" s="125">
        <v>0</v>
      </c>
      <c r="F332" s="125">
        <v>0</v>
      </c>
      <c r="G332" s="125">
        <v>0</v>
      </c>
      <c r="H332" s="125">
        <v>0</v>
      </c>
      <c r="I332" s="125">
        <v>0</v>
      </c>
    </row>
    <row r="333" spans="1:9" s="145" customFormat="1" ht="15.75">
      <c r="A333" s="70" t="s">
        <v>2255</v>
      </c>
      <c r="B333" s="105" t="s">
        <v>6007</v>
      </c>
      <c r="C333" s="72" t="s">
        <v>128</v>
      </c>
      <c r="D333" s="76"/>
      <c r="E333" s="125">
        <v>2831901</v>
      </c>
      <c r="F333" s="125">
        <v>1123515</v>
      </c>
      <c r="G333" s="125">
        <v>610560</v>
      </c>
      <c r="H333" s="125">
        <v>37387845</v>
      </c>
      <c r="I333" s="125">
        <v>21760000</v>
      </c>
    </row>
    <row r="334" spans="1:9" s="145" customFormat="1" ht="15.75">
      <c r="A334" s="70"/>
      <c r="B334" s="105"/>
      <c r="C334" s="72"/>
      <c r="D334" s="76"/>
      <c r="E334" s="125">
        <v>0</v>
      </c>
      <c r="F334" s="125">
        <v>0</v>
      </c>
      <c r="G334" s="125">
        <v>0</v>
      </c>
      <c r="H334" s="125">
        <v>0</v>
      </c>
      <c r="I334" s="125">
        <v>0</v>
      </c>
    </row>
    <row r="335" spans="1:9" s="145" customFormat="1" ht="15.75">
      <c r="A335" s="77" t="s">
        <v>2256</v>
      </c>
      <c r="B335" s="136" t="s">
        <v>6008</v>
      </c>
      <c r="C335" s="72"/>
      <c r="D335" s="76"/>
      <c r="E335" s="125">
        <v>2831901</v>
      </c>
      <c r="F335" s="125">
        <v>1123515</v>
      </c>
      <c r="G335" s="125">
        <v>610560</v>
      </c>
      <c r="H335" s="125">
        <v>37387845</v>
      </c>
      <c r="I335" s="125">
        <v>21760000</v>
      </c>
    </row>
    <row r="336" spans="1:9" s="145" customFormat="1" ht="15.75">
      <c r="A336" s="70"/>
      <c r="B336" s="105"/>
      <c r="C336" s="72"/>
      <c r="D336" s="76"/>
      <c r="E336" s="125">
        <v>0</v>
      </c>
      <c r="F336" s="125">
        <v>0</v>
      </c>
      <c r="G336" s="125">
        <v>0</v>
      </c>
      <c r="H336" s="125">
        <v>0</v>
      </c>
      <c r="I336" s="125">
        <v>0</v>
      </c>
    </row>
    <row r="337" spans="1:9" s="145" customFormat="1" ht="15.75">
      <c r="A337" s="70" t="s">
        <v>2257</v>
      </c>
      <c r="B337" s="105" t="s">
        <v>6009</v>
      </c>
      <c r="C337" s="72"/>
      <c r="D337" s="76"/>
      <c r="E337" s="125">
        <v>0</v>
      </c>
      <c r="F337" s="125">
        <v>0</v>
      </c>
      <c r="G337" s="125">
        <v>0</v>
      </c>
      <c r="H337" s="125">
        <v>0</v>
      </c>
      <c r="I337" s="125">
        <v>0</v>
      </c>
    </row>
    <row r="338" spans="1:9" s="145" customFormat="1" ht="15.75">
      <c r="A338" s="70" t="s">
        <v>2258</v>
      </c>
      <c r="B338" s="105" t="s">
        <v>6010</v>
      </c>
      <c r="C338" s="72" t="s">
        <v>58</v>
      </c>
      <c r="D338" s="76"/>
      <c r="E338" s="125">
        <v>0</v>
      </c>
      <c r="F338" s="125">
        <v>0</v>
      </c>
      <c r="G338" s="125">
        <v>616281</v>
      </c>
      <c r="H338" s="125">
        <v>6000000</v>
      </c>
      <c r="I338" s="125">
        <v>8000000</v>
      </c>
    </row>
    <row r="339" spans="1:9" s="145" customFormat="1" ht="31.5">
      <c r="A339" s="70" t="s">
        <v>4653</v>
      </c>
      <c r="B339" s="105" t="s">
        <v>6011</v>
      </c>
      <c r="C339" s="72" t="s">
        <v>4824</v>
      </c>
      <c r="D339" s="76"/>
      <c r="E339" s="125">
        <v>0</v>
      </c>
      <c r="F339" s="125">
        <v>0</v>
      </c>
      <c r="G339" s="125">
        <v>0</v>
      </c>
      <c r="H339" s="125">
        <v>30000000</v>
      </c>
      <c r="I339" s="125">
        <v>45000000</v>
      </c>
    </row>
    <row r="340" spans="1:9" s="145" customFormat="1" ht="15.75">
      <c r="A340" s="70" t="s">
        <v>2259</v>
      </c>
      <c r="B340" s="105" t="s">
        <v>6012</v>
      </c>
      <c r="C340" s="72" t="s">
        <v>59</v>
      </c>
      <c r="D340" s="76"/>
      <c r="E340" s="125">
        <v>377526</v>
      </c>
      <c r="F340" s="125">
        <v>511594</v>
      </c>
      <c r="G340" s="125">
        <v>425564</v>
      </c>
      <c r="H340" s="125">
        <v>800000</v>
      </c>
      <c r="I340" s="125">
        <v>800000</v>
      </c>
    </row>
    <row r="341" spans="1:9" s="145" customFormat="1" ht="15.75">
      <c r="A341" s="70" t="s">
        <v>2260</v>
      </c>
      <c r="B341" s="105" t="s">
        <v>6013</v>
      </c>
      <c r="C341" s="72" t="s">
        <v>204</v>
      </c>
      <c r="D341" s="76"/>
      <c r="E341" s="125">
        <v>215402587</v>
      </c>
      <c r="F341" s="125">
        <v>232699323</v>
      </c>
      <c r="G341" s="125">
        <v>279494700</v>
      </c>
      <c r="H341" s="125">
        <v>340000000</v>
      </c>
      <c r="I341" s="125">
        <v>400000000</v>
      </c>
    </row>
    <row r="342" spans="1:9" s="145" customFormat="1" ht="15.75">
      <c r="A342" s="70" t="s">
        <v>2261</v>
      </c>
      <c r="B342" s="105" t="s">
        <v>6014</v>
      </c>
      <c r="C342" s="72" t="s">
        <v>411</v>
      </c>
      <c r="D342" s="76"/>
      <c r="E342" s="125">
        <v>7005691</v>
      </c>
      <c r="F342" s="125">
        <v>4765060</v>
      </c>
      <c r="G342" s="125">
        <v>6009855</v>
      </c>
      <c r="H342" s="125">
        <v>9000000</v>
      </c>
      <c r="I342" s="125">
        <v>9000000</v>
      </c>
    </row>
    <row r="343" spans="1:9" s="145" customFormat="1" ht="15.75">
      <c r="A343" s="70" t="s">
        <v>2262</v>
      </c>
      <c r="B343" s="105" t="s">
        <v>6015</v>
      </c>
      <c r="C343" s="72" t="s">
        <v>1394</v>
      </c>
      <c r="D343" s="76"/>
      <c r="E343" s="125">
        <v>83647</v>
      </c>
      <c r="F343" s="125">
        <v>138535</v>
      </c>
      <c r="G343" s="125">
        <v>184243</v>
      </c>
      <c r="H343" s="125">
        <v>750000</v>
      </c>
      <c r="I343" s="125">
        <v>600000</v>
      </c>
    </row>
    <row r="344" spans="1:9" s="145" customFormat="1" ht="15.75">
      <c r="A344" s="70"/>
      <c r="B344" s="105"/>
      <c r="C344" s="72"/>
      <c r="D344" s="76"/>
      <c r="E344" s="125">
        <v>0</v>
      </c>
      <c r="F344" s="125">
        <v>0</v>
      </c>
      <c r="G344" s="125">
        <v>0</v>
      </c>
      <c r="H344" s="125">
        <v>0</v>
      </c>
      <c r="I344" s="125">
        <v>0</v>
      </c>
    </row>
    <row r="345" spans="1:9" s="145" customFormat="1" ht="15.75">
      <c r="A345" s="77" t="s">
        <v>2263</v>
      </c>
      <c r="B345" s="136" t="s">
        <v>6016</v>
      </c>
      <c r="C345" s="72"/>
      <c r="D345" s="76"/>
      <c r="E345" s="125">
        <v>222869451</v>
      </c>
      <c r="F345" s="125">
        <v>238114512</v>
      </c>
      <c r="G345" s="125">
        <v>286730643</v>
      </c>
      <c r="H345" s="125">
        <v>386550000</v>
      </c>
      <c r="I345" s="125">
        <v>463400000</v>
      </c>
    </row>
    <row r="346" spans="1:9" s="145" customFormat="1">
      <c r="A346" s="89"/>
      <c r="B346" s="137"/>
      <c r="D346" s="76"/>
      <c r="E346" s="125">
        <v>0</v>
      </c>
      <c r="F346" s="125">
        <v>0</v>
      </c>
      <c r="G346" s="125">
        <v>0</v>
      </c>
      <c r="H346" s="125">
        <v>0</v>
      </c>
      <c r="I346" s="125">
        <v>0</v>
      </c>
    </row>
    <row r="347" spans="1:9" s="145" customFormat="1" ht="31.5">
      <c r="A347" s="70" t="s">
        <v>3702</v>
      </c>
      <c r="B347" s="105" t="s">
        <v>6017</v>
      </c>
      <c r="C347" s="72" t="s">
        <v>413</v>
      </c>
      <c r="D347" s="76"/>
      <c r="E347" s="125">
        <v>20000000</v>
      </c>
      <c r="F347" s="125">
        <v>20000000</v>
      </c>
      <c r="G347" s="125">
        <v>16000000</v>
      </c>
      <c r="H347" s="125">
        <v>20000000</v>
      </c>
      <c r="I347" s="125">
        <v>20000000</v>
      </c>
    </row>
    <row r="348" spans="1:9" s="145" customFormat="1" ht="15.75">
      <c r="A348" s="70"/>
      <c r="B348" s="105"/>
      <c r="C348" s="72"/>
      <c r="D348" s="76"/>
      <c r="E348" s="125">
        <v>0</v>
      </c>
      <c r="F348" s="125">
        <v>0</v>
      </c>
      <c r="G348" s="125">
        <v>0</v>
      </c>
      <c r="H348" s="125">
        <v>0</v>
      </c>
      <c r="I348" s="125">
        <v>0</v>
      </c>
    </row>
    <row r="349" spans="1:9" s="145" customFormat="1" ht="15.75">
      <c r="A349" s="70" t="s">
        <v>2266</v>
      </c>
      <c r="B349" s="105" t="s">
        <v>6018</v>
      </c>
      <c r="C349" s="72"/>
      <c r="D349" s="76"/>
      <c r="E349" s="125">
        <v>0</v>
      </c>
      <c r="F349" s="125">
        <v>0</v>
      </c>
      <c r="G349" s="125">
        <v>0</v>
      </c>
      <c r="H349" s="125">
        <v>0</v>
      </c>
      <c r="I349" s="125">
        <v>0</v>
      </c>
    </row>
    <row r="350" spans="1:9" s="145" customFormat="1" ht="15.75">
      <c r="A350" s="70"/>
      <c r="B350" s="105"/>
      <c r="C350" s="72"/>
      <c r="D350" s="76"/>
      <c r="E350" s="125">
        <v>0</v>
      </c>
      <c r="F350" s="125">
        <v>0</v>
      </c>
      <c r="G350" s="125">
        <v>0</v>
      </c>
      <c r="H350" s="125">
        <v>0</v>
      </c>
      <c r="I350" s="125">
        <v>0</v>
      </c>
    </row>
    <row r="351" spans="1:9" s="145" customFormat="1" ht="15.75">
      <c r="A351" s="77" t="s">
        <v>2267</v>
      </c>
      <c r="B351" s="136" t="s">
        <v>6019</v>
      </c>
      <c r="C351" s="72"/>
      <c r="D351" s="76"/>
      <c r="E351" s="125">
        <v>0</v>
      </c>
      <c r="F351" s="125">
        <v>0</v>
      </c>
      <c r="G351" s="125">
        <v>0</v>
      </c>
      <c r="H351" s="125">
        <v>0</v>
      </c>
      <c r="I351" s="125">
        <v>0</v>
      </c>
    </row>
    <row r="352" spans="1:9" s="145" customFormat="1" ht="15.75">
      <c r="A352" s="70"/>
      <c r="B352" s="105"/>
      <c r="C352" s="72"/>
      <c r="D352" s="76"/>
      <c r="E352" s="125">
        <v>0</v>
      </c>
      <c r="F352" s="125">
        <v>0</v>
      </c>
      <c r="G352" s="125">
        <v>0</v>
      </c>
      <c r="H352" s="125">
        <v>0</v>
      </c>
      <c r="I352" s="125">
        <v>0</v>
      </c>
    </row>
    <row r="353" spans="1:9" s="145" customFormat="1" ht="15.75">
      <c r="A353" s="77" t="s">
        <v>2268</v>
      </c>
      <c r="B353" s="136" t="s">
        <v>6020</v>
      </c>
      <c r="C353" s="72"/>
      <c r="D353" s="76"/>
      <c r="E353" s="125">
        <v>2467517291</v>
      </c>
      <c r="F353" s="125">
        <v>2681690303</v>
      </c>
      <c r="G353" s="125">
        <v>2963204960</v>
      </c>
      <c r="H353" s="125">
        <v>4320677489</v>
      </c>
      <c r="I353" s="125">
        <v>4129501927</v>
      </c>
    </row>
    <row r="354" spans="1:9" s="145" customFormat="1" ht="15.75">
      <c r="A354" s="70"/>
      <c r="B354" s="105"/>
      <c r="C354" s="72"/>
      <c r="D354" s="76"/>
      <c r="E354" s="125">
        <v>0</v>
      </c>
      <c r="F354" s="125">
        <v>0</v>
      </c>
      <c r="G354" s="125">
        <v>0</v>
      </c>
      <c r="H354" s="125">
        <v>0</v>
      </c>
      <c r="I354" s="125">
        <v>0</v>
      </c>
    </row>
    <row r="355" spans="1:9" s="145" customFormat="1" ht="15.75">
      <c r="A355" s="70"/>
      <c r="B355" s="105"/>
      <c r="C355" s="72"/>
      <c r="D355" s="76"/>
      <c r="E355" s="125">
        <v>0</v>
      </c>
      <c r="F355" s="125">
        <v>0</v>
      </c>
      <c r="G355" s="125">
        <v>0</v>
      </c>
      <c r="H355" s="125">
        <v>0</v>
      </c>
      <c r="I355" s="125">
        <v>0</v>
      </c>
    </row>
    <row r="356" spans="1:9" s="145" customFormat="1" ht="15.75">
      <c r="A356" s="70" t="s">
        <v>2269</v>
      </c>
      <c r="B356" s="105" t="s">
        <v>6021</v>
      </c>
      <c r="C356" s="72"/>
      <c r="D356" s="76"/>
      <c r="E356" s="125">
        <v>0</v>
      </c>
      <c r="F356" s="125">
        <v>0</v>
      </c>
      <c r="G356" s="125">
        <v>0</v>
      </c>
      <c r="H356" s="125">
        <v>0</v>
      </c>
      <c r="I356" s="125">
        <v>0</v>
      </c>
    </row>
    <row r="357" spans="1:9" s="145" customFormat="1" ht="31.5">
      <c r="A357" s="70" t="s">
        <v>3128</v>
      </c>
      <c r="B357" s="105" t="s">
        <v>6022</v>
      </c>
      <c r="C357" s="72" t="s">
        <v>415</v>
      </c>
      <c r="D357" s="149" t="s">
        <v>1045</v>
      </c>
      <c r="E357" s="125">
        <v>2454897920</v>
      </c>
      <c r="F357" s="125">
        <v>2408824116</v>
      </c>
      <c r="G357" s="125">
        <v>0</v>
      </c>
      <c r="H357" s="125">
        <v>3356827600</v>
      </c>
      <c r="I357" s="125">
        <v>0</v>
      </c>
    </row>
    <row r="358" spans="1:9" s="145" customFormat="1" ht="15.75">
      <c r="A358" s="70" t="s">
        <v>2270</v>
      </c>
      <c r="B358" s="105" t="s">
        <v>6023</v>
      </c>
      <c r="C358" s="72" t="s">
        <v>1728</v>
      </c>
      <c r="D358" s="149" t="s">
        <v>1045</v>
      </c>
      <c r="E358" s="125">
        <v>0</v>
      </c>
      <c r="F358" s="125">
        <v>0</v>
      </c>
      <c r="G358" s="125">
        <v>922982492</v>
      </c>
      <c r="H358" s="125">
        <v>0</v>
      </c>
      <c r="I358" s="125">
        <v>1045000000</v>
      </c>
    </row>
    <row r="359" spans="1:9" s="145" customFormat="1" ht="15.75">
      <c r="A359" s="70" t="s">
        <v>2271</v>
      </c>
      <c r="B359" s="105" t="s">
        <v>6024</v>
      </c>
      <c r="C359" s="72" t="s">
        <v>1763</v>
      </c>
      <c r="D359" s="149" t="s">
        <v>1045</v>
      </c>
      <c r="E359" s="125">
        <v>0</v>
      </c>
      <c r="F359" s="125">
        <v>0</v>
      </c>
      <c r="G359" s="125">
        <v>693567882</v>
      </c>
      <c r="H359" s="125">
        <v>0</v>
      </c>
      <c r="I359" s="125">
        <v>850000000</v>
      </c>
    </row>
    <row r="360" spans="1:9" s="145" customFormat="1" ht="31.5">
      <c r="A360" s="70" t="s">
        <v>3129</v>
      </c>
      <c r="B360" s="105" t="s">
        <v>6025</v>
      </c>
      <c r="C360" s="72" t="s">
        <v>1729</v>
      </c>
      <c r="D360" s="149" t="s">
        <v>1045</v>
      </c>
      <c r="E360" s="125">
        <v>0</v>
      </c>
      <c r="F360" s="125">
        <v>0</v>
      </c>
      <c r="G360" s="125">
        <v>6834365</v>
      </c>
      <c r="H360" s="125">
        <v>0</v>
      </c>
      <c r="I360" s="125">
        <v>0</v>
      </c>
    </row>
    <row r="361" spans="1:9" s="145" customFormat="1" ht="15.75">
      <c r="A361" s="70" t="s">
        <v>2272</v>
      </c>
      <c r="B361" s="105" t="s">
        <v>6026</v>
      </c>
      <c r="C361" s="72" t="s">
        <v>1730</v>
      </c>
      <c r="D361" s="149" t="s">
        <v>1045</v>
      </c>
      <c r="E361" s="125">
        <v>0</v>
      </c>
      <c r="F361" s="125">
        <v>0</v>
      </c>
      <c r="G361" s="125">
        <v>143135926</v>
      </c>
      <c r="H361" s="125">
        <v>0</v>
      </c>
      <c r="I361" s="125">
        <v>170000000</v>
      </c>
    </row>
    <row r="362" spans="1:9" s="145" customFormat="1" ht="15.75">
      <c r="A362" s="70" t="s">
        <v>2273</v>
      </c>
      <c r="B362" s="105" t="s">
        <v>6027</v>
      </c>
      <c r="C362" s="72" t="s">
        <v>1764</v>
      </c>
      <c r="D362" s="149" t="s">
        <v>1045</v>
      </c>
      <c r="E362" s="125">
        <v>0</v>
      </c>
      <c r="F362" s="125">
        <v>0</v>
      </c>
      <c r="G362" s="125">
        <v>492632860</v>
      </c>
      <c r="H362" s="125">
        <v>0</v>
      </c>
      <c r="I362" s="125">
        <v>660000000</v>
      </c>
    </row>
    <row r="363" spans="1:9" s="145" customFormat="1" ht="31.5">
      <c r="A363" s="70" t="s">
        <v>2274</v>
      </c>
      <c r="B363" s="105" t="s">
        <v>6028</v>
      </c>
      <c r="C363" s="72" t="s">
        <v>1731</v>
      </c>
      <c r="D363" s="149" t="s">
        <v>1045</v>
      </c>
      <c r="E363" s="125">
        <v>0</v>
      </c>
      <c r="F363" s="125">
        <v>0</v>
      </c>
      <c r="G363" s="125">
        <v>18500000</v>
      </c>
      <c r="H363" s="125">
        <v>0</v>
      </c>
      <c r="I363" s="125">
        <v>20000000</v>
      </c>
    </row>
    <row r="364" spans="1:9" s="145" customFormat="1" ht="31.5">
      <c r="A364" s="70" t="s">
        <v>2275</v>
      </c>
      <c r="B364" s="105" t="s">
        <v>6029</v>
      </c>
      <c r="C364" s="72" t="s">
        <v>1732</v>
      </c>
      <c r="D364" s="149" t="s">
        <v>1045</v>
      </c>
      <c r="E364" s="125">
        <v>0</v>
      </c>
      <c r="F364" s="125">
        <v>0</v>
      </c>
      <c r="G364" s="125">
        <v>764900</v>
      </c>
      <c r="H364" s="125">
        <v>0</v>
      </c>
      <c r="I364" s="125">
        <v>0</v>
      </c>
    </row>
    <row r="365" spans="1:9" s="145" customFormat="1" ht="15.75">
      <c r="A365" s="70" t="s">
        <v>2276</v>
      </c>
      <c r="B365" s="105" t="s">
        <v>6030</v>
      </c>
      <c r="C365" s="72" t="s">
        <v>1733</v>
      </c>
      <c r="D365" s="149" t="s">
        <v>1045</v>
      </c>
      <c r="E365" s="125">
        <v>0</v>
      </c>
      <c r="F365" s="125">
        <v>0</v>
      </c>
      <c r="G365" s="125">
        <v>618462</v>
      </c>
      <c r="H365" s="125">
        <v>0</v>
      </c>
      <c r="I365" s="125">
        <v>2000000</v>
      </c>
    </row>
    <row r="366" spans="1:9" s="145" customFormat="1" ht="15.75">
      <c r="A366" s="70" t="s">
        <v>2277</v>
      </c>
      <c r="B366" s="105" t="s">
        <v>6031</v>
      </c>
      <c r="C366" s="72"/>
      <c r="D366" s="149"/>
      <c r="E366" s="125">
        <v>0</v>
      </c>
      <c r="F366" s="125">
        <v>0</v>
      </c>
      <c r="G366" s="125">
        <v>0</v>
      </c>
      <c r="H366" s="125">
        <v>0</v>
      </c>
      <c r="I366" s="125">
        <v>0</v>
      </c>
    </row>
    <row r="367" spans="1:9" s="145" customFormat="1" ht="15.75">
      <c r="A367" s="70" t="s">
        <v>3130</v>
      </c>
      <c r="B367" s="105" t="s">
        <v>6032</v>
      </c>
      <c r="C367" s="72" t="s">
        <v>1734</v>
      </c>
      <c r="D367" s="149" t="s">
        <v>1045</v>
      </c>
      <c r="E367" s="125">
        <v>0</v>
      </c>
      <c r="F367" s="125">
        <v>0</v>
      </c>
      <c r="G367" s="125">
        <v>137141</v>
      </c>
      <c r="H367" s="125">
        <v>0</v>
      </c>
      <c r="I367" s="125">
        <v>240000</v>
      </c>
    </row>
    <row r="368" spans="1:9" s="145" customFormat="1" ht="15.75">
      <c r="A368" s="70" t="s">
        <v>2278</v>
      </c>
      <c r="B368" s="105" t="s">
        <v>6033</v>
      </c>
      <c r="C368" s="72" t="s">
        <v>1735</v>
      </c>
      <c r="D368" s="149" t="s">
        <v>1045</v>
      </c>
      <c r="E368" s="125">
        <v>0</v>
      </c>
      <c r="F368" s="125">
        <v>0</v>
      </c>
      <c r="G368" s="125">
        <v>568530</v>
      </c>
      <c r="H368" s="125">
        <v>0</v>
      </c>
      <c r="I368" s="125">
        <v>800000</v>
      </c>
    </row>
    <row r="369" spans="1:9" s="145" customFormat="1" ht="15.75">
      <c r="A369" s="70" t="s">
        <v>2279</v>
      </c>
      <c r="B369" s="105" t="s">
        <v>6034</v>
      </c>
      <c r="C369" s="72" t="s">
        <v>1736</v>
      </c>
      <c r="D369" s="149" t="s">
        <v>1045</v>
      </c>
      <c r="E369" s="125">
        <v>0</v>
      </c>
      <c r="F369" s="125">
        <v>0</v>
      </c>
      <c r="G369" s="125">
        <v>5734</v>
      </c>
      <c r="H369" s="125">
        <v>0</v>
      </c>
      <c r="I369" s="125">
        <v>0</v>
      </c>
    </row>
    <row r="370" spans="1:9" s="145" customFormat="1" ht="15.75">
      <c r="A370" s="70" t="s">
        <v>2280</v>
      </c>
      <c r="B370" s="105" t="s">
        <v>6035</v>
      </c>
      <c r="C370" s="72" t="s">
        <v>1737</v>
      </c>
      <c r="D370" s="149" t="s">
        <v>1045</v>
      </c>
      <c r="E370" s="125">
        <v>0</v>
      </c>
      <c r="F370" s="125">
        <v>0</v>
      </c>
      <c r="G370" s="125">
        <v>0</v>
      </c>
      <c r="H370" s="125">
        <v>0</v>
      </c>
      <c r="I370" s="125">
        <v>160000</v>
      </c>
    </row>
    <row r="371" spans="1:9" s="145" customFormat="1" ht="15.75">
      <c r="A371" s="70" t="s">
        <v>2281</v>
      </c>
      <c r="B371" s="105" t="s">
        <v>6036</v>
      </c>
      <c r="C371" s="72" t="s">
        <v>1738</v>
      </c>
      <c r="D371" s="149" t="s">
        <v>1045</v>
      </c>
      <c r="E371" s="125">
        <v>0</v>
      </c>
      <c r="F371" s="125">
        <v>0</v>
      </c>
      <c r="G371" s="125">
        <v>5202277</v>
      </c>
      <c r="H371" s="125">
        <v>0</v>
      </c>
      <c r="I371" s="125">
        <v>6000000</v>
      </c>
    </row>
    <row r="372" spans="1:9" s="145" customFormat="1" ht="15.75">
      <c r="A372" s="70" t="s">
        <v>2282</v>
      </c>
      <c r="B372" s="105" t="s">
        <v>6037</v>
      </c>
      <c r="C372" s="72"/>
      <c r="D372" s="149"/>
      <c r="E372" s="125">
        <v>0</v>
      </c>
      <c r="F372" s="125">
        <v>0</v>
      </c>
      <c r="G372" s="125">
        <v>0</v>
      </c>
      <c r="H372" s="125">
        <v>0</v>
      </c>
      <c r="I372" s="125">
        <v>0</v>
      </c>
    </row>
    <row r="373" spans="1:9" s="145" customFormat="1" ht="15.75">
      <c r="A373" s="70" t="s">
        <v>2283</v>
      </c>
      <c r="B373" s="105" t="s">
        <v>6038</v>
      </c>
      <c r="C373" s="72" t="s">
        <v>1739</v>
      </c>
      <c r="D373" s="149" t="s">
        <v>1045</v>
      </c>
      <c r="E373" s="125">
        <v>0</v>
      </c>
      <c r="F373" s="125">
        <v>0</v>
      </c>
      <c r="G373" s="125">
        <v>36723</v>
      </c>
      <c r="H373" s="125">
        <v>0</v>
      </c>
      <c r="I373" s="125">
        <v>5000000</v>
      </c>
    </row>
    <row r="374" spans="1:9" s="145" customFormat="1" ht="31.5">
      <c r="A374" s="70" t="s">
        <v>2284</v>
      </c>
      <c r="B374" s="105" t="s">
        <v>6039</v>
      </c>
      <c r="C374" s="72" t="s">
        <v>1740</v>
      </c>
      <c r="D374" s="149" t="s">
        <v>1045</v>
      </c>
      <c r="E374" s="125">
        <v>0</v>
      </c>
      <c r="F374" s="125">
        <v>0</v>
      </c>
      <c r="G374" s="125">
        <v>1581337</v>
      </c>
      <c r="H374" s="125">
        <v>0</v>
      </c>
      <c r="I374" s="125">
        <v>8000000</v>
      </c>
    </row>
    <row r="375" spans="1:9" s="145" customFormat="1" ht="15.75">
      <c r="A375" s="70" t="s">
        <v>2285</v>
      </c>
      <c r="B375" s="105" t="s">
        <v>6040</v>
      </c>
      <c r="C375" s="72" t="s">
        <v>1741</v>
      </c>
      <c r="D375" s="149" t="s">
        <v>1045</v>
      </c>
      <c r="E375" s="125">
        <v>0</v>
      </c>
      <c r="F375" s="125">
        <v>0</v>
      </c>
      <c r="G375" s="125">
        <v>9994455</v>
      </c>
      <c r="H375" s="125">
        <v>0</v>
      </c>
      <c r="I375" s="125">
        <v>15000000</v>
      </c>
    </row>
    <row r="376" spans="1:9" s="145" customFormat="1" ht="15.75">
      <c r="A376" s="70" t="s">
        <v>2286</v>
      </c>
      <c r="B376" s="105" t="s">
        <v>6041</v>
      </c>
      <c r="C376" s="72" t="s">
        <v>1742</v>
      </c>
      <c r="D376" s="149" t="s">
        <v>1045</v>
      </c>
      <c r="E376" s="125">
        <v>0</v>
      </c>
      <c r="F376" s="125">
        <v>0</v>
      </c>
      <c r="G376" s="125">
        <v>773229</v>
      </c>
      <c r="H376" s="125">
        <v>0</v>
      </c>
      <c r="I376" s="125">
        <v>1200000</v>
      </c>
    </row>
    <row r="377" spans="1:9" s="145" customFormat="1" ht="31.5">
      <c r="A377" s="70" t="s">
        <v>2287</v>
      </c>
      <c r="B377" s="105" t="s">
        <v>6042</v>
      </c>
      <c r="C377" s="72" t="s">
        <v>1743</v>
      </c>
      <c r="D377" s="149" t="s">
        <v>1045</v>
      </c>
      <c r="E377" s="125">
        <v>0</v>
      </c>
      <c r="F377" s="125">
        <v>0</v>
      </c>
      <c r="G377" s="125">
        <v>556975</v>
      </c>
      <c r="H377" s="125">
        <v>0</v>
      </c>
      <c r="I377" s="125">
        <v>16000000</v>
      </c>
    </row>
    <row r="378" spans="1:9" s="145" customFormat="1" ht="15.75">
      <c r="A378" s="70" t="s">
        <v>2288</v>
      </c>
      <c r="B378" s="105" t="s">
        <v>6043</v>
      </c>
      <c r="C378" s="72"/>
      <c r="D378" s="149"/>
      <c r="E378" s="125">
        <v>0</v>
      </c>
      <c r="F378" s="125">
        <v>0</v>
      </c>
      <c r="G378" s="125">
        <v>0</v>
      </c>
      <c r="H378" s="125">
        <v>0</v>
      </c>
      <c r="I378" s="125">
        <v>0</v>
      </c>
    </row>
    <row r="379" spans="1:9" s="145" customFormat="1" ht="15.75">
      <c r="A379" s="70" t="s">
        <v>2289</v>
      </c>
      <c r="B379" s="105" t="s">
        <v>6044</v>
      </c>
      <c r="C379" s="72" t="s">
        <v>1744</v>
      </c>
      <c r="D379" s="149" t="s">
        <v>1045</v>
      </c>
      <c r="E379" s="125">
        <v>0</v>
      </c>
      <c r="F379" s="125">
        <v>0</v>
      </c>
      <c r="G379" s="125">
        <v>97022524</v>
      </c>
      <c r="H379" s="125">
        <v>0</v>
      </c>
      <c r="I379" s="125">
        <v>96000000</v>
      </c>
    </row>
    <row r="380" spans="1:9" s="145" customFormat="1" ht="15.75">
      <c r="A380" s="70" t="s">
        <v>2290</v>
      </c>
      <c r="B380" s="105" t="s">
        <v>6045</v>
      </c>
      <c r="C380" s="72" t="s">
        <v>1745</v>
      </c>
      <c r="D380" s="149" t="s">
        <v>1045</v>
      </c>
      <c r="E380" s="125">
        <v>0</v>
      </c>
      <c r="F380" s="125">
        <v>0</v>
      </c>
      <c r="G380" s="125">
        <v>436982</v>
      </c>
      <c r="H380" s="125">
        <v>0</v>
      </c>
      <c r="I380" s="125">
        <v>1480000</v>
      </c>
    </row>
    <row r="381" spans="1:9" s="145" customFormat="1" ht="15.75">
      <c r="A381" s="70" t="s">
        <v>2291</v>
      </c>
      <c r="B381" s="105" t="s">
        <v>6046</v>
      </c>
      <c r="C381" s="72" t="s">
        <v>1746</v>
      </c>
      <c r="D381" s="149" t="s">
        <v>1045</v>
      </c>
      <c r="E381" s="125">
        <v>0</v>
      </c>
      <c r="F381" s="125">
        <v>0</v>
      </c>
      <c r="G381" s="125">
        <v>15583708</v>
      </c>
      <c r="H381" s="125">
        <v>0</v>
      </c>
      <c r="I381" s="125">
        <v>20000000</v>
      </c>
    </row>
    <row r="382" spans="1:9" s="145" customFormat="1" ht="15.75">
      <c r="A382" s="70" t="s">
        <v>2292</v>
      </c>
      <c r="B382" s="105" t="s">
        <v>6047</v>
      </c>
      <c r="C382" s="72" t="s">
        <v>1747</v>
      </c>
      <c r="D382" s="149" t="s">
        <v>1045</v>
      </c>
      <c r="E382" s="125">
        <v>0</v>
      </c>
      <c r="F382" s="125">
        <v>0</v>
      </c>
      <c r="G382" s="125">
        <v>12850628</v>
      </c>
      <c r="H382" s="125">
        <v>0</v>
      </c>
      <c r="I382" s="125">
        <v>16000000</v>
      </c>
    </row>
    <row r="383" spans="1:9" s="145" customFormat="1" ht="15.75">
      <c r="A383" s="70" t="s">
        <v>2293</v>
      </c>
      <c r="B383" s="105" t="s">
        <v>6048</v>
      </c>
      <c r="C383" s="72"/>
      <c r="D383" s="149"/>
      <c r="E383" s="125">
        <v>0</v>
      </c>
      <c r="F383" s="125">
        <v>0</v>
      </c>
      <c r="G383" s="125">
        <v>0</v>
      </c>
      <c r="H383" s="125">
        <v>0</v>
      </c>
      <c r="I383" s="125">
        <v>0</v>
      </c>
    </row>
    <row r="384" spans="1:9" s="145" customFormat="1" ht="15.75">
      <c r="A384" s="70" t="s">
        <v>2294</v>
      </c>
      <c r="B384" s="105" t="s">
        <v>6049</v>
      </c>
      <c r="C384" s="72" t="s">
        <v>1748</v>
      </c>
      <c r="D384" s="149" t="s">
        <v>1045</v>
      </c>
      <c r="E384" s="125">
        <v>0</v>
      </c>
      <c r="F384" s="125">
        <v>0</v>
      </c>
      <c r="G384" s="125">
        <v>5599985</v>
      </c>
      <c r="H384" s="125">
        <v>0</v>
      </c>
      <c r="I384" s="125">
        <v>5600000</v>
      </c>
    </row>
    <row r="385" spans="1:9" s="145" customFormat="1" ht="15.75">
      <c r="A385" s="70" t="s">
        <v>2295</v>
      </c>
      <c r="B385" s="105" t="s">
        <v>6050</v>
      </c>
      <c r="C385" s="72" t="s">
        <v>1749</v>
      </c>
      <c r="D385" s="149" t="s">
        <v>1045</v>
      </c>
      <c r="E385" s="125">
        <v>0</v>
      </c>
      <c r="F385" s="125">
        <v>0</v>
      </c>
      <c r="G385" s="125">
        <v>4579011</v>
      </c>
      <c r="H385" s="125">
        <v>0</v>
      </c>
      <c r="I385" s="125">
        <v>5600000</v>
      </c>
    </row>
    <row r="386" spans="1:9" s="145" customFormat="1" ht="15.75">
      <c r="A386" s="70" t="s">
        <v>2296</v>
      </c>
      <c r="B386" s="105" t="s">
        <v>6051</v>
      </c>
      <c r="C386" s="72" t="s">
        <v>1750</v>
      </c>
      <c r="D386" s="149" t="s">
        <v>1045</v>
      </c>
      <c r="E386" s="125">
        <v>0</v>
      </c>
      <c r="F386" s="125">
        <v>0</v>
      </c>
      <c r="G386" s="125">
        <v>6974084</v>
      </c>
      <c r="H386" s="125">
        <v>0</v>
      </c>
      <c r="I386" s="125">
        <v>8000000</v>
      </c>
    </row>
    <row r="387" spans="1:9" s="145" customFormat="1" ht="15.75">
      <c r="A387" s="70" t="s">
        <v>2297</v>
      </c>
      <c r="B387" s="105" t="s">
        <v>6052</v>
      </c>
      <c r="C387" s="72" t="s">
        <v>1751</v>
      </c>
      <c r="D387" s="149" t="s">
        <v>1045</v>
      </c>
      <c r="E387" s="125">
        <v>0</v>
      </c>
      <c r="F387" s="125">
        <v>0</v>
      </c>
      <c r="G387" s="125">
        <v>2767916</v>
      </c>
      <c r="H387" s="125">
        <v>0</v>
      </c>
      <c r="I387" s="125">
        <v>2000000</v>
      </c>
    </row>
    <row r="388" spans="1:9" s="145" customFormat="1" ht="15.75">
      <c r="A388" s="70" t="s">
        <v>2298</v>
      </c>
      <c r="B388" s="105" t="s">
        <v>6053</v>
      </c>
      <c r="C388" s="72" t="s">
        <v>1752</v>
      </c>
      <c r="D388" s="149" t="s">
        <v>1045</v>
      </c>
      <c r="E388" s="125">
        <v>0</v>
      </c>
      <c r="F388" s="125">
        <v>0</v>
      </c>
      <c r="G388" s="125">
        <v>797975</v>
      </c>
      <c r="H388" s="125">
        <v>0</v>
      </c>
      <c r="I388" s="125">
        <v>800000</v>
      </c>
    </row>
    <row r="389" spans="1:9" s="145" customFormat="1" ht="15.75">
      <c r="A389" s="70" t="s">
        <v>2299</v>
      </c>
      <c r="B389" s="105" t="s">
        <v>6054</v>
      </c>
      <c r="C389" s="72" t="s">
        <v>1784</v>
      </c>
      <c r="D389" s="149" t="s">
        <v>1045</v>
      </c>
      <c r="E389" s="125">
        <v>0</v>
      </c>
      <c r="F389" s="125">
        <v>0</v>
      </c>
      <c r="G389" s="125">
        <v>0</v>
      </c>
      <c r="H389" s="125">
        <v>0</v>
      </c>
      <c r="I389" s="125">
        <v>800000</v>
      </c>
    </row>
    <row r="390" spans="1:9" s="145" customFormat="1" ht="15.75">
      <c r="A390" s="70" t="s">
        <v>10410</v>
      </c>
      <c r="B390" s="105" t="s">
        <v>6055</v>
      </c>
      <c r="C390" s="72"/>
      <c r="D390" s="149"/>
      <c r="E390" s="125">
        <v>0</v>
      </c>
      <c r="F390" s="125">
        <v>0</v>
      </c>
      <c r="G390" s="125">
        <v>0</v>
      </c>
      <c r="H390" s="125">
        <v>0</v>
      </c>
      <c r="I390" s="125">
        <v>0</v>
      </c>
    </row>
    <row r="391" spans="1:9" s="145" customFormat="1" ht="15.75">
      <c r="A391" s="70" t="s">
        <v>2300</v>
      </c>
      <c r="B391" s="105" t="s">
        <v>6056</v>
      </c>
      <c r="C391" s="72" t="s">
        <v>1765</v>
      </c>
      <c r="D391" s="149" t="s">
        <v>1045</v>
      </c>
      <c r="E391" s="125">
        <v>0</v>
      </c>
      <c r="F391" s="125">
        <v>0</v>
      </c>
      <c r="G391" s="125">
        <v>6659408</v>
      </c>
      <c r="H391" s="125">
        <v>0</v>
      </c>
      <c r="I391" s="125">
        <v>9600000</v>
      </c>
    </row>
    <row r="392" spans="1:9" s="145" customFormat="1" ht="15.75">
      <c r="A392" s="70" t="s">
        <v>2301</v>
      </c>
      <c r="B392" s="105" t="s">
        <v>6057</v>
      </c>
      <c r="C392" s="72" t="s">
        <v>1766</v>
      </c>
      <c r="D392" s="149" t="s">
        <v>1045</v>
      </c>
      <c r="E392" s="125">
        <v>0</v>
      </c>
      <c r="F392" s="125">
        <v>0</v>
      </c>
      <c r="G392" s="125">
        <v>1066382</v>
      </c>
      <c r="H392" s="125">
        <v>0</v>
      </c>
      <c r="I392" s="125">
        <v>960000</v>
      </c>
    </row>
    <row r="393" spans="1:9" s="145" customFormat="1" ht="15.75">
      <c r="A393" s="70" t="s">
        <v>2302</v>
      </c>
      <c r="B393" s="105" t="s">
        <v>6058</v>
      </c>
      <c r="C393" s="72" t="s">
        <v>1767</v>
      </c>
      <c r="D393" s="149" t="s">
        <v>1045</v>
      </c>
      <c r="E393" s="125">
        <v>0</v>
      </c>
      <c r="F393" s="125">
        <v>0</v>
      </c>
      <c r="G393" s="125">
        <v>1169524</v>
      </c>
      <c r="H393" s="125">
        <v>0</v>
      </c>
      <c r="I393" s="125">
        <v>1200000</v>
      </c>
    </row>
    <row r="394" spans="1:9" s="145" customFormat="1" ht="15.75">
      <c r="A394" s="70" t="s">
        <v>2303</v>
      </c>
      <c r="B394" s="105" t="s">
        <v>6059</v>
      </c>
      <c r="C394" s="72"/>
      <c r="D394" s="149" t="s">
        <v>1045</v>
      </c>
      <c r="E394" s="125">
        <v>0</v>
      </c>
      <c r="F394" s="125">
        <v>0</v>
      </c>
      <c r="G394" s="125">
        <v>0</v>
      </c>
      <c r="H394" s="125">
        <v>0</v>
      </c>
      <c r="I394" s="125">
        <v>0</v>
      </c>
    </row>
    <row r="395" spans="1:9" s="145" customFormat="1" ht="31.5">
      <c r="A395" s="70" t="s">
        <v>10409</v>
      </c>
      <c r="B395" s="105" t="s">
        <v>6060</v>
      </c>
      <c r="C395" s="72" t="s">
        <v>1768</v>
      </c>
      <c r="D395" s="149" t="s">
        <v>1045</v>
      </c>
      <c r="E395" s="125">
        <v>0</v>
      </c>
      <c r="F395" s="125">
        <v>0</v>
      </c>
      <c r="G395" s="125">
        <v>8496</v>
      </c>
      <c r="H395" s="125">
        <v>0</v>
      </c>
      <c r="I395" s="125">
        <v>160000</v>
      </c>
    </row>
    <row r="396" spans="1:9" s="145" customFormat="1" ht="15.75">
      <c r="A396" s="70" t="s">
        <v>2304</v>
      </c>
      <c r="B396" s="105" t="s">
        <v>6061</v>
      </c>
      <c r="C396" s="72" t="s">
        <v>1769</v>
      </c>
      <c r="D396" s="149" t="s">
        <v>1045</v>
      </c>
      <c r="E396" s="125">
        <v>0</v>
      </c>
      <c r="F396" s="125">
        <v>0</v>
      </c>
      <c r="G396" s="125">
        <v>0</v>
      </c>
      <c r="H396" s="125">
        <v>0</v>
      </c>
      <c r="I396" s="125">
        <v>1600000</v>
      </c>
    </row>
    <row r="397" spans="1:9" s="145" customFormat="1" ht="15.75">
      <c r="A397" s="70" t="s">
        <v>3131</v>
      </c>
      <c r="B397" s="105" t="s">
        <v>6062</v>
      </c>
      <c r="C397" s="72" t="s">
        <v>1770</v>
      </c>
      <c r="D397" s="149" t="s">
        <v>1045</v>
      </c>
      <c r="E397" s="125">
        <v>0</v>
      </c>
      <c r="F397" s="125">
        <v>0</v>
      </c>
      <c r="G397" s="125">
        <v>0</v>
      </c>
      <c r="H397" s="125">
        <v>0</v>
      </c>
      <c r="I397" s="125">
        <v>1200000</v>
      </c>
    </row>
    <row r="398" spans="1:9" s="145" customFormat="1" ht="15.75">
      <c r="A398" s="70" t="s">
        <v>2305</v>
      </c>
      <c r="B398" s="105" t="s">
        <v>6063</v>
      </c>
      <c r="C398" s="72" t="s">
        <v>1771</v>
      </c>
      <c r="D398" s="149" t="s">
        <v>1045</v>
      </c>
      <c r="E398" s="125">
        <v>0</v>
      </c>
      <c r="F398" s="125">
        <v>0</v>
      </c>
      <c r="G398" s="125">
        <v>1600</v>
      </c>
      <c r="H398" s="125">
        <v>0</v>
      </c>
      <c r="I398" s="125">
        <v>1600000</v>
      </c>
    </row>
    <row r="399" spans="1:9" s="145" customFormat="1" ht="31.5">
      <c r="A399" s="70" t="s">
        <v>2306</v>
      </c>
      <c r="B399" s="105" t="s">
        <v>6064</v>
      </c>
      <c r="C399" s="72" t="s">
        <v>1772</v>
      </c>
      <c r="D399" s="149" t="s">
        <v>1045</v>
      </c>
      <c r="E399" s="125">
        <v>0</v>
      </c>
      <c r="F399" s="125">
        <v>0</v>
      </c>
      <c r="G399" s="125">
        <v>8824976</v>
      </c>
      <c r="H399" s="125">
        <v>0</v>
      </c>
      <c r="I399" s="125">
        <v>8000000</v>
      </c>
    </row>
    <row r="400" spans="1:9" s="145" customFormat="1" ht="15.75">
      <c r="A400" s="70" t="s">
        <v>3132</v>
      </c>
      <c r="B400" s="105" t="s">
        <v>6065</v>
      </c>
      <c r="C400" s="72" t="s">
        <v>1773</v>
      </c>
      <c r="D400" s="149" t="s">
        <v>1045</v>
      </c>
      <c r="E400" s="125">
        <v>0</v>
      </c>
      <c r="F400" s="125">
        <v>0</v>
      </c>
      <c r="G400" s="125">
        <v>2821546</v>
      </c>
      <c r="H400" s="125">
        <v>0</v>
      </c>
      <c r="I400" s="125">
        <v>4000000</v>
      </c>
    </row>
    <row r="401" spans="1:9" s="145" customFormat="1" ht="15.75">
      <c r="A401" s="70" t="s">
        <v>2307</v>
      </c>
      <c r="B401" s="105" t="s">
        <v>6066</v>
      </c>
      <c r="C401" s="72" t="s">
        <v>1774</v>
      </c>
      <c r="D401" s="149" t="s">
        <v>1045</v>
      </c>
      <c r="E401" s="125">
        <v>0</v>
      </c>
      <c r="F401" s="125">
        <v>0</v>
      </c>
      <c r="G401" s="125">
        <v>48000</v>
      </c>
      <c r="H401" s="125">
        <v>0</v>
      </c>
      <c r="I401" s="125">
        <v>800000</v>
      </c>
    </row>
    <row r="402" spans="1:9" s="145" customFormat="1" ht="15.75">
      <c r="A402" s="70" t="s">
        <v>2308</v>
      </c>
      <c r="B402" s="105" t="s">
        <v>6067</v>
      </c>
      <c r="C402" s="72"/>
      <c r="D402" s="149"/>
      <c r="E402" s="125">
        <v>0</v>
      </c>
      <c r="F402" s="125">
        <v>0</v>
      </c>
      <c r="G402" s="125">
        <v>0</v>
      </c>
      <c r="H402" s="125">
        <v>0</v>
      </c>
      <c r="I402" s="125">
        <v>0</v>
      </c>
    </row>
    <row r="403" spans="1:9" s="145" customFormat="1" ht="15.75">
      <c r="A403" s="70" t="s">
        <v>2309</v>
      </c>
      <c r="B403" s="105" t="s">
        <v>6068</v>
      </c>
      <c r="C403" s="72" t="s">
        <v>1775</v>
      </c>
      <c r="D403" s="149" t="s">
        <v>1045</v>
      </c>
      <c r="E403" s="125">
        <v>0</v>
      </c>
      <c r="F403" s="125">
        <v>0</v>
      </c>
      <c r="G403" s="125">
        <v>800000</v>
      </c>
      <c r="H403" s="125">
        <v>0</v>
      </c>
      <c r="I403" s="125">
        <v>0</v>
      </c>
    </row>
    <row r="404" spans="1:9" s="145" customFormat="1" ht="15.75">
      <c r="A404" s="70" t="s">
        <v>2302</v>
      </c>
      <c r="B404" s="105" t="s">
        <v>6058</v>
      </c>
      <c r="C404" s="72" t="s">
        <v>1776</v>
      </c>
      <c r="D404" s="149" t="s">
        <v>1045</v>
      </c>
      <c r="E404" s="125">
        <v>0</v>
      </c>
      <c r="F404" s="125">
        <v>0</v>
      </c>
      <c r="G404" s="125">
        <v>1061430</v>
      </c>
      <c r="H404" s="125">
        <v>0</v>
      </c>
      <c r="I404" s="125">
        <v>1120000</v>
      </c>
    </row>
    <row r="405" spans="1:9" s="145" customFormat="1" ht="15.75">
      <c r="A405" s="70" t="s">
        <v>2310</v>
      </c>
      <c r="B405" s="105" t="s">
        <v>6069</v>
      </c>
      <c r="C405" s="72" t="s">
        <v>1777</v>
      </c>
      <c r="D405" s="149" t="s">
        <v>1045</v>
      </c>
      <c r="E405" s="125">
        <v>0</v>
      </c>
      <c r="F405" s="125">
        <v>0</v>
      </c>
      <c r="G405" s="125">
        <v>0</v>
      </c>
      <c r="H405" s="125">
        <v>0</v>
      </c>
      <c r="I405" s="125">
        <v>240000</v>
      </c>
    </row>
    <row r="406" spans="1:9" s="145" customFormat="1" ht="15.75">
      <c r="A406" s="70" t="s">
        <v>3133</v>
      </c>
      <c r="B406" s="105" t="s">
        <v>6070</v>
      </c>
      <c r="C406" s="72" t="s">
        <v>1753</v>
      </c>
      <c r="D406" s="149" t="s">
        <v>1045</v>
      </c>
      <c r="E406" s="125">
        <v>0</v>
      </c>
      <c r="F406" s="125">
        <v>0</v>
      </c>
      <c r="G406" s="125">
        <v>8638910</v>
      </c>
      <c r="H406" s="125">
        <v>0</v>
      </c>
      <c r="I406" s="125">
        <v>8000000</v>
      </c>
    </row>
    <row r="407" spans="1:9" s="145" customFormat="1" ht="15.75">
      <c r="A407" s="70" t="s">
        <v>2311</v>
      </c>
      <c r="B407" s="105" t="s">
        <v>6071</v>
      </c>
      <c r="C407" s="72" t="s">
        <v>1754</v>
      </c>
      <c r="D407" s="149" t="s">
        <v>1045</v>
      </c>
      <c r="E407" s="125">
        <v>0</v>
      </c>
      <c r="F407" s="125">
        <v>0</v>
      </c>
      <c r="G407" s="125">
        <v>10270000</v>
      </c>
      <c r="H407" s="125">
        <v>0</v>
      </c>
      <c r="I407" s="125">
        <v>8000000</v>
      </c>
    </row>
    <row r="408" spans="1:9" s="145" customFormat="1" ht="15.75">
      <c r="A408" s="70" t="s">
        <v>2312</v>
      </c>
      <c r="B408" s="105" t="s">
        <v>6072</v>
      </c>
      <c r="C408" s="72" t="s">
        <v>1755</v>
      </c>
      <c r="D408" s="149" t="s">
        <v>1045</v>
      </c>
      <c r="E408" s="125">
        <v>0</v>
      </c>
      <c r="F408" s="125">
        <v>0</v>
      </c>
      <c r="G408" s="125">
        <v>356574</v>
      </c>
      <c r="H408" s="125">
        <v>0</v>
      </c>
      <c r="I408" s="125">
        <v>8000000</v>
      </c>
    </row>
    <row r="409" spans="1:9" s="145" customFormat="1" ht="15.75">
      <c r="A409" s="70" t="s">
        <v>2313</v>
      </c>
      <c r="B409" s="105" t="s">
        <v>6073</v>
      </c>
      <c r="C409" s="72" t="s">
        <v>1756</v>
      </c>
      <c r="D409" s="149" t="s">
        <v>1045</v>
      </c>
      <c r="E409" s="125">
        <v>0</v>
      </c>
      <c r="F409" s="125">
        <v>0</v>
      </c>
      <c r="G409" s="125">
        <v>11957623</v>
      </c>
      <c r="H409" s="125">
        <v>0</v>
      </c>
      <c r="I409" s="125">
        <v>16000000</v>
      </c>
    </row>
    <row r="410" spans="1:9" s="145" customFormat="1" ht="31.5">
      <c r="A410" s="70" t="s">
        <v>2314</v>
      </c>
      <c r="B410" s="105" t="s">
        <v>6074</v>
      </c>
      <c r="C410" s="72" t="s">
        <v>1757</v>
      </c>
      <c r="D410" s="149" t="s">
        <v>1045</v>
      </c>
      <c r="E410" s="125">
        <v>0</v>
      </c>
      <c r="F410" s="125">
        <v>0</v>
      </c>
      <c r="G410" s="125">
        <v>15194044</v>
      </c>
      <c r="H410" s="125">
        <v>0</v>
      </c>
      <c r="I410" s="125">
        <v>16000000</v>
      </c>
    </row>
    <row r="411" spans="1:9" s="145" customFormat="1" ht="15.75">
      <c r="A411" s="70" t="s">
        <v>2315</v>
      </c>
      <c r="B411" s="105" t="s">
        <v>6075</v>
      </c>
      <c r="C411" s="72" t="s">
        <v>1758</v>
      </c>
      <c r="D411" s="149" t="s">
        <v>1045</v>
      </c>
      <c r="E411" s="125">
        <v>0</v>
      </c>
      <c r="F411" s="125">
        <v>0</v>
      </c>
      <c r="G411" s="125">
        <v>8000000</v>
      </c>
      <c r="H411" s="125">
        <v>0</v>
      </c>
      <c r="I411" s="125">
        <v>8000000</v>
      </c>
    </row>
    <row r="412" spans="1:9" s="145" customFormat="1" ht="15.75">
      <c r="A412" s="70" t="s">
        <v>2316</v>
      </c>
      <c r="B412" s="105" t="s">
        <v>6076</v>
      </c>
      <c r="C412" s="72" t="s">
        <v>1759</v>
      </c>
      <c r="D412" s="149" t="s">
        <v>1045</v>
      </c>
      <c r="E412" s="125">
        <v>0</v>
      </c>
      <c r="F412" s="125">
        <v>0</v>
      </c>
      <c r="G412" s="125">
        <v>19707672</v>
      </c>
      <c r="H412" s="125">
        <v>0</v>
      </c>
      <c r="I412" s="125">
        <v>20000000</v>
      </c>
    </row>
    <row r="413" spans="1:9" s="145" customFormat="1" ht="47.25">
      <c r="A413" s="70" t="s">
        <v>2317</v>
      </c>
      <c r="B413" s="105" t="s">
        <v>6077</v>
      </c>
      <c r="C413" s="72" t="s">
        <v>1778</v>
      </c>
      <c r="D413" s="149" t="s">
        <v>1045</v>
      </c>
      <c r="E413" s="125">
        <v>0</v>
      </c>
      <c r="F413" s="125">
        <v>0</v>
      </c>
      <c r="G413" s="125">
        <v>0</v>
      </c>
      <c r="H413" s="125">
        <v>0</v>
      </c>
      <c r="I413" s="125">
        <v>2000000</v>
      </c>
    </row>
    <row r="414" spans="1:9" s="145" customFormat="1" ht="15.75">
      <c r="A414" s="70" t="s">
        <v>2318</v>
      </c>
      <c r="B414" s="105" t="s">
        <v>6078</v>
      </c>
      <c r="C414" s="72" t="s">
        <v>1779</v>
      </c>
      <c r="D414" s="149" t="s">
        <v>1045</v>
      </c>
      <c r="E414" s="125">
        <v>0</v>
      </c>
      <c r="F414" s="125">
        <v>0</v>
      </c>
      <c r="G414" s="125">
        <v>2745000</v>
      </c>
      <c r="H414" s="125">
        <v>0</v>
      </c>
      <c r="I414" s="125">
        <v>3200000</v>
      </c>
    </row>
    <row r="415" spans="1:9" s="145" customFormat="1" ht="15.75">
      <c r="A415" s="70" t="s">
        <v>3134</v>
      </c>
      <c r="B415" s="105" t="s">
        <v>6079</v>
      </c>
      <c r="C415" s="72" t="s">
        <v>1780</v>
      </c>
      <c r="D415" s="149" t="s">
        <v>1045</v>
      </c>
      <c r="E415" s="125">
        <v>0</v>
      </c>
      <c r="F415" s="125">
        <v>0</v>
      </c>
      <c r="G415" s="125">
        <v>333800</v>
      </c>
      <c r="H415" s="125">
        <v>0</v>
      </c>
      <c r="I415" s="125">
        <v>800000</v>
      </c>
    </row>
    <row r="416" spans="1:9" s="145" customFormat="1" ht="15.75">
      <c r="A416" s="70" t="s">
        <v>3135</v>
      </c>
      <c r="B416" s="105" t="s">
        <v>6080</v>
      </c>
      <c r="C416" s="72" t="s">
        <v>1760</v>
      </c>
      <c r="D416" s="149" t="s">
        <v>1045</v>
      </c>
      <c r="E416" s="125">
        <v>0</v>
      </c>
      <c r="F416" s="125">
        <v>0</v>
      </c>
      <c r="G416" s="125">
        <v>0</v>
      </c>
      <c r="H416" s="125">
        <v>0</v>
      </c>
      <c r="I416" s="125">
        <v>400000</v>
      </c>
    </row>
    <row r="417" spans="1:9" s="145" customFormat="1" ht="31.5">
      <c r="A417" s="70" t="s">
        <v>2319</v>
      </c>
      <c r="B417" s="105" t="s">
        <v>6081</v>
      </c>
      <c r="C417" s="72" t="s">
        <v>1927</v>
      </c>
      <c r="D417" s="149" t="s">
        <v>1045</v>
      </c>
      <c r="E417" s="125">
        <v>0</v>
      </c>
      <c r="F417" s="125">
        <v>0</v>
      </c>
      <c r="G417" s="125">
        <v>4863210</v>
      </c>
      <c r="H417" s="125">
        <v>0</v>
      </c>
      <c r="I417" s="125">
        <v>0</v>
      </c>
    </row>
    <row r="418" spans="1:9" s="145" customFormat="1" ht="31.5">
      <c r="A418" s="70" t="s">
        <v>5382</v>
      </c>
      <c r="B418" s="105"/>
      <c r="C418" s="72" t="s">
        <v>5381</v>
      </c>
      <c r="D418" s="149" t="s">
        <v>1045</v>
      </c>
      <c r="E418" s="125">
        <v>0</v>
      </c>
      <c r="F418" s="125">
        <v>0</v>
      </c>
      <c r="G418" s="125">
        <v>38516860</v>
      </c>
      <c r="H418" s="125">
        <v>0</v>
      </c>
      <c r="I418" s="125">
        <v>8000000</v>
      </c>
    </row>
    <row r="419" spans="1:9" s="145" customFormat="1" ht="15.75">
      <c r="A419" s="70" t="s">
        <v>10411</v>
      </c>
      <c r="B419" s="105"/>
      <c r="C419" s="72" t="s">
        <v>12644</v>
      </c>
      <c r="D419" s="149" t="s">
        <v>1045</v>
      </c>
      <c r="E419" s="125">
        <v>0</v>
      </c>
      <c r="F419" s="125">
        <v>0</v>
      </c>
      <c r="G419" s="125">
        <v>0</v>
      </c>
      <c r="H419" s="125">
        <v>0</v>
      </c>
      <c r="I419" s="125">
        <v>4000000</v>
      </c>
    </row>
    <row r="420" spans="1:9" s="145" customFormat="1" ht="15.75">
      <c r="A420" s="70" t="s">
        <v>10421</v>
      </c>
      <c r="B420" s="105"/>
      <c r="C420" s="72" t="s">
        <v>12645</v>
      </c>
      <c r="D420" s="149" t="s">
        <v>1045</v>
      </c>
      <c r="E420" s="125">
        <v>0</v>
      </c>
      <c r="F420" s="125">
        <v>0</v>
      </c>
      <c r="G420" s="125">
        <v>0</v>
      </c>
      <c r="H420" s="125">
        <v>0</v>
      </c>
      <c r="I420" s="125">
        <v>16000000</v>
      </c>
    </row>
    <row r="421" spans="1:9" s="145" customFormat="1" ht="15.75">
      <c r="A421" s="70" t="s">
        <v>10412</v>
      </c>
      <c r="B421" s="105"/>
      <c r="C421" s="72" t="s">
        <v>12646</v>
      </c>
      <c r="D421" s="149" t="s">
        <v>1045</v>
      </c>
      <c r="E421" s="125">
        <v>0</v>
      </c>
      <c r="F421" s="125">
        <v>0</v>
      </c>
      <c r="G421" s="125">
        <v>0</v>
      </c>
      <c r="H421" s="125">
        <v>0</v>
      </c>
      <c r="I421" s="125">
        <v>8000000</v>
      </c>
    </row>
    <row r="422" spans="1:9" s="145" customFormat="1" ht="15.75">
      <c r="A422" s="70"/>
      <c r="B422" s="105"/>
      <c r="C422" s="72"/>
      <c r="D422" s="76"/>
      <c r="E422" s="125">
        <v>0</v>
      </c>
      <c r="F422" s="125">
        <v>0</v>
      </c>
      <c r="G422" s="125">
        <v>0</v>
      </c>
      <c r="H422" s="125">
        <v>0</v>
      </c>
      <c r="I422" s="125">
        <v>0</v>
      </c>
    </row>
    <row r="423" spans="1:9" s="145" customFormat="1" ht="15.75">
      <c r="A423" s="77" t="s">
        <v>2320</v>
      </c>
      <c r="B423" s="136" t="s">
        <v>6082</v>
      </c>
      <c r="C423" s="72"/>
      <c r="D423" s="76"/>
      <c r="E423" s="125">
        <v>2454897920</v>
      </c>
      <c r="F423" s="125">
        <v>2408824116</v>
      </c>
      <c r="G423" s="125">
        <v>2587551156</v>
      </c>
      <c r="H423" s="125">
        <v>3356827600</v>
      </c>
      <c r="I423" s="125">
        <v>3112560000</v>
      </c>
    </row>
    <row r="424" spans="1:9" s="145" customFormat="1" ht="15.75">
      <c r="A424" s="70"/>
      <c r="B424" s="105"/>
      <c r="C424" s="72"/>
      <c r="D424" s="76"/>
      <c r="E424" s="125">
        <v>0</v>
      </c>
      <c r="F424" s="125">
        <v>0</v>
      </c>
      <c r="G424" s="125">
        <v>0</v>
      </c>
      <c r="H424" s="125">
        <v>0</v>
      </c>
      <c r="I424" s="125">
        <v>0</v>
      </c>
    </row>
    <row r="425" spans="1:9" s="145" customFormat="1" ht="15.75">
      <c r="A425" s="77" t="s">
        <v>2321</v>
      </c>
      <c r="B425" s="136" t="s">
        <v>6083</v>
      </c>
      <c r="C425" s="72"/>
      <c r="D425" s="76"/>
      <c r="E425" s="125">
        <v>2454897920</v>
      </c>
      <c r="F425" s="125">
        <v>2408824116</v>
      </c>
      <c r="G425" s="125">
        <v>2587551156</v>
      </c>
      <c r="H425" s="125">
        <v>3356827600</v>
      </c>
      <c r="I425" s="125">
        <v>3112560000</v>
      </c>
    </row>
    <row r="426" spans="1:9" s="145" customFormat="1" ht="15.75">
      <c r="A426" s="70"/>
      <c r="B426" s="105"/>
      <c r="C426" s="72"/>
      <c r="D426" s="76"/>
      <c r="E426" s="125">
        <v>0</v>
      </c>
      <c r="F426" s="125">
        <v>0</v>
      </c>
      <c r="G426" s="125">
        <v>0</v>
      </c>
      <c r="H426" s="125">
        <v>0</v>
      </c>
      <c r="I426" s="125">
        <v>0</v>
      </c>
    </row>
    <row r="427" spans="1:9" s="145" customFormat="1" ht="15.75">
      <c r="A427" s="70"/>
      <c r="B427" s="105"/>
      <c r="C427" s="72"/>
      <c r="D427" s="76"/>
      <c r="E427" s="125">
        <v>0</v>
      </c>
      <c r="F427" s="125">
        <v>0</v>
      </c>
      <c r="G427" s="125">
        <v>0</v>
      </c>
      <c r="H427" s="125">
        <v>0</v>
      </c>
      <c r="I427" s="125">
        <v>0</v>
      </c>
    </row>
    <row r="428" spans="1:9" s="145" customFormat="1" ht="15.75">
      <c r="A428" s="70" t="s">
        <v>2322</v>
      </c>
      <c r="B428" s="105" t="s">
        <v>5491</v>
      </c>
      <c r="C428" s="72"/>
      <c r="D428" s="76"/>
      <c r="E428" s="125">
        <v>0</v>
      </c>
      <c r="F428" s="125">
        <v>0</v>
      </c>
      <c r="G428" s="125">
        <v>0</v>
      </c>
      <c r="H428" s="125">
        <v>0</v>
      </c>
      <c r="I428" s="125">
        <v>0</v>
      </c>
    </row>
    <row r="429" spans="1:9" s="145" customFormat="1" ht="15.75">
      <c r="A429" s="150" t="s">
        <v>2323</v>
      </c>
      <c r="B429" s="151" t="s">
        <v>6084</v>
      </c>
      <c r="C429" s="152"/>
      <c r="D429" s="76"/>
      <c r="E429" s="125">
        <v>0</v>
      </c>
      <c r="F429" s="125">
        <v>0</v>
      </c>
      <c r="G429" s="125">
        <v>0</v>
      </c>
      <c r="H429" s="125">
        <v>0</v>
      </c>
      <c r="I429" s="125">
        <v>0</v>
      </c>
    </row>
    <row r="430" spans="1:9" s="145" customFormat="1" ht="15.75">
      <c r="A430" s="70" t="s">
        <v>2148</v>
      </c>
      <c r="B430" s="105" t="s">
        <v>6023</v>
      </c>
      <c r="C430" s="72" t="s">
        <v>337</v>
      </c>
      <c r="D430" s="153"/>
      <c r="E430" s="125">
        <v>215625709</v>
      </c>
      <c r="F430" s="125">
        <v>234484228</v>
      </c>
      <c r="G430" s="125">
        <v>244881389</v>
      </c>
      <c r="H430" s="125">
        <v>270000000</v>
      </c>
      <c r="I430" s="125">
        <v>300000000</v>
      </c>
    </row>
    <row r="431" spans="1:9" s="145" customFormat="1" ht="31.5">
      <c r="A431" s="70" t="s">
        <v>3136</v>
      </c>
      <c r="B431" s="105" t="s">
        <v>6085</v>
      </c>
      <c r="C431" s="72" t="s">
        <v>443</v>
      </c>
      <c r="D431" s="153"/>
      <c r="E431" s="125">
        <v>16270335</v>
      </c>
      <c r="F431" s="125">
        <v>12938581</v>
      </c>
      <c r="G431" s="125">
        <v>11103848</v>
      </c>
      <c r="H431" s="125">
        <v>0</v>
      </c>
      <c r="I431" s="125">
        <v>0</v>
      </c>
    </row>
    <row r="432" spans="1:9" s="145" customFormat="1" ht="15.75">
      <c r="A432" s="70" t="s">
        <v>2324</v>
      </c>
      <c r="B432" s="105" t="s">
        <v>6086</v>
      </c>
      <c r="C432" s="72" t="s">
        <v>444</v>
      </c>
      <c r="D432" s="153"/>
      <c r="E432" s="125">
        <v>18606521</v>
      </c>
      <c r="F432" s="125">
        <v>18733261</v>
      </c>
      <c r="G432" s="125">
        <v>21006982</v>
      </c>
      <c r="H432" s="125">
        <v>0</v>
      </c>
      <c r="I432" s="125">
        <v>30000000</v>
      </c>
    </row>
    <row r="433" spans="1:9" s="145" customFormat="1" ht="15.75">
      <c r="A433" s="70" t="s">
        <v>2325</v>
      </c>
      <c r="B433" s="105" t="s">
        <v>6087</v>
      </c>
      <c r="C433" s="72" t="s">
        <v>445</v>
      </c>
      <c r="D433" s="153"/>
      <c r="E433" s="125">
        <v>20000000</v>
      </c>
      <c r="F433" s="125">
        <v>20000000</v>
      </c>
      <c r="G433" s="125">
        <v>40000000</v>
      </c>
      <c r="H433" s="125">
        <v>80000000</v>
      </c>
      <c r="I433" s="125">
        <v>70000000</v>
      </c>
    </row>
    <row r="434" spans="1:9" s="145" customFormat="1" ht="15.75">
      <c r="A434" s="70" t="s">
        <v>2326</v>
      </c>
      <c r="B434" s="105" t="s">
        <v>6088</v>
      </c>
      <c r="C434" s="72" t="s">
        <v>446</v>
      </c>
      <c r="D434" s="153"/>
      <c r="E434" s="125">
        <v>1321395</v>
      </c>
      <c r="F434" s="125">
        <v>879507</v>
      </c>
      <c r="G434" s="125">
        <v>1842866</v>
      </c>
      <c r="H434" s="125">
        <v>2500000</v>
      </c>
      <c r="I434" s="125">
        <v>3000000</v>
      </c>
    </row>
    <row r="435" spans="1:9" s="145" customFormat="1" ht="15.75">
      <c r="A435" s="70" t="s">
        <v>2327</v>
      </c>
      <c r="B435" s="105" t="s">
        <v>6089</v>
      </c>
      <c r="C435" s="72" t="s">
        <v>447</v>
      </c>
      <c r="D435" s="154" t="s">
        <v>1065</v>
      </c>
      <c r="E435" s="125">
        <v>1560</v>
      </c>
      <c r="F435" s="125">
        <v>0</v>
      </c>
      <c r="G435" s="125">
        <v>0</v>
      </c>
      <c r="H435" s="125">
        <v>136000</v>
      </c>
      <c r="I435" s="125">
        <v>120000</v>
      </c>
    </row>
    <row r="436" spans="1:9" s="145" customFormat="1" ht="15.75">
      <c r="A436" s="70" t="s">
        <v>2328</v>
      </c>
      <c r="B436" s="105" t="s">
        <v>6090</v>
      </c>
      <c r="C436" s="72" t="s">
        <v>448</v>
      </c>
      <c r="D436" s="154" t="s">
        <v>1065</v>
      </c>
      <c r="E436" s="125">
        <v>26000</v>
      </c>
      <c r="F436" s="125">
        <v>0</v>
      </c>
      <c r="G436" s="125">
        <v>40000</v>
      </c>
      <c r="H436" s="125">
        <v>136000</v>
      </c>
      <c r="I436" s="125">
        <v>120000</v>
      </c>
    </row>
    <row r="437" spans="1:9" s="145" customFormat="1" ht="15.75">
      <c r="A437" s="70" t="s">
        <v>2329</v>
      </c>
      <c r="B437" s="105" t="s">
        <v>6091</v>
      </c>
      <c r="C437" s="72" t="s">
        <v>449</v>
      </c>
      <c r="D437" s="154" t="s">
        <v>1065</v>
      </c>
      <c r="E437" s="125">
        <v>2499508</v>
      </c>
      <c r="F437" s="125">
        <v>2123025</v>
      </c>
      <c r="G437" s="125">
        <v>0</v>
      </c>
      <c r="H437" s="125">
        <v>2040000</v>
      </c>
      <c r="I437" s="125">
        <v>1632000</v>
      </c>
    </row>
    <row r="438" spans="1:9" s="145" customFormat="1" ht="15.75">
      <c r="A438" s="70" t="s">
        <v>2868</v>
      </c>
      <c r="B438" s="105" t="s">
        <v>6092</v>
      </c>
      <c r="C438" s="72" t="s">
        <v>450</v>
      </c>
      <c r="D438" s="153"/>
      <c r="E438" s="125">
        <v>1499640</v>
      </c>
      <c r="F438" s="125">
        <v>2264510</v>
      </c>
      <c r="G438" s="125">
        <v>2000000</v>
      </c>
      <c r="H438" s="125">
        <v>5000000</v>
      </c>
      <c r="I438" s="125">
        <v>5000000</v>
      </c>
    </row>
    <row r="439" spans="1:9" s="145" customFormat="1" ht="15.75">
      <c r="A439" s="70" t="s">
        <v>2330</v>
      </c>
      <c r="B439" s="105" t="s">
        <v>6093</v>
      </c>
      <c r="C439" s="72" t="s">
        <v>746</v>
      </c>
      <c r="D439" s="154" t="s">
        <v>1065</v>
      </c>
      <c r="E439" s="125">
        <v>0</v>
      </c>
      <c r="F439" s="125">
        <v>0</v>
      </c>
      <c r="G439" s="125">
        <v>0</v>
      </c>
      <c r="H439" s="125">
        <v>740000</v>
      </c>
      <c r="I439" s="125">
        <v>640000</v>
      </c>
    </row>
    <row r="440" spans="1:9" s="145" customFormat="1" ht="15.75">
      <c r="A440" s="70" t="s">
        <v>2331</v>
      </c>
      <c r="B440" s="105" t="s">
        <v>6094</v>
      </c>
      <c r="C440" s="146" t="s">
        <v>747</v>
      </c>
      <c r="D440" s="154" t="s">
        <v>1065</v>
      </c>
      <c r="E440" s="125">
        <v>3726603</v>
      </c>
      <c r="F440" s="125">
        <v>3569223</v>
      </c>
      <c r="G440" s="125">
        <v>2959520</v>
      </c>
      <c r="H440" s="125">
        <v>3400000</v>
      </c>
      <c r="I440" s="125">
        <v>2720000</v>
      </c>
    </row>
    <row r="441" spans="1:9" s="145" customFormat="1" ht="15.75">
      <c r="A441" s="70" t="s">
        <v>2332</v>
      </c>
      <c r="B441" s="105" t="s">
        <v>6095</v>
      </c>
      <c r="C441" s="146" t="s">
        <v>950</v>
      </c>
      <c r="D441" s="154" t="s">
        <v>1065</v>
      </c>
      <c r="E441" s="125">
        <v>50000</v>
      </c>
      <c r="F441" s="125">
        <v>849610</v>
      </c>
      <c r="G441" s="125">
        <v>0</v>
      </c>
      <c r="H441" s="125">
        <v>680000</v>
      </c>
      <c r="I441" s="125">
        <v>560000</v>
      </c>
    </row>
    <row r="442" spans="1:9" s="145" customFormat="1" ht="15.75">
      <c r="A442" s="70" t="s">
        <v>2333</v>
      </c>
      <c r="B442" s="105" t="s">
        <v>6096</v>
      </c>
      <c r="C442" s="72" t="s">
        <v>951</v>
      </c>
      <c r="D442" s="153"/>
      <c r="E442" s="125">
        <v>23190</v>
      </c>
      <c r="F442" s="125">
        <v>26940</v>
      </c>
      <c r="G442" s="125">
        <v>33570</v>
      </c>
      <c r="H442" s="125">
        <v>68000</v>
      </c>
      <c r="I442" s="125">
        <v>56000</v>
      </c>
    </row>
    <row r="443" spans="1:9" s="145" customFormat="1" ht="15.75">
      <c r="A443" s="70" t="s">
        <v>2334</v>
      </c>
      <c r="B443" s="105" t="s">
        <v>6097</v>
      </c>
      <c r="C443" s="72" t="s">
        <v>952</v>
      </c>
      <c r="D443" s="154" t="s">
        <v>1065</v>
      </c>
      <c r="E443" s="125">
        <v>383619</v>
      </c>
      <c r="F443" s="125">
        <v>380880</v>
      </c>
      <c r="G443" s="125">
        <v>374000</v>
      </c>
      <c r="H443" s="125">
        <v>408000</v>
      </c>
      <c r="I443" s="125">
        <v>320000</v>
      </c>
    </row>
    <row r="444" spans="1:9" s="145" customFormat="1" ht="15.75">
      <c r="A444" s="70" t="s">
        <v>2335</v>
      </c>
      <c r="B444" s="105" t="s">
        <v>6098</v>
      </c>
      <c r="C444" s="72" t="s">
        <v>953</v>
      </c>
      <c r="D444" s="154" t="s">
        <v>1065</v>
      </c>
      <c r="E444" s="125">
        <v>380000</v>
      </c>
      <c r="F444" s="125">
        <v>323870</v>
      </c>
      <c r="G444" s="125">
        <v>484000</v>
      </c>
      <c r="H444" s="125">
        <v>498000</v>
      </c>
      <c r="I444" s="125">
        <v>400000</v>
      </c>
    </row>
    <row r="445" spans="1:9" s="145" customFormat="1" ht="15.75">
      <c r="A445" s="70" t="s">
        <v>2336</v>
      </c>
      <c r="B445" s="105" t="s">
        <v>6099</v>
      </c>
      <c r="C445" s="72" t="s">
        <v>954</v>
      </c>
      <c r="D445" s="154" t="s">
        <v>1065</v>
      </c>
      <c r="E445" s="125">
        <v>324664</v>
      </c>
      <c r="F445" s="125">
        <v>302667</v>
      </c>
      <c r="G445" s="125">
        <v>401000</v>
      </c>
      <c r="H445" s="125">
        <v>408000</v>
      </c>
      <c r="I445" s="125">
        <v>320000</v>
      </c>
    </row>
    <row r="446" spans="1:9" s="145" customFormat="1" ht="15.75">
      <c r="A446" s="70" t="s">
        <v>2337</v>
      </c>
      <c r="B446" s="105" t="s">
        <v>6100</v>
      </c>
      <c r="C446" s="72" t="s">
        <v>955</v>
      </c>
      <c r="D446" s="154" t="s">
        <v>1065</v>
      </c>
      <c r="E446" s="125">
        <v>75000</v>
      </c>
      <c r="F446" s="125">
        <v>398000</v>
      </c>
      <c r="G446" s="125">
        <v>2623640</v>
      </c>
      <c r="H446" s="125">
        <v>3400000</v>
      </c>
      <c r="I446" s="125">
        <v>2720000</v>
      </c>
    </row>
    <row r="447" spans="1:9" s="145" customFormat="1" ht="15.75">
      <c r="A447" s="70" t="s">
        <v>2338</v>
      </c>
      <c r="B447" s="105" t="s">
        <v>6101</v>
      </c>
      <c r="C447" s="72" t="s">
        <v>956</v>
      </c>
      <c r="D447" s="153"/>
      <c r="E447" s="125">
        <v>0</v>
      </c>
      <c r="F447" s="125">
        <v>0</v>
      </c>
      <c r="G447" s="125">
        <v>0</v>
      </c>
      <c r="H447" s="125">
        <v>2000000</v>
      </c>
      <c r="I447" s="125">
        <v>4800000</v>
      </c>
    </row>
    <row r="448" spans="1:9" s="145" customFormat="1" ht="47.25">
      <c r="A448" s="70" t="s">
        <v>4865</v>
      </c>
      <c r="B448" s="105" t="s">
        <v>6102</v>
      </c>
      <c r="C448" s="72" t="s">
        <v>957</v>
      </c>
      <c r="D448" s="154" t="s">
        <v>1065</v>
      </c>
      <c r="E448" s="125">
        <v>181647</v>
      </c>
      <c r="F448" s="125">
        <v>201200</v>
      </c>
      <c r="G448" s="125">
        <v>264553</v>
      </c>
      <c r="H448" s="125">
        <v>449000</v>
      </c>
      <c r="I448" s="125">
        <v>400000</v>
      </c>
    </row>
    <row r="449" spans="1:9" s="145" customFormat="1" ht="47.25">
      <c r="A449" s="70" t="s">
        <v>10558</v>
      </c>
      <c r="B449" s="105" t="s">
        <v>6103</v>
      </c>
      <c r="C449" s="72" t="s">
        <v>748</v>
      </c>
      <c r="D449" s="154" t="s">
        <v>1065</v>
      </c>
      <c r="E449" s="125">
        <v>472920</v>
      </c>
      <c r="F449" s="125">
        <v>434000</v>
      </c>
      <c r="G449" s="125">
        <v>672000</v>
      </c>
      <c r="H449" s="125">
        <v>680000</v>
      </c>
      <c r="I449" s="125">
        <v>560000</v>
      </c>
    </row>
    <row r="450" spans="1:9" s="145" customFormat="1" ht="31.5">
      <c r="A450" s="70" t="s">
        <v>4866</v>
      </c>
      <c r="B450" s="105" t="s">
        <v>6104</v>
      </c>
      <c r="C450" s="72" t="s">
        <v>561</v>
      </c>
      <c r="D450" s="154" t="s">
        <v>1065</v>
      </c>
      <c r="E450" s="125">
        <v>442240</v>
      </c>
      <c r="F450" s="125">
        <v>367000</v>
      </c>
      <c r="G450" s="125">
        <v>475550</v>
      </c>
      <c r="H450" s="125">
        <v>476000</v>
      </c>
      <c r="I450" s="125">
        <v>400000</v>
      </c>
    </row>
    <row r="451" spans="1:9" s="145" customFormat="1" ht="15.75">
      <c r="A451" s="70" t="s">
        <v>2339</v>
      </c>
      <c r="B451" s="105" t="s">
        <v>6105</v>
      </c>
      <c r="C451" s="72" t="s">
        <v>562</v>
      </c>
      <c r="D451" s="154" t="s">
        <v>1065</v>
      </c>
      <c r="E451" s="125">
        <v>220000</v>
      </c>
      <c r="F451" s="125">
        <v>185875</v>
      </c>
      <c r="G451" s="125">
        <v>195875</v>
      </c>
      <c r="H451" s="125">
        <v>204000</v>
      </c>
      <c r="I451" s="125">
        <v>160000</v>
      </c>
    </row>
    <row r="452" spans="1:9" s="145" customFormat="1" ht="31.5">
      <c r="A452" s="70" t="s">
        <v>4867</v>
      </c>
      <c r="B452" s="105" t="s">
        <v>6106</v>
      </c>
      <c r="C452" s="75" t="s">
        <v>130</v>
      </c>
      <c r="D452" s="154" t="s">
        <v>1065</v>
      </c>
      <c r="E452" s="125">
        <v>9000000</v>
      </c>
      <c r="F452" s="125">
        <v>7530088</v>
      </c>
      <c r="G452" s="125">
        <v>7480000</v>
      </c>
      <c r="H452" s="125">
        <v>8000000</v>
      </c>
      <c r="I452" s="125">
        <v>9600000</v>
      </c>
    </row>
    <row r="453" spans="1:9" s="145" customFormat="1" ht="31.5">
      <c r="A453" s="70" t="s">
        <v>10559</v>
      </c>
      <c r="B453" s="105" t="s">
        <v>6107</v>
      </c>
      <c r="C453" s="75" t="s">
        <v>131</v>
      </c>
      <c r="D453" s="154" t="s">
        <v>1065</v>
      </c>
      <c r="E453" s="125">
        <v>178435000</v>
      </c>
      <c r="F453" s="125">
        <v>202987834</v>
      </c>
      <c r="G453" s="125">
        <v>141761188</v>
      </c>
      <c r="H453" s="125">
        <v>100000000</v>
      </c>
      <c r="I453" s="125">
        <v>80000000</v>
      </c>
    </row>
    <row r="454" spans="1:9" s="145" customFormat="1" ht="47.25">
      <c r="A454" s="70" t="s">
        <v>2340</v>
      </c>
      <c r="B454" s="105" t="s">
        <v>6108</v>
      </c>
      <c r="C454" s="75" t="s">
        <v>1271</v>
      </c>
      <c r="D454" s="154" t="s">
        <v>1065</v>
      </c>
      <c r="E454" s="125">
        <v>0</v>
      </c>
      <c r="F454" s="125">
        <v>200000</v>
      </c>
      <c r="G454" s="125">
        <v>2000000</v>
      </c>
      <c r="H454" s="125">
        <v>2500000</v>
      </c>
      <c r="I454" s="125">
        <v>2500000</v>
      </c>
    </row>
    <row r="455" spans="1:9" s="145" customFormat="1" ht="47.25">
      <c r="A455" s="70" t="s">
        <v>5113</v>
      </c>
      <c r="B455" s="105" t="s">
        <v>6109</v>
      </c>
      <c r="C455" s="75" t="s">
        <v>1272</v>
      </c>
      <c r="D455" s="154" t="s">
        <v>1065</v>
      </c>
      <c r="E455" s="125">
        <v>8712000</v>
      </c>
      <c r="F455" s="125">
        <v>8497280</v>
      </c>
      <c r="G455" s="125">
        <v>0</v>
      </c>
      <c r="H455" s="125">
        <v>0</v>
      </c>
      <c r="I455" s="125">
        <v>0</v>
      </c>
    </row>
    <row r="456" spans="1:9" s="145" customFormat="1" ht="31.5">
      <c r="A456" s="70" t="s">
        <v>2341</v>
      </c>
      <c r="B456" s="105" t="s">
        <v>6110</v>
      </c>
      <c r="C456" s="75" t="s">
        <v>1302</v>
      </c>
      <c r="D456" s="154" t="s">
        <v>1065</v>
      </c>
      <c r="E456" s="125">
        <v>19844378</v>
      </c>
      <c r="F456" s="125">
        <v>23820351</v>
      </c>
      <c r="G456" s="125">
        <v>27200000</v>
      </c>
      <c r="H456" s="125">
        <v>30000000</v>
      </c>
      <c r="I456" s="125">
        <v>24000000</v>
      </c>
    </row>
    <row r="457" spans="1:9" s="145" customFormat="1" ht="78.75">
      <c r="A457" s="70" t="s">
        <v>4868</v>
      </c>
      <c r="B457" s="105" t="s">
        <v>6111</v>
      </c>
      <c r="C457" s="75" t="s">
        <v>1366</v>
      </c>
      <c r="D457" s="154" t="s">
        <v>1065</v>
      </c>
      <c r="E457" s="125">
        <v>2295000</v>
      </c>
      <c r="F457" s="125">
        <v>3723000</v>
      </c>
      <c r="G457" s="125">
        <v>5202000</v>
      </c>
      <c r="H457" s="125">
        <v>8500000</v>
      </c>
      <c r="I457" s="125">
        <v>6800000</v>
      </c>
    </row>
    <row r="458" spans="1:9" s="145" customFormat="1" ht="47.25">
      <c r="A458" s="70" t="s">
        <v>10560</v>
      </c>
      <c r="B458" s="105" t="s">
        <v>6112</v>
      </c>
      <c r="C458" s="75" t="s">
        <v>1395</v>
      </c>
      <c r="D458" s="154" t="s">
        <v>1065</v>
      </c>
      <c r="E458" s="125">
        <v>1820072</v>
      </c>
      <c r="F458" s="125">
        <v>975627</v>
      </c>
      <c r="G458" s="125">
        <v>0</v>
      </c>
      <c r="H458" s="125">
        <v>0</v>
      </c>
      <c r="I458" s="125">
        <v>0</v>
      </c>
    </row>
    <row r="459" spans="1:9" s="145" customFormat="1" ht="47.25">
      <c r="A459" s="70" t="s">
        <v>10557</v>
      </c>
      <c r="B459" s="105" t="s">
        <v>6113</v>
      </c>
      <c r="C459" s="75" t="s">
        <v>1396</v>
      </c>
      <c r="D459" s="154" t="s">
        <v>1065</v>
      </c>
      <c r="E459" s="125">
        <v>1250000</v>
      </c>
      <c r="F459" s="125">
        <v>1062500</v>
      </c>
      <c r="G459" s="125">
        <v>0</v>
      </c>
      <c r="H459" s="125">
        <v>0</v>
      </c>
      <c r="I459" s="125">
        <v>0</v>
      </c>
    </row>
    <row r="460" spans="1:9" s="145" customFormat="1" ht="47.25">
      <c r="A460" s="70" t="s">
        <v>10477</v>
      </c>
      <c r="B460" s="105" t="s">
        <v>6114</v>
      </c>
      <c r="C460" s="75" t="s">
        <v>1653</v>
      </c>
      <c r="D460" s="154" t="s">
        <v>1065</v>
      </c>
      <c r="E460" s="125">
        <v>0</v>
      </c>
      <c r="F460" s="125">
        <v>2422016</v>
      </c>
      <c r="G460" s="125">
        <v>0</v>
      </c>
      <c r="H460" s="125">
        <v>9000000</v>
      </c>
      <c r="I460" s="125">
        <v>7200000</v>
      </c>
    </row>
    <row r="461" spans="1:9" s="145" customFormat="1" ht="75">
      <c r="A461" s="73" t="s">
        <v>10556</v>
      </c>
      <c r="B461" s="105" t="s">
        <v>6115</v>
      </c>
      <c r="C461" s="75" t="s">
        <v>1932</v>
      </c>
      <c r="D461" s="154" t="s">
        <v>1065</v>
      </c>
      <c r="E461" s="125">
        <v>0</v>
      </c>
      <c r="F461" s="125">
        <v>0</v>
      </c>
      <c r="G461" s="125">
        <v>637000</v>
      </c>
      <c r="H461" s="125">
        <v>1500000</v>
      </c>
      <c r="I461" s="125">
        <v>1200000</v>
      </c>
    </row>
    <row r="462" spans="1:9" s="145" customFormat="1" ht="45">
      <c r="A462" s="73" t="s">
        <v>5192</v>
      </c>
      <c r="B462" s="105" t="s">
        <v>6116</v>
      </c>
      <c r="C462" s="75" t="s">
        <v>5193</v>
      </c>
      <c r="D462" s="154" t="s">
        <v>1065</v>
      </c>
      <c r="E462" s="125">
        <v>0</v>
      </c>
      <c r="F462" s="125">
        <v>0</v>
      </c>
      <c r="G462" s="125">
        <v>0</v>
      </c>
      <c r="H462" s="125">
        <v>7500000</v>
      </c>
      <c r="I462" s="125">
        <v>0</v>
      </c>
    </row>
    <row r="463" spans="1:9" s="145" customFormat="1" ht="45">
      <c r="A463" s="73" t="s">
        <v>5244</v>
      </c>
      <c r="B463" s="105" t="s">
        <v>6117</v>
      </c>
      <c r="C463" s="75" t="s">
        <v>5243</v>
      </c>
      <c r="D463" s="154" t="s">
        <v>1065</v>
      </c>
      <c r="E463" s="125">
        <v>0</v>
      </c>
      <c r="F463" s="125">
        <v>0</v>
      </c>
      <c r="G463" s="125">
        <v>0</v>
      </c>
      <c r="H463" s="125">
        <v>6000000</v>
      </c>
      <c r="I463" s="125">
        <v>0</v>
      </c>
    </row>
    <row r="464" spans="1:9" s="145" customFormat="1" ht="30">
      <c r="A464" s="73" t="s">
        <v>5245</v>
      </c>
      <c r="B464" s="105" t="s">
        <v>6118</v>
      </c>
      <c r="C464" s="75" t="s">
        <v>5246</v>
      </c>
      <c r="D464" s="154" t="s">
        <v>1065</v>
      </c>
      <c r="E464" s="125">
        <v>0</v>
      </c>
      <c r="F464" s="125">
        <v>0</v>
      </c>
      <c r="G464" s="125">
        <v>0</v>
      </c>
      <c r="H464" s="125">
        <v>10000000</v>
      </c>
      <c r="I464" s="125">
        <v>0</v>
      </c>
    </row>
    <row r="465" spans="1:9" s="145" customFormat="1" ht="15.75">
      <c r="A465" s="70"/>
      <c r="B465" s="105"/>
      <c r="C465" s="72"/>
      <c r="D465" s="76"/>
      <c r="E465" s="125">
        <v>0</v>
      </c>
      <c r="F465" s="125">
        <v>0</v>
      </c>
      <c r="G465" s="125">
        <v>0</v>
      </c>
      <c r="H465" s="125">
        <v>0</v>
      </c>
      <c r="I465" s="125">
        <v>0</v>
      </c>
    </row>
    <row r="466" spans="1:9" s="145" customFormat="1" ht="15.75">
      <c r="A466" s="77" t="s">
        <v>2320</v>
      </c>
      <c r="B466" s="136" t="s">
        <v>6119</v>
      </c>
      <c r="C466" s="72"/>
      <c r="D466" s="76"/>
      <c r="E466" s="125">
        <v>503487001</v>
      </c>
      <c r="F466" s="125">
        <v>549681073</v>
      </c>
      <c r="G466" s="125">
        <v>513638981</v>
      </c>
      <c r="H466" s="125">
        <v>556223000</v>
      </c>
      <c r="I466" s="125">
        <v>555228000</v>
      </c>
    </row>
    <row r="467" spans="1:9" s="145" customFormat="1" ht="15.75">
      <c r="A467" s="70"/>
      <c r="B467" s="105"/>
      <c r="C467" s="72"/>
      <c r="D467" s="76"/>
      <c r="E467" s="125">
        <v>0</v>
      </c>
      <c r="F467" s="125">
        <v>0</v>
      </c>
      <c r="G467" s="125">
        <v>0</v>
      </c>
      <c r="H467" s="125">
        <v>0</v>
      </c>
      <c r="I467" s="125">
        <v>0</v>
      </c>
    </row>
    <row r="468" spans="1:9" s="145" customFormat="1" ht="15.75">
      <c r="A468" s="77" t="s">
        <v>2342</v>
      </c>
      <c r="B468" s="136" t="s">
        <v>6120</v>
      </c>
      <c r="C468" s="72"/>
      <c r="D468" s="76"/>
      <c r="E468" s="125">
        <v>503487001</v>
      </c>
      <c r="F468" s="125">
        <v>549681073</v>
      </c>
      <c r="G468" s="125">
        <v>513638981</v>
      </c>
      <c r="H468" s="125">
        <v>556223000</v>
      </c>
      <c r="I468" s="125">
        <v>555228000</v>
      </c>
    </row>
    <row r="469" spans="1:9" s="145" customFormat="1" ht="15.75">
      <c r="A469" s="70"/>
      <c r="B469" s="105"/>
      <c r="C469" s="72"/>
      <c r="D469" s="76"/>
      <c r="E469" s="125">
        <v>0</v>
      </c>
      <c r="F469" s="125">
        <v>0</v>
      </c>
      <c r="G469" s="125">
        <v>0</v>
      </c>
      <c r="H469" s="125">
        <v>0</v>
      </c>
      <c r="I469" s="125">
        <v>0</v>
      </c>
    </row>
    <row r="470" spans="1:9" s="145" customFormat="1" ht="15.75">
      <c r="A470" s="70" t="s">
        <v>2343</v>
      </c>
      <c r="B470" s="105" t="s">
        <v>5498</v>
      </c>
      <c r="C470" s="72"/>
      <c r="D470" s="76"/>
      <c r="E470" s="125">
        <v>0</v>
      </c>
      <c r="F470" s="125">
        <v>0</v>
      </c>
      <c r="G470" s="125">
        <v>0</v>
      </c>
      <c r="H470" s="125">
        <v>0</v>
      </c>
      <c r="I470" s="125">
        <v>0</v>
      </c>
    </row>
    <row r="471" spans="1:9" s="145" customFormat="1" ht="15.75">
      <c r="A471" s="88" t="s">
        <v>2344</v>
      </c>
      <c r="B471" s="105" t="s">
        <v>6121</v>
      </c>
      <c r="C471" s="155"/>
      <c r="D471" s="76"/>
      <c r="E471" s="125">
        <v>0</v>
      </c>
      <c r="F471" s="125">
        <v>0</v>
      </c>
      <c r="G471" s="125">
        <v>0</v>
      </c>
      <c r="H471" s="125">
        <v>0</v>
      </c>
      <c r="I471" s="125">
        <v>0</v>
      </c>
    </row>
    <row r="472" spans="1:9" s="145" customFormat="1" ht="63">
      <c r="A472" s="70" t="s">
        <v>2345</v>
      </c>
      <c r="B472" s="105" t="s">
        <v>6122</v>
      </c>
      <c r="C472" s="72" t="s">
        <v>563</v>
      </c>
      <c r="D472" s="76"/>
      <c r="E472" s="125">
        <v>471108</v>
      </c>
      <c r="F472" s="125">
        <v>296462</v>
      </c>
      <c r="G472" s="125">
        <v>544738</v>
      </c>
      <c r="H472" s="125">
        <v>1500000</v>
      </c>
      <c r="I472" s="125">
        <v>2000000</v>
      </c>
    </row>
    <row r="473" spans="1:9" s="145" customFormat="1" ht="15.75">
      <c r="A473" s="70" t="s">
        <v>2078</v>
      </c>
      <c r="B473" s="105" t="s">
        <v>6123</v>
      </c>
      <c r="C473" s="72" t="s">
        <v>564</v>
      </c>
      <c r="D473" s="76"/>
      <c r="E473" s="125">
        <v>70101247</v>
      </c>
      <c r="F473" s="125">
        <v>78044777</v>
      </c>
      <c r="G473" s="125">
        <v>69773561</v>
      </c>
      <c r="H473" s="125">
        <v>90000000</v>
      </c>
      <c r="I473" s="125">
        <v>100000000</v>
      </c>
    </row>
    <row r="474" spans="1:9" s="145" customFormat="1" ht="15.75">
      <c r="A474" s="70" t="s">
        <v>2123</v>
      </c>
      <c r="B474" s="105" t="s">
        <v>5822</v>
      </c>
      <c r="C474" s="72" t="s">
        <v>565</v>
      </c>
      <c r="D474" s="76"/>
      <c r="E474" s="125">
        <v>367934</v>
      </c>
      <c r="F474" s="125">
        <v>333666</v>
      </c>
      <c r="G474" s="125">
        <v>231419</v>
      </c>
      <c r="H474" s="125">
        <v>350000</v>
      </c>
      <c r="I474" s="125">
        <v>400000</v>
      </c>
    </row>
    <row r="475" spans="1:9" s="145" customFormat="1" ht="31.5">
      <c r="A475" s="70" t="s">
        <v>2869</v>
      </c>
      <c r="B475" s="105" t="s">
        <v>6124</v>
      </c>
      <c r="C475" s="72" t="s">
        <v>800</v>
      </c>
      <c r="D475" s="76" t="s">
        <v>597</v>
      </c>
      <c r="E475" s="125">
        <v>2500000</v>
      </c>
      <c r="F475" s="125">
        <v>2953590</v>
      </c>
      <c r="G475" s="125">
        <v>2799957</v>
      </c>
      <c r="H475" s="125">
        <v>5000000</v>
      </c>
      <c r="I475" s="125">
        <v>50000</v>
      </c>
    </row>
    <row r="476" spans="1:9" s="145" customFormat="1" ht="15.75">
      <c r="A476" s="70" t="s">
        <v>2346</v>
      </c>
      <c r="B476" s="105" t="s">
        <v>6125</v>
      </c>
      <c r="C476" s="72" t="s">
        <v>1043</v>
      </c>
      <c r="D476" s="76" t="s">
        <v>863</v>
      </c>
      <c r="E476" s="125">
        <v>40000</v>
      </c>
      <c r="F476" s="125">
        <v>0</v>
      </c>
      <c r="G476" s="125">
        <v>1140395</v>
      </c>
      <c r="H476" s="125">
        <v>2040000</v>
      </c>
      <c r="I476" s="125">
        <v>1632000</v>
      </c>
    </row>
    <row r="477" spans="1:9" s="145" customFormat="1" ht="63">
      <c r="A477" s="70" t="s">
        <v>5198</v>
      </c>
      <c r="B477" s="105" t="s">
        <v>6126</v>
      </c>
      <c r="C477" s="72" t="s">
        <v>5203</v>
      </c>
      <c r="D477" s="76"/>
      <c r="E477" s="125">
        <v>0</v>
      </c>
      <c r="F477" s="125">
        <v>0</v>
      </c>
      <c r="G477" s="125">
        <v>0</v>
      </c>
      <c r="H477" s="125">
        <v>500000</v>
      </c>
      <c r="I477" s="125">
        <v>0</v>
      </c>
    </row>
    <row r="478" spans="1:9" s="145" customFormat="1" ht="15.75">
      <c r="A478" s="70"/>
      <c r="B478" s="105"/>
      <c r="C478" s="72"/>
      <c r="D478" s="76"/>
      <c r="E478" s="125">
        <v>0</v>
      </c>
      <c r="F478" s="125">
        <v>0</v>
      </c>
      <c r="G478" s="125">
        <v>0</v>
      </c>
      <c r="H478" s="125">
        <v>0</v>
      </c>
      <c r="I478" s="125">
        <v>0</v>
      </c>
    </row>
    <row r="479" spans="1:9" s="145" customFormat="1" ht="15.75">
      <c r="A479" s="77" t="s">
        <v>2349</v>
      </c>
      <c r="B479" s="136" t="s">
        <v>6119</v>
      </c>
      <c r="C479" s="72"/>
      <c r="D479" s="76"/>
      <c r="E479" s="125">
        <v>73480289</v>
      </c>
      <c r="F479" s="125">
        <v>81628495</v>
      </c>
      <c r="G479" s="125">
        <v>74490070</v>
      </c>
      <c r="H479" s="125">
        <v>99390000</v>
      </c>
      <c r="I479" s="125">
        <v>104082000</v>
      </c>
    </row>
    <row r="480" spans="1:9" s="145" customFormat="1" ht="15.75">
      <c r="A480" s="70"/>
      <c r="B480" s="105"/>
      <c r="C480" s="72"/>
      <c r="D480" s="76"/>
      <c r="E480" s="125">
        <v>0</v>
      </c>
      <c r="F480" s="125">
        <v>0</v>
      </c>
      <c r="G480" s="125">
        <v>0</v>
      </c>
      <c r="H480" s="125">
        <v>0</v>
      </c>
      <c r="I480" s="125">
        <v>0</v>
      </c>
    </row>
    <row r="481" spans="1:9" s="145" customFormat="1" ht="15.75">
      <c r="A481" s="70" t="s">
        <v>2350</v>
      </c>
      <c r="B481" s="105" t="s">
        <v>6127</v>
      </c>
      <c r="C481" s="72"/>
      <c r="D481" s="76"/>
      <c r="E481" s="125">
        <v>0</v>
      </c>
      <c r="F481" s="125">
        <v>0</v>
      </c>
      <c r="G481" s="125">
        <v>0</v>
      </c>
      <c r="H481" s="125">
        <v>0</v>
      </c>
      <c r="I481" s="125">
        <v>0</v>
      </c>
    </row>
    <row r="482" spans="1:9" s="145" customFormat="1" ht="15.75">
      <c r="A482" s="70" t="s">
        <v>2148</v>
      </c>
      <c r="B482" s="105" t="s">
        <v>6128</v>
      </c>
      <c r="C482" s="72" t="s">
        <v>801</v>
      </c>
      <c r="D482" s="76"/>
      <c r="E482" s="125">
        <v>26448230</v>
      </c>
      <c r="F482" s="125">
        <v>29269367</v>
      </c>
      <c r="G482" s="125">
        <v>30263818</v>
      </c>
      <c r="H482" s="125">
        <v>40000000</v>
      </c>
      <c r="I482" s="125">
        <v>50000000</v>
      </c>
    </row>
    <row r="483" spans="1:9" s="145" customFormat="1" ht="47.25">
      <c r="A483" s="70" t="s">
        <v>5205</v>
      </c>
      <c r="B483" s="105" t="s">
        <v>6129</v>
      </c>
      <c r="C483" s="72" t="s">
        <v>5204</v>
      </c>
      <c r="D483" s="76"/>
      <c r="E483" s="125">
        <v>0</v>
      </c>
      <c r="F483" s="125">
        <v>0</v>
      </c>
      <c r="G483" s="125">
        <v>0</v>
      </c>
      <c r="H483" s="125">
        <v>148500000</v>
      </c>
      <c r="I483" s="125">
        <v>0</v>
      </c>
    </row>
    <row r="484" spans="1:9" s="145" customFormat="1" ht="9" customHeight="1">
      <c r="A484" s="70"/>
      <c r="B484" s="105"/>
      <c r="C484" s="72"/>
      <c r="D484" s="76"/>
      <c r="E484" s="125">
        <v>0</v>
      </c>
      <c r="F484" s="125">
        <v>0</v>
      </c>
      <c r="G484" s="125">
        <v>0</v>
      </c>
      <c r="H484" s="125">
        <v>0</v>
      </c>
      <c r="I484" s="125">
        <v>0</v>
      </c>
    </row>
    <row r="485" spans="1:9" s="145" customFormat="1" ht="15.75">
      <c r="A485" s="77" t="s">
        <v>2351</v>
      </c>
      <c r="B485" s="136" t="s">
        <v>146</v>
      </c>
      <c r="C485" s="72"/>
      <c r="D485" s="76"/>
      <c r="E485" s="125">
        <v>26448230</v>
      </c>
      <c r="F485" s="125">
        <v>29269367</v>
      </c>
      <c r="G485" s="125">
        <v>30263818</v>
      </c>
      <c r="H485" s="125">
        <v>188500000</v>
      </c>
      <c r="I485" s="125">
        <v>50000000</v>
      </c>
    </row>
    <row r="486" spans="1:9" s="145" customFormat="1" ht="15.75">
      <c r="A486" s="70"/>
      <c r="B486" s="105"/>
      <c r="C486" s="72"/>
      <c r="D486" s="76"/>
      <c r="E486" s="125">
        <v>0</v>
      </c>
      <c r="F486" s="125">
        <v>0</v>
      </c>
      <c r="G486" s="125">
        <v>0</v>
      </c>
      <c r="H486" s="125">
        <v>0</v>
      </c>
      <c r="I486" s="125">
        <v>0</v>
      </c>
    </row>
    <row r="487" spans="1:9" s="145" customFormat="1" ht="15.75">
      <c r="A487" s="88" t="s">
        <v>2352</v>
      </c>
      <c r="B487" s="105" t="s">
        <v>6130</v>
      </c>
      <c r="C487" s="72"/>
      <c r="D487" s="76"/>
      <c r="E487" s="125">
        <v>0</v>
      </c>
      <c r="F487" s="125">
        <v>0</v>
      </c>
      <c r="G487" s="125">
        <v>0</v>
      </c>
      <c r="H487" s="125">
        <v>0</v>
      </c>
      <c r="I487" s="125">
        <v>0</v>
      </c>
    </row>
    <row r="488" spans="1:9" s="145" customFormat="1" ht="31.5">
      <c r="A488" s="70" t="s">
        <v>2353</v>
      </c>
      <c r="B488" s="105" t="s">
        <v>6131</v>
      </c>
      <c r="C488" s="72" t="s">
        <v>1081</v>
      </c>
      <c r="D488" s="76" t="s">
        <v>863</v>
      </c>
      <c r="E488" s="125">
        <v>25167756</v>
      </c>
      <c r="F488" s="125">
        <v>22015901</v>
      </c>
      <c r="G488" s="125">
        <v>18007170</v>
      </c>
      <c r="H488" s="125">
        <v>35000000</v>
      </c>
      <c r="I488" s="125">
        <v>24000000</v>
      </c>
    </row>
    <row r="489" spans="1:9" s="145" customFormat="1" ht="31.5">
      <c r="A489" s="70" t="s">
        <v>2354</v>
      </c>
      <c r="B489" s="105" t="s">
        <v>6132</v>
      </c>
      <c r="C489" s="72" t="s">
        <v>1124</v>
      </c>
      <c r="D489" s="76"/>
      <c r="E489" s="125">
        <v>886060</v>
      </c>
      <c r="F489" s="125">
        <v>11054060</v>
      </c>
      <c r="G489" s="125">
        <v>8544289</v>
      </c>
      <c r="H489" s="125">
        <v>20000000</v>
      </c>
      <c r="I489" s="125">
        <v>12000000</v>
      </c>
    </row>
    <row r="490" spans="1:9" s="145" customFormat="1" ht="15.75">
      <c r="A490" s="70" t="s">
        <v>2355</v>
      </c>
      <c r="B490" s="105" t="s">
        <v>6133</v>
      </c>
      <c r="C490" s="72" t="s">
        <v>1125</v>
      </c>
      <c r="D490" s="76"/>
      <c r="E490" s="125">
        <v>7310902</v>
      </c>
      <c r="F490" s="125">
        <v>6218040</v>
      </c>
      <c r="G490" s="125">
        <v>7348202</v>
      </c>
      <c r="H490" s="125">
        <v>20089000</v>
      </c>
      <c r="I490" s="125">
        <v>12000000</v>
      </c>
    </row>
    <row r="491" spans="1:9" s="145" customFormat="1" ht="15.75">
      <c r="A491" s="70" t="s">
        <v>4863</v>
      </c>
      <c r="B491" s="105" t="s">
        <v>6134</v>
      </c>
      <c r="C491" s="72" t="s">
        <v>1126</v>
      </c>
      <c r="D491" s="76"/>
      <c r="E491" s="125">
        <v>7315875</v>
      </c>
      <c r="F491" s="125">
        <v>5671285</v>
      </c>
      <c r="G491" s="125">
        <v>8643055</v>
      </c>
      <c r="H491" s="125">
        <v>15791000</v>
      </c>
      <c r="I491" s="125">
        <v>12000000</v>
      </c>
    </row>
    <row r="492" spans="1:9" s="145" customFormat="1" ht="31.5">
      <c r="A492" s="70" t="s">
        <v>2356</v>
      </c>
      <c r="B492" s="105" t="s">
        <v>6135</v>
      </c>
      <c r="C492" s="72" t="s">
        <v>1127</v>
      </c>
      <c r="D492" s="76"/>
      <c r="E492" s="125">
        <v>2632804</v>
      </c>
      <c r="F492" s="125">
        <v>1780703</v>
      </c>
      <c r="G492" s="125">
        <v>2074720</v>
      </c>
      <c r="H492" s="125">
        <v>7894000</v>
      </c>
      <c r="I492" s="125">
        <v>6000000</v>
      </c>
    </row>
    <row r="493" spans="1:9" s="145" customFormat="1" ht="31.5">
      <c r="A493" s="70" t="s">
        <v>2357</v>
      </c>
      <c r="B493" s="105" t="s">
        <v>6136</v>
      </c>
      <c r="C493" s="155" t="s">
        <v>1323</v>
      </c>
      <c r="D493" s="76"/>
      <c r="E493" s="125">
        <v>46143052</v>
      </c>
      <c r="F493" s="125">
        <v>38986150</v>
      </c>
      <c r="G493" s="125">
        <v>27815103</v>
      </c>
      <c r="H493" s="125">
        <v>135600000</v>
      </c>
      <c r="I493" s="125">
        <v>67360000</v>
      </c>
    </row>
    <row r="494" spans="1:9" s="145" customFormat="1" ht="31.5">
      <c r="A494" s="70" t="s">
        <v>2358</v>
      </c>
      <c r="B494" s="105" t="s">
        <v>6137</v>
      </c>
      <c r="C494" s="155" t="s">
        <v>1326</v>
      </c>
      <c r="D494" s="76"/>
      <c r="E494" s="125">
        <v>21942956</v>
      </c>
      <c r="F494" s="125">
        <v>26335948</v>
      </c>
      <c r="G494" s="125">
        <v>33908198</v>
      </c>
      <c r="H494" s="125">
        <v>37900000</v>
      </c>
      <c r="I494" s="125">
        <v>33875000</v>
      </c>
    </row>
    <row r="495" spans="1:9" s="145" customFormat="1" ht="9" customHeight="1">
      <c r="A495" s="70"/>
      <c r="B495" s="105"/>
      <c r="C495" s="72"/>
      <c r="D495" s="76"/>
      <c r="E495" s="125">
        <v>0</v>
      </c>
      <c r="F495" s="125">
        <v>0</v>
      </c>
      <c r="G495" s="125">
        <v>0</v>
      </c>
      <c r="H495" s="125">
        <v>0</v>
      </c>
      <c r="I495" s="125">
        <v>0</v>
      </c>
    </row>
    <row r="496" spans="1:9" s="145" customFormat="1" ht="15.75">
      <c r="A496" s="77" t="s">
        <v>2359</v>
      </c>
      <c r="B496" s="136" t="s">
        <v>146</v>
      </c>
      <c r="C496" s="72"/>
      <c r="D496" s="76"/>
      <c r="E496" s="125">
        <v>111399405</v>
      </c>
      <c r="F496" s="125">
        <v>112062087</v>
      </c>
      <c r="G496" s="125">
        <v>106340737</v>
      </c>
      <c r="H496" s="125">
        <v>272274000</v>
      </c>
      <c r="I496" s="125">
        <v>167235000</v>
      </c>
    </row>
    <row r="497" spans="1:9" s="145" customFormat="1" ht="15.75">
      <c r="A497" s="70"/>
      <c r="B497" s="105"/>
      <c r="C497" s="72"/>
      <c r="D497" s="76"/>
      <c r="E497" s="125">
        <v>0</v>
      </c>
      <c r="F497" s="125">
        <v>0</v>
      </c>
      <c r="G497" s="125">
        <v>0</v>
      </c>
      <c r="H497" s="125">
        <v>0</v>
      </c>
      <c r="I497" s="125">
        <v>0</v>
      </c>
    </row>
    <row r="498" spans="1:9" s="145" customFormat="1" ht="15.75">
      <c r="A498" s="77" t="s">
        <v>2360</v>
      </c>
      <c r="B498" s="136" t="s">
        <v>146</v>
      </c>
      <c r="C498" s="72"/>
      <c r="D498" s="76"/>
      <c r="E498" s="125">
        <v>137847635</v>
      </c>
      <c r="F498" s="125">
        <v>141331454</v>
      </c>
      <c r="G498" s="125">
        <v>136604555</v>
      </c>
      <c r="H498" s="125">
        <v>460774000</v>
      </c>
      <c r="I498" s="125">
        <v>217235000</v>
      </c>
    </row>
    <row r="499" spans="1:9" s="145" customFormat="1" ht="15.75">
      <c r="A499" s="70"/>
      <c r="B499" s="105"/>
      <c r="C499" s="72"/>
      <c r="D499" s="76"/>
      <c r="E499" s="125">
        <v>0</v>
      </c>
      <c r="F499" s="125">
        <v>0</v>
      </c>
      <c r="G499" s="125">
        <v>0</v>
      </c>
      <c r="H499" s="125">
        <v>0</v>
      </c>
      <c r="I499" s="125">
        <v>0</v>
      </c>
    </row>
    <row r="500" spans="1:9" s="145" customFormat="1" ht="15.75">
      <c r="A500" s="70" t="s">
        <v>5114</v>
      </c>
      <c r="B500" s="105" t="s">
        <v>6138</v>
      </c>
      <c r="C500" s="72"/>
      <c r="D500" s="76"/>
      <c r="E500" s="125">
        <v>0</v>
      </c>
      <c r="F500" s="125">
        <v>0</v>
      </c>
      <c r="G500" s="125">
        <v>0</v>
      </c>
      <c r="H500" s="125">
        <v>0</v>
      </c>
      <c r="I500" s="125">
        <v>0</v>
      </c>
    </row>
    <row r="501" spans="1:9" s="145" customFormat="1" ht="15.75">
      <c r="A501" s="70" t="s">
        <v>2148</v>
      </c>
      <c r="B501" s="105" t="s">
        <v>6139</v>
      </c>
      <c r="C501" s="72" t="s">
        <v>290</v>
      </c>
      <c r="D501" s="76"/>
      <c r="E501" s="125">
        <v>18076492</v>
      </c>
      <c r="F501" s="125">
        <v>18807520</v>
      </c>
      <c r="G501" s="125">
        <v>22399971</v>
      </c>
      <c r="H501" s="125">
        <v>25000000</v>
      </c>
      <c r="I501" s="125">
        <v>32000000</v>
      </c>
    </row>
    <row r="502" spans="1:9" s="145" customFormat="1" ht="15.75">
      <c r="A502" s="70" t="s">
        <v>2149</v>
      </c>
      <c r="B502" s="105" t="s">
        <v>5885</v>
      </c>
      <c r="C502" s="72" t="s">
        <v>291</v>
      </c>
      <c r="D502" s="76"/>
      <c r="E502" s="125">
        <v>83817</v>
      </c>
      <c r="F502" s="125">
        <v>67615</v>
      </c>
      <c r="G502" s="125">
        <v>280000</v>
      </c>
      <c r="H502" s="125">
        <v>300000</v>
      </c>
      <c r="I502" s="125">
        <v>350000</v>
      </c>
    </row>
    <row r="503" spans="1:9" s="145" customFormat="1" ht="15.75">
      <c r="A503" s="70" t="s">
        <v>2361</v>
      </c>
      <c r="B503" s="105" t="s">
        <v>6140</v>
      </c>
      <c r="C503" s="72" t="s">
        <v>292</v>
      </c>
      <c r="D503" s="76" t="s">
        <v>1046</v>
      </c>
      <c r="E503" s="125">
        <v>111333</v>
      </c>
      <c r="F503" s="125">
        <v>168320</v>
      </c>
      <c r="G503" s="125">
        <v>0</v>
      </c>
      <c r="H503" s="125">
        <v>150000</v>
      </c>
      <c r="I503" s="125">
        <v>120000</v>
      </c>
    </row>
    <row r="504" spans="1:9" s="145" customFormat="1" ht="15.75">
      <c r="A504" s="70" t="s">
        <v>2362</v>
      </c>
      <c r="B504" s="105" t="s">
        <v>6141</v>
      </c>
      <c r="C504" s="72" t="s">
        <v>293</v>
      </c>
      <c r="D504" s="76" t="s">
        <v>862</v>
      </c>
      <c r="E504" s="125">
        <v>0</v>
      </c>
      <c r="F504" s="125">
        <v>0</v>
      </c>
      <c r="G504" s="125">
        <v>0</v>
      </c>
      <c r="H504" s="125">
        <v>136000</v>
      </c>
      <c r="I504" s="125">
        <v>108800</v>
      </c>
    </row>
    <row r="505" spans="1:9" s="145" customFormat="1" ht="31.5">
      <c r="A505" s="70" t="s">
        <v>2363</v>
      </c>
      <c r="B505" s="105" t="s">
        <v>6142</v>
      </c>
      <c r="C505" s="72" t="s">
        <v>294</v>
      </c>
      <c r="D505" s="76" t="s">
        <v>1046</v>
      </c>
      <c r="E505" s="125">
        <v>1526177</v>
      </c>
      <c r="F505" s="125">
        <v>1557405</v>
      </c>
      <c r="G505" s="125">
        <v>1663574</v>
      </c>
      <c r="H505" s="125">
        <v>2000000</v>
      </c>
      <c r="I505" s="125">
        <v>1200000</v>
      </c>
    </row>
    <row r="506" spans="1:9" s="145" customFormat="1" ht="15.75">
      <c r="A506" s="70" t="s">
        <v>2364</v>
      </c>
      <c r="B506" s="105" t="s">
        <v>6143</v>
      </c>
      <c r="C506" s="72" t="s">
        <v>295</v>
      </c>
      <c r="D506" s="76" t="s">
        <v>1046</v>
      </c>
      <c r="E506" s="125">
        <v>7165365</v>
      </c>
      <c r="F506" s="125">
        <v>7020259</v>
      </c>
      <c r="G506" s="125">
        <v>7444522</v>
      </c>
      <c r="H506" s="125">
        <v>8000000</v>
      </c>
      <c r="I506" s="125">
        <v>8000000</v>
      </c>
    </row>
    <row r="507" spans="1:9" s="145" customFormat="1" ht="9" customHeight="1">
      <c r="A507" s="89"/>
      <c r="B507" s="137"/>
      <c r="E507" s="125">
        <v>0</v>
      </c>
      <c r="F507" s="125">
        <v>0</v>
      </c>
      <c r="G507" s="125">
        <v>0</v>
      </c>
      <c r="H507" s="125">
        <v>0</v>
      </c>
      <c r="I507" s="125">
        <v>0</v>
      </c>
    </row>
    <row r="508" spans="1:9" s="145" customFormat="1" ht="15.75">
      <c r="A508" s="77" t="s">
        <v>2365</v>
      </c>
      <c r="B508" s="136" t="s">
        <v>146</v>
      </c>
      <c r="C508" s="72"/>
      <c r="D508" s="76"/>
      <c r="E508" s="125">
        <v>26963184</v>
      </c>
      <c r="F508" s="125">
        <v>27621119</v>
      </c>
      <c r="G508" s="125">
        <v>31788067</v>
      </c>
      <c r="H508" s="125">
        <v>35586000</v>
      </c>
      <c r="I508" s="125">
        <v>41778800</v>
      </c>
    </row>
    <row r="509" spans="1:9" s="145" customFormat="1">
      <c r="A509" s="89"/>
      <c r="B509" s="137"/>
      <c r="E509" s="125">
        <v>0</v>
      </c>
      <c r="F509" s="125">
        <v>0</v>
      </c>
      <c r="G509" s="125">
        <v>0</v>
      </c>
      <c r="H509" s="125">
        <v>0</v>
      </c>
      <c r="I509" s="125">
        <v>0</v>
      </c>
    </row>
    <row r="510" spans="1:9" s="145" customFormat="1" ht="15.75">
      <c r="A510" s="70" t="s">
        <v>5115</v>
      </c>
      <c r="B510" s="105" t="s">
        <v>6144</v>
      </c>
      <c r="C510" s="72"/>
      <c r="D510" s="76"/>
      <c r="E510" s="125">
        <v>0</v>
      </c>
      <c r="F510" s="125">
        <v>0</v>
      </c>
      <c r="G510" s="125">
        <v>0</v>
      </c>
      <c r="H510" s="125">
        <v>0</v>
      </c>
      <c r="I510" s="125">
        <v>0</v>
      </c>
    </row>
    <row r="511" spans="1:9" s="145" customFormat="1" ht="15.75">
      <c r="A511" s="70" t="s">
        <v>2148</v>
      </c>
      <c r="B511" s="105" t="s">
        <v>6139</v>
      </c>
      <c r="C511" s="72" t="s">
        <v>315</v>
      </c>
      <c r="D511" s="76"/>
      <c r="E511" s="125">
        <v>1424874</v>
      </c>
      <c r="F511" s="125">
        <v>1921428</v>
      </c>
      <c r="G511" s="125">
        <v>2128948</v>
      </c>
      <c r="H511" s="125">
        <v>3000000</v>
      </c>
      <c r="I511" s="125">
        <v>3000000</v>
      </c>
    </row>
    <row r="512" spans="1:9" s="145" customFormat="1" ht="9" customHeight="1">
      <c r="A512" s="89"/>
      <c r="B512" s="137"/>
      <c r="E512" s="125">
        <v>0</v>
      </c>
      <c r="F512" s="125">
        <v>0</v>
      </c>
      <c r="G512" s="125">
        <v>0</v>
      </c>
      <c r="H512" s="125">
        <v>0</v>
      </c>
      <c r="I512" s="125">
        <v>0</v>
      </c>
    </row>
    <row r="513" spans="1:9" s="145" customFormat="1" ht="15.75">
      <c r="A513" s="77" t="s">
        <v>2366</v>
      </c>
      <c r="B513" s="136" t="s">
        <v>146</v>
      </c>
      <c r="C513" s="72"/>
      <c r="D513" s="76"/>
      <c r="E513" s="125">
        <v>1424874</v>
      </c>
      <c r="F513" s="125">
        <v>1921428</v>
      </c>
      <c r="G513" s="125">
        <v>2128948</v>
      </c>
      <c r="H513" s="125">
        <v>3000000</v>
      </c>
      <c r="I513" s="125">
        <v>3000000</v>
      </c>
    </row>
    <row r="514" spans="1:9" s="145" customFormat="1">
      <c r="A514" s="89"/>
      <c r="B514" s="137"/>
      <c r="E514" s="125">
        <v>0</v>
      </c>
      <c r="F514" s="125">
        <v>0</v>
      </c>
      <c r="G514" s="125">
        <v>0</v>
      </c>
      <c r="H514" s="125">
        <v>0</v>
      </c>
      <c r="I514" s="125">
        <v>0</v>
      </c>
    </row>
    <row r="515" spans="1:9" s="145" customFormat="1" ht="15.75">
      <c r="A515" s="77" t="s">
        <v>2367</v>
      </c>
      <c r="B515" s="136" t="s">
        <v>146</v>
      </c>
      <c r="C515" s="72"/>
      <c r="D515" s="76"/>
      <c r="E515" s="125">
        <v>28388058</v>
      </c>
      <c r="F515" s="125">
        <v>29542547</v>
      </c>
      <c r="G515" s="125">
        <v>33917015</v>
      </c>
      <c r="H515" s="125">
        <v>38586000</v>
      </c>
      <c r="I515" s="125">
        <v>44778800</v>
      </c>
    </row>
    <row r="516" spans="1:9" s="145" customFormat="1">
      <c r="A516" s="89"/>
      <c r="B516" s="137"/>
      <c r="E516" s="125">
        <v>0</v>
      </c>
      <c r="F516" s="125">
        <v>0</v>
      </c>
      <c r="G516" s="125">
        <v>0</v>
      </c>
      <c r="H516" s="125">
        <v>0</v>
      </c>
      <c r="I516" s="125">
        <v>0</v>
      </c>
    </row>
    <row r="517" spans="1:9" s="145" customFormat="1" ht="15.75">
      <c r="A517" s="88" t="s">
        <v>2368</v>
      </c>
      <c r="B517" s="105" t="s">
        <v>6145</v>
      </c>
      <c r="C517" s="72"/>
      <c r="D517" s="76"/>
      <c r="E517" s="125">
        <v>0</v>
      </c>
      <c r="F517" s="125">
        <v>0</v>
      </c>
      <c r="G517" s="125">
        <v>0</v>
      </c>
      <c r="H517" s="125">
        <v>0</v>
      </c>
      <c r="I517" s="125">
        <v>0</v>
      </c>
    </row>
    <row r="518" spans="1:9" s="145" customFormat="1" ht="15.75">
      <c r="A518" s="70" t="s">
        <v>2369</v>
      </c>
      <c r="B518" s="105" t="s">
        <v>6146</v>
      </c>
      <c r="C518" s="72" t="s">
        <v>316</v>
      </c>
      <c r="D518" s="76" t="s">
        <v>597</v>
      </c>
      <c r="E518" s="125">
        <v>1032696</v>
      </c>
      <c r="F518" s="125">
        <v>1072896</v>
      </c>
      <c r="G518" s="125">
        <v>730661</v>
      </c>
      <c r="H518" s="125">
        <v>1500000</v>
      </c>
      <c r="I518" s="125">
        <v>2000000</v>
      </c>
    </row>
    <row r="519" spans="1:9" s="145" customFormat="1" ht="15.75">
      <c r="A519" s="70" t="s">
        <v>2789</v>
      </c>
      <c r="B519" s="105" t="s">
        <v>6147</v>
      </c>
      <c r="C519" s="72" t="s">
        <v>4825</v>
      </c>
      <c r="D519" s="76"/>
      <c r="E519" s="125">
        <v>0</v>
      </c>
      <c r="F519" s="125">
        <v>0</v>
      </c>
      <c r="G519" s="125">
        <v>0</v>
      </c>
      <c r="H519" s="125">
        <v>10000000</v>
      </c>
      <c r="I519" s="125">
        <v>10000000</v>
      </c>
    </row>
    <row r="520" spans="1:9" s="145" customFormat="1" ht="15.75">
      <c r="A520" s="70" t="s">
        <v>2149</v>
      </c>
      <c r="B520" s="105" t="s">
        <v>5885</v>
      </c>
      <c r="C520" s="72" t="s">
        <v>317</v>
      </c>
      <c r="D520" s="76" t="s">
        <v>597</v>
      </c>
      <c r="E520" s="125">
        <v>61827</v>
      </c>
      <c r="F520" s="125">
        <v>3049</v>
      </c>
      <c r="G520" s="125">
        <v>75003</v>
      </c>
      <c r="H520" s="125">
        <v>100000</v>
      </c>
      <c r="I520" s="125">
        <v>100000</v>
      </c>
    </row>
    <row r="521" spans="1:9" s="145" customFormat="1">
      <c r="A521" s="89"/>
      <c r="B521" s="137"/>
      <c r="E521" s="125">
        <v>0</v>
      </c>
      <c r="F521" s="125">
        <v>0</v>
      </c>
      <c r="G521" s="125">
        <v>0</v>
      </c>
      <c r="H521" s="125">
        <v>0</v>
      </c>
      <c r="I521" s="125">
        <v>0</v>
      </c>
    </row>
    <row r="522" spans="1:9" s="145" customFormat="1" ht="15.75">
      <c r="A522" s="77" t="s">
        <v>2370</v>
      </c>
      <c r="B522" s="136" t="s">
        <v>146</v>
      </c>
      <c r="C522" s="72"/>
      <c r="D522" s="76"/>
      <c r="E522" s="125">
        <v>1094523</v>
      </c>
      <c r="F522" s="125">
        <v>1075945</v>
      </c>
      <c r="G522" s="125">
        <v>805664</v>
      </c>
      <c r="H522" s="125">
        <v>11600000</v>
      </c>
      <c r="I522" s="125">
        <v>12100000</v>
      </c>
    </row>
    <row r="523" spans="1:9" s="145" customFormat="1">
      <c r="A523" s="89"/>
      <c r="B523" s="137"/>
      <c r="E523" s="125">
        <v>0</v>
      </c>
      <c r="F523" s="125">
        <v>0</v>
      </c>
      <c r="G523" s="125">
        <v>0</v>
      </c>
      <c r="H523" s="125">
        <v>0</v>
      </c>
      <c r="I523" s="125">
        <v>0</v>
      </c>
    </row>
    <row r="524" spans="1:9" s="145" customFormat="1" ht="15.75">
      <c r="A524" s="88" t="s">
        <v>4654</v>
      </c>
      <c r="B524" s="105" t="s">
        <v>6148</v>
      </c>
      <c r="D524" s="76"/>
      <c r="E524" s="125">
        <v>0</v>
      </c>
      <c r="F524" s="125">
        <v>0</v>
      </c>
      <c r="G524" s="125">
        <v>0</v>
      </c>
      <c r="H524" s="125">
        <v>0</v>
      </c>
      <c r="I524" s="125">
        <v>0</v>
      </c>
    </row>
    <row r="525" spans="1:9" s="145" customFormat="1" ht="15.75">
      <c r="A525" s="70" t="s">
        <v>2148</v>
      </c>
      <c r="B525" s="105" t="s">
        <v>6139</v>
      </c>
      <c r="C525" s="72" t="s">
        <v>4826</v>
      </c>
      <c r="D525" s="76"/>
      <c r="E525" s="125">
        <v>0</v>
      </c>
      <c r="F525" s="125">
        <v>0</v>
      </c>
      <c r="G525" s="125">
        <v>0</v>
      </c>
      <c r="H525" s="125">
        <v>7500000</v>
      </c>
      <c r="I525" s="125">
        <v>7500000</v>
      </c>
    </row>
    <row r="526" spans="1:9" s="145" customFormat="1">
      <c r="A526" s="89"/>
      <c r="B526" s="137"/>
      <c r="E526" s="125">
        <v>0</v>
      </c>
      <c r="F526" s="125">
        <v>0</v>
      </c>
      <c r="G526" s="125">
        <v>0</v>
      </c>
      <c r="H526" s="125">
        <v>0</v>
      </c>
      <c r="I526" s="125">
        <v>0</v>
      </c>
    </row>
    <row r="527" spans="1:9" s="145" customFormat="1" ht="15.75">
      <c r="A527" s="77" t="s">
        <v>4655</v>
      </c>
      <c r="B527" s="136" t="s">
        <v>146</v>
      </c>
      <c r="C527" s="72"/>
      <c r="D527" s="76"/>
      <c r="E527" s="125">
        <v>0</v>
      </c>
      <c r="F527" s="125">
        <v>0</v>
      </c>
      <c r="G527" s="125">
        <v>0</v>
      </c>
      <c r="H527" s="125">
        <v>7500000</v>
      </c>
      <c r="I527" s="125">
        <v>7500000</v>
      </c>
    </row>
    <row r="528" spans="1:9" s="145" customFormat="1">
      <c r="A528" s="89"/>
      <c r="B528" s="137"/>
      <c r="E528" s="125">
        <v>0</v>
      </c>
      <c r="F528" s="125">
        <v>0</v>
      </c>
      <c r="G528" s="125">
        <v>0</v>
      </c>
      <c r="H528" s="125">
        <v>0</v>
      </c>
      <c r="I528" s="125">
        <v>0</v>
      </c>
    </row>
    <row r="529" spans="1:9" s="145" customFormat="1" ht="31.5">
      <c r="A529" s="77" t="s">
        <v>2379</v>
      </c>
      <c r="B529" s="136" t="s">
        <v>6149</v>
      </c>
      <c r="C529" s="72"/>
      <c r="D529" s="76"/>
      <c r="E529" s="125">
        <v>240810505</v>
      </c>
      <c r="F529" s="125">
        <v>253578441</v>
      </c>
      <c r="G529" s="125">
        <v>245817304</v>
      </c>
      <c r="H529" s="125">
        <v>617850000</v>
      </c>
      <c r="I529" s="125">
        <v>385695800</v>
      </c>
    </row>
    <row r="530" spans="1:9" s="145" customFormat="1">
      <c r="A530" s="89"/>
      <c r="B530" s="137"/>
      <c r="E530" s="125">
        <v>0</v>
      </c>
      <c r="F530" s="125">
        <v>0</v>
      </c>
      <c r="G530" s="125">
        <v>0</v>
      </c>
      <c r="H530" s="125">
        <v>0</v>
      </c>
      <c r="I530" s="125">
        <v>0</v>
      </c>
    </row>
    <row r="531" spans="1:9" s="145" customFormat="1" ht="15.75">
      <c r="A531" s="70" t="s">
        <v>2398</v>
      </c>
      <c r="B531" s="105" t="s">
        <v>6150</v>
      </c>
      <c r="C531" s="72"/>
      <c r="D531" s="76"/>
      <c r="E531" s="125">
        <v>0</v>
      </c>
      <c r="F531" s="125">
        <v>0</v>
      </c>
      <c r="G531" s="125">
        <v>0</v>
      </c>
      <c r="H531" s="125">
        <v>0</v>
      </c>
      <c r="I531" s="125">
        <v>0</v>
      </c>
    </row>
    <row r="532" spans="1:9" s="145" customFormat="1" ht="15.75">
      <c r="A532" s="70" t="s">
        <v>10561</v>
      </c>
      <c r="B532" s="105" t="s">
        <v>6151</v>
      </c>
      <c r="C532" s="72"/>
      <c r="D532" s="76"/>
      <c r="E532" s="125">
        <v>0</v>
      </c>
      <c r="F532" s="125">
        <v>0</v>
      </c>
      <c r="G532" s="125">
        <v>0</v>
      </c>
      <c r="H532" s="125">
        <v>0</v>
      </c>
      <c r="I532" s="125">
        <v>0</v>
      </c>
    </row>
    <row r="533" spans="1:9" s="145" customFormat="1" ht="15.75">
      <c r="A533" s="70" t="s">
        <v>2399</v>
      </c>
      <c r="B533" s="105" t="s">
        <v>374</v>
      </c>
      <c r="C533" s="72"/>
      <c r="D533" s="76"/>
      <c r="E533" s="125">
        <v>0</v>
      </c>
      <c r="F533" s="125">
        <v>0</v>
      </c>
      <c r="G533" s="125">
        <v>0</v>
      </c>
      <c r="H533" s="125">
        <v>0</v>
      </c>
      <c r="I533" s="125">
        <v>0</v>
      </c>
    </row>
    <row r="534" spans="1:9" s="145" customFormat="1" ht="15.75">
      <c r="A534" s="70" t="s">
        <v>2389</v>
      </c>
      <c r="B534" s="105" t="s">
        <v>6152</v>
      </c>
      <c r="C534" s="72" t="s">
        <v>1216</v>
      </c>
      <c r="D534" s="76"/>
      <c r="E534" s="125">
        <v>37594891</v>
      </c>
      <c r="F534" s="125">
        <v>41642446</v>
      </c>
      <c r="G534" s="125">
        <v>42690947</v>
      </c>
      <c r="H534" s="125">
        <v>51500000</v>
      </c>
      <c r="I534" s="125">
        <v>65000000</v>
      </c>
    </row>
    <row r="535" spans="1:9" s="145" customFormat="1" ht="15.75">
      <c r="A535" s="70" t="s">
        <v>2149</v>
      </c>
      <c r="B535" s="105" t="s">
        <v>5885</v>
      </c>
      <c r="C535" s="72" t="s">
        <v>1156</v>
      </c>
      <c r="D535" s="76"/>
      <c r="E535" s="125">
        <v>29922</v>
      </c>
      <c r="F535" s="125">
        <v>0</v>
      </c>
      <c r="G535" s="125">
        <v>0</v>
      </c>
      <c r="H535" s="125">
        <v>30000</v>
      </c>
      <c r="I535" s="125">
        <v>30000</v>
      </c>
    </row>
    <row r="536" spans="1:9" s="145" customFormat="1" ht="31.5">
      <c r="A536" s="70" t="s">
        <v>2400</v>
      </c>
      <c r="B536" s="105" t="s">
        <v>6153</v>
      </c>
      <c r="C536" s="72" t="s">
        <v>1157</v>
      </c>
      <c r="D536" s="76"/>
      <c r="E536" s="125">
        <v>103329</v>
      </c>
      <c r="F536" s="125">
        <v>0</v>
      </c>
      <c r="G536" s="125">
        <v>0</v>
      </c>
      <c r="H536" s="125">
        <v>200000</v>
      </c>
      <c r="I536" s="125">
        <v>160000</v>
      </c>
    </row>
    <row r="537" spans="1:9" s="145" customFormat="1" ht="15.75">
      <c r="A537" s="70" t="s">
        <v>2401</v>
      </c>
      <c r="B537" s="105" t="s">
        <v>6154</v>
      </c>
      <c r="C537" s="72" t="s">
        <v>1217</v>
      </c>
      <c r="D537" s="76"/>
      <c r="E537" s="125">
        <v>9040845</v>
      </c>
      <c r="F537" s="125">
        <v>10464351</v>
      </c>
      <c r="G537" s="125">
        <v>10525255</v>
      </c>
      <c r="H537" s="125">
        <v>11500000</v>
      </c>
      <c r="I537" s="125">
        <v>15000000</v>
      </c>
    </row>
    <row r="538" spans="1:9" s="145" customFormat="1" ht="15.75">
      <c r="A538" s="70" t="s">
        <v>2402</v>
      </c>
      <c r="B538" s="105" t="s">
        <v>6155</v>
      </c>
      <c r="C538" s="72" t="s">
        <v>1218</v>
      </c>
      <c r="D538" s="76"/>
      <c r="E538" s="125">
        <v>161068</v>
      </c>
      <c r="F538" s="125">
        <v>265018</v>
      </c>
      <c r="G538" s="125">
        <v>290289</v>
      </c>
      <c r="H538" s="125">
        <v>300000</v>
      </c>
      <c r="I538" s="125">
        <v>500000</v>
      </c>
    </row>
    <row r="539" spans="1:9" s="145" customFormat="1" ht="15.75">
      <c r="A539" s="70"/>
      <c r="B539" s="105"/>
      <c r="C539" s="72"/>
      <c r="D539" s="76"/>
      <c r="E539" s="125">
        <v>0</v>
      </c>
      <c r="F539" s="125">
        <v>0</v>
      </c>
      <c r="G539" s="125">
        <v>0</v>
      </c>
      <c r="H539" s="125">
        <v>0</v>
      </c>
      <c r="I539" s="125">
        <v>0</v>
      </c>
    </row>
    <row r="540" spans="1:9" s="145" customFormat="1" ht="15.75">
      <c r="A540" s="70" t="s">
        <v>10562</v>
      </c>
      <c r="B540" s="105" t="s">
        <v>6156</v>
      </c>
      <c r="C540" s="72"/>
      <c r="D540" s="76"/>
      <c r="E540" s="125">
        <v>0</v>
      </c>
      <c r="F540" s="125">
        <v>0</v>
      </c>
      <c r="G540" s="125">
        <v>0</v>
      </c>
      <c r="H540" s="125">
        <v>0</v>
      </c>
      <c r="I540" s="125">
        <v>0</v>
      </c>
    </row>
    <row r="541" spans="1:9" s="145" customFormat="1" ht="15.75">
      <c r="A541" s="70" t="s">
        <v>2389</v>
      </c>
      <c r="B541" s="105" t="s">
        <v>6152</v>
      </c>
      <c r="C541" s="72" t="s">
        <v>1219</v>
      </c>
      <c r="D541" s="76"/>
      <c r="E541" s="125">
        <v>2277995</v>
      </c>
      <c r="F541" s="125">
        <v>2732582</v>
      </c>
      <c r="G541" s="125">
        <v>2854859</v>
      </c>
      <c r="H541" s="125">
        <v>3000000</v>
      </c>
      <c r="I541" s="125">
        <v>5000000</v>
      </c>
    </row>
    <row r="542" spans="1:9" s="145" customFormat="1" ht="15.75">
      <c r="A542" s="70" t="s">
        <v>2149</v>
      </c>
      <c r="B542" s="105" t="s">
        <v>5885</v>
      </c>
      <c r="C542" s="72" t="s">
        <v>1158</v>
      </c>
      <c r="D542" s="76"/>
      <c r="E542" s="125">
        <v>0</v>
      </c>
      <c r="F542" s="125">
        <v>0</v>
      </c>
      <c r="G542" s="125">
        <v>0</v>
      </c>
      <c r="H542" s="125">
        <v>20000</v>
      </c>
      <c r="I542" s="125">
        <v>20000</v>
      </c>
    </row>
    <row r="543" spans="1:9" s="145" customFormat="1" ht="15.75">
      <c r="A543" s="70"/>
      <c r="B543" s="105"/>
      <c r="C543" s="72"/>
      <c r="D543" s="76"/>
      <c r="E543" s="125">
        <v>0</v>
      </c>
      <c r="F543" s="125">
        <v>0</v>
      </c>
      <c r="G543" s="125">
        <v>0</v>
      </c>
      <c r="H543" s="125">
        <v>0</v>
      </c>
      <c r="I543" s="125">
        <v>0</v>
      </c>
    </row>
    <row r="544" spans="1:9" s="145" customFormat="1" ht="15.75">
      <c r="A544" s="88" t="s">
        <v>2403</v>
      </c>
      <c r="B544" s="105" t="s">
        <v>6157</v>
      </c>
      <c r="C544" s="72"/>
      <c r="D544" s="76"/>
      <c r="E544" s="125">
        <v>0</v>
      </c>
      <c r="F544" s="125">
        <v>0</v>
      </c>
      <c r="G544" s="125">
        <v>0</v>
      </c>
      <c r="H544" s="125">
        <v>0</v>
      </c>
      <c r="I544" s="125">
        <v>0</v>
      </c>
    </row>
    <row r="545" spans="1:9" s="145" customFormat="1" ht="15.75">
      <c r="A545" s="70" t="s">
        <v>2148</v>
      </c>
      <c r="B545" s="105" t="s">
        <v>6139</v>
      </c>
      <c r="C545" s="72" t="s">
        <v>1220</v>
      </c>
      <c r="D545" s="76"/>
      <c r="E545" s="125">
        <v>2626500</v>
      </c>
      <c r="F545" s="125">
        <v>2732922</v>
      </c>
      <c r="G545" s="125">
        <v>3152190</v>
      </c>
      <c r="H545" s="125">
        <v>3000000</v>
      </c>
      <c r="I545" s="125">
        <v>5000000</v>
      </c>
    </row>
    <row r="546" spans="1:9" s="145" customFormat="1" ht="15.75">
      <c r="A546" s="70" t="s">
        <v>2149</v>
      </c>
      <c r="B546" s="105" t="s">
        <v>5885</v>
      </c>
      <c r="C546" s="72" t="s">
        <v>1159</v>
      </c>
      <c r="D546" s="76"/>
      <c r="E546" s="125">
        <v>14436</v>
      </c>
      <c r="F546" s="125">
        <v>0</v>
      </c>
      <c r="G546" s="125">
        <v>0</v>
      </c>
      <c r="H546" s="125">
        <v>20000</v>
      </c>
      <c r="I546" s="125">
        <v>20000</v>
      </c>
    </row>
    <row r="547" spans="1:9" s="145" customFormat="1" ht="31.5">
      <c r="A547" s="70" t="s">
        <v>2391</v>
      </c>
      <c r="B547" s="105" t="s">
        <v>6158</v>
      </c>
      <c r="C547" s="72" t="s">
        <v>1160</v>
      </c>
      <c r="D547" s="149" t="s">
        <v>1045</v>
      </c>
      <c r="E547" s="125">
        <v>879117</v>
      </c>
      <c r="F547" s="125">
        <v>986548</v>
      </c>
      <c r="G547" s="125">
        <v>1041492</v>
      </c>
      <c r="H547" s="125">
        <v>1245000</v>
      </c>
      <c r="I547" s="125">
        <v>1600000</v>
      </c>
    </row>
    <row r="548" spans="1:9" s="145" customFormat="1" ht="47.25">
      <c r="A548" s="70" t="s">
        <v>2404</v>
      </c>
      <c r="B548" s="105" t="s">
        <v>6159</v>
      </c>
      <c r="C548" s="72" t="s">
        <v>1161</v>
      </c>
      <c r="D548" s="149" t="s">
        <v>1045</v>
      </c>
      <c r="E548" s="125">
        <v>249167</v>
      </c>
      <c r="F548" s="125">
        <v>1273000</v>
      </c>
      <c r="G548" s="125">
        <v>2290000</v>
      </c>
      <c r="H548" s="125">
        <v>2500000</v>
      </c>
      <c r="I548" s="125">
        <v>2000000</v>
      </c>
    </row>
    <row r="549" spans="1:9" s="145" customFormat="1" ht="15.75">
      <c r="A549" s="70"/>
      <c r="B549" s="105"/>
      <c r="C549" s="72"/>
      <c r="D549" s="76"/>
      <c r="E549" s="125">
        <v>0</v>
      </c>
      <c r="F549" s="125">
        <v>0</v>
      </c>
      <c r="G549" s="125">
        <v>0</v>
      </c>
      <c r="H549" s="125">
        <v>0</v>
      </c>
      <c r="I549" s="125">
        <v>0</v>
      </c>
    </row>
    <row r="550" spans="1:9" s="145" customFormat="1" ht="15.75">
      <c r="A550" s="70" t="s">
        <v>2405</v>
      </c>
      <c r="B550" s="105" t="s">
        <v>6160</v>
      </c>
      <c r="C550" s="72"/>
      <c r="D550" s="76"/>
      <c r="E550" s="125">
        <v>0</v>
      </c>
      <c r="F550" s="125">
        <v>0</v>
      </c>
      <c r="G550" s="125">
        <v>0</v>
      </c>
      <c r="H550" s="125">
        <v>0</v>
      </c>
      <c r="I550" s="125">
        <v>0</v>
      </c>
    </row>
    <row r="551" spans="1:9" s="145" customFormat="1" ht="15.75">
      <c r="A551" s="70" t="s">
        <v>2148</v>
      </c>
      <c r="B551" s="105" t="s">
        <v>6139</v>
      </c>
      <c r="C551" s="72" t="s">
        <v>1221</v>
      </c>
      <c r="D551" s="76"/>
      <c r="E551" s="125">
        <v>3067238</v>
      </c>
      <c r="F551" s="125">
        <v>3798074</v>
      </c>
      <c r="G551" s="125">
        <v>2396231</v>
      </c>
      <c r="H551" s="125">
        <v>3500000</v>
      </c>
      <c r="I551" s="125">
        <v>5000000</v>
      </c>
    </row>
    <row r="552" spans="1:9" s="145" customFormat="1" ht="15.75">
      <c r="A552" s="70" t="s">
        <v>2149</v>
      </c>
      <c r="B552" s="105" t="s">
        <v>5885</v>
      </c>
      <c r="C552" s="72" t="s">
        <v>1162</v>
      </c>
      <c r="D552" s="76"/>
      <c r="E552" s="125">
        <v>95000</v>
      </c>
      <c r="F552" s="125">
        <v>85000</v>
      </c>
      <c r="G552" s="125">
        <v>78000</v>
      </c>
      <c r="H552" s="125">
        <v>80000</v>
      </c>
      <c r="I552" s="125">
        <v>80000</v>
      </c>
    </row>
    <row r="553" spans="1:9" s="145" customFormat="1" ht="15.75">
      <c r="A553" s="70" t="s">
        <v>2406</v>
      </c>
      <c r="B553" s="105" t="s">
        <v>6161</v>
      </c>
      <c r="C553" s="72" t="s">
        <v>1163</v>
      </c>
      <c r="D553" s="76"/>
      <c r="E553" s="125">
        <v>4879215</v>
      </c>
      <c r="F553" s="125">
        <v>6773715</v>
      </c>
      <c r="G553" s="125">
        <v>7060868</v>
      </c>
      <c r="H553" s="125">
        <v>6000000</v>
      </c>
      <c r="I553" s="125">
        <v>8000000</v>
      </c>
    </row>
    <row r="554" spans="1:9" s="145" customFormat="1" ht="31.5">
      <c r="A554" s="70" t="s">
        <v>10418</v>
      </c>
      <c r="B554" s="105"/>
      <c r="C554" s="72" t="s">
        <v>12648</v>
      </c>
      <c r="D554" s="76"/>
      <c r="E554" s="125">
        <v>0</v>
      </c>
      <c r="F554" s="125">
        <v>0</v>
      </c>
      <c r="G554" s="125">
        <v>0</v>
      </c>
      <c r="H554" s="125">
        <v>0</v>
      </c>
      <c r="I554" s="125">
        <v>800000</v>
      </c>
    </row>
    <row r="555" spans="1:9" s="145" customFormat="1" ht="15.75">
      <c r="A555" s="70" t="s">
        <v>10406</v>
      </c>
      <c r="B555" s="105"/>
      <c r="C555" s="72" t="s">
        <v>12649</v>
      </c>
      <c r="D555" s="76"/>
      <c r="E555" s="125">
        <v>0</v>
      </c>
      <c r="F555" s="125">
        <v>0</v>
      </c>
      <c r="G555" s="125">
        <v>0</v>
      </c>
      <c r="H555" s="125">
        <v>0</v>
      </c>
      <c r="I555" s="125">
        <v>2000000</v>
      </c>
    </row>
    <row r="556" spans="1:9" s="145" customFormat="1" ht="15.75">
      <c r="A556" s="70"/>
      <c r="B556" s="105"/>
      <c r="C556" s="72"/>
      <c r="D556" s="76"/>
      <c r="E556" s="125">
        <v>0</v>
      </c>
      <c r="F556" s="125">
        <v>0</v>
      </c>
      <c r="G556" s="125">
        <v>0</v>
      </c>
      <c r="H556" s="125">
        <v>0</v>
      </c>
      <c r="I556" s="125">
        <v>0</v>
      </c>
    </row>
    <row r="557" spans="1:9" s="145" customFormat="1" ht="15.75">
      <c r="A557" s="70" t="s">
        <v>2407</v>
      </c>
      <c r="B557" s="105" t="s">
        <v>6162</v>
      </c>
      <c r="C557" s="72" t="s">
        <v>1164</v>
      </c>
      <c r="D557" s="76"/>
      <c r="E557" s="125">
        <v>37469</v>
      </c>
      <c r="F557" s="125">
        <v>37942</v>
      </c>
      <c r="G557" s="125">
        <v>0</v>
      </c>
      <c r="H557" s="125">
        <v>34000</v>
      </c>
      <c r="I557" s="125">
        <v>27200</v>
      </c>
    </row>
    <row r="558" spans="1:9" s="145" customFormat="1" ht="15.75">
      <c r="A558" s="70" t="s">
        <v>2408</v>
      </c>
      <c r="B558" s="105" t="s">
        <v>6163</v>
      </c>
      <c r="C558" s="72" t="s">
        <v>1165</v>
      </c>
      <c r="D558" s="76"/>
      <c r="E558" s="125">
        <v>3553139</v>
      </c>
      <c r="F558" s="125">
        <v>37611</v>
      </c>
      <c r="G558" s="125">
        <v>0</v>
      </c>
      <c r="H558" s="125">
        <v>2040000</v>
      </c>
      <c r="I558" s="125">
        <v>1632000</v>
      </c>
    </row>
    <row r="559" spans="1:9" s="145" customFormat="1" ht="47.25">
      <c r="A559" s="70" t="s">
        <v>2409</v>
      </c>
      <c r="B559" s="105" t="s">
        <v>6164</v>
      </c>
      <c r="C559" s="72" t="s">
        <v>1273</v>
      </c>
      <c r="D559" s="149" t="s">
        <v>1045</v>
      </c>
      <c r="E559" s="125">
        <v>10000000</v>
      </c>
      <c r="F559" s="125">
        <v>0</v>
      </c>
      <c r="G559" s="125">
        <v>2890000</v>
      </c>
      <c r="H559" s="125">
        <v>10000000</v>
      </c>
      <c r="I559" s="125">
        <v>8000000</v>
      </c>
    </row>
    <row r="560" spans="1:9" s="145" customFormat="1" ht="15.75">
      <c r="A560" s="70"/>
      <c r="B560" s="105"/>
      <c r="C560" s="72"/>
      <c r="D560" s="76"/>
      <c r="E560" s="125">
        <v>0</v>
      </c>
      <c r="F560" s="125">
        <v>0</v>
      </c>
      <c r="G560" s="125">
        <v>0</v>
      </c>
      <c r="H560" s="125">
        <v>0</v>
      </c>
      <c r="I560" s="125">
        <v>0</v>
      </c>
    </row>
    <row r="561" spans="1:9" s="145" customFormat="1" ht="15.75">
      <c r="A561" s="77" t="s">
        <v>2410</v>
      </c>
      <c r="B561" s="136" t="s">
        <v>146</v>
      </c>
      <c r="C561" s="72"/>
      <c r="D561" s="76"/>
      <c r="E561" s="125">
        <v>74609331</v>
      </c>
      <c r="F561" s="125">
        <v>70829209</v>
      </c>
      <c r="G561" s="125">
        <v>75270131</v>
      </c>
      <c r="H561" s="125">
        <v>94969000</v>
      </c>
      <c r="I561" s="125">
        <v>119869200</v>
      </c>
    </row>
    <row r="562" spans="1:9" s="145" customFormat="1" ht="15.75">
      <c r="A562" s="70"/>
      <c r="B562" s="105"/>
      <c r="C562" s="72"/>
      <c r="D562" s="76"/>
      <c r="E562" s="125">
        <v>0</v>
      </c>
      <c r="F562" s="125">
        <v>0</v>
      </c>
      <c r="G562" s="125">
        <v>0</v>
      </c>
      <c r="H562" s="125">
        <v>0</v>
      </c>
      <c r="I562" s="125">
        <v>0</v>
      </c>
    </row>
    <row r="563" spans="1:9" s="145" customFormat="1" ht="15.75">
      <c r="A563" s="70" t="s">
        <v>10563</v>
      </c>
      <c r="B563" s="105" t="s">
        <v>6165</v>
      </c>
      <c r="C563" s="72"/>
      <c r="D563" s="76"/>
      <c r="E563" s="125">
        <v>0</v>
      </c>
      <c r="F563" s="125">
        <v>0</v>
      </c>
      <c r="G563" s="125">
        <v>0</v>
      </c>
      <c r="H563" s="125">
        <v>0</v>
      </c>
      <c r="I563" s="125">
        <v>0</v>
      </c>
    </row>
    <row r="564" spans="1:9" s="145" customFormat="1" ht="47.25">
      <c r="A564" s="70" t="s">
        <v>2411</v>
      </c>
      <c r="B564" s="105" t="s">
        <v>6166</v>
      </c>
      <c r="C564" s="72" t="s">
        <v>1166</v>
      </c>
      <c r="D564" s="149" t="s">
        <v>1045</v>
      </c>
      <c r="E564" s="125">
        <v>7509685</v>
      </c>
      <c r="F564" s="125">
        <v>6337097</v>
      </c>
      <c r="G564" s="125">
        <v>2561275</v>
      </c>
      <c r="H564" s="125">
        <v>7000000</v>
      </c>
      <c r="I564" s="125">
        <v>6400000</v>
      </c>
    </row>
    <row r="565" spans="1:9" s="145" customFormat="1" ht="15.75">
      <c r="A565" s="70" t="s">
        <v>2412</v>
      </c>
      <c r="B565" s="105" t="s">
        <v>6167</v>
      </c>
      <c r="C565" s="72" t="s">
        <v>1167</v>
      </c>
      <c r="D565" s="149" t="s">
        <v>1045</v>
      </c>
      <c r="E565" s="125">
        <v>1806394</v>
      </c>
      <c r="F565" s="125">
        <v>1500732</v>
      </c>
      <c r="G565" s="125">
        <v>766991</v>
      </c>
      <c r="H565" s="125">
        <v>2040000</v>
      </c>
      <c r="I565" s="125">
        <v>2240000</v>
      </c>
    </row>
    <row r="566" spans="1:9" s="145" customFormat="1" ht="31.5">
      <c r="A566" s="70" t="s">
        <v>10564</v>
      </c>
      <c r="B566" s="105" t="s">
        <v>6168</v>
      </c>
      <c r="C566" s="72" t="s">
        <v>1303</v>
      </c>
      <c r="D566" s="76"/>
      <c r="E566" s="125">
        <v>0</v>
      </c>
      <c r="F566" s="125">
        <v>0</v>
      </c>
      <c r="G566" s="125">
        <v>410396</v>
      </c>
      <c r="H566" s="125">
        <v>500000</v>
      </c>
      <c r="I566" s="125">
        <v>400000</v>
      </c>
    </row>
    <row r="567" spans="1:9" s="145" customFormat="1" ht="47.25">
      <c r="A567" s="70" t="s">
        <v>5116</v>
      </c>
      <c r="B567" s="105" t="s">
        <v>6169</v>
      </c>
      <c r="C567" s="72" t="s">
        <v>1397</v>
      </c>
      <c r="D567" s="76"/>
      <c r="E567" s="125">
        <v>1834189</v>
      </c>
      <c r="F567" s="125">
        <v>2024741</v>
      </c>
      <c r="G567" s="125">
        <v>2040000</v>
      </c>
      <c r="H567" s="125">
        <v>2040000</v>
      </c>
      <c r="I567" s="125">
        <v>3200000</v>
      </c>
    </row>
    <row r="568" spans="1:9" s="145" customFormat="1" ht="15.75">
      <c r="A568" s="70"/>
      <c r="B568" s="105"/>
      <c r="C568" s="72"/>
      <c r="D568" s="76"/>
      <c r="E568" s="125">
        <v>0</v>
      </c>
      <c r="F568" s="125">
        <v>0</v>
      </c>
      <c r="G568" s="125">
        <v>0</v>
      </c>
      <c r="H568" s="125">
        <v>0</v>
      </c>
      <c r="I568" s="125">
        <v>0</v>
      </c>
    </row>
    <row r="569" spans="1:9" s="145" customFormat="1" ht="15.75">
      <c r="A569" s="77" t="s">
        <v>2413</v>
      </c>
      <c r="B569" s="136" t="s">
        <v>146</v>
      </c>
      <c r="C569" s="72"/>
      <c r="D569" s="76"/>
      <c r="E569" s="125">
        <v>11150268</v>
      </c>
      <c r="F569" s="125">
        <v>9862570</v>
      </c>
      <c r="G569" s="125">
        <v>5778662</v>
      </c>
      <c r="H569" s="125">
        <v>11580000</v>
      </c>
      <c r="I569" s="125">
        <v>12240000</v>
      </c>
    </row>
    <row r="570" spans="1:9" s="145" customFormat="1" ht="15.75">
      <c r="A570" s="70"/>
      <c r="B570" s="105"/>
      <c r="C570" s="72"/>
      <c r="D570" s="76"/>
      <c r="E570" s="125">
        <v>0</v>
      </c>
      <c r="F570" s="125">
        <v>0</v>
      </c>
      <c r="G570" s="125">
        <v>0</v>
      </c>
      <c r="H570" s="125">
        <v>0</v>
      </c>
      <c r="I570" s="125">
        <v>0</v>
      </c>
    </row>
    <row r="571" spans="1:9" s="145" customFormat="1" ht="15.75">
      <c r="A571" s="70" t="s">
        <v>10565</v>
      </c>
      <c r="B571" s="105" t="s">
        <v>6170</v>
      </c>
      <c r="C571" s="72"/>
      <c r="D571" s="76"/>
      <c r="E571" s="125">
        <v>0</v>
      </c>
      <c r="F571" s="125">
        <v>0</v>
      </c>
      <c r="G571" s="125">
        <v>0</v>
      </c>
      <c r="H571" s="125">
        <v>0</v>
      </c>
      <c r="I571" s="125">
        <v>0</v>
      </c>
    </row>
    <row r="572" spans="1:9" s="145" customFormat="1" ht="15.75">
      <c r="A572" s="70" t="s">
        <v>2414</v>
      </c>
      <c r="B572" s="105" t="s">
        <v>6171</v>
      </c>
      <c r="C572" s="72"/>
      <c r="D572" s="76"/>
      <c r="E572" s="125">
        <v>0</v>
      </c>
      <c r="F572" s="125">
        <v>0</v>
      </c>
      <c r="G572" s="125">
        <v>0</v>
      </c>
      <c r="H572" s="125">
        <v>0</v>
      </c>
      <c r="I572" s="125">
        <v>0</v>
      </c>
    </row>
    <row r="573" spans="1:9" s="145" customFormat="1" ht="15.75">
      <c r="A573" s="70" t="s">
        <v>2148</v>
      </c>
      <c r="B573" s="105" t="s">
        <v>6139</v>
      </c>
      <c r="C573" s="72" t="s">
        <v>1222</v>
      </c>
      <c r="D573" s="76"/>
      <c r="E573" s="125">
        <v>107836290</v>
      </c>
      <c r="F573" s="125">
        <v>112724135</v>
      </c>
      <c r="G573" s="125">
        <v>127887680</v>
      </c>
      <c r="H573" s="125">
        <v>122500000</v>
      </c>
      <c r="I573" s="125">
        <v>150000000</v>
      </c>
    </row>
    <row r="574" spans="1:9" s="145" customFormat="1" ht="15.75">
      <c r="A574" s="70" t="s">
        <v>2149</v>
      </c>
      <c r="B574" s="105" t="s">
        <v>5885</v>
      </c>
      <c r="C574" s="72" t="s">
        <v>1168</v>
      </c>
      <c r="D574" s="76"/>
      <c r="E574" s="125">
        <v>887896</v>
      </c>
      <c r="F574" s="125">
        <v>764253</v>
      </c>
      <c r="G574" s="125">
        <v>794505</v>
      </c>
      <c r="H574" s="125">
        <v>800000</v>
      </c>
      <c r="I574" s="125">
        <v>1000000</v>
      </c>
    </row>
    <row r="575" spans="1:9" s="145" customFormat="1" ht="15.75">
      <c r="A575" s="70" t="s">
        <v>2381</v>
      </c>
      <c r="B575" s="105" t="s">
        <v>6172</v>
      </c>
      <c r="C575" s="72" t="s">
        <v>1169</v>
      </c>
      <c r="D575" s="76"/>
      <c r="E575" s="125">
        <v>833370</v>
      </c>
      <c r="F575" s="125">
        <v>835390</v>
      </c>
      <c r="G575" s="125">
        <v>602818</v>
      </c>
      <c r="H575" s="125">
        <v>1000000</v>
      </c>
      <c r="I575" s="125">
        <v>1600000</v>
      </c>
    </row>
    <row r="576" spans="1:9" s="145" customFormat="1" ht="15.75">
      <c r="A576" s="70" t="s">
        <v>2870</v>
      </c>
      <c r="B576" s="105" t="s">
        <v>6173</v>
      </c>
      <c r="C576" s="72" t="s">
        <v>1170</v>
      </c>
      <c r="D576" s="76"/>
      <c r="E576" s="125">
        <v>10499990</v>
      </c>
      <c r="F576" s="125">
        <v>11475000</v>
      </c>
      <c r="G576" s="125">
        <v>9999990</v>
      </c>
      <c r="H576" s="125">
        <v>13000000</v>
      </c>
      <c r="I576" s="125">
        <v>15000000</v>
      </c>
    </row>
    <row r="577" spans="1:9" s="145" customFormat="1" ht="31.5">
      <c r="A577" s="70" t="s">
        <v>4746</v>
      </c>
      <c r="B577" s="105" t="s">
        <v>6174</v>
      </c>
      <c r="C577" s="72" t="s">
        <v>1171</v>
      </c>
      <c r="D577" s="76"/>
      <c r="E577" s="125">
        <v>1106151</v>
      </c>
      <c r="F577" s="125">
        <v>2506175</v>
      </c>
      <c r="G577" s="125">
        <v>7865749</v>
      </c>
      <c r="H577" s="125">
        <v>11200000</v>
      </c>
      <c r="I577" s="125">
        <v>17500000</v>
      </c>
    </row>
    <row r="578" spans="1:9" s="145" customFormat="1" ht="31.5">
      <c r="A578" s="70" t="s">
        <v>2415</v>
      </c>
      <c r="B578" s="105" t="s">
        <v>6175</v>
      </c>
      <c r="C578" s="72" t="s">
        <v>1398</v>
      </c>
      <c r="D578" s="76"/>
      <c r="E578" s="125">
        <v>1500880</v>
      </c>
      <c r="F578" s="125">
        <v>2921760</v>
      </c>
      <c r="G578" s="125">
        <v>3098528</v>
      </c>
      <c r="H578" s="125">
        <v>0</v>
      </c>
      <c r="I578" s="125">
        <v>0</v>
      </c>
    </row>
    <row r="579" spans="1:9" s="145" customFormat="1" ht="15.75">
      <c r="A579" s="70" t="s">
        <v>2416</v>
      </c>
      <c r="B579" s="105" t="s">
        <v>6176</v>
      </c>
      <c r="C579" s="72" t="s">
        <v>1172</v>
      </c>
      <c r="D579" s="76"/>
      <c r="E579" s="125">
        <v>0</v>
      </c>
      <c r="F579" s="125">
        <v>0</v>
      </c>
      <c r="G579" s="125">
        <v>0</v>
      </c>
      <c r="H579" s="125">
        <v>60000</v>
      </c>
      <c r="I579" s="125">
        <v>48000</v>
      </c>
    </row>
    <row r="580" spans="1:9" s="145" customFormat="1" ht="15.75">
      <c r="A580" s="70" t="s">
        <v>2417</v>
      </c>
      <c r="B580" s="105" t="s">
        <v>6177</v>
      </c>
      <c r="C580" s="72" t="s">
        <v>1173</v>
      </c>
      <c r="D580" s="76"/>
      <c r="E580" s="125">
        <v>1659750</v>
      </c>
      <c r="F580" s="125">
        <v>0</v>
      </c>
      <c r="G580" s="125">
        <v>0</v>
      </c>
      <c r="H580" s="125">
        <v>0</v>
      </c>
      <c r="I580" s="125">
        <v>0</v>
      </c>
    </row>
    <row r="581" spans="1:9" s="145" customFormat="1" ht="31.5">
      <c r="A581" s="70" t="s">
        <v>2418</v>
      </c>
      <c r="B581" s="105" t="s">
        <v>6178</v>
      </c>
      <c r="C581" s="72" t="s">
        <v>1174</v>
      </c>
      <c r="D581" s="153" t="s">
        <v>1781</v>
      </c>
      <c r="E581" s="125">
        <v>607800</v>
      </c>
      <c r="F581" s="125">
        <v>514490</v>
      </c>
      <c r="G581" s="125">
        <v>441900</v>
      </c>
      <c r="H581" s="125">
        <v>1020000</v>
      </c>
      <c r="I581" s="125">
        <v>816000</v>
      </c>
    </row>
    <row r="582" spans="1:9" s="145" customFormat="1" ht="31.5">
      <c r="A582" s="70" t="s">
        <v>2872</v>
      </c>
      <c r="B582" s="105" t="s">
        <v>6179</v>
      </c>
      <c r="C582" s="72" t="s">
        <v>1175</v>
      </c>
      <c r="D582" s="76"/>
      <c r="E582" s="125">
        <v>4862830</v>
      </c>
      <c r="F582" s="125">
        <v>4115328</v>
      </c>
      <c r="G582" s="125">
        <v>2809462</v>
      </c>
      <c r="H582" s="125">
        <v>4080000</v>
      </c>
      <c r="I582" s="125">
        <v>4000000</v>
      </c>
    </row>
    <row r="583" spans="1:9" s="145" customFormat="1" ht="15.75">
      <c r="A583" s="70"/>
      <c r="B583" s="105"/>
      <c r="C583" s="72"/>
      <c r="D583" s="76"/>
      <c r="E583" s="125">
        <v>0</v>
      </c>
      <c r="F583" s="125">
        <v>0</v>
      </c>
      <c r="G583" s="125">
        <v>0</v>
      </c>
      <c r="H583" s="125">
        <v>0</v>
      </c>
      <c r="I583" s="125">
        <v>0</v>
      </c>
    </row>
    <row r="584" spans="1:9" s="145" customFormat="1" ht="15.75">
      <c r="A584" s="70" t="s">
        <v>2419</v>
      </c>
      <c r="B584" s="105" t="s">
        <v>6180</v>
      </c>
      <c r="C584" s="72"/>
      <c r="D584" s="76"/>
      <c r="E584" s="125">
        <v>0</v>
      </c>
      <c r="F584" s="125">
        <v>0</v>
      </c>
      <c r="G584" s="125">
        <v>0</v>
      </c>
      <c r="H584" s="125">
        <v>0</v>
      </c>
      <c r="I584" s="125">
        <v>0</v>
      </c>
    </row>
    <row r="585" spans="1:9" s="145" customFormat="1" ht="13.5">
      <c r="A585" s="71" t="s">
        <v>2420</v>
      </c>
      <c r="B585" s="105" t="s">
        <v>6181</v>
      </c>
      <c r="C585" s="72" t="s">
        <v>1223</v>
      </c>
      <c r="D585" s="76"/>
      <c r="E585" s="125">
        <v>20964668</v>
      </c>
      <c r="F585" s="125">
        <v>22903076</v>
      </c>
      <c r="G585" s="125">
        <v>24641679</v>
      </c>
      <c r="H585" s="125">
        <v>24500000</v>
      </c>
      <c r="I585" s="125">
        <v>40000000</v>
      </c>
    </row>
    <row r="586" spans="1:9" s="145" customFormat="1" ht="15.75">
      <c r="A586" s="70" t="s">
        <v>2421</v>
      </c>
      <c r="B586" s="105" t="s">
        <v>6182</v>
      </c>
      <c r="C586" s="72" t="s">
        <v>1224</v>
      </c>
      <c r="D586" s="76"/>
      <c r="E586" s="125">
        <v>7386013</v>
      </c>
      <c r="F586" s="125">
        <v>6589473</v>
      </c>
      <c r="G586" s="125">
        <v>7471959</v>
      </c>
      <c r="H586" s="125">
        <v>9000000</v>
      </c>
      <c r="I586" s="125">
        <v>15000000</v>
      </c>
    </row>
    <row r="587" spans="1:9" s="145" customFormat="1" ht="15.75">
      <c r="A587" s="70" t="s">
        <v>2123</v>
      </c>
      <c r="B587" s="105" t="s">
        <v>5822</v>
      </c>
      <c r="C587" s="72" t="s">
        <v>1176</v>
      </c>
      <c r="D587" s="76"/>
      <c r="E587" s="125">
        <v>199219</v>
      </c>
      <c r="F587" s="125">
        <v>168952</v>
      </c>
      <c r="G587" s="125">
        <v>0</v>
      </c>
      <c r="H587" s="125">
        <v>150000</v>
      </c>
      <c r="I587" s="125">
        <v>200000</v>
      </c>
    </row>
    <row r="588" spans="1:9" s="145" customFormat="1" ht="15.75">
      <c r="A588" s="70" t="s">
        <v>5117</v>
      </c>
      <c r="B588" s="105" t="s">
        <v>6183</v>
      </c>
      <c r="C588" s="72" t="s">
        <v>1177</v>
      </c>
      <c r="D588" s="76"/>
      <c r="E588" s="125">
        <v>580679</v>
      </c>
      <c r="F588" s="125">
        <v>0</v>
      </c>
      <c r="G588" s="125">
        <v>2400000</v>
      </c>
      <c r="H588" s="125">
        <v>2400000</v>
      </c>
      <c r="I588" s="125">
        <v>2400000</v>
      </c>
    </row>
    <row r="589" spans="1:9" s="145" customFormat="1" ht="15.75">
      <c r="A589" s="70" t="s">
        <v>2422</v>
      </c>
      <c r="B589" s="105" t="s">
        <v>6184</v>
      </c>
      <c r="C589" s="72" t="s">
        <v>1178</v>
      </c>
      <c r="D589" s="76"/>
      <c r="E589" s="125">
        <v>2812875</v>
      </c>
      <c r="F589" s="125">
        <v>24467680</v>
      </c>
      <c r="G589" s="125">
        <v>22000000</v>
      </c>
      <c r="H589" s="125">
        <v>25000000</v>
      </c>
      <c r="I589" s="125">
        <v>30000000</v>
      </c>
    </row>
    <row r="590" spans="1:9" s="145" customFormat="1" ht="31.5">
      <c r="A590" s="70" t="s">
        <v>2423</v>
      </c>
      <c r="B590" s="105" t="s">
        <v>6185</v>
      </c>
      <c r="C590" s="72"/>
      <c r="D590" s="76"/>
      <c r="E590" s="125">
        <v>0</v>
      </c>
      <c r="F590" s="125">
        <v>0</v>
      </c>
      <c r="G590" s="125">
        <v>0</v>
      </c>
      <c r="H590" s="125">
        <v>0</v>
      </c>
      <c r="I590" s="125">
        <v>0</v>
      </c>
    </row>
    <row r="591" spans="1:9" s="145" customFormat="1" ht="15.75">
      <c r="A591" s="70" t="s">
        <v>2383</v>
      </c>
      <c r="B591" s="105" t="s">
        <v>6186</v>
      </c>
      <c r="C591" s="72" t="s">
        <v>1179</v>
      </c>
      <c r="D591" s="76"/>
      <c r="E591" s="125">
        <v>15046512</v>
      </c>
      <c r="F591" s="125">
        <v>16664796</v>
      </c>
      <c r="G591" s="125">
        <v>15234152</v>
      </c>
      <c r="H591" s="125">
        <v>18500000</v>
      </c>
      <c r="I591" s="125">
        <v>25000000</v>
      </c>
    </row>
    <row r="592" spans="1:9" s="145" customFormat="1" ht="15.75">
      <c r="A592" s="70" t="s">
        <v>2384</v>
      </c>
      <c r="B592" s="105" t="s">
        <v>6187</v>
      </c>
      <c r="C592" s="72" t="s">
        <v>1180</v>
      </c>
      <c r="D592" s="76"/>
      <c r="E592" s="125">
        <v>0</v>
      </c>
      <c r="F592" s="125">
        <v>167749</v>
      </c>
      <c r="G592" s="125">
        <v>25912</v>
      </c>
      <c r="H592" s="125">
        <v>160000</v>
      </c>
      <c r="I592" s="125">
        <v>260000</v>
      </c>
    </row>
    <row r="593" spans="1:9" s="145" customFormat="1" ht="15.75">
      <c r="A593" s="70" t="s">
        <v>2424</v>
      </c>
      <c r="B593" s="105" t="s">
        <v>6188</v>
      </c>
      <c r="C593" s="72" t="s">
        <v>1181</v>
      </c>
      <c r="D593" s="76"/>
      <c r="E593" s="125">
        <v>0</v>
      </c>
      <c r="F593" s="125">
        <v>0</v>
      </c>
      <c r="G593" s="125">
        <v>229482</v>
      </c>
      <c r="H593" s="125">
        <v>400000</v>
      </c>
      <c r="I593" s="125">
        <v>400000</v>
      </c>
    </row>
    <row r="594" spans="1:9" s="145" customFormat="1" ht="31.5">
      <c r="A594" s="70" t="s">
        <v>2385</v>
      </c>
      <c r="B594" s="105" t="s">
        <v>6189</v>
      </c>
      <c r="C594" s="72" t="s">
        <v>1225</v>
      </c>
      <c r="D594" s="76"/>
      <c r="E594" s="125">
        <v>53195942</v>
      </c>
      <c r="F594" s="125">
        <v>67382305</v>
      </c>
      <c r="G594" s="125">
        <v>66689082</v>
      </c>
      <c r="H594" s="125">
        <v>72500000</v>
      </c>
      <c r="I594" s="125">
        <v>90000000</v>
      </c>
    </row>
    <row r="595" spans="1:9" s="145" customFormat="1" ht="31.5">
      <c r="A595" s="70" t="s">
        <v>2425</v>
      </c>
      <c r="B595" s="105" t="s">
        <v>6190</v>
      </c>
      <c r="C595" s="72" t="s">
        <v>1182</v>
      </c>
      <c r="D595" s="76"/>
      <c r="E595" s="125">
        <v>894600</v>
      </c>
      <c r="F595" s="125">
        <v>167000</v>
      </c>
      <c r="G595" s="125">
        <v>3003780</v>
      </c>
      <c r="H595" s="125">
        <v>10000000</v>
      </c>
      <c r="I595" s="125">
        <v>8000000</v>
      </c>
    </row>
    <row r="596" spans="1:9" s="145" customFormat="1" ht="15.75">
      <c r="A596" s="70" t="s">
        <v>2426</v>
      </c>
      <c r="B596" s="105" t="s">
        <v>6191</v>
      </c>
      <c r="C596" s="72" t="s">
        <v>1183</v>
      </c>
      <c r="D596" s="76"/>
      <c r="E596" s="125">
        <v>1028175</v>
      </c>
      <c r="F596" s="125">
        <v>124500</v>
      </c>
      <c r="G596" s="125">
        <v>1020000</v>
      </c>
      <c r="H596" s="125">
        <v>1020000</v>
      </c>
      <c r="I596" s="125">
        <v>800000</v>
      </c>
    </row>
    <row r="597" spans="1:9" s="145" customFormat="1" ht="31.5">
      <c r="A597" s="70" t="s">
        <v>10566</v>
      </c>
      <c r="B597" s="105" t="s">
        <v>6192</v>
      </c>
      <c r="C597" s="72" t="s">
        <v>1226</v>
      </c>
      <c r="D597" s="76"/>
      <c r="E597" s="125">
        <v>9999054</v>
      </c>
      <c r="F597" s="125">
        <v>8499650</v>
      </c>
      <c r="G597" s="125">
        <v>16092132</v>
      </c>
      <c r="H597" s="125">
        <v>40000000</v>
      </c>
      <c r="I597" s="125">
        <v>16000000</v>
      </c>
    </row>
    <row r="598" spans="1:9" s="145" customFormat="1" ht="31.5">
      <c r="A598" s="70" t="s">
        <v>2427</v>
      </c>
      <c r="B598" s="105" t="s">
        <v>6193</v>
      </c>
      <c r="C598" s="72"/>
      <c r="D598" s="76"/>
      <c r="E598" s="125">
        <v>0</v>
      </c>
      <c r="F598" s="125">
        <v>0</v>
      </c>
      <c r="G598" s="125">
        <v>0</v>
      </c>
      <c r="H598" s="125">
        <v>0</v>
      </c>
      <c r="I598" s="125">
        <v>0</v>
      </c>
    </row>
    <row r="599" spans="1:9" s="145" customFormat="1" ht="15.75">
      <c r="A599" s="70" t="s">
        <v>2428</v>
      </c>
      <c r="B599" s="105" t="s">
        <v>6194</v>
      </c>
      <c r="C599" s="72" t="s">
        <v>1184</v>
      </c>
      <c r="D599" s="76"/>
      <c r="E599" s="125">
        <v>1475830</v>
      </c>
      <c r="F599" s="125">
        <v>1253995</v>
      </c>
      <c r="G599" s="125">
        <v>1301047</v>
      </c>
      <c r="H599" s="125">
        <v>3000000</v>
      </c>
      <c r="I599" s="125">
        <v>2400000</v>
      </c>
    </row>
    <row r="600" spans="1:9" s="145" customFormat="1" ht="15.75">
      <c r="A600" s="70" t="s">
        <v>2429</v>
      </c>
      <c r="B600" s="105" t="s">
        <v>6195</v>
      </c>
      <c r="C600" s="72" t="s">
        <v>1185</v>
      </c>
      <c r="D600" s="76"/>
      <c r="E600" s="125">
        <v>70000</v>
      </c>
      <c r="F600" s="125">
        <v>847882</v>
      </c>
      <c r="G600" s="125">
        <v>425468</v>
      </c>
      <c r="H600" s="125">
        <v>1000000</v>
      </c>
      <c r="I600" s="125">
        <v>800000</v>
      </c>
    </row>
    <row r="601" spans="1:9" s="145" customFormat="1" ht="15.75">
      <c r="A601" s="70"/>
      <c r="B601" s="105"/>
      <c r="C601" s="72"/>
      <c r="D601" s="76"/>
      <c r="E601" s="125">
        <v>0</v>
      </c>
      <c r="F601" s="125">
        <v>0</v>
      </c>
      <c r="G601" s="125">
        <v>0</v>
      </c>
      <c r="H601" s="125">
        <v>0</v>
      </c>
      <c r="I601" s="125">
        <v>0</v>
      </c>
    </row>
    <row r="602" spans="1:9" s="145" customFormat="1" ht="15.75">
      <c r="A602" s="70" t="s">
        <v>2430</v>
      </c>
      <c r="B602" s="105" t="s">
        <v>6196</v>
      </c>
      <c r="C602" s="72"/>
      <c r="D602" s="76"/>
      <c r="E602" s="125">
        <v>0</v>
      </c>
      <c r="F602" s="125">
        <v>0</v>
      </c>
      <c r="G602" s="125">
        <v>0</v>
      </c>
      <c r="H602" s="125">
        <v>0</v>
      </c>
      <c r="I602" s="125">
        <v>0</v>
      </c>
    </row>
    <row r="603" spans="1:9" s="145" customFormat="1" ht="15.75">
      <c r="A603" s="70" t="s">
        <v>2148</v>
      </c>
      <c r="B603" s="105" t="s">
        <v>6139</v>
      </c>
      <c r="C603" s="72" t="s">
        <v>1227</v>
      </c>
      <c r="D603" s="76"/>
      <c r="E603" s="125">
        <v>397482127</v>
      </c>
      <c r="F603" s="125">
        <v>463742409</v>
      </c>
      <c r="G603" s="125">
        <v>492333060</v>
      </c>
      <c r="H603" s="125">
        <v>560000000</v>
      </c>
      <c r="I603" s="125">
        <v>620000000</v>
      </c>
    </row>
    <row r="604" spans="1:9" s="145" customFormat="1" ht="15.75">
      <c r="A604" s="70" t="s">
        <v>2149</v>
      </c>
      <c r="B604" s="105" t="s">
        <v>5885</v>
      </c>
      <c r="C604" s="72" t="s">
        <v>1186</v>
      </c>
      <c r="D604" s="76"/>
      <c r="E604" s="125">
        <v>3804811</v>
      </c>
      <c r="F604" s="125">
        <v>4249175</v>
      </c>
      <c r="G604" s="125">
        <v>3727753</v>
      </c>
      <c r="H604" s="125">
        <v>4000000</v>
      </c>
      <c r="I604" s="125">
        <v>4500000</v>
      </c>
    </row>
    <row r="605" spans="1:9" s="145" customFormat="1" ht="15.75">
      <c r="A605" s="70" t="s">
        <v>2392</v>
      </c>
      <c r="B605" s="105" t="s">
        <v>6197</v>
      </c>
      <c r="C605" s="72" t="s">
        <v>1187</v>
      </c>
      <c r="D605" s="76"/>
      <c r="E605" s="125">
        <v>89366049</v>
      </c>
      <c r="F605" s="125">
        <v>91948488</v>
      </c>
      <c r="G605" s="125">
        <v>83831449</v>
      </c>
      <c r="H605" s="125">
        <v>80000000</v>
      </c>
      <c r="I605" s="125">
        <v>100000000</v>
      </c>
    </row>
    <row r="606" spans="1:9" s="145" customFormat="1" ht="15.75">
      <c r="A606" s="70" t="s">
        <v>2393</v>
      </c>
      <c r="B606" s="105" t="s">
        <v>6198</v>
      </c>
      <c r="C606" s="72" t="s">
        <v>1188</v>
      </c>
      <c r="D606" s="76"/>
      <c r="E606" s="125">
        <v>926803</v>
      </c>
      <c r="F606" s="125">
        <v>2098535</v>
      </c>
      <c r="G606" s="125">
        <v>1603600</v>
      </c>
      <c r="H606" s="125">
        <v>1800000</v>
      </c>
      <c r="I606" s="125">
        <v>2000000</v>
      </c>
    </row>
    <row r="607" spans="1:9" s="145" customFormat="1" ht="15.75">
      <c r="A607" s="70" t="s">
        <v>2871</v>
      </c>
      <c r="B607" s="105" t="s">
        <v>6199</v>
      </c>
      <c r="C607" s="72" t="s">
        <v>1189</v>
      </c>
      <c r="D607" s="76"/>
      <c r="E607" s="125">
        <v>9998860</v>
      </c>
      <c r="F607" s="125">
        <v>11050000</v>
      </c>
      <c r="G607" s="125">
        <v>11199997</v>
      </c>
      <c r="H607" s="125">
        <v>18000000</v>
      </c>
      <c r="I607" s="125">
        <v>20000000</v>
      </c>
    </row>
    <row r="608" spans="1:9" s="145" customFormat="1" ht="15.75">
      <c r="A608" s="70" t="s">
        <v>5118</v>
      </c>
      <c r="B608" s="105" t="s">
        <v>6200</v>
      </c>
      <c r="C608" s="72" t="s">
        <v>1190</v>
      </c>
      <c r="D608" s="76"/>
      <c r="E608" s="125">
        <v>930000</v>
      </c>
      <c r="F608" s="125">
        <v>680000</v>
      </c>
      <c r="G608" s="125">
        <v>0</v>
      </c>
      <c r="H608" s="125">
        <v>680000</v>
      </c>
      <c r="I608" s="125">
        <v>560000</v>
      </c>
    </row>
    <row r="609" spans="1:9" s="145" customFormat="1" ht="15.75">
      <c r="A609" s="70" t="s">
        <v>2394</v>
      </c>
      <c r="B609" s="105" t="s">
        <v>6201</v>
      </c>
      <c r="C609" s="72" t="s">
        <v>1191</v>
      </c>
      <c r="D609" s="76"/>
      <c r="E609" s="125">
        <v>0</v>
      </c>
      <c r="F609" s="125">
        <v>340000</v>
      </c>
      <c r="G609" s="125">
        <v>0</v>
      </c>
      <c r="H609" s="125">
        <v>340000</v>
      </c>
      <c r="I609" s="125">
        <v>272000</v>
      </c>
    </row>
    <row r="610" spans="1:9" s="145" customFormat="1" ht="15.75">
      <c r="A610" s="70" t="s">
        <v>2395</v>
      </c>
      <c r="B610" s="105" t="s">
        <v>6202</v>
      </c>
      <c r="C610" s="72" t="s">
        <v>1192</v>
      </c>
      <c r="D610" s="76"/>
      <c r="E610" s="125">
        <v>2439835</v>
      </c>
      <c r="F610" s="125">
        <v>2685767</v>
      </c>
      <c r="G610" s="125">
        <v>2720000</v>
      </c>
      <c r="H610" s="125">
        <v>3000000</v>
      </c>
      <c r="I610" s="125">
        <v>3200000</v>
      </c>
    </row>
    <row r="611" spans="1:9" s="145" customFormat="1" ht="31.5">
      <c r="A611" s="70" t="s">
        <v>2396</v>
      </c>
      <c r="B611" s="105" t="s">
        <v>6203</v>
      </c>
      <c r="C611" s="72" t="s">
        <v>1193</v>
      </c>
      <c r="D611" s="76"/>
      <c r="E611" s="125">
        <v>5999907</v>
      </c>
      <c r="F611" s="125">
        <v>3398500</v>
      </c>
      <c r="G611" s="125">
        <v>2719800</v>
      </c>
      <c r="H611" s="125">
        <v>2720000</v>
      </c>
      <c r="I611" s="125">
        <v>3200000</v>
      </c>
    </row>
    <row r="612" spans="1:9" s="145" customFormat="1" ht="47.25">
      <c r="A612" s="70" t="s">
        <v>2853</v>
      </c>
      <c r="B612" s="105" t="s">
        <v>6204</v>
      </c>
      <c r="C612" s="72" t="s">
        <v>1194</v>
      </c>
      <c r="D612" s="76"/>
      <c r="E612" s="125">
        <v>3732850</v>
      </c>
      <c r="F612" s="125">
        <v>3774475</v>
      </c>
      <c r="G612" s="125">
        <v>3391825</v>
      </c>
      <c r="H612" s="125">
        <v>3400000</v>
      </c>
      <c r="I612" s="125">
        <v>2720000</v>
      </c>
    </row>
    <row r="613" spans="1:9" s="145" customFormat="1" ht="47.25">
      <c r="A613" s="70" t="s">
        <v>5256</v>
      </c>
      <c r="B613" s="105" t="s">
        <v>6205</v>
      </c>
      <c r="C613" s="72" t="s">
        <v>1547</v>
      </c>
      <c r="D613" s="76"/>
      <c r="E613" s="125">
        <v>0</v>
      </c>
      <c r="F613" s="125">
        <v>0</v>
      </c>
      <c r="G613" s="125">
        <v>766337</v>
      </c>
      <c r="H613" s="125">
        <v>40000000</v>
      </c>
      <c r="I613" s="125">
        <v>16000000</v>
      </c>
    </row>
    <row r="614" spans="1:9" s="145" customFormat="1" ht="31.5">
      <c r="A614" s="70" t="s">
        <v>5257</v>
      </c>
      <c r="B614" s="105" t="s">
        <v>6206</v>
      </c>
      <c r="C614" s="72" t="s">
        <v>1195</v>
      </c>
      <c r="D614" s="149" t="s">
        <v>1045</v>
      </c>
      <c r="E614" s="125">
        <v>29998900</v>
      </c>
      <c r="F614" s="125">
        <v>22747595</v>
      </c>
      <c r="G614" s="125">
        <v>46669451</v>
      </c>
      <c r="H614" s="125">
        <v>50000000</v>
      </c>
      <c r="I614" s="125">
        <v>40000000</v>
      </c>
    </row>
    <row r="615" spans="1:9" s="145" customFormat="1" ht="47.25">
      <c r="A615" s="70" t="s">
        <v>5119</v>
      </c>
      <c r="B615" s="105" t="s">
        <v>6207</v>
      </c>
      <c r="C615" s="72" t="s">
        <v>1196</v>
      </c>
      <c r="D615" s="76"/>
      <c r="E615" s="125">
        <v>0</v>
      </c>
      <c r="F615" s="125">
        <v>0</v>
      </c>
      <c r="G615" s="125">
        <v>773122</v>
      </c>
      <c r="H615" s="125">
        <v>800000</v>
      </c>
      <c r="I615" s="125">
        <v>1000000</v>
      </c>
    </row>
    <row r="616" spans="1:9" s="145" customFormat="1" ht="31.5">
      <c r="A616" s="70" t="s">
        <v>2431</v>
      </c>
      <c r="B616" s="105" t="s">
        <v>6208</v>
      </c>
      <c r="C616" s="72" t="s">
        <v>1197</v>
      </c>
      <c r="D616" s="76"/>
      <c r="E616" s="125">
        <v>3499995</v>
      </c>
      <c r="F616" s="125">
        <v>2975000</v>
      </c>
      <c r="G616" s="125">
        <v>2800000</v>
      </c>
      <c r="H616" s="125">
        <v>4000000</v>
      </c>
      <c r="I616" s="125">
        <v>5000000</v>
      </c>
    </row>
    <row r="617" spans="1:9" s="145" customFormat="1" ht="47.25">
      <c r="A617" s="70" t="s">
        <v>2432</v>
      </c>
      <c r="B617" s="105" t="s">
        <v>6209</v>
      </c>
      <c r="C617" s="72" t="s">
        <v>1198</v>
      </c>
      <c r="D617" s="76"/>
      <c r="E617" s="125">
        <v>905291</v>
      </c>
      <c r="F617" s="125">
        <v>927456</v>
      </c>
      <c r="G617" s="125">
        <v>612055</v>
      </c>
      <c r="H617" s="125">
        <v>0</v>
      </c>
      <c r="I617" s="125">
        <v>0</v>
      </c>
    </row>
    <row r="618" spans="1:9" s="145" customFormat="1" ht="47.25">
      <c r="A618" s="70" t="s">
        <v>2433</v>
      </c>
      <c r="B618" s="105" t="s">
        <v>6210</v>
      </c>
      <c r="C618" s="72" t="s">
        <v>1199</v>
      </c>
      <c r="D618" s="76"/>
      <c r="E618" s="125">
        <v>0</v>
      </c>
      <c r="F618" s="125">
        <v>0</v>
      </c>
      <c r="G618" s="125">
        <v>1079148</v>
      </c>
      <c r="H618" s="125">
        <v>2000000</v>
      </c>
      <c r="I618" s="125">
        <v>2000000</v>
      </c>
    </row>
    <row r="619" spans="1:9" s="145" customFormat="1" ht="63">
      <c r="A619" s="70" t="s">
        <v>2434</v>
      </c>
      <c r="B619" s="105" t="s">
        <v>6211</v>
      </c>
      <c r="C619" s="72" t="s">
        <v>1200</v>
      </c>
      <c r="D619" s="76"/>
      <c r="E619" s="125">
        <v>10920356</v>
      </c>
      <c r="F619" s="125">
        <v>4936889</v>
      </c>
      <c r="G619" s="125">
        <v>1771773</v>
      </c>
      <c r="H619" s="125">
        <v>8840000</v>
      </c>
      <c r="I619" s="125">
        <v>7072000</v>
      </c>
    </row>
    <row r="620" spans="1:9" s="145" customFormat="1" ht="47.25">
      <c r="A620" s="70" t="s">
        <v>2435</v>
      </c>
      <c r="B620" s="105" t="s">
        <v>6212</v>
      </c>
      <c r="C620" s="72" t="s">
        <v>1304</v>
      </c>
      <c r="D620" s="76"/>
      <c r="E620" s="125">
        <v>35000000</v>
      </c>
      <c r="F620" s="125">
        <v>29687063</v>
      </c>
      <c r="G620" s="125">
        <v>0</v>
      </c>
      <c r="H620" s="125">
        <v>0</v>
      </c>
      <c r="I620" s="125">
        <v>0</v>
      </c>
    </row>
    <row r="621" spans="1:9" s="145" customFormat="1" ht="31.5">
      <c r="A621" s="70" t="s">
        <v>2436</v>
      </c>
      <c r="B621" s="105" t="s">
        <v>6213</v>
      </c>
      <c r="C621" s="72" t="s">
        <v>1399</v>
      </c>
      <c r="D621" s="153" t="s">
        <v>1065</v>
      </c>
      <c r="E621" s="125">
        <v>0</v>
      </c>
      <c r="F621" s="125">
        <v>0</v>
      </c>
      <c r="G621" s="125">
        <v>0</v>
      </c>
      <c r="H621" s="125">
        <v>340000</v>
      </c>
      <c r="I621" s="125">
        <v>272000</v>
      </c>
    </row>
    <row r="622" spans="1:9" s="145" customFormat="1" ht="15.75">
      <c r="A622" s="70" t="s">
        <v>2437</v>
      </c>
      <c r="B622" s="105" t="s">
        <v>6214</v>
      </c>
      <c r="C622" s="72" t="s">
        <v>1400</v>
      </c>
      <c r="D622" s="153" t="s">
        <v>1065</v>
      </c>
      <c r="E622" s="125">
        <v>1615882</v>
      </c>
      <c r="F622" s="125">
        <v>0</v>
      </c>
      <c r="G622" s="125">
        <v>0</v>
      </c>
      <c r="H622" s="125">
        <v>0</v>
      </c>
      <c r="I622" s="125">
        <v>0</v>
      </c>
    </row>
    <row r="623" spans="1:9" s="145" customFormat="1" ht="78.75">
      <c r="A623" s="70" t="s">
        <v>5120</v>
      </c>
      <c r="B623" s="105" t="s">
        <v>6215</v>
      </c>
      <c r="C623" s="72" t="s">
        <v>1401</v>
      </c>
      <c r="D623" s="76"/>
      <c r="E623" s="125">
        <v>4555007</v>
      </c>
      <c r="F623" s="125">
        <v>1985623</v>
      </c>
      <c r="G623" s="125">
        <v>1109935</v>
      </c>
      <c r="H623" s="125">
        <v>2000000</v>
      </c>
      <c r="I623" s="125">
        <v>1600000</v>
      </c>
    </row>
    <row r="624" spans="1:9" s="145" customFormat="1" ht="78.75">
      <c r="A624" s="70" t="s">
        <v>5121</v>
      </c>
      <c r="B624" s="105" t="s">
        <v>6216</v>
      </c>
      <c r="C624" s="72" t="s">
        <v>1402</v>
      </c>
      <c r="D624" s="76"/>
      <c r="E624" s="125">
        <v>541728</v>
      </c>
      <c r="F624" s="125">
        <v>4250000</v>
      </c>
      <c r="G624" s="125">
        <v>2890000</v>
      </c>
      <c r="H624" s="125">
        <v>3000000</v>
      </c>
      <c r="I624" s="125">
        <v>4800000</v>
      </c>
    </row>
    <row r="625" spans="1:9" s="145" customFormat="1" ht="31.5">
      <c r="A625" s="70" t="s">
        <v>2438</v>
      </c>
      <c r="B625" s="105" t="s">
        <v>6217</v>
      </c>
      <c r="C625" s="72" t="s">
        <v>1403</v>
      </c>
      <c r="D625" s="76"/>
      <c r="E625" s="125">
        <v>0</v>
      </c>
      <c r="F625" s="125">
        <v>627037</v>
      </c>
      <c r="G625" s="125">
        <v>0</v>
      </c>
      <c r="H625" s="125">
        <v>1000000</v>
      </c>
      <c r="I625" s="125">
        <v>800000</v>
      </c>
    </row>
    <row r="626" spans="1:9" s="145" customFormat="1" ht="15.75">
      <c r="A626" s="70" t="s">
        <v>2439</v>
      </c>
      <c r="B626" s="105" t="s">
        <v>6218</v>
      </c>
      <c r="C626" s="72" t="s">
        <v>1404</v>
      </c>
      <c r="D626" s="76"/>
      <c r="E626" s="125">
        <v>0</v>
      </c>
      <c r="F626" s="125">
        <v>0</v>
      </c>
      <c r="G626" s="125">
        <v>0</v>
      </c>
      <c r="H626" s="125">
        <v>578000</v>
      </c>
      <c r="I626" s="125">
        <v>1600000</v>
      </c>
    </row>
    <row r="627" spans="1:9" s="145" customFormat="1" ht="47.25">
      <c r="A627" s="70" t="s">
        <v>2440</v>
      </c>
      <c r="B627" s="105" t="s">
        <v>6219</v>
      </c>
      <c r="C627" s="72" t="s">
        <v>1548</v>
      </c>
      <c r="D627" s="76"/>
      <c r="E627" s="125">
        <v>0</v>
      </c>
      <c r="F627" s="125">
        <v>206015</v>
      </c>
      <c r="G627" s="125">
        <v>0</v>
      </c>
      <c r="H627" s="125">
        <v>4080000</v>
      </c>
      <c r="I627" s="125">
        <v>3264000</v>
      </c>
    </row>
    <row r="628" spans="1:9" s="145" customFormat="1" ht="47.25">
      <c r="A628" s="70" t="s">
        <v>2441</v>
      </c>
      <c r="B628" s="105" t="s">
        <v>6220</v>
      </c>
      <c r="C628" s="72" t="s">
        <v>1549</v>
      </c>
      <c r="D628" s="76"/>
      <c r="E628" s="125">
        <v>0</v>
      </c>
      <c r="F628" s="125">
        <v>471004</v>
      </c>
      <c r="G628" s="125">
        <v>3374089</v>
      </c>
      <c r="H628" s="125">
        <v>3400000</v>
      </c>
      <c r="I628" s="125">
        <v>2720000</v>
      </c>
    </row>
    <row r="629" spans="1:9" s="145" customFormat="1" ht="31.5">
      <c r="A629" s="70" t="s">
        <v>5189</v>
      </c>
      <c r="B629" s="105" t="s">
        <v>6221</v>
      </c>
      <c r="C629" s="72" t="s">
        <v>5188</v>
      </c>
      <c r="D629" s="76"/>
      <c r="E629" s="125">
        <v>0</v>
      </c>
      <c r="F629" s="125">
        <v>0</v>
      </c>
      <c r="G629" s="125">
        <v>0</v>
      </c>
      <c r="H629" s="125">
        <v>7500000</v>
      </c>
      <c r="I629" s="125">
        <v>1200000</v>
      </c>
    </row>
    <row r="630" spans="1:9" s="145" customFormat="1" ht="31.5">
      <c r="A630" s="70" t="s">
        <v>12650</v>
      </c>
      <c r="B630" s="105"/>
      <c r="C630" s="72" t="s">
        <v>12653</v>
      </c>
      <c r="D630" s="76"/>
      <c r="E630" s="125">
        <v>0</v>
      </c>
      <c r="F630" s="125">
        <v>0</v>
      </c>
      <c r="G630" s="125">
        <v>0</v>
      </c>
      <c r="H630" s="125">
        <v>0</v>
      </c>
      <c r="I630" s="125">
        <v>24000000</v>
      </c>
    </row>
    <row r="631" spans="1:9" s="145" customFormat="1" ht="47.25">
      <c r="A631" s="70" t="s">
        <v>10416</v>
      </c>
      <c r="B631" s="105"/>
      <c r="C631" s="72" t="s">
        <v>12654</v>
      </c>
      <c r="D631" s="76"/>
      <c r="E631" s="125">
        <v>0</v>
      </c>
      <c r="F631" s="125">
        <v>0</v>
      </c>
      <c r="G631" s="125">
        <v>0</v>
      </c>
      <c r="H631" s="125">
        <v>0</v>
      </c>
      <c r="I631" s="125">
        <v>8000000</v>
      </c>
    </row>
    <row r="632" spans="1:9" s="145" customFormat="1" ht="47.25">
      <c r="A632" s="70" t="s">
        <v>10417</v>
      </c>
      <c r="B632" s="105"/>
      <c r="C632" s="72" t="s">
        <v>12655</v>
      </c>
      <c r="D632" s="76"/>
      <c r="E632" s="125">
        <v>0</v>
      </c>
      <c r="F632" s="125">
        <v>0</v>
      </c>
      <c r="G632" s="125">
        <v>0</v>
      </c>
      <c r="H632" s="125">
        <v>0</v>
      </c>
      <c r="I632" s="125">
        <v>4000000</v>
      </c>
    </row>
    <row r="633" spans="1:9" s="145" customFormat="1" ht="47.25">
      <c r="A633" s="70" t="s">
        <v>12651</v>
      </c>
      <c r="B633" s="105"/>
      <c r="C633" s="72" t="s">
        <v>12656</v>
      </c>
      <c r="D633" s="76"/>
      <c r="E633" s="125">
        <v>0</v>
      </c>
      <c r="F633" s="125">
        <v>0</v>
      </c>
      <c r="G633" s="125">
        <v>0</v>
      </c>
      <c r="H633" s="125">
        <v>0</v>
      </c>
      <c r="I633" s="125">
        <v>12000000</v>
      </c>
    </row>
    <row r="634" spans="1:9" s="145" customFormat="1" ht="47.25">
      <c r="A634" s="70" t="s">
        <v>12652</v>
      </c>
      <c r="B634" s="105"/>
      <c r="C634" s="72" t="s">
        <v>12657</v>
      </c>
      <c r="D634" s="76"/>
      <c r="E634" s="125">
        <v>0</v>
      </c>
      <c r="F634" s="125">
        <v>0</v>
      </c>
      <c r="G634" s="125">
        <v>0</v>
      </c>
      <c r="H634" s="125">
        <v>0</v>
      </c>
      <c r="I634" s="125">
        <v>50000000</v>
      </c>
    </row>
    <row r="635" spans="1:9" s="145" customFormat="1" ht="15.75">
      <c r="A635" s="70"/>
      <c r="B635" s="105"/>
      <c r="C635" s="72"/>
      <c r="D635" s="76"/>
      <c r="E635" s="125">
        <v>0</v>
      </c>
      <c r="F635" s="125">
        <v>0</v>
      </c>
      <c r="G635" s="125">
        <v>0</v>
      </c>
      <c r="H635" s="125">
        <v>0</v>
      </c>
      <c r="I635" s="125">
        <v>0</v>
      </c>
    </row>
    <row r="636" spans="1:9" s="145" customFormat="1" ht="15.75">
      <c r="A636" s="70" t="s">
        <v>2397</v>
      </c>
      <c r="B636" s="105" t="s">
        <v>6222</v>
      </c>
      <c r="C636" s="72"/>
      <c r="D636" s="76"/>
      <c r="E636" s="125">
        <v>0</v>
      </c>
      <c r="F636" s="125">
        <v>0</v>
      </c>
      <c r="G636" s="125">
        <v>0</v>
      </c>
      <c r="H636" s="125">
        <v>0</v>
      </c>
      <c r="I636" s="125">
        <v>0</v>
      </c>
    </row>
    <row r="637" spans="1:9" s="145" customFormat="1" ht="15.75">
      <c r="A637" s="70" t="s">
        <v>2148</v>
      </c>
      <c r="B637" s="105" t="s">
        <v>6139</v>
      </c>
      <c r="C637" s="72" t="s">
        <v>1228</v>
      </c>
      <c r="D637" s="76"/>
      <c r="E637" s="125">
        <v>6674364</v>
      </c>
      <c r="F637" s="125">
        <v>7344779</v>
      </c>
      <c r="G637" s="125">
        <v>7682240</v>
      </c>
      <c r="H637" s="125">
        <v>8500000</v>
      </c>
      <c r="I637" s="125">
        <v>15000000</v>
      </c>
    </row>
    <row r="638" spans="1:9" s="145" customFormat="1" ht="15.75">
      <c r="A638" s="70"/>
      <c r="B638" s="105"/>
      <c r="C638" s="72"/>
      <c r="D638" s="76"/>
      <c r="E638" s="125">
        <v>0</v>
      </c>
      <c r="F638" s="125">
        <v>0</v>
      </c>
      <c r="G638" s="125">
        <v>0</v>
      </c>
      <c r="H638" s="125">
        <v>0</v>
      </c>
      <c r="I638" s="125">
        <v>0</v>
      </c>
    </row>
    <row r="639" spans="1:9" s="145" customFormat="1" ht="15.75">
      <c r="A639" s="70" t="s">
        <v>2442</v>
      </c>
      <c r="B639" s="105" t="s">
        <v>6223</v>
      </c>
      <c r="C639" s="72"/>
      <c r="D639" s="76"/>
      <c r="E639" s="125">
        <v>0</v>
      </c>
      <c r="F639" s="125">
        <v>0</v>
      </c>
      <c r="G639" s="125">
        <v>0</v>
      </c>
      <c r="H639" s="125">
        <v>0</v>
      </c>
      <c r="I639" s="125">
        <v>0</v>
      </c>
    </row>
    <row r="640" spans="1:9" s="145" customFormat="1" ht="15.75">
      <c r="A640" s="70" t="s">
        <v>2148</v>
      </c>
      <c r="B640" s="105" t="s">
        <v>6139</v>
      </c>
      <c r="C640" s="72" t="s">
        <v>1229</v>
      </c>
      <c r="D640" s="76"/>
      <c r="E640" s="125">
        <v>3805723</v>
      </c>
      <c r="F640" s="125">
        <v>4631871</v>
      </c>
      <c r="G640" s="125">
        <v>3919912</v>
      </c>
      <c r="H640" s="125">
        <v>5000000</v>
      </c>
      <c r="I640" s="125">
        <v>7500000</v>
      </c>
    </row>
    <row r="641" spans="1:9" s="145" customFormat="1" ht="15.75">
      <c r="A641" s="70" t="s">
        <v>2149</v>
      </c>
      <c r="B641" s="105" t="s">
        <v>5885</v>
      </c>
      <c r="C641" s="72" t="s">
        <v>1201</v>
      </c>
      <c r="D641" s="76"/>
      <c r="E641" s="125">
        <v>73737</v>
      </c>
      <c r="F641" s="125">
        <v>125399</v>
      </c>
      <c r="G641" s="125">
        <v>10974</v>
      </c>
      <c r="H641" s="125">
        <v>120000</v>
      </c>
      <c r="I641" s="125">
        <v>150000</v>
      </c>
    </row>
    <row r="642" spans="1:9" s="145" customFormat="1" ht="15.75">
      <c r="A642" s="156" t="s">
        <v>2443</v>
      </c>
      <c r="B642" s="105" t="s">
        <v>6224</v>
      </c>
      <c r="C642" s="72"/>
      <c r="D642" s="76"/>
      <c r="E642" s="125">
        <v>0</v>
      </c>
      <c r="F642" s="125">
        <v>0</v>
      </c>
      <c r="G642" s="125">
        <v>0</v>
      </c>
      <c r="H642" s="125">
        <v>0</v>
      </c>
      <c r="I642" s="125">
        <v>0</v>
      </c>
    </row>
    <row r="643" spans="1:9" s="145" customFormat="1" ht="31.5">
      <c r="A643" s="70" t="s">
        <v>4744</v>
      </c>
      <c r="B643" s="105" t="s">
        <v>6225</v>
      </c>
      <c r="C643" s="72" t="s">
        <v>1202</v>
      </c>
      <c r="D643" s="76"/>
      <c r="E643" s="125">
        <v>2985714</v>
      </c>
      <c r="F643" s="125">
        <v>2540511</v>
      </c>
      <c r="G643" s="125">
        <v>3995127</v>
      </c>
      <c r="H643" s="125">
        <v>4000000</v>
      </c>
      <c r="I643" s="125">
        <v>5000000</v>
      </c>
    </row>
    <row r="644" spans="1:9" s="145" customFormat="1" ht="31.5">
      <c r="A644" s="70" t="s">
        <v>4745</v>
      </c>
      <c r="B644" s="105" t="s">
        <v>6226</v>
      </c>
      <c r="C644" s="72" t="s">
        <v>1203</v>
      </c>
      <c r="D644" s="76"/>
      <c r="E644" s="125">
        <v>34749232</v>
      </c>
      <c r="F644" s="125">
        <v>45549486</v>
      </c>
      <c r="G644" s="125">
        <v>36000000</v>
      </c>
      <c r="H644" s="125">
        <v>36000000</v>
      </c>
      <c r="I644" s="125">
        <v>50000000</v>
      </c>
    </row>
    <row r="645" spans="1:9" s="145" customFormat="1" ht="15.75">
      <c r="A645" s="70" t="s">
        <v>2444</v>
      </c>
      <c r="B645" s="105" t="s">
        <v>6227</v>
      </c>
      <c r="C645" s="72" t="s">
        <v>1204</v>
      </c>
      <c r="D645" s="76"/>
      <c r="E645" s="125">
        <v>9782591</v>
      </c>
      <c r="F645" s="125">
        <v>10574407</v>
      </c>
      <c r="G645" s="125">
        <v>17726114</v>
      </c>
      <c r="H645" s="125">
        <v>15000000</v>
      </c>
      <c r="I645" s="125">
        <v>20000000</v>
      </c>
    </row>
    <row r="646" spans="1:9" s="145" customFormat="1" ht="15.75">
      <c r="A646" s="70" t="s">
        <v>2445</v>
      </c>
      <c r="B646" s="105" t="s">
        <v>6228</v>
      </c>
      <c r="C646" s="72" t="s">
        <v>1205</v>
      </c>
      <c r="D646" s="76"/>
      <c r="E646" s="125">
        <v>288650043</v>
      </c>
      <c r="F646" s="125">
        <v>229868909</v>
      </c>
      <c r="G646" s="125">
        <v>192746663</v>
      </c>
      <c r="H646" s="125">
        <v>450000000</v>
      </c>
      <c r="I646" s="125">
        <v>250000000</v>
      </c>
    </row>
    <row r="647" spans="1:9" s="145" customFormat="1" ht="15.75">
      <c r="A647" s="70" t="s">
        <v>2446</v>
      </c>
      <c r="B647" s="105" t="s">
        <v>6229</v>
      </c>
      <c r="C647" s="72" t="s">
        <v>1320</v>
      </c>
      <c r="D647" s="76"/>
      <c r="E647" s="125">
        <v>583005</v>
      </c>
      <c r="F647" s="125">
        <v>913685</v>
      </c>
      <c r="G647" s="125">
        <v>2462729</v>
      </c>
      <c r="H647" s="125">
        <v>10000000</v>
      </c>
      <c r="I647" s="125">
        <v>10000000</v>
      </c>
    </row>
    <row r="648" spans="1:9" s="145" customFormat="1" ht="15.75">
      <c r="A648" s="70" t="s">
        <v>2447</v>
      </c>
      <c r="B648" s="105" t="s">
        <v>6230</v>
      </c>
      <c r="C648" s="72" t="s">
        <v>1761</v>
      </c>
      <c r="D648" s="76"/>
      <c r="E648" s="125">
        <v>0</v>
      </c>
      <c r="F648" s="125">
        <v>0</v>
      </c>
      <c r="G648" s="125">
        <v>15997853</v>
      </c>
      <c r="H648" s="125">
        <v>0</v>
      </c>
      <c r="I648" s="125">
        <v>0</v>
      </c>
    </row>
    <row r="649" spans="1:9" s="145" customFormat="1" ht="126">
      <c r="A649" s="70" t="s">
        <v>5206</v>
      </c>
      <c r="B649" s="105" t="s">
        <v>6231</v>
      </c>
      <c r="C649" s="72" t="s">
        <v>5207</v>
      </c>
      <c r="D649" s="76"/>
      <c r="E649" s="125">
        <v>0</v>
      </c>
      <c r="F649" s="125">
        <v>0</v>
      </c>
      <c r="G649" s="125">
        <v>0</v>
      </c>
      <c r="H649" s="125">
        <v>50000000</v>
      </c>
      <c r="I649" s="125">
        <v>50000000</v>
      </c>
    </row>
    <row r="650" spans="1:9" s="145" customFormat="1" ht="60">
      <c r="A650" s="73" t="s">
        <v>2448</v>
      </c>
      <c r="B650" s="105" t="s">
        <v>6232</v>
      </c>
      <c r="C650" s="72" t="s">
        <v>1206</v>
      </c>
      <c r="D650" s="149" t="s">
        <v>1045</v>
      </c>
      <c r="E650" s="125">
        <v>129461686</v>
      </c>
      <c r="F650" s="125">
        <v>181493649</v>
      </c>
      <c r="G650" s="125">
        <v>137844386</v>
      </c>
      <c r="H650" s="125">
        <v>400000000</v>
      </c>
      <c r="I650" s="125">
        <v>250000000</v>
      </c>
    </row>
    <row r="651" spans="1:9" s="145" customFormat="1" ht="31.5">
      <c r="A651" s="70" t="s">
        <v>2449</v>
      </c>
      <c r="B651" s="105" t="s">
        <v>6233</v>
      </c>
      <c r="C651" s="72" t="s">
        <v>1207</v>
      </c>
      <c r="D651" s="76"/>
      <c r="E651" s="125">
        <v>4354100</v>
      </c>
      <c r="F651" s="125">
        <v>3825000</v>
      </c>
      <c r="G651" s="125">
        <v>0</v>
      </c>
      <c r="H651" s="125">
        <v>0</v>
      </c>
      <c r="I651" s="125">
        <v>0</v>
      </c>
    </row>
    <row r="652" spans="1:9" s="145" customFormat="1" ht="15.75">
      <c r="A652" s="70" t="s">
        <v>2450</v>
      </c>
      <c r="B652" s="105" t="s">
        <v>6234</v>
      </c>
      <c r="C652" s="72" t="s">
        <v>1208</v>
      </c>
      <c r="D652" s="153" t="s">
        <v>1781</v>
      </c>
      <c r="E652" s="125">
        <v>12900</v>
      </c>
      <c r="F652" s="125">
        <v>17250</v>
      </c>
      <c r="G652" s="125">
        <v>5500</v>
      </c>
      <c r="H652" s="125">
        <v>20000</v>
      </c>
      <c r="I652" s="125">
        <v>16000</v>
      </c>
    </row>
    <row r="653" spans="1:9" s="145" customFormat="1" ht="31.5">
      <c r="A653" s="70" t="s">
        <v>2451</v>
      </c>
      <c r="B653" s="105" t="s">
        <v>6235</v>
      </c>
      <c r="C653" s="72" t="s">
        <v>1405</v>
      </c>
      <c r="D653" s="76"/>
      <c r="E653" s="125">
        <v>0</v>
      </c>
      <c r="F653" s="125">
        <v>0</v>
      </c>
      <c r="G653" s="125">
        <v>0</v>
      </c>
      <c r="H653" s="125">
        <v>20700000</v>
      </c>
      <c r="I653" s="125">
        <v>16000000</v>
      </c>
    </row>
    <row r="654" spans="1:9" s="145" customFormat="1" ht="31.5">
      <c r="A654" s="70" t="s">
        <v>5242</v>
      </c>
      <c r="B654" s="105" t="s">
        <v>6236</v>
      </c>
      <c r="C654" s="72" t="s">
        <v>5241</v>
      </c>
      <c r="D654" s="76"/>
      <c r="E654" s="125">
        <v>0</v>
      </c>
      <c r="F654" s="125">
        <v>0</v>
      </c>
      <c r="G654" s="125">
        <v>0</v>
      </c>
      <c r="H654" s="125">
        <v>5000000</v>
      </c>
      <c r="I654" s="125">
        <v>0</v>
      </c>
    </row>
    <row r="655" spans="1:9" s="145" customFormat="1" ht="15.75">
      <c r="A655" s="70"/>
      <c r="B655" s="105"/>
      <c r="C655" s="72"/>
      <c r="D655" s="76"/>
      <c r="E655" s="125">
        <v>0</v>
      </c>
      <c r="F655" s="125">
        <v>0</v>
      </c>
      <c r="G655" s="125">
        <v>0</v>
      </c>
      <c r="H655" s="125">
        <v>0</v>
      </c>
      <c r="I655" s="125">
        <v>0</v>
      </c>
    </row>
    <row r="656" spans="1:9" s="145" customFormat="1" ht="15.75">
      <c r="A656" s="88" t="s">
        <v>2452</v>
      </c>
      <c r="B656" s="105" t="s">
        <v>6237</v>
      </c>
      <c r="C656" s="72"/>
      <c r="D656" s="76"/>
      <c r="E656" s="125">
        <v>0</v>
      </c>
      <c r="F656" s="125">
        <v>0</v>
      </c>
      <c r="G656" s="125">
        <v>0</v>
      </c>
      <c r="H656" s="125">
        <v>0</v>
      </c>
      <c r="I656" s="125">
        <v>0</v>
      </c>
    </row>
    <row r="657" spans="1:9" s="145" customFormat="1" ht="15.75">
      <c r="A657" s="70" t="s">
        <v>2148</v>
      </c>
      <c r="B657" s="105" t="s">
        <v>6139</v>
      </c>
      <c r="C657" s="72" t="s">
        <v>1230</v>
      </c>
      <c r="D657" s="76"/>
      <c r="E657" s="125">
        <v>16124213</v>
      </c>
      <c r="F657" s="125">
        <v>17612650</v>
      </c>
      <c r="G657" s="125">
        <v>18483193</v>
      </c>
      <c r="H657" s="125">
        <v>20000000</v>
      </c>
      <c r="I657" s="125">
        <v>30000000</v>
      </c>
    </row>
    <row r="658" spans="1:9" s="145" customFormat="1" ht="15.75">
      <c r="A658" s="70" t="s">
        <v>2149</v>
      </c>
      <c r="B658" s="105" t="s">
        <v>5885</v>
      </c>
      <c r="C658" s="72" t="s">
        <v>1209</v>
      </c>
      <c r="D658" s="76"/>
      <c r="E658" s="125">
        <v>99620</v>
      </c>
      <c r="F658" s="125">
        <v>39525</v>
      </c>
      <c r="G658" s="125">
        <v>0</v>
      </c>
      <c r="H658" s="125">
        <v>80000</v>
      </c>
      <c r="I658" s="125">
        <v>150000</v>
      </c>
    </row>
    <row r="659" spans="1:9" s="145" customFormat="1" ht="15.75">
      <c r="A659" s="70" t="s">
        <v>2453</v>
      </c>
      <c r="B659" s="105" t="s">
        <v>6238</v>
      </c>
      <c r="C659" s="72" t="s">
        <v>1210</v>
      </c>
      <c r="D659" s="76"/>
      <c r="E659" s="125">
        <v>499500</v>
      </c>
      <c r="F659" s="125">
        <v>402650</v>
      </c>
      <c r="G659" s="125">
        <v>339250</v>
      </c>
      <c r="H659" s="125">
        <v>350000</v>
      </c>
      <c r="I659" s="125">
        <v>400000</v>
      </c>
    </row>
    <row r="660" spans="1:9" s="145" customFormat="1" ht="31.5">
      <c r="A660" s="70" t="s">
        <v>2873</v>
      </c>
      <c r="B660" s="105" t="s">
        <v>6239</v>
      </c>
      <c r="C660" s="72" t="s">
        <v>1211</v>
      </c>
      <c r="D660" s="76"/>
      <c r="E660" s="125">
        <v>699980</v>
      </c>
      <c r="F660" s="125">
        <v>850000</v>
      </c>
      <c r="G660" s="125">
        <v>800000</v>
      </c>
      <c r="H660" s="125">
        <v>1200000</v>
      </c>
      <c r="I660" s="125">
        <v>1500000</v>
      </c>
    </row>
    <row r="661" spans="1:9" s="145" customFormat="1" ht="31.5">
      <c r="A661" s="70" t="s">
        <v>2454</v>
      </c>
      <c r="B661" s="105" t="s">
        <v>6240</v>
      </c>
      <c r="C661" s="72" t="s">
        <v>1212</v>
      </c>
      <c r="D661" s="76"/>
      <c r="E661" s="125">
        <v>3974011</v>
      </c>
      <c r="F661" s="125">
        <v>4250000</v>
      </c>
      <c r="G661" s="125">
        <v>3742650</v>
      </c>
      <c r="H661" s="125">
        <v>4000000</v>
      </c>
      <c r="I661" s="125">
        <v>3200000</v>
      </c>
    </row>
    <row r="662" spans="1:9" s="145" customFormat="1" ht="15.75">
      <c r="A662" s="70"/>
      <c r="B662" s="105"/>
      <c r="C662" s="72"/>
      <c r="D662" s="76"/>
      <c r="E662" s="125">
        <v>0</v>
      </c>
      <c r="F662" s="125">
        <v>0</v>
      </c>
      <c r="G662" s="125">
        <v>0</v>
      </c>
      <c r="H662" s="125">
        <v>0</v>
      </c>
      <c r="I662" s="125">
        <v>0</v>
      </c>
    </row>
    <row r="663" spans="1:9" s="145" customFormat="1" ht="31.5">
      <c r="A663" s="70" t="s">
        <v>2455</v>
      </c>
      <c r="B663" s="105" t="s">
        <v>6241</v>
      </c>
      <c r="C663" s="72" t="s">
        <v>1213</v>
      </c>
      <c r="D663" s="76"/>
      <c r="E663" s="125">
        <v>0</v>
      </c>
      <c r="F663" s="125">
        <v>0</v>
      </c>
      <c r="G663" s="125">
        <v>1360000</v>
      </c>
      <c r="H663" s="125">
        <v>1300000</v>
      </c>
      <c r="I663" s="125">
        <v>1040000</v>
      </c>
    </row>
    <row r="664" spans="1:9" s="145" customFormat="1" ht="31.5">
      <c r="A664" s="70" t="s">
        <v>2456</v>
      </c>
      <c r="B664" s="105" t="s">
        <v>6242</v>
      </c>
      <c r="C664" s="72" t="s">
        <v>1214</v>
      </c>
      <c r="D664" s="76"/>
      <c r="E664" s="125">
        <v>450000</v>
      </c>
      <c r="F664" s="125">
        <v>1599000</v>
      </c>
      <c r="G664" s="125">
        <v>1315420</v>
      </c>
      <c r="H664" s="125">
        <v>1000000</v>
      </c>
      <c r="I664" s="125">
        <v>800000</v>
      </c>
    </row>
    <row r="665" spans="1:9" s="145" customFormat="1" ht="47.25">
      <c r="A665" s="70" t="s">
        <v>10415</v>
      </c>
      <c r="B665" s="105"/>
      <c r="C665" s="72" t="s">
        <v>12658</v>
      </c>
      <c r="D665" s="76"/>
      <c r="E665" s="125">
        <v>0</v>
      </c>
      <c r="F665" s="125">
        <v>0</v>
      </c>
      <c r="G665" s="125">
        <v>0</v>
      </c>
      <c r="H665" s="125">
        <v>0</v>
      </c>
      <c r="I665" s="125">
        <v>1600000</v>
      </c>
    </row>
    <row r="666" spans="1:9" s="145" customFormat="1" ht="47.25">
      <c r="A666" s="70" t="s">
        <v>10441</v>
      </c>
      <c r="B666" s="105" t="s">
        <v>6243</v>
      </c>
      <c r="C666" s="72" t="s">
        <v>4673</v>
      </c>
      <c r="D666" s="76"/>
      <c r="E666" s="125">
        <v>63303865</v>
      </c>
      <c r="F666" s="125">
        <v>54865243</v>
      </c>
      <c r="G666" s="125">
        <v>40554918</v>
      </c>
      <c r="H666" s="125">
        <v>35000000</v>
      </c>
      <c r="I666" s="125">
        <v>35000000</v>
      </c>
    </row>
    <row r="667" spans="1:9" s="145" customFormat="1" ht="30">
      <c r="A667" s="73" t="s">
        <v>2462</v>
      </c>
      <c r="B667" s="105" t="s">
        <v>6244</v>
      </c>
      <c r="C667" s="72" t="s">
        <v>1406</v>
      </c>
      <c r="D667" s="76"/>
      <c r="E667" s="125">
        <v>1500000</v>
      </c>
      <c r="F667" s="125">
        <v>1047552</v>
      </c>
      <c r="G667" s="125">
        <v>0</v>
      </c>
      <c r="H667" s="125">
        <v>1000000</v>
      </c>
      <c r="I667" s="125">
        <v>2000000</v>
      </c>
    </row>
    <row r="668" spans="1:9" s="145" customFormat="1" ht="31.5">
      <c r="A668" s="70" t="s">
        <v>2463</v>
      </c>
      <c r="B668" s="105" t="s">
        <v>6245</v>
      </c>
      <c r="C668" s="72" t="s">
        <v>1407</v>
      </c>
      <c r="D668" s="76"/>
      <c r="E668" s="125">
        <v>5698352</v>
      </c>
      <c r="F668" s="125">
        <v>5750000</v>
      </c>
      <c r="G668" s="125">
        <v>2720000</v>
      </c>
      <c r="H668" s="125">
        <v>18500000</v>
      </c>
      <c r="I668" s="125">
        <v>12000000</v>
      </c>
    </row>
    <row r="669" spans="1:9" s="145" customFormat="1" ht="15.75">
      <c r="A669" s="70" t="s">
        <v>2464</v>
      </c>
      <c r="B669" s="105" t="s">
        <v>6246</v>
      </c>
      <c r="C669" s="72" t="s">
        <v>1550</v>
      </c>
      <c r="D669" s="76"/>
      <c r="E669" s="125">
        <v>0</v>
      </c>
      <c r="F669" s="125">
        <v>4193597</v>
      </c>
      <c r="G669" s="125">
        <v>6320190</v>
      </c>
      <c r="H669" s="125">
        <v>7500000</v>
      </c>
      <c r="I669" s="125">
        <v>8000000</v>
      </c>
    </row>
    <row r="670" spans="1:9" s="145" customFormat="1" ht="31.5">
      <c r="A670" s="70" t="s">
        <v>2465</v>
      </c>
      <c r="B670" s="105" t="s">
        <v>6247</v>
      </c>
      <c r="C670" s="72" t="s">
        <v>1654</v>
      </c>
      <c r="D670" s="76"/>
      <c r="E670" s="125">
        <v>0</v>
      </c>
      <c r="F670" s="125">
        <v>720000</v>
      </c>
      <c r="G670" s="125">
        <v>1510203</v>
      </c>
      <c r="H670" s="125">
        <v>3400000</v>
      </c>
      <c r="I670" s="125">
        <v>2720000</v>
      </c>
    </row>
    <row r="671" spans="1:9" s="145" customFormat="1" ht="15.75">
      <c r="A671" s="70" t="s">
        <v>2466</v>
      </c>
      <c r="B671" s="105" t="s">
        <v>6248</v>
      </c>
      <c r="C671" s="72" t="s">
        <v>1655</v>
      </c>
      <c r="D671" s="76"/>
      <c r="E671" s="125">
        <v>0</v>
      </c>
      <c r="F671" s="125">
        <v>0</v>
      </c>
      <c r="G671" s="125">
        <v>0</v>
      </c>
      <c r="H671" s="125">
        <v>2000000</v>
      </c>
      <c r="I671" s="125">
        <v>0</v>
      </c>
    </row>
    <row r="672" spans="1:9" s="145" customFormat="1" ht="63">
      <c r="A672" s="70" t="s">
        <v>2467</v>
      </c>
      <c r="B672" s="105" t="s">
        <v>6249</v>
      </c>
      <c r="C672" s="72" t="s">
        <v>1788</v>
      </c>
      <c r="D672" s="76"/>
      <c r="E672" s="125">
        <v>0</v>
      </c>
      <c r="F672" s="125">
        <v>0</v>
      </c>
      <c r="G672" s="125">
        <v>0</v>
      </c>
      <c r="H672" s="125">
        <v>10000000</v>
      </c>
      <c r="I672" s="125">
        <v>0</v>
      </c>
    </row>
    <row r="673" spans="1:9" s="145" customFormat="1" ht="63">
      <c r="A673" s="70" t="s">
        <v>2468</v>
      </c>
      <c r="B673" s="105" t="s">
        <v>6250</v>
      </c>
      <c r="C673" s="72" t="s">
        <v>1789</v>
      </c>
      <c r="D673" s="76"/>
      <c r="E673" s="125">
        <v>0</v>
      </c>
      <c r="F673" s="125">
        <v>0</v>
      </c>
      <c r="G673" s="125">
        <v>3020700</v>
      </c>
      <c r="H673" s="125">
        <v>30000000</v>
      </c>
      <c r="I673" s="125">
        <v>24000000</v>
      </c>
    </row>
    <row r="674" spans="1:9" s="145" customFormat="1" ht="47.25">
      <c r="A674" s="70" t="s">
        <v>2914</v>
      </c>
      <c r="B674" s="105" t="s">
        <v>6251</v>
      </c>
      <c r="C674" s="72" t="s">
        <v>1790</v>
      </c>
      <c r="D674" s="76"/>
      <c r="E674" s="125">
        <v>0</v>
      </c>
      <c r="F674" s="125">
        <v>0</v>
      </c>
      <c r="G674" s="125">
        <v>0</v>
      </c>
      <c r="H674" s="125">
        <v>1000000</v>
      </c>
      <c r="I674" s="125">
        <v>1000000</v>
      </c>
    </row>
    <row r="675" spans="1:9" s="145" customFormat="1" ht="31.5">
      <c r="A675" s="70" t="s">
        <v>4650</v>
      </c>
      <c r="B675" s="105" t="s">
        <v>6252</v>
      </c>
      <c r="C675" s="72" t="s">
        <v>4827</v>
      </c>
      <c r="D675" s="76"/>
      <c r="E675" s="125">
        <v>0</v>
      </c>
      <c r="F675" s="125">
        <v>0</v>
      </c>
      <c r="G675" s="125">
        <v>0</v>
      </c>
      <c r="H675" s="125">
        <v>1000000</v>
      </c>
      <c r="I675" s="125">
        <v>800000</v>
      </c>
    </row>
    <row r="676" spans="1:9" s="145" customFormat="1" ht="31.5">
      <c r="A676" s="70" t="s">
        <v>3679</v>
      </c>
      <c r="B676" s="105" t="s">
        <v>6253</v>
      </c>
      <c r="C676" s="72" t="s">
        <v>4828</v>
      </c>
      <c r="D676" s="76"/>
      <c r="E676" s="125">
        <v>0</v>
      </c>
      <c r="F676" s="125">
        <v>0</v>
      </c>
      <c r="G676" s="125">
        <v>0</v>
      </c>
      <c r="H676" s="125">
        <v>2500000</v>
      </c>
      <c r="I676" s="125">
        <v>4000000</v>
      </c>
    </row>
    <row r="677" spans="1:9" s="145" customFormat="1" ht="47.25">
      <c r="A677" s="70" t="s">
        <v>3680</v>
      </c>
      <c r="B677" s="105" t="s">
        <v>6254</v>
      </c>
      <c r="C677" s="72" t="s">
        <v>4829</v>
      </c>
      <c r="D677" s="76"/>
      <c r="E677" s="125">
        <v>0</v>
      </c>
      <c r="F677" s="125">
        <v>0</v>
      </c>
      <c r="G677" s="125">
        <v>0</v>
      </c>
      <c r="H677" s="125">
        <v>5000000</v>
      </c>
      <c r="I677" s="125">
        <v>4000000</v>
      </c>
    </row>
    <row r="678" spans="1:9" s="145" customFormat="1" ht="47.25">
      <c r="A678" s="70" t="s">
        <v>3681</v>
      </c>
      <c r="B678" s="105" t="s">
        <v>6255</v>
      </c>
      <c r="C678" s="72" t="s">
        <v>4830</v>
      </c>
      <c r="D678" s="76"/>
      <c r="E678" s="125">
        <v>0</v>
      </c>
      <c r="F678" s="125">
        <v>0</v>
      </c>
      <c r="G678" s="125">
        <v>0</v>
      </c>
      <c r="H678" s="125">
        <v>1000000</v>
      </c>
      <c r="I678" s="125">
        <v>800000</v>
      </c>
    </row>
    <row r="679" spans="1:9" s="145" customFormat="1" ht="47.25">
      <c r="A679" s="70" t="s">
        <v>5122</v>
      </c>
      <c r="B679" s="105" t="s">
        <v>6256</v>
      </c>
      <c r="C679" s="72" t="s">
        <v>4831</v>
      </c>
      <c r="D679" s="76"/>
      <c r="E679" s="125">
        <v>0</v>
      </c>
      <c r="F679" s="125">
        <v>0</v>
      </c>
      <c r="G679" s="125">
        <v>0</v>
      </c>
      <c r="H679" s="125">
        <v>100000</v>
      </c>
      <c r="I679" s="125">
        <v>80000</v>
      </c>
    </row>
    <row r="680" spans="1:9" s="145" customFormat="1" ht="31.5">
      <c r="A680" s="70" t="s">
        <v>3652</v>
      </c>
      <c r="B680" s="105" t="s">
        <v>6257</v>
      </c>
      <c r="C680" s="72" t="s">
        <v>4832</v>
      </c>
      <c r="D680" s="76"/>
      <c r="E680" s="125">
        <v>0</v>
      </c>
      <c r="F680" s="125">
        <v>0</v>
      </c>
      <c r="G680" s="125">
        <v>0</v>
      </c>
      <c r="H680" s="125">
        <v>15000000</v>
      </c>
      <c r="I680" s="125">
        <v>16000000</v>
      </c>
    </row>
    <row r="681" spans="1:9" s="145" customFormat="1" ht="15.75">
      <c r="A681" s="70" t="s">
        <v>3682</v>
      </c>
      <c r="B681" s="105" t="s">
        <v>6258</v>
      </c>
      <c r="C681" s="72" t="s">
        <v>4833</v>
      </c>
      <c r="D681" s="76"/>
      <c r="E681" s="125">
        <v>0</v>
      </c>
      <c r="F681" s="125">
        <v>0</v>
      </c>
      <c r="G681" s="125">
        <v>0</v>
      </c>
      <c r="H681" s="125">
        <v>100000</v>
      </c>
      <c r="I681" s="125">
        <v>0</v>
      </c>
    </row>
    <row r="682" spans="1:9" s="145" customFormat="1" ht="15.75">
      <c r="A682" s="70"/>
      <c r="B682" s="105"/>
      <c r="C682" s="72"/>
      <c r="D682" s="76"/>
      <c r="E682" s="125">
        <v>0</v>
      </c>
      <c r="F682" s="125">
        <v>0</v>
      </c>
      <c r="G682" s="125">
        <v>0</v>
      </c>
      <c r="H682" s="125">
        <v>0</v>
      </c>
      <c r="I682" s="125">
        <v>0</v>
      </c>
    </row>
    <row r="683" spans="1:9" s="145" customFormat="1" ht="15.75">
      <c r="A683" s="70" t="s">
        <v>2469</v>
      </c>
      <c r="B683" s="105" t="s">
        <v>6259</v>
      </c>
      <c r="C683" s="72"/>
      <c r="D683" s="76"/>
      <c r="E683" s="125">
        <v>0</v>
      </c>
      <c r="F683" s="125">
        <v>0</v>
      </c>
      <c r="G683" s="125">
        <v>0</v>
      </c>
      <c r="H683" s="125">
        <v>0</v>
      </c>
      <c r="I683" s="125">
        <v>0</v>
      </c>
    </row>
    <row r="684" spans="1:9" s="145" customFormat="1" ht="15.75">
      <c r="A684" s="70" t="s">
        <v>2382</v>
      </c>
      <c r="B684" s="105" t="s">
        <v>6139</v>
      </c>
      <c r="C684" s="72" t="s">
        <v>1215</v>
      </c>
      <c r="D684" s="76"/>
      <c r="E684" s="125">
        <v>46604042</v>
      </c>
      <c r="F684" s="125">
        <v>46818198</v>
      </c>
      <c r="G684" s="125">
        <v>55131952</v>
      </c>
      <c r="H684" s="125">
        <v>57500000</v>
      </c>
      <c r="I684" s="125">
        <v>70000000</v>
      </c>
    </row>
    <row r="685" spans="1:9" s="145" customFormat="1" ht="15.75">
      <c r="A685" s="70"/>
      <c r="B685" s="105"/>
      <c r="C685" s="72"/>
      <c r="D685" s="76"/>
      <c r="E685" s="125">
        <v>0</v>
      </c>
      <c r="F685" s="125">
        <v>0</v>
      </c>
      <c r="G685" s="125">
        <v>0</v>
      </c>
      <c r="H685" s="125">
        <v>0</v>
      </c>
      <c r="I685" s="125">
        <v>0</v>
      </c>
    </row>
    <row r="686" spans="1:9" s="145" customFormat="1" ht="15.75">
      <c r="A686" s="77" t="s">
        <v>2470</v>
      </c>
      <c r="B686" s="136" t="s">
        <v>6260</v>
      </c>
      <c r="C686" s="72"/>
      <c r="D686" s="76"/>
      <c r="E686" s="125">
        <v>1465253603</v>
      </c>
      <c r="F686" s="125">
        <v>1562907981</v>
      </c>
      <c r="G686" s="125">
        <v>1531098693</v>
      </c>
      <c r="H686" s="125">
        <v>2385638000</v>
      </c>
      <c r="I686" s="125">
        <v>2255760000</v>
      </c>
    </row>
    <row r="687" spans="1:9" s="145" customFormat="1" ht="15.75">
      <c r="A687" s="70"/>
      <c r="B687" s="105"/>
      <c r="C687" s="72"/>
      <c r="D687" s="76"/>
      <c r="E687" s="125">
        <v>0</v>
      </c>
      <c r="F687" s="125">
        <v>0</v>
      </c>
      <c r="G687" s="125">
        <v>0</v>
      </c>
      <c r="H687" s="125">
        <v>0</v>
      </c>
      <c r="I687" s="125">
        <v>0</v>
      </c>
    </row>
    <row r="688" spans="1:9" s="145" customFormat="1" ht="31.5">
      <c r="A688" s="77" t="s">
        <v>2471</v>
      </c>
      <c r="B688" s="136" t="s">
        <v>6261</v>
      </c>
      <c r="C688" s="72"/>
      <c r="D688" s="76"/>
      <c r="E688" s="125">
        <v>1551013202</v>
      </c>
      <c r="F688" s="125">
        <v>1643599760</v>
      </c>
      <c r="G688" s="125">
        <v>1612147486</v>
      </c>
      <c r="H688" s="125">
        <v>2492187000</v>
      </c>
      <c r="I688" s="125">
        <v>2387869200</v>
      </c>
    </row>
    <row r="689" spans="1:9" s="145" customFormat="1" ht="15.75">
      <c r="A689" s="70"/>
      <c r="B689" s="105"/>
      <c r="C689" s="72"/>
      <c r="D689" s="76"/>
      <c r="E689" s="125">
        <v>0</v>
      </c>
      <c r="F689" s="125">
        <v>0</v>
      </c>
      <c r="G689" s="125">
        <v>0</v>
      </c>
      <c r="H689" s="125">
        <v>0</v>
      </c>
      <c r="I689" s="125">
        <v>0</v>
      </c>
    </row>
    <row r="690" spans="1:9" s="145" customFormat="1" ht="15.75">
      <c r="A690" s="88" t="s">
        <v>2472</v>
      </c>
      <c r="B690" s="105" t="s">
        <v>6262</v>
      </c>
      <c r="C690" s="72"/>
      <c r="D690" s="76"/>
      <c r="E690" s="125">
        <v>0</v>
      </c>
      <c r="F690" s="125">
        <v>0</v>
      </c>
      <c r="G690" s="125">
        <v>0</v>
      </c>
      <c r="H690" s="125">
        <v>0</v>
      </c>
      <c r="I690" s="125">
        <v>0</v>
      </c>
    </row>
    <row r="691" spans="1:9" s="145" customFormat="1" ht="15.75">
      <c r="A691" s="70" t="s">
        <v>2473</v>
      </c>
      <c r="B691" s="105" t="s">
        <v>6263</v>
      </c>
      <c r="C691" s="72"/>
      <c r="D691" s="76"/>
      <c r="E691" s="125">
        <v>0</v>
      </c>
      <c r="F691" s="125">
        <v>0</v>
      </c>
      <c r="G691" s="125">
        <v>0</v>
      </c>
      <c r="H691" s="125">
        <v>0</v>
      </c>
      <c r="I691" s="125">
        <v>0</v>
      </c>
    </row>
    <row r="692" spans="1:9" s="145" customFormat="1" ht="15.75">
      <c r="A692" s="70" t="s">
        <v>2148</v>
      </c>
      <c r="B692" s="105" t="s">
        <v>6139</v>
      </c>
      <c r="C692" s="72" t="s">
        <v>269</v>
      </c>
      <c r="D692" s="76"/>
      <c r="E692" s="125">
        <v>87491637</v>
      </c>
      <c r="F692" s="125">
        <v>97335441</v>
      </c>
      <c r="G692" s="125">
        <v>104925030</v>
      </c>
      <c r="H692" s="125">
        <v>110000000</v>
      </c>
      <c r="I692" s="125">
        <v>130000000</v>
      </c>
    </row>
    <row r="693" spans="1:9" s="145" customFormat="1" ht="15.75">
      <c r="A693" s="70" t="s">
        <v>2149</v>
      </c>
      <c r="B693" s="105" t="s">
        <v>5885</v>
      </c>
      <c r="C693" s="72" t="s">
        <v>270</v>
      </c>
      <c r="D693" s="76"/>
      <c r="E693" s="125">
        <v>2592108</v>
      </c>
      <c r="F693" s="125">
        <v>2209994</v>
      </c>
      <c r="G693" s="125">
        <v>1396069</v>
      </c>
      <c r="H693" s="125">
        <v>2400000</v>
      </c>
      <c r="I693" s="125">
        <v>2500000</v>
      </c>
    </row>
    <row r="694" spans="1:9" s="145" customFormat="1" ht="15.75">
      <c r="A694" s="70" t="s">
        <v>2474</v>
      </c>
      <c r="B694" s="105" t="s">
        <v>6264</v>
      </c>
      <c r="C694" s="72" t="s">
        <v>271</v>
      </c>
      <c r="D694" s="76"/>
      <c r="E694" s="125">
        <v>11044773</v>
      </c>
      <c r="F694" s="125">
        <v>6268737</v>
      </c>
      <c r="G694" s="125">
        <v>4005993</v>
      </c>
      <c r="H694" s="125">
        <v>2000000</v>
      </c>
      <c r="I694" s="125">
        <v>24000000</v>
      </c>
    </row>
    <row r="695" spans="1:9" s="145" customFormat="1" ht="31.5">
      <c r="A695" s="70" t="s">
        <v>2475</v>
      </c>
      <c r="B695" s="105" t="s">
        <v>6265</v>
      </c>
      <c r="C695" s="72" t="s">
        <v>272</v>
      </c>
      <c r="D695" s="76"/>
      <c r="E695" s="125">
        <v>610175</v>
      </c>
      <c r="F695" s="125">
        <v>27451</v>
      </c>
      <c r="G695" s="125">
        <v>0</v>
      </c>
      <c r="H695" s="125">
        <v>638112</v>
      </c>
      <c r="I695" s="125">
        <v>560000</v>
      </c>
    </row>
    <row r="696" spans="1:9" s="145" customFormat="1" ht="31.5">
      <c r="A696" s="70" t="s">
        <v>2476</v>
      </c>
      <c r="B696" s="105" t="s">
        <v>6266</v>
      </c>
      <c r="C696" s="72" t="s">
        <v>273</v>
      </c>
      <c r="D696" s="76" t="s">
        <v>1046</v>
      </c>
      <c r="E696" s="125">
        <v>545890</v>
      </c>
      <c r="F696" s="125">
        <v>586440</v>
      </c>
      <c r="G696" s="125">
        <v>490020</v>
      </c>
      <c r="H696" s="125">
        <v>816000</v>
      </c>
      <c r="I696" s="125">
        <v>720000</v>
      </c>
    </row>
    <row r="697" spans="1:9" s="145" customFormat="1" ht="31.5">
      <c r="A697" s="70" t="s">
        <v>2477</v>
      </c>
      <c r="B697" s="105" t="s">
        <v>6267</v>
      </c>
      <c r="C697" s="72" t="s">
        <v>256</v>
      </c>
      <c r="D697" s="76"/>
      <c r="E697" s="125">
        <v>2928357</v>
      </c>
      <c r="F697" s="125">
        <v>2500983</v>
      </c>
      <c r="G697" s="125">
        <v>14547221</v>
      </c>
      <c r="H697" s="125">
        <v>0</v>
      </c>
      <c r="I697" s="125">
        <v>0</v>
      </c>
    </row>
    <row r="698" spans="1:9" s="145" customFormat="1" ht="31.5">
      <c r="A698" s="70" t="s">
        <v>2478</v>
      </c>
      <c r="B698" s="105" t="s">
        <v>6268</v>
      </c>
      <c r="C698" s="72" t="s">
        <v>389</v>
      </c>
      <c r="D698" s="76"/>
      <c r="E698" s="125">
        <v>2069835</v>
      </c>
      <c r="F698" s="125">
        <v>2700926</v>
      </c>
      <c r="G698" s="125">
        <v>2064298</v>
      </c>
      <c r="H698" s="125">
        <v>5000000</v>
      </c>
      <c r="I698" s="125">
        <v>4400000</v>
      </c>
    </row>
    <row r="699" spans="1:9" s="145" customFormat="1" ht="15.75">
      <c r="A699" s="70" t="s">
        <v>5123</v>
      </c>
      <c r="B699" s="105" t="s">
        <v>6269</v>
      </c>
      <c r="C699" s="72" t="s">
        <v>390</v>
      </c>
      <c r="D699" s="76"/>
      <c r="E699" s="125">
        <v>1982595</v>
      </c>
      <c r="F699" s="125">
        <v>0</v>
      </c>
      <c r="G699" s="125">
        <v>852459</v>
      </c>
      <c r="H699" s="125">
        <v>4500000</v>
      </c>
      <c r="I699" s="125">
        <v>4000000</v>
      </c>
    </row>
    <row r="700" spans="1:9" s="145" customFormat="1" ht="15.75">
      <c r="A700" s="70" t="s">
        <v>2479</v>
      </c>
      <c r="B700" s="105" t="s">
        <v>6270</v>
      </c>
      <c r="C700" s="72" t="s">
        <v>391</v>
      </c>
      <c r="D700" s="76"/>
      <c r="E700" s="125">
        <v>3594059</v>
      </c>
      <c r="F700" s="125">
        <v>950081</v>
      </c>
      <c r="G700" s="125">
        <v>709573</v>
      </c>
      <c r="H700" s="125">
        <v>0</v>
      </c>
      <c r="I700" s="125">
        <v>0</v>
      </c>
    </row>
    <row r="701" spans="1:9" s="145" customFormat="1" ht="31.5">
      <c r="A701" s="70" t="s">
        <v>2480</v>
      </c>
      <c r="B701" s="105" t="s">
        <v>6271</v>
      </c>
      <c r="C701" s="72" t="s">
        <v>392</v>
      </c>
      <c r="D701" s="76"/>
      <c r="E701" s="125">
        <v>9999999</v>
      </c>
      <c r="F701" s="125">
        <v>0</v>
      </c>
      <c r="G701" s="125">
        <v>65940</v>
      </c>
      <c r="H701" s="125">
        <v>2500000</v>
      </c>
      <c r="I701" s="125">
        <v>2200000</v>
      </c>
    </row>
    <row r="702" spans="1:9" s="145" customFormat="1" ht="31.5">
      <c r="A702" s="70" t="s">
        <v>2481</v>
      </c>
      <c r="B702" s="105" t="s">
        <v>6272</v>
      </c>
      <c r="C702" s="72" t="s">
        <v>12</v>
      </c>
      <c r="D702" s="76"/>
      <c r="E702" s="125">
        <v>4501129</v>
      </c>
      <c r="F702" s="125">
        <v>3057844</v>
      </c>
      <c r="G702" s="125">
        <v>2652006</v>
      </c>
      <c r="H702" s="125">
        <v>4000000</v>
      </c>
      <c r="I702" s="125">
        <v>1200000</v>
      </c>
    </row>
    <row r="703" spans="1:9" s="145" customFormat="1" ht="63">
      <c r="A703" s="70" t="s">
        <v>2482</v>
      </c>
      <c r="B703" s="105" t="s">
        <v>6273</v>
      </c>
      <c r="C703" s="72" t="s">
        <v>13</v>
      </c>
      <c r="D703" s="76"/>
      <c r="E703" s="125">
        <v>32726079</v>
      </c>
      <c r="F703" s="125">
        <v>25136850</v>
      </c>
      <c r="G703" s="125">
        <v>35272543</v>
      </c>
      <c r="H703" s="125">
        <v>0</v>
      </c>
      <c r="I703" s="125">
        <v>0</v>
      </c>
    </row>
    <row r="704" spans="1:9" s="145" customFormat="1" ht="47.25">
      <c r="A704" s="70" t="s">
        <v>2915</v>
      </c>
      <c r="B704" s="105" t="s">
        <v>6274</v>
      </c>
      <c r="C704" s="72" t="s">
        <v>1408</v>
      </c>
      <c r="D704" s="76"/>
      <c r="E704" s="125">
        <v>18667239</v>
      </c>
      <c r="F704" s="125">
        <v>11813643</v>
      </c>
      <c r="G704" s="125">
        <v>12600000</v>
      </c>
      <c r="H704" s="125">
        <v>0</v>
      </c>
      <c r="I704" s="125">
        <v>0</v>
      </c>
    </row>
    <row r="705" spans="1:9" s="145" customFormat="1" ht="31.5">
      <c r="A705" s="70" t="s">
        <v>2483</v>
      </c>
      <c r="B705" s="105" t="s">
        <v>6275</v>
      </c>
      <c r="C705" s="72" t="s">
        <v>14</v>
      </c>
      <c r="D705" s="76"/>
      <c r="E705" s="125">
        <v>7987238</v>
      </c>
      <c r="F705" s="125">
        <v>13975212</v>
      </c>
      <c r="G705" s="125">
        <v>25382021</v>
      </c>
      <c r="H705" s="125">
        <v>0</v>
      </c>
      <c r="I705" s="125">
        <v>0</v>
      </c>
    </row>
    <row r="706" spans="1:9" s="145" customFormat="1" ht="31.5">
      <c r="A706" s="70" t="s">
        <v>2916</v>
      </c>
      <c r="B706" s="105" t="s">
        <v>6276</v>
      </c>
      <c r="C706" s="72" t="s">
        <v>15</v>
      </c>
      <c r="D706" s="76"/>
      <c r="E706" s="125">
        <v>1196356</v>
      </c>
      <c r="F706" s="125">
        <v>934670</v>
      </c>
      <c r="G706" s="125">
        <v>999970</v>
      </c>
      <c r="H706" s="125">
        <v>5000000</v>
      </c>
      <c r="I706" s="125">
        <v>5000000</v>
      </c>
    </row>
    <row r="707" spans="1:9" s="145" customFormat="1" ht="31.5">
      <c r="A707" s="70" t="s">
        <v>2484</v>
      </c>
      <c r="B707" s="105" t="s">
        <v>6277</v>
      </c>
      <c r="C707" s="72" t="s">
        <v>1231</v>
      </c>
      <c r="D707" s="76"/>
      <c r="E707" s="125">
        <v>374123</v>
      </c>
      <c r="F707" s="125">
        <v>308729</v>
      </c>
      <c r="G707" s="125">
        <v>89831</v>
      </c>
      <c r="H707" s="125">
        <v>0</v>
      </c>
      <c r="I707" s="125">
        <v>0</v>
      </c>
    </row>
    <row r="708" spans="1:9" s="145" customFormat="1" ht="31.5">
      <c r="A708" s="70" t="s">
        <v>2485</v>
      </c>
      <c r="B708" s="105" t="s">
        <v>6278</v>
      </c>
      <c r="C708" s="72" t="s">
        <v>1232</v>
      </c>
      <c r="D708" s="76"/>
      <c r="E708" s="125">
        <v>39899999</v>
      </c>
      <c r="F708" s="125">
        <v>14200383</v>
      </c>
      <c r="G708" s="125">
        <v>70673012</v>
      </c>
      <c r="H708" s="125">
        <v>100000000</v>
      </c>
      <c r="I708" s="125">
        <v>8000000</v>
      </c>
    </row>
    <row r="709" spans="1:9" s="145" customFormat="1" ht="31.5">
      <c r="A709" s="70" t="s">
        <v>8790</v>
      </c>
      <c r="B709" s="105" t="s">
        <v>6279</v>
      </c>
      <c r="C709" s="72" t="s">
        <v>1305</v>
      </c>
      <c r="D709" s="76"/>
      <c r="E709" s="125">
        <v>1579776</v>
      </c>
      <c r="F709" s="125">
        <v>1014625</v>
      </c>
      <c r="G709" s="125">
        <v>1625214</v>
      </c>
      <c r="H709" s="125">
        <v>2000000</v>
      </c>
      <c r="I709" s="125">
        <v>1600000</v>
      </c>
    </row>
    <row r="710" spans="1:9" s="145" customFormat="1" ht="47.25">
      <c r="A710" s="70" t="s">
        <v>9095</v>
      </c>
      <c r="B710" s="105"/>
      <c r="C710" s="72" t="s">
        <v>8789</v>
      </c>
      <c r="D710" s="76"/>
      <c r="E710" s="125">
        <v>0</v>
      </c>
      <c r="F710" s="125">
        <v>0</v>
      </c>
      <c r="G710" s="125">
        <v>0</v>
      </c>
      <c r="H710" s="125">
        <v>0</v>
      </c>
      <c r="I710" s="125">
        <v>8000000</v>
      </c>
    </row>
    <row r="711" spans="1:9" s="145" customFormat="1" ht="47.25">
      <c r="A711" s="70" t="s">
        <v>2486</v>
      </c>
      <c r="B711" s="105" t="s">
        <v>6280</v>
      </c>
      <c r="C711" s="72" t="s">
        <v>1306</v>
      </c>
      <c r="D711" s="76"/>
      <c r="E711" s="125">
        <v>2970976</v>
      </c>
      <c r="F711" s="125">
        <v>2263636</v>
      </c>
      <c r="G711" s="125">
        <v>5100000</v>
      </c>
      <c r="H711" s="125">
        <v>0</v>
      </c>
      <c r="I711" s="125">
        <v>0</v>
      </c>
    </row>
    <row r="712" spans="1:9" s="145" customFormat="1" ht="30">
      <c r="A712" s="73" t="s">
        <v>2487</v>
      </c>
      <c r="B712" s="105" t="s">
        <v>6281</v>
      </c>
      <c r="C712" s="72" t="s">
        <v>1367</v>
      </c>
      <c r="D712" s="76"/>
      <c r="E712" s="125">
        <v>9523780</v>
      </c>
      <c r="F712" s="125">
        <v>1463730</v>
      </c>
      <c r="G712" s="125">
        <v>5690449</v>
      </c>
      <c r="H712" s="125">
        <v>0</v>
      </c>
      <c r="I712" s="125">
        <v>0</v>
      </c>
    </row>
    <row r="713" spans="1:9" s="145" customFormat="1" ht="45">
      <c r="A713" s="73" t="s">
        <v>2488</v>
      </c>
      <c r="B713" s="105" t="s">
        <v>6282</v>
      </c>
      <c r="C713" s="72" t="s">
        <v>1368</v>
      </c>
      <c r="D713" s="76"/>
      <c r="E713" s="125">
        <v>1782417</v>
      </c>
      <c r="F713" s="125">
        <v>7404432</v>
      </c>
      <c r="G713" s="125">
        <v>3695560</v>
      </c>
      <c r="H713" s="125">
        <v>0</v>
      </c>
      <c r="I713" s="125">
        <v>0</v>
      </c>
    </row>
    <row r="714" spans="1:9" s="145" customFormat="1" ht="30">
      <c r="A714" s="73" t="s">
        <v>2489</v>
      </c>
      <c r="B714" s="105" t="s">
        <v>6283</v>
      </c>
      <c r="C714" s="72" t="s">
        <v>1369</v>
      </c>
      <c r="D714" s="76"/>
      <c r="E714" s="125">
        <v>1453707</v>
      </c>
      <c r="F714" s="125">
        <v>4248580</v>
      </c>
      <c r="G714" s="125">
        <v>0</v>
      </c>
      <c r="H714" s="125">
        <v>0</v>
      </c>
      <c r="I714" s="125">
        <v>0</v>
      </c>
    </row>
    <row r="715" spans="1:9" s="145" customFormat="1" ht="30">
      <c r="A715" s="73" t="s">
        <v>2490</v>
      </c>
      <c r="B715" s="105" t="s">
        <v>6284</v>
      </c>
      <c r="C715" s="72" t="s">
        <v>1370</v>
      </c>
      <c r="D715" s="76"/>
      <c r="E715" s="125">
        <v>1904000</v>
      </c>
      <c r="F715" s="125">
        <v>512939</v>
      </c>
      <c r="G715" s="125">
        <v>807184</v>
      </c>
      <c r="H715" s="125">
        <v>0</v>
      </c>
      <c r="I715" s="125">
        <v>0</v>
      </c>
    </row>
    <row r="716" spans="1:9" s="145" customFormat="1" ht="45">
      <c r="A716" s="73" t="s">
        <v>2491</v>
      </c>
      <c r="B716" s="105" t="s">
        <v>6285</v>
      </c>
      <c r="C716" s="72" t="s">
        <v>1409</v>
      </c>
      <c r="D716" s="76"/>
      <c r="E716" s="125">
        <v>0</v>
      </c>
      <c r="F716" s="125">
        <v>0</v>
      </c>
      <c r="G716" s="125">
        <v>3397831</v>
      </c>
      <c r="H716" s="125">
        <v>4000000</v>
      </c>
      <c r="I716" s="125">
        <v>4000000</v>
      </c>
    </row>
    <row r="717" spans="1:9" s="145" customFormat="1" ht="45">
      <c r="A717" s="73" t="s">
        <v>2492</v>
      </c>
      <c r="B717" s="105" t="s">
        <v>6286</v>
      </c>
      <c r="C717" s="72" t="s">
        <v>1410</v>
      </c>
      <c r="D717" s="76"/>
      <c r="E717" s="125">
        <v>0</v>
      </c>
      <c r="F717" s="125">
        <v>135770</v>
      </c>
      <c r="G717" s="125">
        <v>60000</v>
      </c>
      <c r="H717" s="125">
        <v>22500000</v>
      </c>
      <c r="I717" s="125">
        <v>8000000</v>
      </c>
    </row>
    <row r="718" spans="1:9" s="145" customFormat="1" ht="75">
      <c r="A718" s="73" t="s">
        <v>2493</v>
      </c>
      <c r="B718" s="105" t="s">
        <v>6287</v>
      </c>
      <c r="C718" s="72" t="s">
        <v>1411</v>
      </c>
      <c r="D718" s="76"/>
      <c r="E718" s="125">
        <v>1219866</v>
      </c>
      <c r="F718" s="125">
        <v>760227</v>
      </c>
      <c r="G718" s="125">
        <v>0</v>
      </c>
      <c r="H718" s="125">
        <v>0</v>
      </c>
      <c r="I718" s="125">
        <v>0</v>
      </c>
    </row>
    <row r="719" spans="1:9" s="145" customFormat="1" ht="30">
      <c r="A719" s="73" t="s">
        <v>2494</v>
      </c>
      <c r="B719" s="105" t="s">
        <v>6288</v>
      </c>
      <c r="C719" s="72" t="s">
        <v>1412</v>
      </c>
      <c r="D719" s="76"/>
      <c r="E719" s="125">
        <v>0</v>
      </c>
      <c r="F719" s="125">
        <v>1699450</v>
      </c>
      <c r="G719" s="125">
        <v>576450</v>
      </c>
      <c r="H719" s="125">
        <v>0</v>
      </c>
      <c r="I719" s="125">
        <v>0</v>
      </c>
    </row>
    <row r="720" spans="1:9" s="145" customFormat="1" ht="45">
      <c r="A720" s="73" t="s">
        <v>2495</v>
      </c>
      <c r="B720" s="105" t="s">
        <v>6289</v>
      </c>
      <c r="C720" s="72" t="s">
        <v>1413</v>
      </c>
      <c r="D720" s="76"/>
      <c r="E720" s="125">
        <v>0</v>
      </c>
      <c r="F720" s="125">
        <v>7838232</v>
      </c>
      <c r="G720" s="125">
        <v>5430000</v>
      </c>
      <c r="H720" s="125">
        <v>15000000</v>
      </c>
      <c r="I720" s="125">
        <v>12000000</v>
      </c>
    </row>
    <row r="721" spans="1:9" s="145" customFormat="1" ht="60">
      <c r="A721" s="73" t="s">
        <v>2854</v>
      </c>
      <c r="B721" s="105" t="s">
        <v>6290</v>
      </c>
      <c r="C721" s="72" t="s">
        <v>1551</v>
      </c>
      <c r="D721" s="76"/>
      <c r="E721" s="125">
        <v>0</v>
      </c>
      <c r="F721" s="125">
        <v>14212009</v>
      </c>
      <c r="G721" s="125">
        <v>6800000</v>
      </c>
      <c r="H721" s="125">
        <v>0</v>
      </c>
      <c r="I721" s="125">
        <v>0</v>
      </c>
    </row>
    <row r="722" spans="1:9" s="145" customFormat="1" ht="45">
      <c r="A722" s="73" t="s">
        <v>2496</v>
      </c>
      <c r="B722" s="105" t="s">
        <v>6291</v>
      </c>
      <c r="C722" s="72" t="s">
        <v>1791</v>
      </c>
      <c r="D722" s="76"/>
      <c r="E722" s="125">
        <v>0</v>
      </c>
      <c r="F722" s="125">
        <v>0</v>
      </c>
      <c r="G722" s="125">
        <v>384383</v>
      </c>
      <c r="H722" s="125">
        <v>0</v>
      </c>
      <c r="I722" s="125">
        <v>0</v>
      </c>
    </row>
    <row r="723" spans="1:9" s="145" customFormat="1" ht="30">
      <c r="A723" s="73" t="s">
        <v>2497</v>
      </c>
      <c r="B723" s="105" t="s">
        <v>6292</v>
      </c>
      <c r="C723" s="72" t="s">
        <v>1792</v>
      </c>
      <c r="D723" s="76"/>
      <c r="E723" s="125">
        <v>0</v>
      </c>
      <c r="F723" s="125">
        <v>0</v>
      </c>
      <c r="G723" s="125">
        <v>3420128</v>
      </c>
      <c r="H723" s="125">
        <v>17000000</v>
      </c>
      <c r="I723" s="125">
        <v>13600000</v>
      </c>
    </row>
    <row r="724" spans="1:9" s="145" customFormat="1" ht="60">
      <c r="A724" s="73" t="s">
        <v>10495</v>
      </c>
      <c r="B724" s="105" t="s">
        <v>6293</v>
      </c>
      <c r="C724" s="72" t="s">
        <v>1793</v>
      </c>
      <c r="D724" s="76"/>
      <c r="E724" s="125">
        <v>0</v>
      </c>
      <c r="F724" s="125">
        <v>0</v>
      </c>
      <c r="G724" s="125">
        <v>290579</v>
      </c>
      <c r="H724" s="125">
        <v>1500000</v>
      </c>
      <c r="I724" s="125">
        <v>1200000</v>
      </c>
    </row>
    <row r="725" spans="1:9" s="145" customFormat="1" ht="45">
      <c r="A725" s="73" t="s">
        <v>10583</v>
      </c>
      <c r="B725" s="105" t="s">
        <v>6294</v>
      </c>
      <c r="C725" s="72" t="s">
        <v>1794</v>
      </c>
      <c r="D725" s="76"/>
      <c r="E725" s="125">
        <v>0</v>
      </c>
      <c r="F725" s="125">
        <v>0</v>
      </c>
      <c r="G725" s="125">
        <v>2978954</v>
      </c>
      <c r="H725" s="125">
        <v>10000000</v>
      </c>
      <c r="I725" s="125">
        <v>80000000</v>
      </c>
    </row>
    <row r="726" spans="1:9" s="145" customFormat="1" ht="30">
      <c r="A726" s="73" t="s">
        <v>3687</v>
      </c>
      <c r="B726" s="105" t="s">
        <v>6295</v>
      </c>
      <c r="C726" s="72" t="s">
        <v>4834</v>
      </c>
      <c r="D726" s="76"/>
      <c r="E726" s="125">
        <v>0</v>
      </c>
      <c r="F726" s="125">
        <v>0</v>
      </c>
      <c r="G726" s="125">
        <v>0</v>
      </c>
      <c r="H726" s="125">
        <v>30000000</v>
      </c>
      <c r="I726" s="125">
        <v>24000000</v>
      </c>
    </row>
    <row r="727" spans="1:9" s="145" customFormat="1" ht="75">
      <c r="A727" s="73" t="s">
        <v>3688</v>
      </c>
      <c r="B727" s="105" t="s">
        <v>6296</v>
      </c>
      <c r="C727" s="72" t="s">
        <v>4835</v>
      </c>
      <c r="D727" s="76"/>
      <c r="E727" s="125">
        <v>0</v>
      </c>
      <c r="F727" s="125">
        <v>0</v>
      </c>
      <c r="G727" s="125">
        <v>0</v>
      </c>
      <c r="H727" s="125">
        <v>90000000</v>
      </c>
      <c r="I727" s="125">
        <v>160000000</v>
      </c>
    </row>
    <row r="728" spans="1:9" s="145" customFormat="1" ht="45">
      <c r="A728" s="73" t="s">
        <v>9093</v>
      </c>
      <c r="B728" s="105" t="s">
        <v>6297</v>
      </c>
      <c r="C728" s="72" t="s">
        <v>4836</v>
      </c>
      <c r="D728" s="76"/>
      <c r="E728" s="125">
        <v>0</v>
      </c>
      <c r="F728" s="125">
        <v>0</v>
      </c>
      <c r="G728" s="125">
        <v>0</v>
      </c>
      <c r="H728" s="125">
        <v>50000000</v>
      </c>
      <c r="I728" s="125">
        <v>120000000</v>
      </c>
    </row>
    <row r="729" spans="1:9" s="145" customFormat="1" ht="45">
      <c r="A729" s="73" t="s">
        <v>9094</v>
      </c>
      <c r="B729" s="105"/>
      <c r="C729" s="72" t="s">
        <v>9092</v>
      </c>
      <c r="D729" s="76"/>
      <c r="E729" s="125">
        <v>0</v>
      </c>
      <c r="F729" s="125">
        <v>0</v>
      </c>
      <c r="G729" s="125">
        <v>0</v>
      </c>
      <c r="H729" s="125">
        <v>0</v>
      </c>
      <c r="I729" s="125">
        <v>32000000</v>
      </c>
    </row>
    <row r="730" spans="1:9" s="145" customFormat="1" ht="45">
      <c r="A730" s="73" t="s">
        <v>3689</v>
      </c>
      <c r="B730" s="105" t="s">
        <v>6298</v>
      </c>
      <c r="C730" s="72" t="s">
        <v>4837</v>
      </c>
      <c r="D730" s="76"/>
      <c r="E730" s="125">
        <v>0</v>
      </c>
      <c r="F730" s="125">
        <v>0</v>
      </c>
      <c r="G730" s="125">
        <v>0</v>
      </c>
      <c r="H730" s="125">
        <v>30000000</v>
      </c>
      <c r="I730" s="125">
        <v>30000000</v>
      </c>
    </row>
    <row r="731" spans="1:9" s="145" customFormat="1" ht="60">
      <c r="A731" s="73" t="s">
        <v>4322</v>
      </c>
      <c r="B731" s="105" t="s">
        <v>6299</v>
      </c>
      <c r="C731" s="72" t="s">
        <v>4838</v>
      </c>
      <c r="D731" s="76"/>
      <c r="E731" s="125">
        <v>0</v>
      </c>
      <c r="F731" s="125">
        <v>0</v>
      </c>
      <c r="G731" s="125">
        <v>0</v>
      </c>
      <c r="H731" s="125">
        <v>7000000</v>
      </c>
      <c r="I731" s="125">
        <v>8000000</v>
      </c>
    </row>
    <row r="732" spans="1:9" s="145" customFormat="1" ht="45">
      <c r="A732" s="73" t="s">
        <v>4323</v>
      </c>
      <c r="B732" s="105" t="s">
        <v>6300</v>
      </c>
      <c r="C732" s="72" t="s">
        <v>4839</v>
      </c>
      <c r="D732" s="76"/>
      <c r="E732" s="125">
        <v>0</v>
      </c>
      <c r="F732" s="125">
        <v>0</v>
      </c>
      <c r="G732" s="125">
        <v>0</v>
      </c>
      <c r="H732" s="125">
        <v>1000000</v>
      </c>
      <c r="I732" s="125">
        <v>800000</v>
      </c>
    </row>
    <row r="733" spans="1:9" s="145" customFormat="1" ht="30">
      <c r="A733" s="73" t="s">
        <v>5209</v>
      </c>
      <c r="B733" s="105" t="s">
        <v>6301</v>
      </c>
      <c r="C733" s="72" t="s">
        <v>5208</v>
      </c>
      <c r="D733" s="76"/>
      <c r="E733" s="125">
        <v>0</v>
      </c>
      <c r="F733" s="125">
        <v>0</v>
      </c>
      <c r="G733" s="125">
        <v>0</v>
      </c>
      <c r="H733" s="125">
        <v>36500000</v>
      </c>
      <c r="I733" s="125">
        <v>0</v>
      </c>
    </row>
    <row r="734" spans="1:9" s="145" customFormat="1" ht="47.25">
      <c r="A734" s="70" t="s">
        <v>10487</v>
      </c>
      <c r="B734" s="105"/>
      <c r="C734" s="72" t="s">
        <v>12659</v>
      </c>
      <c r="D734" s="76"/>
      <c r="E734" s="125">
        <v>0</v>
      </c>
      <c r="F734" s="125">
        <v>0</v>
      </c>
      <c r="G734" s="125">
        <v>0</v>
      </c>
      <c r="H734" s="125">
        <v>0</v>
      </c>
      <c r="I734" s="125">
        <v>176000000</v>
      </c>
    </row>
    <row r="735" spans="1:9" s="145" customFormat="1" ht="105">
      <c r="A735" s="73" t="s">
        <v>10488</v>
      </c>
      <c r="B735" s="105"/>
      <c r="C735" s="72" t="s">
        <v>12660</v>
      </c>
      <c r="D735" s="76"/>
      <c r="E735" s="125">
        <v>0</v>
      </c>
      <c r="F735" s="125">
        <v>0</v>
      </c>
      <c r="G735" s="125">
        <v>0</v>
      </c>
      <c r="H735" s="125">
        <v>0</v>
      </c>
      <c r="I735" s="125">
        <v>200000000</v>
      </c>
    </row>
    <row r="736" spans="1:9" s="145" customFormat="1" ht="31.5">
      <c r="A736" s="70" t="s">
        <v>10521</v>
      </c>
      <c r="B736" s="105"/>
      <c r="C736" s="72" t="s">
        <v>12661</v>
      </c>
      <c r="D736" s="76"/>
      <c r="E736" s="125">
        <v>0</v>
      </c>
      <c r="F736" s="125">
        <v>0</v>
      </c>
      <c r="G736" s="125">
        <v>0</v>
      </c>
      <c r="H736" s="125">
        <v>0</v>
      </c>
      <c r="I736" s="125">
        <v>16000000</v>
      </c>
    </row>
    <row r="737" spans="1:9" s="145" customFormat="1" ht="15.75">
      <c r="A737" s="70" t="s">
        <v>10522</v>
      </c>
      <c r="B737" s="105"/>
      <c r="C737" s="72" t="s">
        <v>12662</v>
      </c>
      <c r="D737" s="76"/>
      <c r="E737" s="125">
        <v>0</v>
      </c>
      <c r="F737" s="125">
        <v>0</v>
      </c>
      <c r="G737" s="125">
        <v>0</v>
      </c>
      <c r="H737" s="125">
        <v>0</v>
      </c>
      <c r="I737" s="125">
        <v>40000000</v>
      </c>
    </row>
    <row r="738" spans="1:9" s="145" customFormat="1" ht="15">
      <c r="A738" s="73" t="s">
        <v>10485</v>
      </c>
      <c r="B738" s="105"/>
      <c r="C738" s="72" t="s">
        <v>12663</v>
      </c>
      <c r="D738" s="76"/>
      <c r="E738" s="125">
        <v>0</v>
      </c>
      <c r="F738" s="125">
        <v>0</v>
      </c>
      <c r="G738" s="125">
        <v>0</v>
      </c>
      <c r="H738" s="125">
        <v>0</v>
      </c>
      <c r="I738" s="125">
        <v>8000000</v>
      </c>
    </row>
    <row r="739" spans="1:9" s="145" customFormat="1" ht="30">
      <c r="A739" s="73" t="s">
        <v>10486</v>
      </c>
      <c r="B739" s="105"/>
      <c r="C739" s="72" t="s">
        <v>12664</v>
      </c>
      <c r="D739" s="76"/>
      <c r="E739" s="125">
        <v>0</v>
      </c>
      <c r="F739" s="125">
        <v>0</v>
      </c>
      <c r="G739" s="125">
        <v>0</v>
      </c>
      <c r="H739" s="125">
        <v>0</v>
      </c>
      <c r="I739" s="125">
        <v>1600000</v>
      </c>
    </row>
    <row r="740" spans="1:9" s="145" customFormat="1" ht="15.75">
      <c r="A740" s="70"/>
      <c r="B740" s="105"/>
      <c r="C740" s="72"/>
      <c r="D740" s="76"/>
      <c r="E740" s="125">
        <v>0</v>
      </c>
      <c r="F740" s="125">
        <v>0</v>
      </c>
      <c r="G740" s="125">
        <v>0</v>
      </c>
      <c r="H740" s="125">
        <v>0</v>
      </c>
      <c r="I740" s="125">
        <v>0</v>
      </c>
    </row>
    <row r="741" spans="1:9" s="145" customFormat="1" ht="31.5">
      <c r="A741" s="70" t="s">
        <v>2498</v>
      </c>
      <c r="B741" s="105" t="s">
        <v>6302</v>
      </c>
      <c r="C741" s="72"/>
      <c r="D741" s="76"/>
      <c r="E741" s="125">
        <v>0</v>
      </c>
      <c r="F741" s="125">
        <v>0</v>
      </c>
      <c r="G741" s="125">
        <v>0</v>
      </c>
      <c r="H741" s="125">
        <v>0</v>
      </c>
      <c r="I741" s="125">
        <v>0</v>
      </c>
    </row>
    <row r="742" spans="1:9" s="145" customFormat="1">
      <c r="A742" s="89"/>
      <c r="B742" s="137"/>
      <c r="E742" s="125">
        <v>0</v>
      </c>
      <c r="F742" s="125">
        <v>0</v>
      </c>
      <c r="G742" s="125">
        <v>0</v>
      </c>
      <c r="H742" s="125">
        <v>0</v>
      </c>
      <c r="I742" s="125">
        <v>0</v>
      </c>
    </row>
    <row r="743" spans="1:9" s="145" customFormat="1" ht="15.75">
      <c r="A743" s="77" t="s">
        <v>2347</v>
      </c>
      <c r="B743" s="136" t="s">
        <v>6303</v>
      </c>
      <c r="C743" s="72"/>
      <c r="D743" s="76"/>
      <c r="E743" s="125">
        <v>248646113</v>
      </c>
      <c r="F743" s="125">
        <v>223561014</v>
      </c>
      <c r="G743" s="125">
        <v>316982718</v>
      </c>
      <c r="H743" s="125">
        <v>553354112</v>
      </c>
      <c r="I743" s="125">
        <v>1127380000</v>
      </c>
    </row>
    <row r="744" spans="1:9" s="145" customFormat="1" ht="15.75">
      <c r="A744" s="70"/>
      <c r="B744" s="105"/>
      <c r="C744" s="72"/>
      <c r="D744" s="76"/>
      <c r="E744" s="125">
        <v>0</v>
      </c>
      <c r="F744" s="125">
        <v>0</v>
      </c>
      <c r="G744" s="125">
        <v>0</v>
      </c>
      <c r="H744" s="125">
        <v>0</v>
      </c>
      <c r="I744" s="125">
        <v>0</v>
      </c>
    </row>
    <row r="745" spans="1:9" s="145" customFormat="1" ht="15.75">
      <c r="A745" s="70" t="s">
        <v>2499</v>
      </c>
      <c r="B745" s="105" t="s">
        <v>6304</v>
      </c>
      <c r="C745" s="72"/>
      <c r="D745" s="76"/>
      <c r="E745" s="125">
        <v>0</v>
      </c>
      <c r="F745" s="125">
        <v>0</v>
      </c>
      <c r="G745" s="125">
        <v>0</v>
      </c>
      <c r="H745" s="125">
        <v>0</v>
      </c>
      <c r="I745" s="125">
        <v>0</v>
      </c>
    </row>
    <row r="746" spans="1:9" s="145" customFormat="1" ht="15.75">
      <c r="A746" s="70" t="s">
        <v>2148</v>
      </c>
      <c r="B746" s="105" t="s">
        <v>6139</v>
      </c>
      <c r="C746" s="72" t="s">
        <v>393</v>
      </c>
      <c r="D746" s="76"/>
      <c r="E746" s="125">
        <v>684202233</v>
      </c>
      <c r="F746" s="125">
        <v>773154965</v>
      </c>
      <c r="G746" s="125">
        <v>828164794</v>
      </c>
      <c r="H746" s="125">
        <v>950000000</v>
      </c>
      <c r="I746" s="125">
        <v>1050000000</v>
      </c>
    </row>
    <row r="747" spans="1:9" s="145" customFormat="1" ht="47.25">
      <c r="A747" s="70" t="s">
        <v>2500</v>
      </c>
      <c r="B747" s="105" t="s">
        <v>6305</v>
      </c>
      <c r="C747" s="72" t="s">
        <v>394</v>
      </c>
      <c r="D747" s="76"/>
      <c r="E747" s="125">
        <v>4014406</v>
      </c>
      <c r="F747" s="125">
        <v>1755495</v>
      </c>
      <c r="G747" s="125">
        <v>1538089</v>
      </c>
      <c r="H747" s="125">
        <v>7794000</v>
      </c>
      <c r="I747" s="125">
        <v>6000000</v>
      </c>
    </row>
    <row r="748" spans="1:9" s="145" customFormat="1" ht="31.5">
      <c r="A748" s="70" t="s">
        <v>5357</v>
      </c>
      <c r="B748" s="105" t="s">
        <v>6306</v>
      </c>
      <c r="C748" s="72" t="s">
        <v>1048</v>
      </c>
      <c r="D748" s="76"/>
      <c r="E748" s="125">
        <v>151515131</v>
      </c>
      <c r="F748" s="125">
        <v>219012299</v>
      </c>
      <c r="G748" s="125">
        <v>231391716</v>
      </c>
      <c r="H748" s="125">
        <v>326825000</v>
      </c>
      <c r="I748" s="125">
        <v>176000000</v>
      </c>
    </row>
    <row r="749" spans="1:9" s="145" customFormat="1" ht="31.5">
      <c r="A749" s="70" t="s">
        <v>2501</v>
      </c>
      <c r="B749" s="105" t="s">
        <v>6307</v>
      </c>
      <c r="C749" s="72" t="s">
        <v>1128</v>
      </c>
      <c r="D749" s="76"/>
      <c r="E749" s="125">
        <v>1499760</v>
      </c>
      <c r="F749" s="125">
        <v>685969</v>
      </c>
      <c r="G749" s="125">
        <v>0</v>
      </c>
      <c r="H749" s="125">
        <v>11800000</v>
      </c>
      <c r="I749" s="125">
        <v>10000000</v>
      </c>
    </row>
    <row r="750" spans="1:9" s="145" customFormat="1" ht="9" customHeight="1">
      <c r="A750" s="89"/>
      <c r="B750" s="137"/>
      <c r="E750" s="125">
        <v>0</v>
      </c>
      <c r="F750" s="125">
        <v>0</v>
      </c>
      <c r="G750" s="125">
        <v>0</v>
      </c>
      <c r="H750" s="125">
        <v>0</v>
      </c>
      <c r="I750" s="125">
        <v>0</v>
      </c>
    </row>
    <row r="751" spans="1:9" s="145" customFormat="1" ht="15.75">
      <c r="A751" s="77" t="s">
        <v>2348</v>
      </c>
      <c r="B751" s="136" t="s">
        <v>6308</v>
      </c>
      <c r="C751" s="72"/>
      <c r="D751" s="76"/>
      <c r="E751" s="125">
        <v>841231530</v>
      </c>
      <c r="F751" s="125">
        <v>994608728</v>
      </c>
      <c r="G751" s="125">
        <v>1061094599</v>
      </c>
      <c r="H751" s="125">
        <v>1296419000</v>
      </c>
      <c r="I751" s="125">
        <v>1242000000</v>
      </c>
    </row>
    <row r="752" spans="1:9" s="145" customFormat="1" ht="15.75">
      <c r="A752" s="70"/>
      <c r="B752" s="105"/>
      <c r="C752" s="72"/>
      <c r="D752" s="76"/>
      <c r="E752" s="125">
        <v>0</v>
      </c>
      <c r="F752" s="125">
        <v>0</v>
      </c>
      <c r="G752" s="125">
        <v>0</v>
      </c>
      <c r="H752" s="125">
        <v>0</v>
      </c>
      <c r="I752" s="125">
        <v>0</v>
      </c>
    </row>
    <row r="753" spans="1:9" s="145" customFormat="1" ht="15.75">
      <c r="A753" s="77" t="s">
        <v>2349</v>
      </c>
      <c r="B753" s="136" t="s">
        <v>6309</v>
      </c>
      <c r="C753" s="72"/>
      <c r="D753" s="76"/>
      <c r="E753" s="125">
        <v>1089877643</v>
      </c>
      <c r="F753" s="125">
        <v>1218169742</v>
      </c>
      <c r="G753" s="125">
        <v>1378077317</v>
      </c>
      <c r="H753" s="125">
        <v>1849773112</v>
      </c>
      <c r="I753" s="125">
        <v>2369380000</v>
      </c>
    </row>
    <row r="754" spans="1:9" s="145" customFormat="1" ht="15.75">
      <c r="A754" s="70"/>
      <c r="B754" s="105"/>
      <c r="C754" s="72"/>
      <c r="D754" s="76"/>
      <c r="E754" s="125">
        <v>0</v>
      </c>
      <c r="F754" s="125">
        <v>0</v>
      </c>
      <c r="G754" s="125">
        <v>0</v>
      </c>
      <c r="H754" s="125">
        <v>0</v>
      </c>
      <c r="I754" s="125">
        <v>0</v>
      </c>
    </row>
    <row r="755" spans="1:9" s="145" customFormat="1" ht="15.75">
      <c r="A755" s="70" t="s">
        <v>2502</v>
      </c>
      <c r="B755" s="105" t="s">
        <v>6310</v>
      </c>
      <c r="C755" s="72"/>
      <c r="D755" s="76"/>
      <c r="E755" s="125">
        <v>0</v>
      </c>
      <c r="F755" s="125">
        <v>0</v>
      </c>
      <c r="G755" s="125">
        <v>0</v>
      </c>
      <c r="H755" s="125">
        <v>0</v>
      </c>
      <c r="I755" s="125">
        <v>0</v>
      </c>
    </row>
    <row r="756" spans="1:9" s="145" customFormat="1" ht="15.75">
      <c r="A756" s="70" t="s">
        <v>2148</v>
      </c>
      <c r="B756" s="105" t="s">
        <v>6139</v>
      </c>
      <c r="C756" s="72" t="s">
        <v>170</v>
      </c>
      <c r="D756" s="76"/>
      <c r="E756" s="125">
        <v>60622159</v>
      </c>
      <c r="F756" s="125">
        <v>67136334</v>
      </c>
      <c r="G756" s="125">
        <v>82898483</v>
      </c>
      <c r="H756" s="125">
        <v>85000000</v>
      </c>
      <c r="I756" s="125">
        <v>120000000</v>
      </c>
    </row>
    <row r="757" spans="1:9" s="145" customFormat="1" ht="15.75">
      <c r="A757" s="70" t="s">
        <v>2149</v>
      </c>
      <c r="B757" s="105" t="s">
        <v>5885</v>
      </c>
      <c r="C757" s="72" t="s">
        <v>171</v>
      </c>
      <c r="D757" s="76"/>
      <c r="E757" s="125">
        <v>600000</v>
      </c>
      <c r="F757" s="125">
        <v>3600</v>
      </c>
      <c r="G757" s="125">
        <v>10735</v>
      </c>
      <c r="H757" s="125">
        <v>480000</v>
      </c>
      <c r="I757" s="125">
        <v>500000</v>
      </c>
    </row>
    <row r="758" spans="1:9" s="145" customFormat="1" ht="15.75">
      <c r="A758" s="70" t="s">
        <v>2381</v>
      </c>
      <c r="B758" s="105" t="s">
        <v>6172</v>
      </c>
      <c r="C758" s="72" t="s">
        <v>172</v>
      </c>
      <c r="D758" s="76"/>
      <c r="E758" s="125">
        <v>663228</v>
      </c>
      <c r="F758" s="125">
        <v>0</v>
      </c>
      <c r="G758" s="125">
        <v>0</v>
      </c>
      <c r="H758" s="125">
        <v>571200</v>
      </c>
      <c r="I758" s="125">
        <v>600000</v>
      </c>
    </row>
    <row r="759" spans="1:9" s="145" customFormat="1" ht="9" customHeight="1">
      <c r="A759" s="89"/>
      <c r="B759" s="137"/>
      <c r="E759" s="125">
        <v>0</v>
      </c>
      <c r="F759" s="125">
        <v>0</v>
      </c>
      <c r="G759" s="125">
        <v>0</v>
      </c>
      <c r="H759" s="125">
        <v>0</v>
      </c>
      <c r="I759" s="125">
        <v>0</v>
      </c>
    </row>
    <row r="760" spans="1:9" s="145" customFormat="1" ht="15.75">
      <c r="A760" s="77" t="s">
        <v>2351</v>
      </c>
      <c r="B760" s="136" t="s">
        <v>146</v>
      </c>
      <c r="C760" s="72"/>
      <c r="D760" s="76"/>
      <c r="E760" s="125">
        <v>61885387</v>
      </c>
      <c r="F760" s="125">
        <v>67139934</v>
      </c>
      <c r="G760" s="125">
        <v>82909218</v>
      </c>
      <c r="H760" s="125">
        <v>86051200</v>
      </c>
      <c r="I760" s="125">
        <v>121100000</v>
      </c>
    </row>
    <row r="761" spans="1:9" s="145" customFormat="1" ht="15.75">
      <c r="A761" s="70"/>
      <c r="B761" s="105"/>
      <c r="C761" s="72"/>
      <c r="D761" s="76"/>
      <c r="E761" s="125">
        <v>0</v>
      </c>
      <c r="F761" s="125">
        <v>0</v>
      </c>
      <c r="G761" s="125">
        <v>0</v>
      </c>
      <c r="H761" s="125">
        <v>0</v>
      </c>
      <c r="I761" s="125">
        <v>0</v>
      </c>
    </row>
    <row r="762" spans="1:9" s="145" customFormat="1" ht="15.75">
      <c r="A762" s="70" t="s">
        <v>2503</v>
      </c>
      <c r="B762" s="105" t="s">
        <v>6311</v>
      </c>
      <c r="C762" s="72"/>
      <c r="D762" s="76"/>
      <c r="E762" s="125">
        <v>0</v>
      </c>
      <c r="F762" s="125">
        <v>0</v>
      </c>
      <c r="G762" s="125">
        <v>0</v>
      </c>
      <c r="H762" s="125">
        <v>0</v>
      </c>
      <c r="I762" s="125">
        <v>0</v>
      </c>
    </row>
    <row r="763" spans="1:9" s="145" customFormat="1" ht="15.75">
      <c r="A763" s="70" t="s">
        <v>2148</v>
      </c>
      <c r="B763" s="105" t="s">
        <v>6139</v>
      </c>
      <c r="C763" s="72" t="s">
        <v>769</v>
      </c>
      <c r="D763" s="76"/>
      <c r="E763" s="125">
        <v>468945966</v>
      </c>
      <c r="F763" s="125">
        <v>533691771</v>
      </c>
      <c r="G763" s="125">
        <v>564371114</v>
      </c>
      <c r="H763" s="125">
        <v>630000000</v>
      </c>
      <c r="I763" s="125">
        <v>780000000</v>
      </c>
    </row>
    <row r="764" spans="1:9" s="145" customFormat="1" ht="9" customHeight="1">
      <c r="A764" s="89"/>
      <c r="B764" s="137"/>
      <c r="E764" s="125">
        <v>0</v>
      </c>
      <c r="F764" s="125">
        <v>0</v>
      </c>
      <c r="G764" s="125">
        <v>0</v>
      </c>
      <c r="H764" s="125">
        <v>0</v>
      </c>
      <c r="I764" s="125">
        <v>0</v>
      </c>
    </row>
    <row r="765" spans="1:9" s="145" customFormat="1" ht="15.75">
      <c r="A765" s="77" t="s">
        <v>2359</v>
      </c>
      <c r="B765" s="136" t="s">
        <v>6309</v>
      </c>
      <c r="C765" s="72"/>
      <c r="D765" s="76"/>
      <c r="E765" s="125">
        <v>468945966</v>
      </c>
      <c r="F765" s="125">
        <v>533691771</v>
      </c>
      <c r="G765" s="125">
        <v>564371114</v>
      </c>
      <c r="H765" s="125">
        <v>630000000</v>
      </c>
      <c r="I765" s="125">
        <v>780000000</v>
      </c>
    </row>
    <row r="766" spans="1:9" s="145" customFormat="1" ht="15.75">
      <c r="A766" s="70"/>
      <c r="B766" s="105"/>
      <c r="C766" s="72"/>
      <c r="D766" s="76"/>
      <c r="E766" s="125">
        <v>0</v>
      </c>
      <c r="F766" s="125">
        <v>0</v>
      </c>
      <c r="G766" s="125">
        <v>0</v>
      </c>
      <c r="H766" s="125">
        <v>0</v>
      </c>
      <c r="I766" s="125">
        <v>0</v>
      </c>
    </row>
    <row r="767" spans="1:9" s="145" customFormat="1" ht="15.75">
      <c r="A767" s="77" t="s">
        <v>2360</v>
      </c>
      <c r="B767" s="136"/>
      <c r="C767" s="72"/>
      <c r="D767" s="76"/>
      <c r="E767" s="125">
        <v>530831353</v>
      </c>
      <c r="F767" s="125">
        <v>600831705</v>
      </c>
      <c r="G767" s="125">
        <v>647280332</v>
      </c>
      <c r="H767" s="125">
        <v>716051200</v>
      </c>
      <c r="I767" s="125">
        <v>901100000</v>
      </c>
    </row>
    <row r="768" spans="1:9" s="145" customFormat="1" ht="15.75">
      <c r="A768" s="70"/>
      <c r="B768" s="105"/>
      <c r="C768" s="72"/>
      <c r="D768" s="76"/>
      <c r="E768" s="125">
        <v>0</v>
      </c>
      <c r="F768" s="125">
        <v>0</v>
      </c>
      <c r="G768" s="125">
        <v>0</v>
      </c>
      <c r="H768" s="125">
        <v>0</v>
      </c>
      <c r="I768" s="125">
        <v>0</v>
      </c>
    </row>
    <row r="769" spans="1:9" s="145" customFormat="1" ht="15.75">
      <c r="A769" s="88" t="s">
        <v>3704</v>
      </c>
      <c r="B769" s="105" t="s">
        <v>6312</v>
      </c>
      <c r="C769" s="72"/>
      <c r="D769" s="76"/>
      <c r="E769" s="125">
        <v>0</v>
      </c>
      <c r="F769" s="125">
        <v>0</v>
      </c>
      <c r="G769" s="125">
        <v>0</v>
      </c>
      <c r="H769" s="125">
        <v>0</v>
      </c>
      <c r="I769" s="125">
        <v>0</v>
      </c>
    </row>
    <row r="770" spans="1:9" s="145" customFormat="1" ht="15.75">
      <c r="A770" s="70" t="s">
        <v>2148</v>
      </c>
      <c r="B770" s="105" t="s">
        <v>6139</v>
      </c>
      <c r="C770" s="72" t="s">
        <v>770</v>
      </c>
      <c r="D770" s="76"/>
      <c r="E770" s="125">
        <v>4836918</v>
      </c>
      <c r="F770" s="125">
        <v>4763007</v>
      </c>
      <c r="G770" s="125">
        <v>3456907</v>
      </c>
      <c r="H770" s="125">
        <v>7000000</v>
      </c>
      <c r="I770" s="125">
        <v>10000000</v>
      </c>
    </row>
    <row r="771" spans="1:9" s="145" customFormat="1" ht="9" customHeight="1">
      <c r="A771" s="70"/>
      <c r="B771" s="105"/>
      <c r="C771" s="72"/>
      <c r="D771" s="76"/>
      <c r="E771" s="125">
        <v>0</v>
      </c>
      <c r="F771" s="125">
        <v>0</v>
      </c>
      <c r="G771" s="125">
        <v>0</v>
      </c>
      <c r="H771" s="125">
        <v>0</v>
      </c>
      <c r="I771" s="125">
        <v>0</v>
      </c>
    </row>
    <row r="772" spans="1:9" s="145" customFormat="1" ht="15.75">
      <c r="A772" s="77" t="s">
        <v>2365</v>
      </c>
      <c r="B772" s="136" t="s">
        <v>146</v>
      </c>
      <c r="C772" s="72"/>
      <c r="D772" s="76"/>
      <c r="E772" s="125">
        <v>4836918</v>
      </c>
      <c r="F772" s="125">
        <v>4763007</v>
      </c>
      <c r="G772" s="125">
        <v>3456907</v>
      </c>
      <c r="H772" s="125">
        <v>7000000</v>
      </c>
      <c r="I772" s="125">
        <v>10000000</v>
      </c>
    </row>
    <row r="773" spans="1:9" s="145" customFormat="1" ht="15.75">
      <c r="A773" s="70"/>
      <c r="B773" s="105"/>
      <c r="C773" s="72"/>
      <c r="D773" s="76"/>
      <c r="E773" s="125">
        <v>0</v>
      </c>
      <c r="F773" s="125">
        <v>0</v>
      </c>
      <c r="G773" s="125">
        <v>0</v>
      </c>
      <c r="H773" s="125">
        <v>0</v>
      </c>
      <c r="I773" s="125">
        <v>0</v>
      </c>
    </row>
    <row r="774" spans="1:9" s="145" customFormat="1" ht="31.5">
      <c r="A774" s="90" t="s">
        <v>3706</v>
      </c>
      <c r="B774" s="105" t="s">
        <v>6313</v>
      </c>
      <c r="C774" s="72"/>
      <c r="D774" s="76"/>
      <c r="E774" s="125">
        <v>0</v>
      </c>
      <c r="F774" s="125">
        <v>0</v>
      </c>
      <c r="G774" s="125">
        <v>0</v>
      </c>
      <c r="H774" s="125">
        <v>0</v>
      </c>
      <c r="I774" s="125">
        <v>0</v>
      </c>
    </row>
    <row r="775" spans="1:9" s="145" customFormat="1" ht="15.75">
      <c r="A775" s="70" t="s">
        <v>2148</v>
      </c>
      <c r="B775" s="105" t="s">
        <v>6139</v>
      </c>
      <c r="C775" s="72" t="s">
        <v>756</v>
      </c>
      <c r="D775" s="76"/>
      <c r="E775" s="125">
        <v>206985591</v>
      </c>
      <c r="F775" s="125">
        <v>236703961</v>
      </c>
      <c r="G775" s="125">
        <v>261064973</v>
      </c>
      <c r="H775" s="125">
        <v>310000000</v>
      </c>
      <c r="I775" s="125">
        <v>360000000</v>
      </c>
    </row>
    <row r="776" spans="1:9" s="145" customFormat="1" ht="9" customHeight="1">
      <c r="A776" s="70"/>
      <c r="B776" s="105"/>
      <c r="C776" s="72"/>
      <c r="D776" s="76"/>
      <c r="E776" s="125">
        <v>0</v>
      </c>
      <c r="F776" s="125">
        <v>0</v>
      </c>
      <c r="G776" s="125">
        <v>0</v>
      </c>
      <c r="H776" s="125">
        <v>0</v>
      </c>
      <c r="I776" s="125">
        <v>0</v>
      </c>
    </row>
    <row r="777" spans="1:9" s="145" customFormat="1" ht="15.75">
      <c r="A777" s="77" t="s">
        <v>2366</v>
      </c>
      <c r="B777" s="136" t="s">
        <v>146</v>
      </c>
      <c r="C777" s="72"/>
      <c r="D777" s="76"/>
      <c r="E777" s="125">
        <v>206985591</v>
      </c>
      <c r="F777" s="125">
        <v>236703961</v>
      </c>
      <c r="G777" s="125">
        <v>261064973</v>
      </c>
      <c r="H777" s="125">
        <v>310000000</v>
      </c>
      <c r="I777" s="125">
        <v>360000000</v>
      </c>
    </row>
    <row r="778" spans="1:9" s="145" customFormat="1" ht="15.75">
      <c r="A778" s="70"/>
      <c r="B778" s="105"/>
      <c r="C778" s="72"/>
      <c r="D778" s="76"/>
      <c r="E778" s="125">
        <v>0</v>
      </c>
      <c r="F778" s="125">
        <v>0</v>
      </c>
      <c r="G778" s="125">
        <v>0</v>
      </c>
      <c r="H778" s="125">
        <v>0</v>
      </c>
      <c r="I778" s="125">
        <v>0</v>
      </c>
    </row>
    <row r="779" spans="1:9" s="145" customFormat="1" ht="15.75">
      <c r="A779" s="77" t="s">
        <v>2367</v>
      </c>
      <c r="B779" s="136" t="s">
        <v>6309</v>
      </c>
      <c r="C779" s="72"/>
      <c r="D779" s="76"/>
      <c r="E779" s="125">
        <v>211822509</v>
      </c>
      <c r="F779" s="125">
        <v>241466968</v>
      </c>
      <c r="G779" s="125">
        <v>264521880</v>
      </c>
      <c r="H779" s="125">
        <v>317000000</v>
      </c>
      <c r="I779" s="125">
        <v>370000000</v>
      </c>
    </row>
    <row r="780" spans="1:9" s="145" customFormat="1" ht="15.75">
      <c r="A780" s="70"/>
      <c r="B780" s="105"/>
      <c r="C780" s="72"/>
      <c r="D780" s="76"/>
      <c r="E780" s="125">
        <v>0</v>
      </c>
      <c r="F780" s="125">
        <v>0</v>
      </c>
      <c r="G780" s="125">
        <v>0</v>
      </c>
      <c r="H780" s="125">
        <v>0</v>
      </c>
      <c r="I780" s="125">
        <v>0</v>
      </c>
    </row>
    <row r="781" spans="1:9" s="145" customFormat="1" ht="47.25">
      <c r="A781" s="90" t="s">
        <v>3705</v>
      </c>
      <c r="B781" s="105" t="s">
        <v>6314</v>
      </c>
      <c r="C781" s="72"/>
      <c r="D781" s="76"/>
      <c r="E781" s="125">
        <v>0</v>
      </c>
      <c r="F781" s="125">
        <v>0</v>
      </c>
      <c r="G781" s="125">
        <v>0</v>
      </c>
      <c r="H781" s="125">
        <v>0</v>
      </c>
      <c r="I781" s="125">
        <v>0</v>
      </c>
    </row>
    <row r="782" spans="1:9" s="145" customFormat="1" ht="15.75">
      <c r="A782" s="70" t="s">
        <v>2148</v>
      </c>
      <c r="B782" s="105" t="s">
        <v>6139</v>
      </c>
      <c r="C782" s="72" t="s">
        <v>757</v>
      </c>
      <c r="D782" s="76"/>
      <c r="E782" s="125">
        <v>51419140</v>
      </c>
      <c r="F782" s="125">
        <v>58864308</v>
      </c>
      <c r="G782" s="125">
        <v>69550615</v>
      </c>
      <c r="H782" s="125">
        <v>71000000</v>
      </c>
      <c r="I782" s="125">
        <v>100000000</v>
      </c>
    </row>
    <row r="783" spans="1:9" s="145" customFormat="1" ht="9" customHeight="1">
      <c r="A783" s="70"/>
      <c r="B783" s="105"/>
      <c r="C783" s="72"/>
      <c r="D783" s="76"/>
      <c r="E783" s="125">
        <v>0</v>
      </c>
      <c r="F783" s="125">
        <v>0</v>
      </c>
      <c r="G783" s="125">
        <v>0</v>
      </c>
      <c r="H783" s="125">
        <v>0</v>
      </c>
      <c r="I783" s="125">
        <v>0</v>
      </c>
    </row>
    <row r="784" spans="1:9" s="145" customFormat="1" ht="15.75">
      <c r="A784" s="77" t="s">
        <v>2504</v>
      </c>
      <c r="B784" s="136"/>
      <c r="C784" s="72"/>
      <c r="D784" s="76"/>
      <c r="E784" s="125">
        <v>51419140</v>
      </c>
      <c r="F784" s="125">
        <v>58864308</v>
      </c>
      <c r="G784" s="125">
        <v>69550615</v>
      </c>
      <c r="H784" s="125">
        <v>71000000</v>
      </c>
      <c r="I784" s="125">
        <v>100000000</v>
      </c>
    </row>
    <row r="785" spans="1:9" s="145" customFormat="1" ht="15.75">
      <c r="A785" s="70"/>
      <c r="B785" s="105"/>
      <c r="C785" s="72"/>
      <c r="D785" s="76"/>
      <c r="E785" s="125">
        <v>0</v>
      </c>
      <c r="F785" s="125">
        <v>0</v>
      </c>
      <c r="G785" s="125">
        <v>0</v>
      </c>
      <c r="H785" s="125">
        <v>0</v>
      </c>
      <c r="I785" s="125">
        <v>0</v>
      </c>
    </row>
    <row r="786" spans="1:9" s="145" customFormat="1" ht="15.75">
      <c r="A786" s="88" t="s">
        <v>2506</v>
      </c>
      <c r="B786" s="105" t="s">
        <v>6315</v>
      </c>
      <c r="C786" s="72"/>
      <c r="D786" s="76"/>
      <c r="E786" s="125">
        <v>0</v>
      </c>
      <c r="F786" s="125">
        <v>0</v>
      </c>
      <c r="G786" s="125">
        <v>0</v>
      </c>
      <c r="H786" s="125">
        <v>0</v>
      </c>
      <c r="I786" s="125">
        <v>0</v>
      </c>
    </row>
    <row r="787" spans="1:9" s="145" customFormat="1" ht="15.75">
      <c r="A787" s="70" t="s">
        <v>2382</v>
      </c>
      <c r="B787" s="105" t="s">
        <v>6139</v>
      </c>
      <c r="C787" s="72" t="s">
        <v>758</v>
      </c>
      <c r="D787" s="76"/>
      <c r="E787" s="125">
        <v>138442028</v>
      </c>
      <c r="F787" s="125">
        <v>156707118</v>
      </c>
      <c r="G787" s="125">
        <v>171863311</v>
      </c>
      <c r="H787" s="125">
        <v>200000000</v>
      </c>
      <c r="I787" s="125">
        <v>260000000</v>
      </c>
    </row>
    <row r="788" spans="1:9" s="145" customFormat="1" ht="9" customHeight="1">
      <c r="A788" s="70"/>
      <c r="B788" s="105"/>
      <c r="C788" s="72"/>
      <c r="D788" s="76"/>
      <c r="E788" s="125">
        <v>0</v>
      </c>
      <c r="F788" s="125">
        <v>0</v>
      </c>
      <c r="G788" s="125">
        <v>0</v>
      </c>
      <c r="H788" s="125">
        <v>0</v>
      </c>
      <c r="I788" s="125">
        <v>0</v>
      </c>
    </row>
    <row r="789" spans="1:9" s="145" customFormat="1" ht="15.75">
      <c r="A789" s="77" t="s">
        <v>2507</v>
      </c>
      <c r="B789" s="136"/>
      <c r="C789" s="72"/>
      <c r="D789" s="76"/>
      <c r="E789" s="125">
        <v>138442028</v>
      </c>
      <c r="F789" s="125">
        <v>156707118</v>
      </c>
      <c r="G789" s="125">
        <v>171863311</v>
      </c>
      <c r="H789" s="125">
        <v>200000000</v>
      </c>
      <c r="I789" s="125">
        <v>260000000</v>
      </c>
    </row>
    <row r="790" spans="1:9" s="145" customFormat="1" ht="15.75">
      <c r="A790" s="70"/>
      <c r="B790" s="105"/>
      <c r="C790" s="72"/>
      <c r="D790" s="76"/>
      <c r="E790" s="125">
        <v>0</v>
      </c>
      <c r="F790" s="125">
        <v>0</v>
      </c>
      <c r="G790" s="125">
        <v>0</v>
      </c>
      <c r="H790" s="125">
        <v>0</v>
      </c>
      <c r="I790" s="125">
        <v>0</v>
      </c>
    </row>
    <row r="791" spans="1:9" s="145" customFormat="1" ht="31.5">
      <c r="A791" s="77" t="s">
        <v>2509</v>
      </c>
      <c r="B791" s="136" t="s">
        <v>6316</v>
      </c>
      <c r="C791" s="72"/>
      <c r="D791" s="76"/>
      <c r="E791" s="125">
        <v>2022392673</v>
      </c>
      <c r="F791" s="125">
        <v>2276039841</v>
      </c>
      <c r="G791" s="125">
        <v>2531293455</v>
      </c>
      <c r="H791" s="125">
        <v>3153824312</v>
      </c>
      <c r="I791" s="125">
        <v>4000480000</v>
      </c>
    </row>
    <row r="792" spans="1:9" s="145" customFormat="1" ht="15.75">
      <c r="A792" s="70"/>
      <c r="B792" s="105"/>
      <c r="C792" s="72"/>
      <c r="D792" s="76"/>
      <c r="E792" s="125">
        <v>0</v>
      </c>
      <c r="F792" s="125">
        <v>0</v>
      </c>
      <c r="G792" s="125">
        <v>0</v>
      </c>
      <c r="H792" s="125">
        <v>0</v>
      </c>
      <c r="I792" s="125">
        <v>0</v>
      </c>
    </row>
    <row r="793" spans="1:9" s="145" customFormat="1" ht="15.75">
      <c r="A793" s="70" t="s">
        <v>2510</v>
      </c>
      <c r="B793" s="105" t="s">
        <v>6317</v>
      </c>
      <c r="C793" s="72"/>
      <c r="D793" s="76"/>
      <c r="E793" s="125">
        <v>0</v>
      </c>
      <c r="F793" s="125">
        <v>0</v>
      </c>
      <c r="G793" s="125">
        <v>0</v>
      </c>
      <c r="H793" s="125">
        <v>0</v>
      </c>
      <c r="I793" s="125">
        <v>0</v>
      </c>
    </row>
    <row r="794" spans="1:9" s="145" customFormat="1" ht="15.75">
      <c r="A794" s="70" t="s">
        <v>2511</v>
      </c>
      <c r="B794" s="105" t="s">
        <v>6318</v>
      </c>
      <c r="C794" s="72"/>
      <c r="D794" s="76"/>
      <c r="E794" s="125">
        <v>0</v>
      </c>
      <c r="F794" s="125">
        <v>0</v>
      </c>
      <c r="G794" s="125">
        <v>0</v>
      </c>
      <c r="H794" s="125">
        <v>0</v>
      </c>
      <c r="I794" s="125">
        <v>0</v>
      </c>
    </row>
    <row r="795" spans="1:9" s="145" customFormat="1" ht="15.75">
      <c r="A795" s="70" t="s">
        <v>2148</v>
      </c>
      <c r="B795" s="105" t="s">
        <v>6139</v>
      </c>
      <c r="C795" s="72" t="s">
        <v>759</v>
      </c>
      <c r="D795" s="76"/>
      <c r="E795" s="125">
        <v>114669379</v>
      </c>
      <c r="F795" s="125">
        <v>123323671</v>
      </c>
      <c r="G795" s="125">
        <v>131000195</v>
      </c>
      <c r="H795" s="125">
        <v>170000000</v>
      </c>
      <c r="I795" s="125">
        <v>210000000</v>
      </c>
    </row>
    <row r="796" spans="1:9" s="145" customFormat="1" ht="31.5">
      <c r="A796" s="70" t="s">
        <v>2512</v>
      </c>
      <c r="B796" s="105" t="s">
        <v>6319</v>
      </c>
      <c r="C796" s="72" t="s">
        <v>760</v>
      </c>
      <c r="D796" s="76"/>
      <c r="E796" s="125">
        <v>631725</v>
      </c>
      <c r="F796" s="125">
        <v>0</v>
      </c>
      <c r="G796" s="125">
        <v>144630</v>
      </c>
      <c r="H796" s="125">
        <v>3000000</v>
      </c>
      <c r="I796" s="125">
        <v>3000000</v>
      </c>
    </row>
    <row r="797" spans="1:9" s="145" customFormat="1" ht="15.75">
      <c r="A797" s="70" t="s">
        <v>2513</v>
      </c>
      <c r="B797" s="105" t="s">
        <v>6320</v>
      </c>
      <c r="C797" s="72" t="s">
        <v>761</v>
      </c>
      <c r="D797" s="76"/>
      <c r="E797" s="125">
        <v>1427216</v>
      </c>
      <c r="F797" s="125">
        <v>1250924</v>
      </c>
      <c r="G797" s="125">
        <v>997982</v>
      </c>
      <c r="H797" s="125">
        <v>1800000</v>
      </c>
      <c r="I797" s="125">
        <v>3000000</v>
      </c>
    </row>
    <row r="798" spans="1:9" s="145" customFormat="1" ht="15.75">
      <c r="A798" s="70"/>
      <c r="B798" s="105"/>
      <c r="C798" s="72"/>
      <c r="D798" s="76"/>
      <c r="E798" s="125">
        <v>0</v>
      </c>
      <c r="F798" s="125">
        <v>0</v>
      </c>
      <c r="G798" s="125">
        <v>0</v>
      </c>
      <c r="H798" s="125">
        <v>0</v>
      </c>
      <c r="I798" s="125">
        <v>0</v>
      </c>
    </row>
    <row r="799" spans="1:9" s="145" customFormat="1" ht="15.75">
      <c r="A799" s="77" t="s">
        <v>2347</v>
      </c>
      <c r="B799" s="136" t="s">
        <v>146</v>
      </c>
      <c r="C799" s="72"/>
      <c r="D799" s="76"/>
      <c r="E799" s="125">
        <v>116728320</v>
      </c>
      <c r="F799" s="125">
        <v>124574595</v>
      </c>
      <c r="G799" s="125">
        <v>132142807</v>
      </c>
      <c r="H799" s="125">
        <v>174800000</v>
      </c>
      <c r="I799" s="125">
        <v>216000000</v>
      </c>
    </row>
    <row r="800" spans="1:9" s="145" customFormat="1" ht="15.75">
      <c r="A800" s="70"/>
      <c r="B800" s="105"/>
      <c r="C800" s="72"/>
      <c r="D800" s="76"/>
      <c r="E800" s="125">
        <v>0</v>
      </c>
      <c r="F800" s="125">
        <v>0</v>
      </c>
      <c r="G800" s="125">
        <v>0</v>
      </c>
      <c r="H800" s="125">
        <v>0</v>
      </c>
      <c r="I800" s="125">
        <v>0</v>
      </c>
    </row>
    <row r="801" spans="1:9" s="145" customFormat="1" ht="15.75">
      <c r="A801" s="88" t="s">
        <v>2514</v>
      </c>
      <c r="B801" s="105" t="s">
        <v>6321</v>
      </c>
      <c r="C801" s="72"/>
      <c r="D801" s="76"/>
      <c r="E801" s="125">
        <v>0</v>
      </c>
      <c r="F801" s="125">
        <v>0</v>
      </c>
      <c r="G801" s="125">
        <v>0</v>
      </c>
      <c r="H801" s="125">
        <v>0</v>
      </c>
      <c r="I801" s="125">
        <v>0</v>
      </c>
    </row>
    <row r="802" spans="1:9" s="145" customFormat="1" ht="15.75">
      <c r="A802" s="70" t="s">
        <v>2148</v>
      </c>
      <c r="B802" s="105" t="s">
        <v>6139</v>
      </c>
      <c r="C802" s="72" t="s">
        <v>762</v>
      </c>
      <c r="D802" s="76"/>
      <c r="E802" s="125">
        <v>65107880</v>
      </c>
      <c r="F802" s="125">
        <v>76877712</v>
      </c>
      <c r="G802" s="125">
        <v>80757890</v>
      </c>
      <c r="H802" s="125">
        <v>120000000</v>
      </c>
      <c r="I802" s="125">
        <v>140000000</v>
      </c>
    </row>
    <row r="803" spans="1:9" s="145" customFormat="1" ht="31.5">
      <c r="A803" s="70" t="s">
        <v>2357</v>
      </c>
      <c r="B803" s="105" t="s">
        <v>6322</v>
      </c>
      <c r="C803" s="155" t="s">
        <v>1324</v>
      </c>
      <c r="D803" s="76"/>
      <c r="E803" s="125">
        <v>142464087</v>
      </c>
      <c r="F803" s="125">
        <v>81948297</v>
      </c>
      <c r="G803" s="125">
        <v>58172595</v>
      </c>
      <c r="H803" s="125">
        <v>356750000</v>
      </c>
      <c r="I803" s="125">
        <v>248960000.00000003</v>
      </c>
    </row>
    <row r="804" spans="1:9" s="145" customFormat="1" ht="31.5">
      <c r="A804" s="70" t="s">
        <v>2358</v>
      </c>
      <c r="B804" s="105" t="s">
        <v>6323</v>
      </c>
      <c r="C804" s="155" t="s">
        <v>1327</v>
      </c>
      <c r="D804" s="76"/>
      <c r="E804" s="125">
        <v>52734122</v>
      </c>
      <c r="F804" s="125">
        <v>47083990</v>
      </c>
      <c r="G804" s="125">
        <v>43730306</v>
      </c>
      <c r="H804" s="125">
        <v>77850000</v>
      </c>
      <c r="I804" s="125">
        <v>109800000</v>
      </c>
    </row>
    <row r="805" spans="1:9" s="145" customFormat="1" ht="15.75">
      <c r="A805" s="70"/>
      <c r="B805" s="105"/>
      <c r="C805" s="72"/>
      <c r="D805" s="76"/>
      <c r="E805" s="125">
        <v>0</v>
      </c>
      <c r="F805" s="125">
        <v>0</v>
      </c>
      <c r="G805" s="125">
        <v>0</v>
      </c>
      <c r="H805" s="125">
        <v>0</v>
      </c>
      <c r="I805" s="125">
        <v>0</v>
      </c>
    </row>
    <row r="806" spans="1:9" s="145" customFormat="1" ht="15.75">
      <c r="A806" s="77" t="s">
        <v>2348</v>
      </c>
      <c r="B806" s="136" t="s">
        <v>146</v>
      </c>
      <c r="C806" s="72"/>
      <c r="D806" s="76"/>
      <c r="E806" s="125">
        <v>260306089</v>
      </c>
      <c r="F806" s="125">
        <v>205909999</v>
      </c>
      <c r="G806" s="125">
        <v>182660791</v>
      </c>
      <c r="H806" s="125">
        <v>554600000</v>
      </c>
      <c r="I806" s="125">
        <v>498760000</v>
      </c>
    </row>
    <row r="807" spans="1:9" s="145" customFormat="1" ht="15.75">
      <c r="A807" s="70"/>
      <c r="B807" s="105"/>
      <c r="C807" s="72"/>
      <c r="D807" s="76"/>
      <c r="E807" s="125">
        <v>0</v>
      </c>
      <c r="F807" s="125">
        <v>0</v>
      </c>
      <c r="G807" s="125">
        <v>0</v>
      </c>
      <c r="H807" s="125">
        <v>0</v>
      </c>
      <c r="I807" s="125">
        <v>0</v>
      </c>
    </row>
    <row r="808" spans="1:9" s="145" customFormat="1" ht="15.75">
      <c r="A808" s="77" t="s">
        <v>2349</v>
      </c>
      <c r="B808" s="136" t="s">
        <v>6309</v>
      </c>
      <c r="C808" s="72"/>
      <c r="D808" s="76"/>
      <c r="E808" s="125">
        <v>377034409</v>
      </c>
      <c r="F808" s="125">
        <v>330484594</v>
      </c>
      <c r="G808" s="125">
        <v>314803598</v>
      </c>
      <c r="H808" s="125">
        <v>729400000</v>
      </c>
      <c r="I808" s="125">
        <v>714760000</v>
      </c>
    </row>
    <row r="809" spans="1:9" s="145" customFormat="1" ht="15.75">
      <c r="A809" s="70"/>
      <c r="B809" s="105"/>
      <c r="C809" s="72"/>
      <c r="D809" s="76"/>
      <c r="E809" s="125">
        <v>0</v>
      </c>
      <c r="F809" s="125">
        <v>0</v>
      </c>
      <c r="G809" s="125">
        <v>0</v>
      </c>
      <c r="H809" s="125">
        <v>0</v>
      </c>
      <c r="I809" s="125">
        <v>0</v>
      </c>
    </row>
    <row r="810" spans="1:9" s="145" customFormat="1" ht="15.75">
      <c r="A810" s="70" t="s">
        <v>2515</v>
      </c>
      <c r="B810" s="105" t="s">
        <v>6324</v>
      </c>
      <c r="C810" s="72"/>
      <c r="D810" s="76"/>
      <c r="E810" s="125">
        <v>0</v>
      </c>
      <c r="F810" s="125">
        <v>0</v>
      </c>
      <c r="G810" s="125">
        <v>0</v>
      </c>
      <c r="H810" s="125">
        <v>0</v>
      </c>
      <c r="I810" s="125">
        <v>0</v>
      </c>
    </row>
    <row r="811" spans="1:9" s="145" customFormat="1" ht="15.75">
      <c r="A811" s="70" t="s">
        <v>2516</v>
      </c>
      <c r="B811" s="105" t="s">
        <v>6325</v>
      </c>
      <c r="C811" s="72"/>
      <c r="D811" s="76"/>
      <c r="E811" s="125">
        <v>0</v>
      </c>
      <c r="F811" s="125">
        <v>0</v>
      </c>
      <c r="G811" s="125">
        <v>0</v>
      </c>
      <c r="H811" s="125">
        <v>0</v>
      </c>
      <c r="I811" s="125">
        <v>0</v>
      </c>
    </row>
    <row r="812" spans="1:9" s="145" customFormat="1" ht="31.5">
      <c r="A812" s="70" t="s">
        <v>2517</v>
      </c>
      <c r="B812" s="105" t="s">
        <v>6326</v>
      </c>
      <c r="C812" s="72" t="s">
        <v>763</v>
      </c>
      <c r="D812" s="76"/>
      <c r="E812" s="125">
        <v>19672329</v>
      </c>
      <c r="F812" s="125">
        <v>16842136</v>
      </c>
      <c r="G812" s="125">
        <v>13486422</v>
      </c>
      <c r="H812" s="125">
        <v>20000000</v>
      </c>
      <c r="I812" s="125">
        <v>24000000</v>
      </c>
    </row>
    <row r="813" spans="1:9" s="145" customFormat="1" ht="15.75">
      <c r="A813" s="70" t="s">
        <v>3699</v>
      </c>
      <c r="B813" s="105" t="s">
        <v>6327</v>
      </c>
      <c r="C813" s="72" t="s">
        <v>764</v>
      </c>
      <c r="D813" s="76"/>
      <c r="E813" s="125">
        <v>63000</v>
      </c>
      <c r="F813" s="125">
        <v>0</v>
      </c>
      <c r="G813" s="125">
        <v>0</v>
      </c>
      <c r="H813" s="125">
        <v>50000</v>
      </c>
      <c r="I813" s="125">
        <v>4000000</v>
      </c>
    </row>
    <row r="814" spans="1:9" s="145" customFormat="1" ht="47.25">
      <c r="A814" s="70" t="s">
        <v>2874</v>
      </c>
      <c r="B814" s="105" t="s">
        <v>6328</v>
      </c>
      <c r="C814" s="72" t="s">
        <v>765</v>
      </c>
      <c r="D814" s="76"/>
      <c r="E814" s="125">
        <v>474502</v>
      </c>
      <c r="F814" s="125">
        <v>809582</v>
      </c>
      <c r="G814" s="125">
        <v>601798</v>
      </c>
      <c r="H814" s="125">
        <v>800000</v>
      </c>
      <c r="I814" s="125">
        <v>1000000</v>
      </c>
    </row>
    <row r="815" spans="1:9" s="145" customFormat="1" ht="31.5">
      <c r="A815" s="70" t="s">
        <v>2518</v>
      </c>
      <c r="B815" s="105" t="s">
        <v>6329</v>
      </c>
      <c r="C815" s="72" t="s">
        <v>235</v>
      </c>
      <c r="D815" s="76"/>
      <c r="E815" s="125">
        <v>13358894</v>
      </c>
      <c r="F815" s="125">
        <v>12750000</v>
      </c>
      <c r="G815" s="125">
        <v>8376704</v>
      </c>
      <c r="H815" s="125">
        <v>10000000</v>
      </c>
      <c r="I815" s="125">
        <v>8000000</v>
      </c>
    </row>
    <row r="816" spans="1:9" s="145" customFormat="1" ht="31.5">
      <c r="A816" s="70" t="s">
        <v>2519</v>
      </c>
      <c r="B816" s="105" t="s">
        <v>6330</v>
      </c>
      <c r="C816" s="72" t="s">
        <v>236</v>
      </c>
      <c r="D816" s="76"/>
      <c r="E816" s="125">
        <v>8796634</v>
      </c>
      <c r="F816" s="125">
        <v>16950875</v>
      </c>
      <c r="G816" s="125">
        <v>680000</v>
      </c>
      <c r="H816" s="125">
        <v>1000000</v>
      </c>
      <c r="I816" s="125">
        <v>1200000</v>
      </c>
    </row>
    <row r="817" spans="1:9" s="145" customFormat="1" ht="47.25">
      <c r="A817" s="70" t="s">
        <v>3700</v>
      </c>
      <c r="B817" s="105" t="s">
        <v>6331</v>
      </c>
      <c r="C817" s="72" t="s">
        <v>237</v>
      </c>
      <c r="D817" s="76"/>
      <c r="E817" s="125">
        <v>2676512</v>
      </c>
      <c r="F817" s="125">
        <v>2233773</v>
      </c>
      <c r="G817" s="125">
        <v>498248</v>
      </c>
      <c r="H817" s="125">
        <v>2500000</v>
      </c>
      <c r="I817" s="125">
        <v>0</v>
      </c>
    </row>
    <row r="818" spans="1:9" s="145" customFormat="1" ht="78.75">
      <c r="A818" s="70" t="s">
        <v>4327</v>
      </c>
      <c r="B818" s="105" t="s">
        <v>6332</v>
      </c>
      <c r="C818" s="72" t="s">
        <v>238</v>
      </c>
      <c r="D818" s="76"/>
      <c r="E818" s="125">
        <v>69889947</v>
      </c>
      <c r="F818" s="125">
        <v>44702502</v>
      </c>
      <c r="G818" s="125">
        <v>1424155</v>
      </c>
      <c r="H818" s="125">
        <v>130000000</v>
      </c>
      <c r="I818" s="125">
        <v>104000000</v>
      </c>
    </row>
    <row r="819" spans="1:9" s="145" customFormat="1" ht="15.75">
      <c r="A819" s="70" t="s">
        <v>2520</v>
      </c>
      <c r="B819" s="105" t="s">
        <v>6333</v>
      </c>
      <c r="C819" s="72" t="s">
        <v>239</v>
      </c>
      <c r="D819" s="76"/>
      <c r="E819" s="125">
        <v>25000000</v>
      </c>
      <c r="F819" s="125">
        <v>20393440</v>
      </c>
      <c r="G819" s="125">
        <v>19198849</v>
      </c>
      <c r="H819" s="125">
        <v>20000000</v>
      </c>
      <c r="I819" s="125">
        <v>0</v>
      </c>
    </row>
    <row r="820" spans="1:9" s="145" customFormat="1" ht="31.5">
      <c r="A820" s="70" t="s">
        <v>10442</v>
      </c>
      <c r="B820" s="105" t="s">
        <v>6334</v>
      </c>
      <c r="C820" s="72" t="s">
        <v>1072</v>
      </c>
      <c r="D820" s="76"/>
      <c r="E820" s="125">
        <v>252712282</v>
      </c>
      <c r="F820" s="125">
        <v>125859234</v>
      </c>
      <c r="G820" s="125">
        <v>466449524</v>
      </c>
      <c r="H820" s="125">
        <v>836920000</v>
      </c>
      <c r="I820" s="125">
        <v>865750000</v>
      </c>
    </row>
    <row r="821" spans="1:9" s="145" customFormat="1" ht="31.5">
      <c r="A821" s="70" t="s">
        <v>10443</v>
      </c>
      <c r="B821" s="105" t="s">
        <v>6335</v>
      </c>
      <c r="C821" s="72" t="s">
        <v>1075</v>
      </c>
      <c r="D821" s="76"/>
      <c r="E821" s="125">
        <v>61455593</v>
      </c>
      <c r="F821" s="125">
        <v>62201767</v>
      </c>
      <c r="G821" s="125">
        <v>62533463</v>
      </c>
      <c r="H821" s="125">
        <v>236900000</v>
      </c>
      <c r="I821" s="125">
        <v>106500000</v>
      </c>
    </row>
    <row r="822" spans="1:9" s="145" customFormat="1" ht="15.75">
      <c r="A822" s="70"/>
      <c r="B822" s="105"/>
      <c r="C822" s="72"/>
      <c r="D822" s="76"/>
      <c r="E822" s="125">
        <v>0</v>
      </c>
      <c r="F822" s="125">
        <v>0</v>
      </c>
      <c r="G822" s="125">
        <v>0</v>
      </c>
      <c r="H822" s="125">
        <v>0</v>
      </c>
      <c r="I822" s="125">
        <v>0</v>
      </c>
    </row>
    <row r="823" spans="1:9" s="145" customFormat="1" ht="15.75">
      <c r="A823" s="77" t="s">
        <v>2351</v>
      </c>
      <c r="B823" s="136" t="s">
        <v>146</v>
      </c>
      <c r="C823" s="72"/>
      <c r="D823" s="76"/>
      <c r="E823" s="125">
        <v>454099693</v>
      </c>
      <c r="F823" s="125">
        <v>302743309</v>
      </c>
      <c r="G823" s="125">
        <v>573249163</v>
      </c>
      <c r="H823" s="125">
        <v>1258170000</v>
      </c>
      <c r="I823" s="125">
        <v>1114450000</v>
      </c>
    </row>
    <row r="824" spans="1:9" s="145" customFormat="1" ht="15.75">
      <c r="A824" s="70"/>
      <c r="B824" s="105"/>
      <c r="C824" s="72"/>
      <c r="D824" s="76"/>
      <c r="E824" s="125">
        <v>0</v>
      </c>
      <c r="F824" s="125">
        <v>0</v>
      </c>
      <c r="G824" s="125">
        <v>0</v>
      </c>
      <c r="H824" s="125">
        <v>0</v>
      </c>
      <c r="I824" s="125">
        <v>0</v>
      </c>
    </row>
    <row r="825" spans="1:9" s="145" customFormat="1" ht="15.75">
      <c r="A825" s="70" t="s">
        <v>2521</v>
      </c>
      <c r="B825" s="105" t="s">
        <v>6336</v>
      </c>
      <c r="C825" s="72"/>
      <c r="D825" s="76"/>
      <c r="E825" s="125">
        <v>0</v>
      </c>
      <c r="F825" s="125">
        <v>0</v>
      </c>
      <c r="G825" s="125">
        <v>0</v>
      </c>
      <c r="H825" s="125">
        <v>0</v>
      </c>
      <c r="I825" s="125">
        <v>0</v>
      </c>
    </row>
    <row r="826" spans="1:9" s="145" customFormat="1" ht="15.75">
      <c r="A826" s="70" t="s">
        <v>2522</v>
      </c>
      <c r="B826" s="105" t="s">
        <v>6337</v>
      </c>
      <c r="C826" s="72" t="s">
        <v>1080</v>
      </c>
      <c r="D826" s="76"/>
      <c r="E826" s="125">
        <v>10884928</v>
      </c>
      <c r="F826" s="125">
        <v>8923392</v>
      </c>
      <c r="G826" s="125">
        <v>12393435</v>
      </c>
      <c r="H826" s="125">
        <v>20000000</v>
      </c>
      <c r="I826" s="125">
        <v>16000000</v>
      </c>
    </row>
    <row r="827" spans="1:9" s="145" customFormat="1" ht="15.75">
      <c r="A827" s="70" t="s">
        <v>2523</v>
      </c>
      <c r="B827" s="105" t="s">
        <v>6338</v>
      </c>
      <c r="C827" s="72" t="s">
        <v>545</v>
      </c>
      <c r="D827" s="76"/>
      <c r="E827" s="125">
        <v>17999807</v>
      </c>
      <c r="F827" s="125">
        <v>10040213</v>
      </c>
      <c r="G827" s="125">
        <v>10519251</v>
      </c>
      <c r="H827" s="125">
        <v>19937000</v>
      </c>
      <c r="I827" s="125">
        <v>16000000</v>
      </c>
    </row>
    <row r="828" spans="1:9" s="145" customFormat="1" ht="15.75">
      <c r="A828" s="70" t="s">
        <v>2524</v>
      </c>
      <c r="B828" s="105" t="s">
        <v>6339</v>
      </c>
      <c r="C828" s="72" t="s">
        <v>546</v>
      </c>
      <c r="D828" s="76"/>
      <c r="E828" s="125">
        <v>40602566</v>
      </c>
      <c r="F828" s="125">
        <v>29446576</v>
      </c>
      <c r="G828" s="125">
        <v>27367243</v>
      </c>
      <c r="H828" s="125">
        <v>45000000</v>
      </c>
      <c r="I828" s="125">
        <v>36000000</v>
      </c>
    </row>
    <row r="829" spans="1:9" s="145" customFormat="1" ht="31.5">
      <c r="A829" s="70" t="s">
        <v>2525</v>
      </c>
      <c r="B829" s="105" t="s">
        <v>6340</v>
      </c>
      <c r="C829" s="72" t="s">
        <v>148</v>
      </c>
      <c r="D829" s="76"/>
      <c r="E829" s="125">
        <v>328144</v>
      </c>
      <c r="F829" s="125">
        <v>652719</v>
      </c>
      <c r="G829" s="125">
        <v>1114143</v>
      </c>
      <c r="H829" s="125">
        <v>4000000</v>
      </c>
      <c r="I829" s="125">
        <v>3200000</v>
      </c>
    </row>
    <row r="830" spans="1:9" s="145" customFormat="1" ht="31.5">
      <c r="A830" s="70" t="s">
        <v>2526</v>
      </c>
      <c r="B830" s="105" t="s">
        <v>6341</v>
      </c>
      <c r="C830" s="72" t="s">
        <v>91</v>
      </c>
      <c r="D830" s="76"/>
      <c r="E830" s="125">
        <v>41351708</v>
      </c>
      <c r="F830" s="125">
        <v>28335392</v>
      </c>
      <c r="G830" s="125">
        <v>22348873</v>
      </c>
      <c r="H830" s="125">
        <v>150000000</v>
      </c>
      <c r="I830" s="125">
        <v>30000000</v>
      </c>
    </row>
    <row r="831" spans="1:9" s="145" customFormat="1" ht="15.75">
      <c r="A831" s="70" t="s">
        <v>2527</v>
      </c>
      <c r="B831" s="105" t="s">
        <v>6342</v>
      </c>
      <c r="C831" s="72" t="s">
        <v>916</v>
      </c>
      <c r="D831" s="76"/>
      <c r="E831" s="125">
        <v>12275544</v>
      </c>
      <c r="F831" s="125">
        <v>9076712</v>
      </c>
      <c r="G831" s="125">
        <v>12627172</v>
      </c>
      <c r="H831" s="125">
        <v>25189000</v>
      </c>
      <c r="I831" s="125">
        <v>16000000</v>
      </c>
    </row>
    <row r="832" spans="1:9" s="145" customFormat="1" ht="15.75">
      <c r="A832" s="70" t="s">
        <v>2528</v>
      </c>
      <c r="B832" s="105" t="s">
        <v>6343</v>
      </c>
      <c r="C832" s="72" t="s">
        <v>1129</v>
      </c>
      <c r="D832" s="76"/>
      <c r="E832" s="125">
        <v>7333948</v>
      </c>
      <c r="F832" s="125">
        <v>2934994</v>
      </c>
      <c r="G832" s="125">
        <v>4125789</v>
      </c>
      <c r="H832" s="125">
        <v>10000000</v>
      </c>
      <c r="I832" s="125">
        <v>6000000</v>
      </c>
    </row>
    <row r="833" spans="1:9" s="145" customFormat="1" ht="15.75">
      <c r="A833" s="70" t="s">
        <v>2529</v>
      </c>
      <c r="B833" s="105" t="s">
        <v>6344</v>
      </c>
      <c r="C833" s="72" t="s">
        <v>1130</v>
      </c>
      <c r="D833" s="76"/>
      <c r="E833" s="125">
        <v>30440283</v>
      </c>
      <c r="F833" s="125">
        <v>24950228</v>
      </c>
      <c r="G833" s="125">
        <v>23000091</v>
      </c>
      <c r="H833" s="125">
        <v>40469000</v>
      </c>
      <c r="I833" s="125">
        <v>32375200</v>
      </c>
    </row>
    <row r="834" spans="1:9" s="145" customFormat="1" ht="31.5">
      <c r="A834" s="70" t="s">
        <v>2530</v>
      </c>
      <c r="B834" s="105" t="s">
        <v>6345</v>
      </c>
      <c r="C834" s="72" t="s">
        <v>1131</v>
      </c>
      <c r="D834" s="76"/>
      <c r="E834" s="125">
        <v>2157886</v>
      </c>
      <c r="F834" s="125">
        <v>902804</v>
      </c>
      <c r="G834" s="125">
        <v>1635967</v>
      </c>
      <c r="H834" s="125">
        <v>5000000</v>
      </c>
      <c r="I834" s="125">
        <v>4000000</v>
      </c>
    </row>
    <row r="835" spans="1:9" s="145" customFormat="1" ht="31.5">
      <c r="A835" s="70" t="s">
        <v>2531</v>
      </c>
      <c r="B835" s="105" t="s">
        <v>6346</v>
      </c>
      <c r="C835" s="72" t="s">
        <v>1132</v>
      </c>
      <c r="D835" s="76"/>
      <c r="E835" s="125">
        <v>6257044</v>
      </c>
      <c r="F835" s="125">
        <v>3967508</v>
      </c>
      <c r="G835" s="125">
        <v>4427281</v>
      </c>
      <c r="H835" s="125">
        <v>8000000</v>
      </c>
      <c r="I835" s="125">
        <v>12000000</v>
      </c>
    </row>
    <row r="836" spans="1:9" s="145" customFormat="1" ht="47.25">
      <c r="A836" s="70" t="s">
        <v>2532</v>
      </c>
      <c r="B836" s="105" t="s">
        <v>6347</v>
      </c>
      <c r="C836" s="72" t="s">
        <v>1133</v>
      </c>
      <c r="D836" s="76"/>
      <c r="E836" s="125">
        <v>9215071</v>
      </c>
      <c r="F836" s="125">
        <v>7788750</v>
      </c>
      <c r="G836" s="125">
        <v>6295289</v>
      </c>
      <c r="H836" s="125">
        <v>12500000</v>
      </c>
      <c r="I836" s="125">
        <v>10000000</v>
      </c>
    </row>
    <row r="837" spans="1:9" s="145" customFormat="1" ht="31.5">
      <c r="A837" s="70" t="s">
        <v>2533</v>
      </c>
      <c r="B837" s="105" t="s">
        <v>6348</v>
      </c>
      <c r="C837" s="72" t="s">
        <v>1134</v>
      </c>
      <c r="D837" s="76"/>
      <c r="E837" s="125">
        <v>4985506</v>
      </c>
      <c r="F837" s="125">
        <v>5384282</v>
      </c>
      <c r="G837" s="125">
        <v>5232522</v>
      </c>
      <c r="H837" s="125">
        <v>10000000</v>
      </c>
      <c r="I837" s="125">
        <v>8000000</v>
      </c>
    </row>
    <row r="838" spans="1:9" s="145" customFormat="1" ht="31.5">
      <c r="A838" s="70" t="s">
        <v>2534</v>
      </c>
      <c r="B838" s="105" t="s">
        <v>6349</v>
      </c>
      <c r="C838" s="72" t="s">
        <v>1135</v>
      </c>
      <c r="D838" s="76"/>
      <c r="E838" s="125">
        <v>5941700</v>
      </c>
      <c r="F838" s="125">
        <v>5958775</v>
      </c>
      <c r="G838" s="125">
        <v>5411653</v>
      </c>
      <c r="H838" s="125">
        <v>8000000</v>
      </c>
      <c r="I838" s="125">
        <v>6400000</v>
      </c>
    </row>
    <row r="839" spans="1:9" s="145" customFormat="1" ht="15.75">
      <c r="A839" s="70" t="s">
        <v>2535</v>
      </c>
      <c r="B839" s="105" t="s">
        <v>6350</v>
      </c>
      <c r="C839" s="72" t="s">
        <v>1136</v>
      </c>
      <c r="D839" s="76"/>
      <c r="E839" s="125">
        <v>2674451</v>
      </c>
      <c r="F839" s="125">
        <v>1669133</v>
      </c>
      <c r="G839" s="125">
        <v>3046198</v>
      </c>
      <c r="H839" s="125">
        <v>5000000</v>
      </c>
      <c r="I839" s="125">
        <v>4000000</v>
      </c>
    </row>
    <row r="840" spans="1:9" s="145" customFormat="1" ht="15.75">
      <c r="A840" s="70"/>
      <c r="B840" s="105"/>
      <c r="C840" s="72"/>
      <c r="D840" s="76"/>
      <c r="E840" s="125">
        <v>0</v>
      </c>
      <c r="F840" s="125">
        <v>0</v>
      </c>
      <c r="G840" s="125">
        <v>0</v>
      </c>
      <c r="H840" s="125">
        <v>0</v>
      </c>
      <c r="I840" s="125">
        <v>0</v>
      </c>
    </row>
    <row r="841" spans="1:9" s="145" customFormat="1" ht="15.75">
      <c r="A841" s="77" t="s">
        <v>2359</v>
      </c>
      <c r="B841" s="136" t="s">
        <v>146</v>
      </c>
      <c r="C841" s="72"/>
      <c r="D841" s="76"/>
      <c r="E841" s="125">
        <v>192448586</v>
      </c>
      <c r="F841" s="125">
        <v>140031478</v>
      </c>
      <c r="G841" s="125">
        <v>139544907</v>
      </c>
      <c r="H841" s="125">
        <v>363095000</v>
      </c>
      <c r="I841" s="125">
        <v>199975200</v>
      </c>
    </row>
    <row r="842" spans="1:9" s="145" customFormat="1" ht="15.75">
      <c r="A842" s="70"/>
      <c r="B842" s="105"/>
      <c r="C842" s="72"/>
      <c r="D842" s="76"/>
      <c r="E842" s="125">
        <v>0</v>
      </c>
      <c r="F842" s="125">
        <v>0</v>
      </c>
      <c r="G842" s="125">
        <v>0</v>
      </c>
      <c r="H842" s="125">
        <v>0</v>
      </c>
      <c r="I842" s="125">
        <v>0</v>
      </c>
    </row>
    <row r="843" spans="1:9" s="145" customFormat="1" ht="15.75">
      <c r="A843" s="77" t="s">
        <v>2360</v>
      </c>
      <c r="B843" s="136" t="s">
        <v>6309</v>
      </c>
      <c r="C843" s="72"/>
      <c r="D843" s="76"/>
      <c r="E843" s="125">
        <v>646548279</v>
      </c>
      <c r="F843" s="125">
        <v>442774787</v>
      </c>
      <c r="G843" s="125">
        <v>712794070</v>
      </c>
      <c r="H843" s="125">
        <v>1621265000</v>
      </c>
      <c r="I843" s="125">
        <v>1314425200</v>
      </c>
    </row>
    <row r="844" spans="1:9" s="145" customFormat="1" ht="15.75">
      <c r="A844" s="70"/>
      <c r="B844" s="105"/>
      <c r="C844" s="72"/>
      <c r="D844" s="76"/>
      <c r="E844" s="125">
        <v>0</v>
      </c>
      <c r="F844" s="125">
        <v>0</v>
      </c>
      <c r="G844" s="125">
        <v>0</v>
      </c>
      <c r="H844" s="125">
        <v>0</v>
      </c>
      <c r="I844" s="125">
        <v>0</v>
      </c>
    </row>
    <row r="845" spans="1:9" s="145" customFormat="1" ht="15.75">
      <c r="A845" s="70" t="s">
        <v>2911</v>
      </c>
      <c r="B845" s="105" t="s">
        <v>6351</v>
      </c>
      <c r="C845" s="72"/>
      <c r="D845" s="76"/>
      <c r="E845" s="125">
        <v>0</v>
      </c>
      <c r="F845" s="125">
        <v>0</v>
      </c>
      <c r="G845" s="125">
        <v>0</v>
      </c>
      <c r="H845" s="125">
        <v>0</v>
      </c>
      <c r="I845" s="125">
        <v>0</v>
      </c>
    </row>
    <row r="846" spans="1:9" s="145" customFormat="1" ht="15.75">
      <c r="A846" s="70" t="s">
        <v>2148</v>
      </c>
      <c r="B846" s="105" t="s">
        <v>6139</v>
      </c>
      <c r="C846" s="72" t="s">
        <v>917</v>
      </c>
      <c r="D846" s="76"/>
      <c r="E846" s="125">
        <v>45237687</v>
      </c>
      <c r="F846" s="125">
        <v>52053230</v>
      </c>
      <c r="G846" s="125">
        <v>54517816</v>
      </c>
      <c r="H846" s="125">
        <v>60000000</v>
      </c>
      <c r="I846" s="125">
        <v>80000000</v>
      </c>
    </row>
    <row r="847" spans="1:9" s="145" customFormat="1" ht="15.75">
      <c r="A847" s="70" t="s">
        <v>4656</v>
      </c>
      <c r="B847" s="105" t="s">
        <v>6352</v>
      </c>
      <c r="C847" s="72" t="s">
        <v>4840</v>
      </c>
      <c r="D847" s="76"/>
      <c r="E847" s="125">
        <v>0</v>
      </c>
      <c r="F847" s="125">
        <v>0</v>
      </c>
      <c r="G847" s="125">
        <v>0</v>
      </c>
      <c r="H847" s="125">
        <v>7500000</v>
      </c>
      <c r="I847" s="125">
        <v>10000000</v>
      </c>
    </row>
    <row r="848" spans="1:9" s="145" customFormat="1" ht="15.75">
      <c r="A848" s="70" t="s">
        <v>4657</v>
      </c>
      <c r="B848" s="105" t="s">
        <v>6353</v>
      </c>
      <c r="C848" s="72" t="s">
        <v>4841</v>
      </c>
      <c r="D848" s="76"/>
      <c r="E848" s="125">
        <v>0</v>
      </c>
      <c r="F848" s="125">
        <v>0</v>
      </c>
      <c r="G848" s="125">
        <v>0</v>
      </c>
      <c r="H848" s="125">
        <v>2500000</v>
      </c>
      <c r="I848" s="125">
        <v>5000000</v>
      </c>
    </row>
    <row r="849" spans="1:9" s="145" customFormat="1" ht="15.75">
      <c r="A849" s="70" t="s">
        <v>2149</v>
      </c>
      <c r="B849" s="105" t="s">
        <v>5885</v>
      </c>
      <c r="C849" s="72" t="s">
        <v>918</v>
      </c>
      <c r="D849" s="76"/>
      <c r="E849" s="125">
        <v>420629</v>
      </c>
      <c r="F849" s="125">
        <v>341884</v>
      </c>
      <c r="G849" s="125">
        <v>507608</v>
      </c>
      <c r="H849" s="125">
        <v>700000</v>
      </c>
      <c r="I849" s="125">
        <v>750000</v>
      </c>
    </row>
    <row r="850" spans="1:9" s="145" customFormat="1" ht="31.5">
      <c r="A850" s="70" t="s">
        <v>2536</v>
      </c>
      <c r="B850" s="105" t="s">
        <v>6354</v>
      </c>
      <c r="C850" s="72" t="s">
        <v>919</v>
      </c>
      <c r="D850" s="76"/>
      <c r="E850" s="125">
        <v>34477765</v>
      </c>
      <c r="F850" s="125">
        <v>17324856</v>
      </c>
      <c r="G850" s="125">
        <v>27114705</v>
      </c>
      <c r="H850" s="125">
        <v>40000000</v>
      </c>
      <c r="I850" s="125">
        <v>40000000</v>
      </c>
    </row>
    <row r="851" spans="1:9" s="145" customFormat="1" ht="15.75">
      <c r="A851" s="70" t="s">
        <v>2537</v>
      </c>
      <c r="B851" s="105" t="s">
        <v>6355</v>
      </c>
      <c r="C851" s="72" t="s">
        <v>654</v>
      </c>
      <c r="D851" s="76"/>
      <c r="E851" s="125">
        <v>329252777</v>
      </c>
      <c r="F851" s="125">
        <v>378822978</v>
      </c>
      <c r="G851" s="125">
        <v>354860746</v>
      </c>
      <c r="H851" s="125">
        <v>363200000</v>
      </c>
      <c r="I851" s="125">
        <v>406500000</v>
      </c>
    </row>
    <row r="852" spans="1:9" s="145" customFormat="1" ht="47.25">
      <c r="A852" s="70" t="s">
        <v>2917</v>
      </c>
      <c r="B852" s="105" t="s">
        <v>6356</v>
      </c>
      <c r="C852" s="72" t="s">
        <v>877</v>
      </c>
      <c r="D852" s="76"/>
      <c r="E852" s="125">
        <v>1825786</v>
      </c>
      <c r="F852" s="125">
        <v>1696236</v>
      </c>
      <c r="G852" s="125">
        <v>1485077</v>
      </c>
      <c r="H852" s="125">
        <v>4000000</v>
      </c>
      <c r="I852" s="125">
        <v>6000000</v>
      </c>
    </row>
    <row r="853" spans="1:9" s="145" customFormat="1" ht="31.5">
      <c r="A853" s="70" t="s">
        <v>2538</v>
      </c>
      <c r="B853" s="105" t="s">
        <v>6357</v>
      </c>
      <c r="C853" s="72" t="s">
        <v>878</v>
      </c>
      <c r="D853" s="76"/>
      <c r="E853" s="125">
        <v>1198900</v>
      </c>
      <c r="F853" s="125">
        <v>935000</v>
      </c>
      <c r="G853" s="125">
        <v>879960</v>
      </c>
      <c r="H853" s="125">
        <v>1300000</v>
      </c>
      <c r="I853" s="125">
        <v>1500000</v>
      </c>
    </row>
    <row r="854" spans="1:9" s="145" customFormat="1" ht="31.5">
      <c r="A854" s="70" t="s">
        <v>2539</v>
      </c>
      <c r="B854" s="105" t="s">
        <v>6358</v>
      </c>
      <c r="C854" s="72" t="s">
        <v>655</v>
      </c>
      <c r="D854" s="76"/>
      <c r="E854" s="125">
        <v>1292318</v>
      </c>
      <c r="F854" s="125">
        <v>1000000</v>
      </c>
      <c r="G854" s="125">
        <v>947063</v>
      </c>
      <c r="H854" s="125">
        <v>960000</v>
      </c>
      <c r="I854" s="125">
        <v>1500000</v>
      </c>
    </row>
    <row r="855" spans="1:9" s="145" customFormat="1" ht="31.5">
      <c r="A855" s="70" t="s">
        <v>2540</v>
      </c>
      <c r="B855" s="105" t="s">
        <v>6359</v>
      </c>
      <c r="C855" s="72" t="s">
        <v>656</v>
      </c>
      <c r="D855" s="76"/>
      <c r="E855" s="125">
        <v>2487630</v>
      </c>
      <c r="F855" s="125">
        <v>2441498</v>
      </c>
      <c r="G855" s="125">
        <v>1862567</v>
      </c>
      <c r="H855" s="125">
        <v>2400000</v>
      </c>
      <c r="I855" s="125">
        <v>2800000</v>
      </c>
    </row>
    <row r="856" spans="1:9" s="145" customFormat="1" ht="47.25">
      <c r="A856" s="70" t="s">
        <v>2541</v>
      </c>
      <c r="B856" s="105" t="s">
        <v>6360</v>
      </c>
      <c r="C856" s="72" t="s">
        <v>1290</v>
      </c>
      <c r="D856" s="76"/>
      <c r="E856" s="125">
        <v>2494800</v>
      </c>
      <c r="F856" s="125">
        <v>1991878</v>
      </c>
      <c r="G856" s="125">
        <v>3168596</v>
      </c>
      <c r="H856" s="125">
        <v>3000000</v>
      </c>
      <c r="I856" s="125">
        <v>3200000</v>
      </c>
    </row>
    <row r="857" spans="1:9" s="145" customFormat="1" ht="31.5">
      <c r="A857" s="70" t="s">
        <v>2542</v>
      </c>
      <c r="B857" s="105" t="s">
        <v>6361</v>
      </c>
      <c r="C857" s="72" t="s">
        <v>1307</v>
      </c>
      <c r="D857" s="76"/>
      <c r="E857" s="125">
        <v>1493144</v>
      </c>
      <c r="F857" s="125">
        <v>1651336</v>
      </c>
      <c r="G857" s="125">
        <v>1800689</v>
      </c>
      <c r="H857" s="125">
        <v>4000000</v>
      </c>
      <c r="I857" s="125">
        <v>4000000</v>
      </c>
    </row>
    <row r="858" spans="1:9" s="145" customFormat="1" ht="31.5">
      <c r="A858" s="70" t="s">
        <v>2543</v>
      </c>
      <c r="B858" s="105" t="s">
        <v>6362</v>
      </c>
      <c r="C858" s="72" t="s">
        <v>1552</v>
      </c>
      <c r="D858" s="76"/>
      <c r="E858" s="125">
        <v>0</v>
      </c>
      <c r="F858" s="125">
        <v>7080542</v>
      </c>
      <c r="G858" s="125">
        <v>680000</v>
      </c>
      <c r="H858" s="125">
        <v>800000</v>
      </c>
      <c r="I858" s="125">
        <v>800000</v>
      </c>
    </row>
    <row r="859" spans="1:9" s="145" customFormat="1" ht="47.25">
      <c r="A859" s="70" t="s">
        <v>2918</v>
      </c>
      <c r="B859" s="105" t="s">
        <v>6363</v>
      </c>
      <c r="C859" s="72" t="s">
        <v>1795</v>
      </c>
      <c r="D859" s="76"/>
      <c r="E859" s="125">
        <v>0</v>
      </c>
      <c r="F859" s="125">
        <v>0</v>
      </c>
      <c r="G859" s="125">
        <v>0</v>
      </c>
      <c r="H859" s="125">
        <v>0</v>
      </c>
      <c r="I859" s="125">
        <v>2500000</v>
      </c>
    </row>
    <row r="860" spans="1:9" s="145" customFormat="1" ht="47.25">
      <c r="A860" s="70" t="s">
        <v>4247</v>
      </c>
      <c r="B860" s="105" t="s">
        <v>6364</v>
      </c>
      <c r="C860" s="72" t="s">
        <v>1796</v>
      </c>
      <c r="D860" s="76"/>
      <c r="E860" s="125">
        <v>0</v>
      </c>
      <c r="F860" s="125">
        <v>0</v>
      </c>
      <c r="G860" s="125">
        <v>994313</v>
      </c>
      <c r="H860" s="125">
        <v>1500000</v>
      </c>
      <c r="I860" s="125">
        <v>800000</v>
      </c>
    </row>
    <row r="861" spans="1:9" s="145" customFormat="1" ht="63">
      <c r="A861" s="70" t="s">
        <v>4248</v>
      </c>
      <c r="B861" s="105" t="s">
        <v>6365</v>
      </c>
      <c r="C861" s="72" t="s">
        <v>1797</v>
      </c>
      <c r="D861" s="76"/>
      <c r="E861" s="125">
        <v>0</v>
      </c>
      <c r="F861" s="125">
        <v>0</v>
      </c>
      <c r="G861" s="125">
        <v>2026080</v>
      </c>
      <c r="H861" s="125">
        <v>2400000</v>
      </c>
      <c r="I861" s="125">
        <v>2000000</v>
      </c>
    </row>
    <row r="862" spans="1:9" s="145" customFormat="1" ht="31.5">
      <c r="A862" s="70" t="s">
        <v>10494</v>
      </c>
      <c r="B862" s="105"/>
      <c r="C862" s="72" t="s">
        <v>12665</v>
      </c>
      <c r="D862" s="76"/>
      <c r="E862" s="125">
        <v>0</v>
      </c>
      <c r="F862" s="125">
        <v>0</v>
      </c>
      <c r="G862" s="125">
        <v>0</v>
      </c>
      <c r="H862" s="125">
        <v>0</v>
      </c>
      <c r="I862" s="125">
        <v>120000000</v>
      </c>
    </row>
    <row r="863" spans="1:9" s="145" customFormat="1" ht="15.75">
      <c r="A863" s="70"/>
      <c r="B863" s="105"/>
      <c r="C863" s="72"/>
      <c r="D863" s="76"/>
      <c r="E863" s="125">
        <v>0</v>
      </c>
      <c r="F863" s="125">
        <v>0</v>
      </c>
      <c r="G863" s="125">
        <v>0</v>
      </c>
      <c r="H863" s="125">
        <v>0</v>
      </c>
      <c r="I863" s="125">
        <v>0</v>
      </c>
    </row>
    <row r="864" spans="1:9" s="145" customFormat="1" ht="15.75">
      <c r="A864" s="77" t="s">
        <v>2365</v>
      </c>
      <c r="B864" s="136" t="s">
        <v>146</v>
      </c>
      <c r="C864" s="72"/>
      <c r="D864" s="76"/>
      <c r="E864" s="125">
        <v>420181436</v>
      </c>
      <c r="F864" s="125">
        <v>465339438</v>
      </c>
      <c r="G864" s="125">
        <v>450845220</v>
      </c>
      <c r="H864" s="125">
        <v>494260000</v>
      </c>
      <c r="I864" s="125">
        <v>687350000</v>
      </c>
    </row>
    <row r="865" spans="1:9" s="145" customFormat="1" ht="15.75">
      <c r="A865" s="70"/>
      <c r="B865" s="105"/>
      <c r="C865" s="72"/>
      <c r="D865" s="76"/>
      <c r="E865" s="125">
        <v>0</v>
      </c>
      <c r="F865" s="125">
        <v>0</v>
      </c>
      <c r="G865" s="125">
        <v>0</v>
      </c>
      <c r="H865" s="125">
        <v>0</v>
      </c>
      <c r="I865" s="125">
        <v>0</v>
      </c>
    </row>
    <row r="866" spans="1:9" s="145" customFormat="1" ht="15.75">
      <c r="A866" s="88" t="s">
        <v>2544</v>
      </c>
      <c r="B866" s="105" t="s">
        <v>6366</v>
      </c>
      <c r="C866" s="72"/>
      <c r="D866" s="76"/>
      <c r="E866" s="125">
        <v>0</v>
      </c>
      <c r="F866" s="125">
        <v>0</v>
      </c>
      <c r="G866" s="125">
        <v>0</v>
      </c>
      <c r="H866" s="125">
        <v>0</v>
      </c>
      <c r="I866" s="125">
        <v>0</v>
      </c>
    </row>
    <row r="867" spans="1:9" s="145" customFormat="1" ht="15.75">
      <c r="A867" s="70" t="s">
        <v>2148</v>
      </c>
      <c r="B867" s="105" t="s">
        <v>6139</v>
      </c>
      <c r="C867" s="72" t="s">
        <v>657</v>
      </c>
      <c r="D867" s="76"/>
      <c r="E867" s="125">
        <v>81731197</v>
      </c>
      <c r="F867" s="125">
        <v>88782013</v>
      </c>
      <c r="G867" s="125">
        <v>96183164</v>
      </c>
      <c r="H867" s="125">
        <v>115000000</v>
      </c>
      <c r="I867" s="125">
        <v>130000000</v>
      </c>
    </row>
    <row r="868" spans="1:9" s="145" customFormat="1" ht="31.5">
      <c r="A868" s="70" t="s">
        <v>2919</v>
      </c>
      <c r="B868" s="105" t="s">
        <v>6367</v>
      </c>
      <c r="C868" s="72" t="s">
        <v>806</v>
      </c>
      <c r="D868" s="76"/>
      <c r="E868" s="125">
        <v>31932404</v>
      </c>
      <c r="F868" s="125">
        <v>28378702</v>
      </c>
      <c r="G868" s="125">
        <v>21560022</v>
      </c>
      <c r="H868" s="125">
        <v>40011000</v>
      </c>
      <c r="I868" s="125">
        <v>40011000</v>
      </c>
    </row>
    <row r="869" spans="1:9" s="145" customFormat="1" ht="31.5">
      <c r="A869" s="70" t="s">
        <v>2531</v>
      </c>
      <c r="B869" s="105" t="s">
        <v>6346</v>
      </c>
      <c r="C869" s="72" t="s">
        <v>1137</v>
      </c>
      <c r="D869" s="76"/>
      <c r="E869" s="125">
        <v>5758173</v>
      </c>
      <c r="F869" s="125">
        <v>4827924</v>
      </c>
      <c r="G869" s="125">
        <v>6087820</v>
      </c>
      <c r="H869" s="125">
        <v>10060000</v>
      </c>
      <c r="I869" s="125">
        <v>8048000</v>
      </c>
    </row>
    <row r="870" spans="1:9" s="145" customFormat="1" ht="31.5">
      <c r="A870" s="70" t="s">
        <v>2357</v>
      </c>
      <c r="B870" s="105" t="s">
        <v>6322</v>
      </c>
      <c r="C870" s="155" t="s">
        <v>1325</v>
      </c>
      <c r="D870" s="76"/>
      <c r="E870" s="125">
        <v>76251210</v>
      </c>
      <c r="F870" s="125">
        <v>35544006</v>
      </c>
      <c r="G870" s="125">
        <v>26788018</v>
      </c>
      <c r="H870" s="125">
        <v>180900000</v>
      </c>
      <c r="I870" s="125">
        <v>105900000</v>
      </c>
    </row>
    <row r="871" spans="1:9" s="145" customFormat="1" ht="31.5">
      <c r="A871" s="70" t="s">
        <v>2358</v>
      </c>
      <c r="B871" s="105" t="s">
        <v>6323</v>
      </c>
      <c r="C871" s="155" t="s">
        <v>1328</v>
      </c>
      <c r="D871" s="76"/>
      <c r="E871" s="125">
        <v>24145821</v>
      </c>
      <c r="F871" s="125">
        <v>32985672</v>
      </c>
      <c r="G871" s="125">
        <v>20760761</v>
      </c>
      <c r="H871" s="125">
        <v>36050000</v>
      </c>
      <c r="I871" s="125">
        <v>35500000</v>
      </c>
    </row>
    <row r="872" spans="1:9" s="145" customFormat="1" ht="15.75">
      <c r="A872" s="70"/>
      <c r="B872" s="105"/>
      <c r="C872" s="72"/>
      <c r="D872" s="76"/>
      <c r="E872" s="125">
        <v>0</v>
      </c>
      <c r="F872" s="125">
        <v>0</v>
      </c>
      <c r="G872" s="125">
        <v>0</v>
      </c>
      <c r="H872" s="125">
        <v>0</v>
      </c>
      <c r="I872" s="125">
        <v>0</v>
      </c>
    </row>
    <row r="873" spans="1:9" s="145" customFormat="1" ht="15.75">
      <c r="A873" s="77" t="s">
        <v>2366</v>
      </c>
      <c r="B873" s="136" t="s">
        <v>146</v>
      </c>
      <c r="C873" s="72"/>
      <c r="D873" s="76"/>
      <c r="E873" s="125">
        <v>219818805</v>
      </c>
      <c r="F873" s="125">
        <v>190518317</v>
      </c>
      <c r="G873" s="125">
        <v>171379785</v>
      </c>
      <c r="H873" s="125">
        <v>382021000</v>
      </c>
      <c r="I873" s="125">
        <v>319459000</v>
      </c>
    </row>
    <row r="874" spans="1:9" s="145" customFormat="1" ht="15.75">
      <c r="A874" s="70"/>
      <c r="B874" s="105"/>
      <c r="C874" s="72"/>
      <c r="D874" s="76"/>
      <c r="E874" s="125">
        <v>0</v>
      </c>
      <c r="F874" s="125">
        <v>0</v>
      </c>
      <c r="G874" s="125">
        <v>0</v>
      </c>
      <c r="H874" s="125">
        <v>0</v>
      </c>
      <c r="I874" s="125">
        <v>0</v>
      </c>
    </row>
    <row r="875" spans="1:9" s="145" customFormat="1" ht="15.75">
      <c r="A875" s="77" t="s">
        <v>2367</v>
      </c>
      <c r="B875" s="136" t="s">
        <v>6309</v>
      </c>
      <c r="C875" s="72"/>
      <c r="D875" s="76"/>
      <c r="E875" s="125">
        <v>640000241</v>
      </c>
      <c r="F875" s="125">
        <v>655857755</v>
      </c>
      <c r="G875" s="125">
        <v>622225005</v>
      </c>
      <c r="H875" s="125">
        <v>876281000</v>
      </c>
      <c r="I875" s="125">
        <v>1006809000</v>
      </c>
    </row>
    <row r="876" spans="1:9" s="145" customFormat="1" ht="15.75">
      <c r="A876" s="70"/>
      <c r="B876" s="105"/>
      <c r="C876" s="72"/>
      <c r="D876" s="76"/>
      <c r="E876" s="125">
        <v>0</v>
      </c>
      <c r="F876" s="125">
        <v>0</v>
      </c>
      <c r="G876" s="125">
        <v>0</v>
      </c>
      <c r="H876" s="125">
        <v>0</v>
      </c>
      <c r="I876" s="125">
        <v>0</v>
      </c>
    </row>
    <row r="877" spans="1:9" s="145" customFormat="1" ht="15.75">
      <c r="A877" s="88" t="s">
        <v>4660</v>
      </c>
      <c r="B877" s="105" t="s">
        <v>6368</v>
      </c>
      <c r="C877" s="72"/>
      <c r="D877" s="76"/>
      <c r="E877" s="125">
        <v>0</v>
      </c>
      <c r="F877" s="125">
        <v>0</v>
      </c>
      <c r="G877" s="125">
        <v>0</v>
      </c>
      <c r="H877" s="125">
        <v>0</v>
      </c>
      <c r="I877" s="125">
        <v>0</v>
      </c>
    </row>
    <row r="878" spans="1:9" s="145" customFormat="1" ht="15.75">
      <c r="A878" s="70" t="s">
        <v>2545</v>
      </c>
      <c r="B878" s="105" t="s">
        <v>5852</v>
      </c>
      <c r="C878" s="75" t="s">
        <v>62</v>
      </c>
      <c r="D878" s="76"/>
      <c r="E878" s="125">
        <v>499586</v>
      </c>
      <c r="F878" s="125">
        <v>318977</v>
      </c>
      <c r="G878" s="125">
        <v>399807</v>
      </c>
      <c r="H878" s="125">
        <v>500000</v>
      </c>
      <c r="I878" s="125">
        <v>500000</v>
      </c>
    </row>
    <row r="879" spans="1:9" s="145" customFormat="1" ht="94.5">
      <c r="A879" s="70" t="s">
        <v>2546</v>
      </c>
      <c r="B879" s="105" t="s">
        <v>6369</v>
      </c>
      <c r="C879" s="75" t="s">
        <v>1414</v>
      </c>
      <c r="D879" s="76"/>
      <c r="E879" s="125">
        <v>2500000</v>
      </c>
      <c r="F879" s="125">
        <v>1681631</v>
      </c>
      <c r="G879" s="125">
        <v>794260</v>
      </c>
      <c r="H879" s="125">
        <v>7500000</v>
      </c>
      <c r="I879" s="125">
        <v>6000000</v>
      </c>
    </row>
    <row r="880" spans="1:9" s="145" customFormat="1" ht="15.75">
      <c r="A880" s="70"/>
      <c r="B880" s="105"/>
      <c r="C880" s="72"/>
      <c r="D880" s="76"/>
      <c r="E880" s="125">
        <v>0</v>
      </c>
      <c r="F880" s="125">
        <v>0</v>
      </c>
      <c r="G880" s="125">
        <v>0</v>
      </c>
      <c r="H880" s="125">
        <v>0</v>
      </c>
      <c r="I880" s="125">
        <v>0</v>
      </c>
    </row>
    <row r="881" spans="1:9" s="145" customFormat="1" ht="15.75">
      <c r="A881" s="77" t="s">
        <v>2505</v>
      </c>
      <c r="B881" s="136" t="s">
        <v>6309</v>
      </c>
      <c r="C881" s="72"/>
      <c r="D881" s="76"/>
      <c r="E881" s="125">
        <v>2999586</v>
      </c>
      <c r="F881" s="125">
        <v>2000608</v>
      </c>
      <c r="G881" s="125">
        <v>1194067</v>
      </c>
      <c r="H881" s="125">
        <v>8000000</v>
      </c>
      <c r="I881" s="125">
        <v>6500000</v>
      </c>
    </row>
    <row r="882" spans="1:9" s="145" customFormat="1" ht="15.75">
      <c r="A882" s="88" t="s">
        <v>10459</v>
      </c>
      <c r="B882" s="105" t="s">
        <v>6370</v>
      </c>
      <c r="C882" s="72"/>
      <c r="D882" s="76"/>
      <c r="E882" s="125">
        <v>0</v>
      </c>
      <c r="F882" s="125">
        <v>0</v>
      </c>
      <c r="G882" s="125">
        <v>0</v>
      </c>
      <c r="H882" s="125">
        <v>0</v>
      </c>
      <c r="I882" s="125">
        <v>0</v>
      </c>
    </row>
    <row r="883" spans="1:9" s="145" customFormat="1" ht="15.75">
      <c r="A883" s="88" t="s">
        <v>4659</v>
      </c>
      <c r="B883" s="105" t="s">
        <v>6139</v>
      </c>
      <c r="C883" s="75" t="s">
        <v>4842</v>
      </c>
      <c r="D883" s="76"/>
      <c r="E883" s="125">
        <v>0</v>
      </c>
      <c r="F883" s="125">
        <v>0</v>
      </c>
      <c r="G883" s="125">
        <v>0</v>
      </c>
      <c r="H883" s="125">
        <v>10000000</v>
      </c>
      <c r="I883" s="125">
        <v>10000000</v>
      </c>
    </row>
    <row r="884" spans="1:9" s="145" customFormat="1" ht="15.75">
      <c r="A884" s="70" t="s">
        <v>4658</v>
      </c>
      <c r="B884" s="105" t="s">
        <v>5885</v>
      </c>
      <c r="C884" s="75" t="s">
        <v>63</v>
      </c>
      <c r="D884" s="76"/>
      <c r="E884" s="125">
        <v>161380</v>
      </c>
      <c r="F884" s="125">
        <v>382403</v>
      </c>
      <c r="G884" s="125">
        <v>33465</v>
      </c>
      <c r="H884" s="125">
        <v>500000</v>
      </c>
      <c r="I884" s="125">
        <v>0</v>
      </c>
    </row>
    <row r="885" spans="1:9" s="145" customFormat="1" ht="15.75">
      <c r="A885" s="70"/>
      <c r="B885" s="105"/>
      <c r="C885" s="72"/>
      <c r="D885" s="76"/>
      <c r="E885" s="125">
        <v>0</v>
      </c>
      <c r="F885" s="125">
        <v>0</v>
      </c>
      <c r="G885" s="125">
        <v>0</v>
      </c>
      <c r="H885" s="125">
        <v>0</v>
      </c>
      <c r="I885" s="125">
        <v>0</v>
      </c>
    </row>
    <row r="886" spans="1:9" s="145" customFormat="1" ht="15.75">
      <c r="A886" s="77" t="s">
        <v>2508</v>
      </c>
      <c r="B886" s="136" t="s">
        <v>6309</v>
      </c>
      <c r="C886" s="72"/>
      <c r="D886" s="76"/>
      <c r="E886" s="125">
        <v>161380</v>
      </c>
      <c r="F886" s="125">
        <v>382403</v>
      </c>
      <c r="G886" s="125">
        <v>33465</v>
      </c>
      <c r="H886" s="125">
        <v>10500000</v>
      </c>
      <c r="I886" s="125">
        <v>10000000</v>
      </c>
    </row>
    <row r="887" spans="1:9" s="145" customFormat="1" ht="15.75">
      <c r="A887" s="70"/>
      <c r="B887" s="105"/>
      <c r="C887" s="72"/>
      <c r="D887" s="76"/>
      <c r="E887" s="125">
        <v>0</v>
      </c>
      <c r="F887" s="125">
        <v>0</v>
      </c>
      <c r="G887" s="125">
        <v>0</v>
      </c>
      <c r="H887" s="125">
        <v>0</v>
      </c>
      <c r="I887" s="125">
        <v>0</v>
      </c>
    </row>
    <row r="888" spans="1:9" s="145" customFormat="1" ht="15.75">
      <c r="A888" s="88" t="s">
        <v>2547</v>
      </c>
      <c r="B888" s="105" t="s">
        <v>6371</v>
      </c>
      <c r="C888" s="72"/>
      <c r="D888" s="76"/>
      <c r="E888" s="125">
        <v>0</v>
      </c>
      <c r="F888" s="125">
        <v>0</v>
      </c>
      <c r="G888" s="125">
        <v>0</v>
      </c>
      <c r="H888" s="125">
        <v>0</v>
      </c>
      <c r="I888" s="125">
        <v>0</v>
      </c>
    </row>
    <row r="889" spans="1:9" s="145" customFormat="1" ht="15.75">
      <c r="A889" s="70" t="s">
        <v>2149</v>
      </c>
      <c r="B889" s="105" t="s">
        <v>5885</v>
      </c>
      <c r="C889" s="75" t="s">
        <v>1798</v>
      </c>
      <c r="D889" s="76"/>
      <c r="E889" s="125">
        <v>0</v>
      </c>
      <c r="F889" s="125">
        <v>0</v>
      </c>
      <c r="G889" s="125">
        <v>17688</v>
      </c>
      <c r="H889" s="125">
        <v>100000</v>
      </c>
      <c r="I889" s="125">
        <v>100000</v>
      </c>
    </row>
    <row r="890" spans="1:9" s="145" customFormat="1" ht="15.75">
      <c r="A890" s="70" t="s">
        <v>2548</v>
      </c>
      <c r="B890" s="105" t="s">
        <v>6372</v>
      </c>
      <c r="C890" s="75" t="s">
        <v>1415</v>
      </c>
      <c r="D890" s="76"/>
      <c r="E890" s="125">
        <v>1929959</v>
      </c>
      <c r="F890" s="125">
        <v>389273</v>
      </c>
      <c r="G890" s="125">
        <v>266224</v>
      </c>
      <c r="H890" s="125">
        <v>7500000</v>
      </c>
      <c r="I890" s="125">
        <v>6000000</v>
      </c>
    </row>
    <row r="891" spans="1:9" s="145" customFormat="1" ht="15.75">
      <c r="A891" s="70"/>
      <c r="B891" s="105"/>
      <c r="C891" s="72"/>
      <c r="D891" s="76"/>
      <c r="E891" s="125">
        <v>0</v>
      </c>
      <c r="F891" s="125">
        <v>0</v>
      </c>
      <c r="G891" s="125">
        <v>0</v>
      </c>
      <c r="H891" s="125">
        <v>0</v>
      </c>
      <c r="I891" s="125">
        <v>0</v>
      </c>
    </row>
    <row r="892" spans="1:9" s="145" customFormat="1" ht="15.75">
      <c r="A892" s="77" t="s">
        <v>2664</v>
      </c>
      <c r="B892" s="136" t="s">
        <v>6309</v>
      </c>
      <c r="C892" s="72"/>
      <c r="D892" s="76"/>
      <c r="E892" s="125">
        <v>1929959</v>
      </c>
      <c r="F892" s="125">
        <v>389273</v>
      </c>
      <c r="G892" s="125">
        <v>283912</v>
      </c>
      <c r="H892" s="125">
        <v>7600000</v>
      </c>
      <c r="I892" s="125">
        <v>6100000</v>
      </c>
    </row>
    <row r="893" spans="1:9" s="145" customFormat="1" ht="15.75">
      <c r="A893" s="70"/>
      <c r="B893" s="105"/>
      <c r="C893" s="72"/>
      <c r="D893" s="76"/>
      <c r="E893" s="125">
        <v>0</v>
      </c>
      <c r="F893" s="125">
        <v>0</v>
      </c>
      <c r="G893" s="125">
        <v>0</v>
      </c>
      <c r="H893" s="125">
        <v>0</v>
      </c>
      <c r="I893" s="125">
        <v>0</v>
      </c>
    </row>
    <row r="894" spans="1:9" s="145" customFormat="1" ht="15.75">
      <c r="A894" s="88" t="s">
        <v>10460</v>
      </c>
      <c r="B894" s="105" t="s">
        <v>10461</v>
      </c>
      <c r="C894" s="72"/>
      <c r="D894" s="76"/>
      <c r="E894" s="125">
        <v>0</v>
      </c>
      <c r="F894" s="125">
        <v>0</v>
      </c>
      <c r="G894" s="125">
        <v>0</v>
      </c>
      <c r="H894" s="125">
        <v>0</v>
      </c>
      <c r="I894" s="125">
        <v>0</v>
      </c>
    </row>
    <row r="895" spans="1:9" s="145" customFormat="1" ht="15.75">
      <c r="A895" s="70" t="s">
        <v>2545</v>
      </c>
      <c r="B895" s="105" t="s">
        <v>5852</v>
      </c>
      <c r="C895" s="75" t="s">
        <v>10462</v>
      </c>
      <c r="D895" s="76"/>
      <c r="E895" s="125">
        <v>0</v>
      </c>
      <c r="F895" s="125">
        <v>0</v>
      </c>
      <c r="G895" s="125">
        <v>0</v>
      </c>
      <c r="H895" s="125">
        <v>0</v>
      </c>
      <c r="I895" s="125">
        <v>1000000</v>
      </c>
    </row>
    <row r="896" spans="1:9" s="145" customFormat="1" ht="15.75">
      <c r="A896" s="70"/>
      <c r="B896" s="105"/>
      <c r="C896" s="72"/>
      <c r="D896" s="76"/>
      <c r="E896" s="125">
        <v>0</v>
      </c>
      <c r="F896" s="125">
        <v>0</v>
      </c>
      <c r="G896" s="125">
        <v>0</v>
      </c>
      <c r="H896" s="125">
        <v>0</v>
      </c>
      <c r="I896" s="125">
        <v>0</v>
      </c>
    </row>
    <row r="897" spans="1:9" s="145" customFormat="1" ht="15.75">
      <c r="A897" s="77" t="s">
        <v>2664</v>
      </c>
      <c r="B897" s="136" t="s">
        <v>6309</v>
      </c>
      <c r="C897" s="72"/>
      <c r="D897" s="76"/>
      <c r="E897" s="125">
        <v>0</v>
      </c>
      <c r="F897" s="125">
        <v>0</v>
      </c>
      <c r="G897" s="125">
        <v>0</v>
      </c>
      <c r="H897" s="125">
        <v>0</v>
      </c>
      <c r="I897" s="125">
        <v>1000000</v>
      </c>
    </row>
    <row r="898" spans="1:9" s="145" customFormat="1" ht="15.75">
      <c r="A898" s="70"/>
      <c r="B898" s="105"/>
      <c r="C898" s="72"/>
      <c r="D898" s="76"/>
      <c r="E898" s="125">
        <v>0</v>
      </c>
      <c r="F898" s="125">
        <v>0</v>
      </c>
      <c r="G898" s="125">
        <v>0</v>
      </c>
      <c r="H898" s="125">
        <v>0</v>
      </c>
      <c r="I898" s="125">
        <v>0</v>
      </c>
    </row>
    <row r="899" spans="1:9" s="145" customFormat="1" ht="15.75">
      <c r="A899" s="77" t="s">
        <v>2549</v>
      </c>
      <c r="B899" s="136" t="s">
        <v>6373</v>
      </c>
      <c r="C899" s="72"/>
      <c r="D899" s="76"/>
      <c r="E899" s="125">
        <v>1668673854</v>
      </c>
      <c r="F899" s="125">
        <v>1431889420</v>
      </c>
      <c r="G899" s="125">
        <v>1651334117</v>
      </c>
      <c r="H899" s="125">
        <v>3253046000</v>
      </c>
      <c r="I899" s="125">
        <v>3059594200</v>
      </c>
    </row>
    <row r="900" spans="1:9" s="145" customFormat="1">
      <c r="A900" s="89"/>
      <c r="B900" s="137"/>
      <c r="E900" s="125">
        <v>0</v>
      </c>
      <c r="F900" s="125">
        <v>0</v>
      </c>
      <c r="G900" s="125">
        <v>0</v>
      </c>
      <c r="H900" s="125">
        <v>0</v>
      </c>
      <c r="I900" s="125">
        <v>0</v>
      </c>
    </row>
    <row r="901" spans="1:9" s="145" customFormat="1" ht="15.75">
      <c r="A901" s="70" t="s">
        <v>2550</v>
      </c>
      <c r="B901" s="105" t="s">
        <v>6374</v>
      </c>
      <c r="C901" s="72"/>
      <c r="D901" s="76"/>
      <c r="E901" s="125">
        <v>0</v>
      </c>
      <c r="F901" s="125">
        <v>0</v>
      </c>
      <c r="G901" s="125">
        <v>0</v>
      </c>
      <c r="H901" s="125">
        <v>0</v>
      </c>
      <c r="I901" s="125">
        <v>0</v>
      </c>
    </row>
    <row r="902" spans="1:9" s="145" customFormat="1" ht="15.75">
      <c r="A902" s="88" t="s">
        <v>2551</v>
      </c>
      <c r="B902" s="105" t="s">
        <v>6375</v>
      </c>
      <c r="C902" s="72"/>
      <c r="D902" s="76"/>
      <c r="E902" s="125">
        <v>0</v>
      </c>
      <c r="F902" s="125">
        <v>0</v>
      </c>
      <c r="G902" s="125">
        <v>0</v>
      </c>
      <c r="H902" s="125">
        <v>0</v>
      </c>
      <c r="I902" s="125">
        <v>0</v>
      </c>
    </row>
    <row r="903" spans="1:9" s="145" customFormat="1" ht="15.75">
      <c r="A903" s="70" t="s">
        <v>2545</v>
      </c>
      <c r="B903" s="105" t="s">
        <v>5852</v>
      </c>
      <c r="C903" s="72" t="s">
        <v>807</v>
      </c>
      <c r="D903" s="76"/>
      <c r="E903" s="125">
        <v>0</v>
      </c>
      <c r="F903" s="125">
        <v>8437</v>
      </c>
      <c r="G903" s="125">
        <v>0</v>
      </c>
      <c r="H903" s="125">
        <v>10000</v>
      </c>
      <c r="I903" s="125">
        <v>10000</v>
      </c>
    </row>
    <row r="904" spans="1:9" s="145" customFormat="1" ht="31.5">
      <c r="A904" s="70" t="s">
        <v>2552</v>
      </c>
      <c r="B904" s="105" t="s">
        <v>6376</v>
      </c>
      <c r="C904" s="72" t="s">
        <v>808</v>
      </c>
      <c r="D904" s="76"/>
      <c r="E904" s="125">
        <v>225765206</v>
      </c>
      <c r="F904" s="125">
        <v>175494956</v>
      </c>
      <c r="G904" s="125">
        <v>154245098</v>
      </c>
      <c r="H904" s="125">
        <v>200000000</v>
      </c>
      <c r="I904" s="125">
        <v>200000000</v>
      </c>
    </row>
    <row r="905" spans="1:9" s="145" customFormat="1" ht="15.75">
      <c r="A905" s="70" t="s">
        <v>2553</v>
      </c>
      <c r="B905" s="105" t="s">
        <v>6377</v>
      </c>
      <c r="C905" s="72" t="s">
        <v>1503</v>
      </c>
      <c r="D905" s="76"/>
      <c r="E905" s="125">
        <v>44938182</v>
      </c>
      <c r="F905" s="125">
        <v>62489686</v>
      </c>
      <c r="G905" s="125">
        <v>59458726</v>
      </c>
      <c r="H905" s="125">
        <v>70000000</v>
      </c>
      <c r="I905" s="125">
        <v>79000000</v>
      </c>
    </row>
    <row r="906" spans="1:9" s="145" customFormat="1" ht="31.5">
      <c r="A906" s="70" t="s">
        <v>2554</v>
      </c>
      <c r="B906" s="105" t="s">
        <v>6378</v>
      </c>
      <c r="C906" s="72" t="s">
        <v>346</v>
      </c>
      <c r="D906" s="76"/>
      <c r="E906" s="125">
        <v>0</v>
      </c>
      <c r="F906" s="125">
        <v>0</v>
      </c>
      <c r="G906" s="125">
        <v>0</v>
      </c>
      <c r="H906" s="125">
        <v>500000</v>
      </c>
      <c r="I906" s="125">
        <v>0</v>
      </c>
    </row>
    <row r="907" spans="1:9" s="145" customFormat="1" ht="15.75">
      <c r="A907" s="70" t="s">
        <v>2555</v>
      </c>
      <c r="B907" s="105" t="s">
        <v>6379</v>
      </c>
      <c r="C907" s="72" t="s">
        <v>347</v>
      </c>
      <c r="D907" s="76"/>
      <c r="E907" s="125">
        <v>33441114</v>
      </c>
      <c r="F907" s="125">
        <v>28374323</v>
      </c>
      <c r="G907" s="125">
        <v>31861365</v>
      </c>
      <c r="H907" s="125">
        <v>30000000</v>
      </c>
      <c r="I907" s="125">
        <v>32000000</v>
      </c>
    </row>
    <row r="908" spans="1:9" s="145" customFormat="1" ht="15.75">
      <c r="A908" s="70" t="s">
        <v>2556</v>
      </c>
      <c r="B908" s="105" t="s">
        <v>6380</v>
      </c>
      <c r="C908" s="72" t="s">
        <v>348</v>
      </c>
      <c r="D908" s="76"/>
      <c r="E908" s="125">
        <v>39550</v>
      </c>
      <c r="F908" s="125">
        <v>175068</v>
      </c>
      <c r="G908" s="125">
        <v>177040</v>
      </c>
      <c r="H908" s="125">
        <v>450000</v>
      </c>
      <c r="I908" s="125">
        <v>480000</v>
      </c>
    </row>
    <row r="909" spans="1:9" s="145" customFormat="1" ht="31.5">
      <c r="A909" s="70" t="s">
        <v>2557</v>
      </c>
      <c r="B909" s="105" t="s">
        <v>6381</v>
      </c>
      <c r="C909" s="72" t="s">
        <v>16</v>
      </c>
      <c r="D909" s="76"/>
      <c r="E909" s="125">
        <v>0</v>
      </c>
      <c r="F909" s="125">
        <v>146650</v>
      </c>
      <c r="G909" s="125">
        <v>418712</v>
      </c>
      <c r="H909" s="125">
        <v>1000000</v>
      </c>
      <c r="I909" s="125">
        <v>1600000</v>
      </c>
    </row>
    <row r="910" spans="1:9" s="145" customFormat="1" ht="15.75">
      <c r="A910" s="70"/>
      <c r="B910" s="105"/>
      <c r="C910" s="72"/>
      <c r="D910" s="76"/>
      <c r="E910" s="125">
        <v>0</v>
      </c>
      <c r="F910" s="125">
        <v>0</v>
      </c>
      <c r="G910" s="125">
        <v>0</v>
      </c>
      <c r="H910" s="125">
        <v>0</v>
      </c>
      <c r="I910" s="125">
        <v>0</v>
      </c>
    </row>
    <row r="911" spans="1:9" s="145" customFormat="1" ht="15.75">
      <c r="A911" s="77" t="s">
        <v>2320</v>
      </c>
      <c r="B911" s="136" t="s">
        <v>146</v>
      </c>
      <c r="C911" s="72"/>
      <c r="D911" s="76"/>
      <c r="E911" s="125">
        <v>304184052</v>
      </c>
      <c r="F911" s="125">
        <v>266689120</v>
      </c>
      <c r="G911" s="125">
        <v>246160941</v>
      </c>
      <c r="H911" s="125">
        <v>301960000</v>
      </c>
      <c r="I911" s="125">
        <v>313090000</v>
      </c>
    </row>
    <row r="912" spans="1:9" s="145" customFormat="1" ht="15.75">
      <c r="A912" s="70"/>
      <c r="B912" s="105"/>
      <c r="C912" s="72"/>
      <c r="D912" s="76"/>
      <c r="E912" s="125">
        <v>0</v>
      </c>
      <c r="F912" s="125">
        <v>0</v>
      </c>
      <c r="G912" s="125">
        <v>0</v>
      </c>
      <c r="H912" s="125">
        <v>0</v>
      </c>
      <c r="I912" s="125">
        <v>0</v>
      </c>
    </row>
    <row r="913" spans="1:9" s="145" customFormat="1" ht="15.75">
      <c r="A913" s="70" t="s">
        <v>2558</v>
      </c>
      <c r="B913" s="105" t="s">
        <v>6382</v>
      </c>
      <c r="C913" s="72"/>
      <c r="D913" s="76"/>
      <c r="E913" s="125">
        <v>0</v>
      </c>
      <c r="F913" s="125">
        <v>0</v>
      </c>
      <c r="G913" s="125">
        <v>0</v>
      </c>
      <c r="H913" s="125">
        <v>0</v>
      </c>
      <c r="I913" s="125">
        <v>0</v>
      </c>
    </row>
    <row r="914" spans="1:9" s="145" customFormat="1" ht="31.5">
      <c r="A914" s="70" t="s">
        <v>2559</v>
      </c>
      <c r="B914" s="105" t="s">
        <v>6383</v>
      </c>
      <c r="C914" s="72" t="s">
        <v>349</v>
      </c>
      <c r="D914" s="76"/>
      <c r="E914" s="125">
        <v>1911768</v>
      </c>
      <c r="F914" s="125">
        <v>1828578</v>
      </c>
      <c r="G914" s="125">
        <v>1882133</v>
      </c>
      <c r="H914" s="125">
        <v>5000000</v>
      </c>
      <c r="I914" s="125">
        <v>6000000</v>
      </c>
    </row>
    <row r="915" spans="1:9" s="145" customFormat="1" ht="31.5">
      <c r="A915" s="70" t="s">
        <v>2560</v>
      </c>
      <c r="B915" s="105" t="s">
        <v>6384</v>
      </c>
      <c r="C915" s="72" t="s">
        <v>350</v>
      </c>
      <c r="D915" s="76"/>
      <c r="E915" s="125">
        <v>6076545</v>
      </c>
      <c r="F915" s="125">
        <v>7463218</v>
      </c>
      <c r="G915" s="125">
        <v>7869133</v>
      </c>
      <c r="H915" s="125">
        <v>9000000</v>
      </c>
      <c r="I915" s="125">
        <v>12500000</v>
      </c>
    </row>
    <row r="916" spans="1:9" s="145" customFormat="1" ht="15.75">
      <c r="A916" s="70" t="s">
        <v>2149</v>
      </c>
      <c r="B916" s="105" t="s">
        <v>5885</v>
      </c>
      <c r="C916" s="72" t="s">
        <v>351</v>
      </c>
      <c r="D916" s="76"/>
      <c r="E916" s="125">
        <v>30303</v>
      </c>
      <c r="F916" s="125">
        <v>42162</v>
      </c>
      <c r="G916" s="125">
        <v>74122</v>
      </c>
      <c r="H916" s="125">
        <v>80000</v>
      </c>
      <c r="I916" s="125">
        <v>80000</v>
      </c>
    </row>
    <row r="917" spans="1:9" s="145" customFormat="1" ht="15.75">
      <c r="A917" s="70" t="s">
        <v>2561</v>
      </c>
      <c r="B917" s="105" t="s">
        <v>6385</v>
      </c>
      <c r="C917" s="72" t="s">
        <v>352</v>
      </c>
      <c r="D917" s="76"/>
      <c r="E917" s="125">
        <v>0</v>
      </c>
      <c r="F917" s="125">
        <v>0</v>
      </c>
      <c r="G917" s="125">
        <v>0</v>
      </c>
      <c r="H917" s="125">
        <v>70000</v>
      </c>
      <c r="I917" s="125">
        <v>120000</v>
      </c>
    </row>
    <row r="918" spans="1:9" s="145" customFormat="1" ht="15.75">
      <c r="A918" s="70" t="s">
        <v>2875</v>
      </c>
      <c r="B918" s="105" t="s">
        <v>6386</v>
      </c>
      <c r="C918" s="72" t="s">
        <v>353</v>
      </c>
      <c r="D918" s="76"/>
      <c r="E918" s="125">
        <v>599560</v>
      </c>
      <c r="F918" s="125">
        <v>765000</v>
      </c>
      <c r="G918" s="125">
        <v>719970</v>
      </c>
      <c r="H918" s="125">
        <v>900000</v>
      </c>
      <c r="I918" s="125">
        <v>1000000</v>
      </c>
    </row>
    <row r="919" spans="1:9" s="145" customFormat="1" ht="15.75">
      <c r="A919" s="70" t="s">
        <v>2562</v>
      </c>
      <c r="B919" s="105" t="s">
        <v>6387</v>
      </c>
      <c r="C919" s="72" t="s">
        <v>354</v>
      </c>
      <c r="D919" s="76"/>
      <c r="E919" s="125">
        <v>0</v>
      </c>
      <c r="F919" s="125">
        <v>0</v>
      </c>
      <c r="G919" s="125">
        <v>0</v>
      </c>
      <c r="H919" s="125">
        <v>50000</v>
      </c>
      <c r="I919" s="125">
        <v>48000</v>
      </c>
    </row>
    <row r="920" spans="1:9" s="145" customFormat="1" ht="15.75">
      <c r="A920" s="70" t="s">
        <v>2563</v>
      </c>
      <c r="B920" s="105" t="s">
        <v>6388</v>
      </c>
      <c r="C920" s="72" t="s">
        <v>355</v>
      </c>
      <c r="D920" s="76"/>
      <c r="E920" s="125">
        <v>0</v>
      </c>
      <c r="F920" s="125">
        <v>0</v>
      </c>
      <c r="G920" s="125">
        <v>0</v>
      </c>
      <c r="H920" s="125">
        <v>50000</v>
      </c>
      <c r="I920" s="125">
        <v>48000</v>
      </c>
    </row>
    <row r="921" spans="1:9" s="145" customFormat="1" ht="15.75">
      <c r="A921" s="70" t="s">
        <v>2564</v>
      </c>
      <c r="B921" s="105" t="s">
        <v>6389</v>
      </c>
      <c r="C921" s="72" t="s">
        <v>516</v>
      </c>
      <c r="D921" s="76"/>
      <c r="E921" s="125">
        <v>3750</v>
      </c>
      <c r="F921" s="125">
        <v>3750</v>
      </c>
      <c r="G921" s="125">
        <v>5000</v>
      </c>
      <c r="H921" s="125">
        <v>15000</v>
      </c>
      <c r="I921" s="125">
        <v>20000</v>
      </c>
    </row>
    <row r="922" spans="1:9" s="145" customFormat="1" ht="15.75">
      <c r="A922" s="70" t="s">
        <v>2565</v>
      </c>
      <c r="B922" s="105" t="s">
        <v>6390</v>
      </c>
      <c r="C922" s="72" t="s">
        <v>163</v>
      </c>
      <c r="D922" s="76"/>
      <c r="E922" s="125">
        <v>3495530</v>
      </c>
      <c r="F922" s="125">
        <v>2974686</v>
      </c>
      <c r="G922" s="125">
        <v>2039525</v>
      </c>
      <c r="H922" s="125">
        <v>2500000</v>
      </c>
      <c r="I922" s="125">
        <v>2400000</v>
      </c>
    </row>
    <row r="923" spans="1:9" s="145" customFormat="1" ht="31.5">
      <c r="A923" s="70" t="s">
        <v>2566</v>
      </c>
      <c r="B923" s="105" t="s">
        <v>6391</v>
      </c>
      <c r="C923" s="72" t="s">
        <v>17</v>
      </c>
      <c r="D923" s="76"/>
      <c r="E923" s="125">
        <v>565932</v>
      </c>
      <c r="F923" s="125">
        <v>578526</v>
      </c>
      <c r="G923" s="125">
        <v>668072</v>
      </c>
      <c r="H923" s="125">
        <v>700000</v>
      </c>
      <c r="I923" s="125">
        <v>800000</v>
      </c>
    </row>
    <row r="924" spans="1:9" s="145" customFormat="1" ht="31.5">
      <c r="A924" s="70" t="s">
        <v>2567</v>
      </c>
      <c r="B924" s="105" t="s">
        <v>6392</v>
      </c>
      <c r="C924" s="72" t="s">
        <v>1416</v>
      </c>
      <c r="D924" s="76"/>
      <c r="E924" s="125">
        <v>282847</v>
      </c>
      <c r="F924" s="125">
        <v>737077</v>
      </c>
      <c r="G924" s="125">
        <v>43622</v>
      </c>
      <c r="H924" s="125">
        <v>500000</v>
      </c>
      <c r="I924" s="125">
        <v>400000</v>
      </c>
    </row>
    <row r="925" spans="1:9" s="145" customFormat="1" ht="15.75">
      <c r="A925" s="70"/>
      <c r="B925" s="105"/>
      <c r="C925" s="72"/>
      <c r="D925" s="76"/>
      <c r="E925" s="125">
        <v>0</v>
      </c>
      <c r="F925" s="125">
        <v>0</v>
      </c>
      <c r="G925" s="125">
        <v>0</v>
      </c>
      <c r="H925" s="125">
        <v>0</v>
      </c>
      <c r="I925" s="125">
        <v>0</v>
      </c>
    </row>
    <row r="926" spans="1:9" s="145" customFormat="1" ht="15.75">
      <c r="A926" s="77" t="s">
        <v>2386</v>
      </c>
      <c r="B926" s="136" t="s">
        <v>146</v>
      </c>
      <c r="C926" s="72"/>
      <c r="D926" s="76"/>
      <c r="E926" s="125">
        <v>12966235</v>
      </c>
      <c r="F926" s="125">
        <v>14392997</v>
      </c>
      <c r="G926" s="125">
        <v>13301577</v>
      </c>
      <c r="H926" s="125">
        <v>18865000</v>
      </c>
      <c r="I926" s="125">
        <v>23416000</v>
      </c>
    </row>
    <row r="927" spans="1:9" s="145" customFormat="1" ht="15.75">
      <c r="A927" s="70"/>
      <c r="B927" s="105"/>
      <c r="C927" s="72"/>
      <c r="D927" s="76"/>
      <c r="E927" s="125">
        <v>0</v>
      </c>
      <c r="F927" s="125">
        <v>0</v>
      </c>
      <c r="G927" s="125">
        <v>0</v>
      </c>
      <c r="H927" s="125">
        <v>0</v>
      </c>
      <c r="I927" s="125">
        <v>0</v>
      </c>
    </row>
    <row r="928" spans="1:9" s="145" customFormat="1" ht="15.75">
      <c r="A928" s="88" t="s">
        <v>2568</v>
      </c>
      <c r="B928" s="105" t="s">
        <v>6393</v>
      </c>
      <c r="C928" s="72"/>
      <c r="D928" s="76"/>
      <c r="E928" s="125">
        <v>0</v>
      </c>
      <c r="F928" s="125">
        <v>0</v>
      </c>
      <c r="G928" s="125">
        <v>0</v>
      </c>
      <c r="H928" s="125">
        <v>0</v>
      </c>
      <c r="I928" s="125">
        <v>0</v>
      </c>
    </row>
    <row r="929" spans="1:9" s="145" customFormat="1" ht="15.75">
      <c r="A929" s="70" t="s">
        <v>2148</v>
      </c>
      <c r="B929" s="105" t="s">
        <v>6139</v>
      </c>
      <c r="C929" s="72" t="s">
        <v>164</v>
      </c>
      <c r="D929" s="76"/>
      <c r="E929" s="125">
        <v>2576657</v>
      </c>
      <c r="F929" s="125">
        <v>2696895</v>
      </c>
      <c r="G929" s="125">
        <v>7797513</v>
      </c>
      <c r="H929" s="125">
        <v>5000000</v>
      </c>
      <c r="I929" s="125">
        <v>10000000</v>
      </c>
    </row>
    <row r="930" spans="1:9" s="145" customFormat="1" ht="31.5">
      <c r="A930" s="70" t="s">
        <v>2569</v>
      </c>
      <c r="B930" s="105" t="s">
        <v>6394</v>
      </c>
      <c r="C930" s="72" t="s">
        <v>1020</v>
      </c>
      <c r="D930" s="76"/>
      <c r="E930" s="125">
        <v>82500197</v>
      </c>
      <c r="F930" s="125">
        <v>84033704</v>
      </c>
      <c r="G930" s="125">
        <v>95386861</v>
      </c>
      <c r="H930" s="125">
        <v>95000000</v>
      </c>
      <c r="I930" s="125">
        <v>115000000</v>
      </c>
    </row>
    <row r="931" spans="1:9" s="145" customFormat="1" ht="15.75">
      <c r="A931" s="70" t="s">
        <v>2570</v>
      </c>
      <c r="B931" s="105" t="s">
        <v>6395</v>
      </c>
      <c r="C931" s="72" t="s">
        <v>1021</v>
      </c>
      <c r="D931" s="76"/>
      <c r="E931" s="125">
        <v>210400470</v>
      </c>
      <c r="F931" s="125">
        <v>254650145</v>
      </c>
      <c r="G931" s="125">
        <v>263645028</v>
      </c>
      <c r="H931" s="125">
        <v>265000000</v>
      </c>
      <c r="I931" s="125">
        <v>300000000</v>
      </c>
    </row>
    <row r="932" spans="1:9" s="145" customFormat="1" ht="47.25">
      <c r="A932" s="70" t="s">
        <v>2571</v>
      </c>
      <c r="B932" s="105" t="s">
        <v>6396</v>
      </c>
      <c r="C932" s="72" t="s">
        <v>576</v>
      </c>
      <c r="D932" s="76"/>
      <c r="E932" s="125">
        <v>15471290</v>
      </c>
      <c r="F932" s="125">
        <v>14999991</v>
      </c>
      <c r="G932" s="125">
        <v>11349028</v>
      </c>
      <c r="H932" s="125">
        <v>25000000</v>
      </c>
      <c r="I932" s="125">
        <v>10000000</v>
      </c>
    </row>
    <row r="933" spans="1:9" s="145" customFormat="1" ht="31.5">
      <c r="A933" s="70" t="s">
        <v>2572</v>
      </c>
      <c r="B933" s="105" t="s">
        <v>6397</v>
      </c>
      <c r="C933" s="72" t="s">
        <v>905</v>
      </c>
      <c r="D933" s="76"/>
      <c r="E933" s="125">
        <v>19842896</v>
      </c>
      <c r="F933" s="125">
        <v>20000000</v>
      </c>
      <c r="G933" s="125">
        <v>46340973</v>
      </c>
      <c r="H933" s="125">
        <v>55000000</v>
      </c>
      <c r="I933" s="125">
        <v>70000000</v>
      </c>
    </row>
    <row r="934" spans="1:9" s="145" customFormat="1" ht="15.75">
      <c r="A934" s="70" t="s">
        <v>2326</v>
      </c>
      <c r="B934" s="105" t="s">
        <v>6088</v>
      </c>
      <c r="C934" s="72" t="s">
        <v>906</v>
      </c>
      <c r="D934" s="76"/>
      <c r="E934" s="125">
        <v>498077</v>
      </c>
      <c r="F934" s="125">
        <v>924996</v>
      </c>
      <c r="G934" s="125">
        <v>627323</v>
      </c>
      <c r="H934" s="125">
        <v>400000</v>
      </c>
      <c r="I934" s="125">
        <v>1000000</v>
      </c>
    </row>
    <row r="935" spans="1:9" s="145" customFormat="1" ht="15.75">
      <c r="A935" s="70" t="s">
        <v>2573</v>
      </c>
      <c r="B935" s="105" t="s">
        <v>6398</v>
      </c>
      <c r="C935" s="72" t="s">
        <v>907</v>
      </c>
      <c r="D935" s="76"/>
      <c r="E935" s="125">
        <v>2999998</v>
      </c>
      <c r="F935" s="125">
        <v>2522438</v>
      </c>
      <c r="G935" s="125">
        <v>2928427</v>
      </c>
      <c r="H935" s="125">
        <v>2500000</v>
      </c>
      <c r="I935" s="125">
        <v>2800000</v>
      </c>
    </row>
    <row r="936" spans="1:9" s="145" customFormat="1" ht="15.75">
      <c r="A936" s="70" t="s">
        <v>2876</v>
      </c>
      <c r="B936" s="105" t="s">
        <v>6399</v>
      </c>
      <c r="C936" s="72" t="s">
        <v>908</v>
      </c>
      <c r="D936" s="76"/>
      <c r="E936" s="125">
        <v>938900</v>
      </c>
      <c r="F936" s="125">
        <v>1507240</v>
      </c>
      <c r="G936" s="125">
        <v>1360000</v>
      </c>
      <c r="H936" s="125">
        <v>2000000</v>
      </c>
      <c r="I936" s="125">
        <v>2500000</v>
      </c>
    </row>
    <row r="937" spans="1:9" s="145" customFormat="1" ht="15.75">
      <c r="A937" s="70" t="s">
        <v>2574</v>
      </c>
      <c r="B937" s="105" t="s">
        <v>6400</v>
      </c>
      <c r="C937" s="72" t="s">
        <v>909</v>
      </c>
      <c r="D937" s="76"/>
      <c r="E937" s="125">
        <v>0</v>
      </c>
      <c r="F937" s="125">
        <v>51000</v>
      </c>
      <c r="G937" s="125">
        <v>14548</v>
      </c>
      <c r="H937" s="125">
        <v>100000</v>
      </c>
      <c r="I937" s="125">
        <v>160000</v>
      </c>
    </row>
    <row r="938" spans="1:9" s="145" customFormat="1" ht="31.5">
      <c r="A938" s="70" t="s">
        <v>2575</v>
      </c>
      <c r="B938" s="105" t="s">
        <v>6401</v>
      </c>
      <c r="C938" s="72" t="s">
        <v>910</v>
      </c>
      <c r="D938" s="76"/>
      <c r="E938" s="125">
        <v>16603</v>
      </c>
      <c r="F938" s="125">
        <v>8058</v>
      </c>
      <c r="G938" s="125">
        <v>0</v>
      </c>
      <c r="H938" s="125">
        <v>75000</v>
      </c>
      <c r="I938" s="125">
        <v>60000</v>
      </c>
    </row>
    <row r="939" spans="1:9" s="145" customFormat="1" ht="15.75">
      <c r="A939" s="70" t="s">
        <v>2576</v>
      </c>
      <c r="B939" s="105" t="s">
        <v>6402</v>
      </c>
      <c r="C939" s="72" t="s">
        <v>911</v>
      </c>
      <c r="D939" s="76"/>
      <c r="E939" s="125">
        <v>600</v>
      </c>
      <c r="F939" s="125">
        <v>0</v>
      </c>
      <c r="G939" s="125">
        <v>0</v>
      </c>
      <c r="H939" s="125">
        <v>10000</v>
      </c>
      <c r="I939" s="125">
        <v>8000</v>
      </c>
    </row>
    <row r="940" spans="1:9" s="145" customFormat="1" ht="15.75">
      <c r="A940" s="70" t="s">
        <v>2577</v>
      </c>
      <c r="B940" s="105" t="s">
        <v>6403</v>
      </c>
      <c r="C940" s="72" t="s">
        <v>912</v>
      </c>
      <c r="D940" s="76"/>
      <c r="E940" s="125">
        <v>39826</v>
      </c>
      <c r="F940" s="125">
        <v>79800</v>
      </c>
      <c r="G940" s="125">
        <v>119800</v>
      </c>
      <c r="H940" s="125">
        <v>300000</v>
      </c>
      <c r="I940" s="125">
        <v>240000</v>
      </c>
    </row>
    <row r="941" spans="1:9" s="145" customFormat="1" ht="15.75">
      <c r="A941" s="70" t="s">
        <v>2578</v>
      </c>
      <c r="B941" s="105" t="s">
        <v>6404</v>
      </c>
      <c r="C941" s="72" t="s">
        <v>913</v>
      </c>
      <c r="D941" s="76"/>
      <c r="E941" s="125">
        <v>0</v>
      </c>
      <c r="F941" s="125">
        <v>0</v>
      </c>
      <c r="G941" s="125">
        <v>0</v>
      </c>
      <c r="H941" s="125">
        <v>500000</v>
      </c>
      <c r="I941" s="125">
        <v>400000</v>
      </c>
    </row>
    <row r="942" spans="1:9" s="145" customFormat="1" ht="30">
      <c r="A942" s="73" t="s">
        <v>2579</v>
      </c>
      <c r="B942" s="105" t="s">
        <v>6405</v>
      </c>
      <c r="C942" s="72" t="s">
        <v>914</v>
      </c>
      <c r="D942" s="76"/>
      <c r="E942" s="125">
        <v>491353</v>
      </c>
      <c r="F942" s="125">
        <v>0</v>
      </c>
      <c r="G942" s="125">
        <v>799996</v>
      </c>
      <c r="H942" s="125">
        <v>0</v>
      </c>
      <c r="I942" s="125">
        <v>0</v>
      </c>
    </row>
    <row r="943" spans="1:9" s="145" customFormat="1" ht="15.75">
      <c r="A943" s="70" t="s">
        <v>2580</v>
      </c>
      <c r="B943" s="105" t="s">
        <v>6406</v>
      </c>
      <c r="C943" s="72" t="s">
        <v>915</v>
      </c>
      <c r="D943" s="76"/>
      <c r="E943" s="125">
        <v>3045966</v>
      </c>
      <c r="F943" s="125">
        <v>6628565</v>
      </c>
      <c r="G943" s="125">
        <v>7871421</v>
      </c>
      <c r="H943" s="125">
        <v>20000000</v>
      </c>
      <c r="I943" s="125">
        <v>20000000</v>
      </c>
    </row>
    <row r="944" spans="1:9" s="145" customFormat="1" ht="31.5">
      <c r="A944" s="70" t="s">
        <v>2581</v>
      </c>
      <c r="B944" s="105" t="s">
        <v>6407</v>
      </c>
      <c r="C944" s="72" t="s">
        <v>529</v>
      </c>
      <c r="D944" s="76"/>
      <c r="E944" s="125">
        <v>0</v>
      </c>
      <c r="F944" s="125">
        <v>0</v>
      </c>
      <c r="G944" s="125">
        <v>0</v>
      </c>
      <c r="H944" s="125">
        <v>100000</v>
      </c>
      <c r="I944" s="125">
        <v>160000</v>
      </c>
    </row>
    <row r="945" spans="1:9" s="145" customFormat="1" ht="15.75">
      <c r="A945" s="70" t="s">
        <v>2582</v>
      </c>
      <c r="B945" s="105" t="s">
        <v>6408</v>
      </c>
      <c r="C945" s="72" t="s">
        <v>305</v>
      </c>
      <c r="D945" s="76"/>
      <c r="E945" s="125">
        <v>35250</v>
      </c>
      <c r="F945" s="125">
        <v>35250</v>
      </c>
      <c r="G945" s="125">
        <v>34000</v>
      </c>
      <c r="H945" s="125">
        <v>50000</v>
      </c>
      <c r="I945" s="125">
        <v>40000</v>
      </c>
    </row>
    <row r="946" spans="1:9" s="145" customFormat="1" ht="15.75">
      <c r="A946" s="70" t="s">
        <v>2583</v>
      </c>
      <c r="B946" s="105" t="s">
        <v>6409</v>
      </c>
      <c r="C946" s="72" t="s">
        <v>18</v>
      </c>
      <c r="D946" s="76"/>
      <c r="E946" s="125">
        <v>0</v>
      </c>
      <c r="F946" s="125">
        <v>1992777</v>
      </c>
      <c r="G946" s="125">
        <v>4447627</v>
      </c>
      <c r="H946" s="125">
        <v>5000000</v>
      </c>
      <c r="I946" s="125">
        <v>8000000</v>
      </c>
    </row>
    <row r="947" spans="1:9" s="145" customFormat="1" ht="31.5">
      <c r="A947" s="70" t="s">
        <v>2584</v>
      </c>
      <c r="B947" s="105" t="s">
        <v>6410</v>
      </c>
      <c r="C947" s="72" t="s">
        <v>19</v>
      </c>
      <c r="D947" s="76"/>
      <c r="E947" s="125">
        <v>2499993</v>
      </c>
      <c r="F947" s="125">
        <v>2549991</v>
      </c>
      <c r="G947" s="125">
        <v>2039988</v>
      </c>
      <c r="H947" s="125">
        <v>2500000</v>
      </c>
      <c r="I947" s="125">
        <v>4000000</v>
      </c>
    </row>
    <row r="948" spans="1:9" s="145" customFormat="1" ht="31.5">
      <c r="A948" s="70" t="s">
        <v>2585</v>
      </c>
      <c r="B948" s="105" t="s">
        <v>6411</v>
      </c>
      <c r="C948" s="72" t="s">
        <v>20</v>
      </c>
      <c r="D948" s="76"/>
      <c r="E948" s="125">
        <v>14524760</v>
      </c>
      <c r="F948" s="125">
        <v>8489000</v>
      </c>
      <c r="G948" s="125">
        <v>8499216</v>
      </c>
      <c r="H948" s="125">
        <v>0</v>
      </c>
      <c r="I948" s="125">
        <v>0</v>
      </c>
    </row>
    <row r="949" spans="1:9" s="145" customFormat="1" ht="15.75">
      <c r="A949" s="70" t="s">
        <v>2586</v>
      </c>
      <c r="B949" s="105" t="s">
        <v>6412</v>
      </c>
      <c r="C949" s="72" t="s">
        <v>21</v>
      </c>
      <c r="D949" s="76"/>
      <c r="E949" s="125">
        <v>457000</v>
      </c>
      <c r="F949" s="125">
        <v>842000</v>
      </c>
      <c r="G949" s="125">
        <v>0</v>
      </c>
      <c r="H949" s="125">
        <v>850000</v>
      </c>
      <c r="I949" s="125">
        <v>800000</v>
      </c>
    </row>
    <row r="950" spans="1:9" s="145" customFormat="1" ht="31.5">
      <c r="A950" s="70" t="s">
        <v>2587</v>
      </c>
      <c r="B950" s="105" t="s">
        <v>6413</v>
      </c>
      <c r="C950" s="72" t="s">
        <v>22</v>
      </c>
      <c r="D950" s="76"/>
      <c r="E950" s="125">
        <v>7499993</v>
      </c>
      <c r="F950" s="125">
        <v>4000000</v>
      </c>
      <c r="G950" s="125">
        <v>3766272</v>
      </c>
      <c r="H950" s="125">
        <v>0</v>
      </c>
      <c r="I950" s="125">
        <v>0</v>
      </c>
    </row>
    <row r="951" spans="1:9" s="145" customFormat="1" ht="47.25">
      <c r="A951" s="70" t="s">
        <v>2588</v>
      </c>
      <c r="B951" s="105" t="s">
        <v>6414</v>
      </c>
      <c r="C951" s="72" t="s">
        <v>23</v>
      </c>
      <c r="D951" s="76"/>
      <c r="E951" s="125">
        <v>277848</v>
      </c>
      <c r="F951" s="125">
        <v>4250000</v>
      </c>
      <c r="G951" s="125">
        <v>3566400</v>
      </c>
      <c r="H951" s="125">
        <v>0</v>
      </c>
      <c r="I951" s="125">
        <v>0</v>
      </c>
    </row>
    <row r="952" spans="1:9" s="145" customFormat="1" ht="31.5">
      <c r="A952" s="70" t="s">
        <v>2589</v>
      </c>
      <c r="B952" s="105" t="s">
        <v>6415</v>
      </c>
      <c r="C952" s="72" t="s">
        <v>24</v>
      </c>
      <c r="D952" s="76"/>
      <c r="E952" s="125">
        <v>0</v>
      </c>
      <c r="F952" s="125">
        <v>2480000</v>
      </c>
      <c r="G952" s="125">
        <v>0</v>
      </c>
      <c r="H952" s="125">
        <v>0</v>
      </c>
      <c r="I952" s="125">
        <v>8000000</v>
      </c>
    </row>
    <row r="953" spans="1:9" s="145" customFormat="1" ht="31.5">
      <c r="A953" s="70" t="s">
        <v>2590</v>
      </c>
      <c r="B953" s="105" t="s">
        <v>6416</v>
      </c>
      <c r="C953" s="72" t="s">
        <v>1138</v>
      </c>
      <c r="D953" s="76"/>
      <c r="E953" s="125">
        <v>822088</v>
      </c>
      <c r="F953" s="125">
        <v>614706</v>
      </c>
      <c r="G953" s="125">
        <v>514892</v>
      </c>
      <c r="H953" s="125">
        <v>1000000</v>
      </c>
      <c r="I953" s="125">
        <v>1200000</v>
      </c>
    </row>
    <row r="954" spans="1:9" s="145" customFormat="1" ht="45">
      <c r="A954" s="73" t="s">
        <v>2920</v>
      </c>
      <c r="B954" s="105" t="s">
        <v>6417</v>
      </c>
      <c r="C954" s="72" t="s">
        <v>1308</v>
      </c>
      <c r="D954" s="76"/>
      <c r="E954" s="125">
        <v>4999778</v>
      </c>
      <c r="F954" s="125">
        <v>3781645</v>
      </c>
      <c r="G954" s="125">
        <v>0</v>
      </c>
      <c r="H954" s="125">
        <v>4000000</v>
      </c>
      <c r="I954" s="125">
        <v>4000000</v>
      </c>
    </row>
    <row r="955" spans="1:9" s="145" customFormat="1" ht="47.25">
      <c r="A955" s="70" t="s">
        <v>2591</v>
      </c>
      <c r="B955" s="105" t="s">
        <v>6418</v>
      </c>
      <c r="C955" s="72" t="s">
        <v>1309</v>
      </c>
      <c r="D955" s="76"/>
      <c r="E955" s="125">
        <v>4828995</v>
      </c>
      <c r="F955" s="125">
        <v>6234215</v>
      </c>
      <c r="G955" s="125">
        <v>5706087</v>
      </c>
      <c r="H955" s="125">
        <v>15000000</v>
      </c>
      <c r="I955" s="125">
        <v>12000000</v>
      </c>
    </row>
    <row r="956" spans="1:9" s="145" customFormat="1" ht="31.5">
      <c r="A956" s="70" t="s">
        <v>2592</v>
      </c>
      <c r="B956" s="105" t="s">
        <v>6419</v>
      </c>
      <c r="C956" s="72" t="s">
        <v>1310</v>
      </c>
      <c r="D956" s="76"/>
      <c r="E956" s="125">
        <v>8708191</v>
      </c>
      <c r="F956" s="125">
        <v>8016302</v>
      </c>
      <c r="G956" s="125">
        <v>5536051</v>
      </c>
      <c r="H956" s="125">
        <v>0</v>
      </c>
      <c r="I956" s="125">
        <v>8000000</v>
      </c>
    </row>
    <row r="957" spans="1:9" s="145" customFormat="1" ht="45">
      <c r="A957" s="73" t="s">
        <v>2593</v>
      </c>
      <c r="B957" s="105" t="s">
        <v>6420</v>
      </c>
      <c r="C957" s="72" t="s">
        <v>1417</v>
      </c>
      <c r="D957" s="76"/>
      <c r="E957" s="125">
        <v>1490666</v>
      </c>
      <c r="F957" s="125">
        <v>1091038</v>
      </c>
      <c r="G957" s="125">
        <v>1019988</v>
      </c>
      <c r="H957" s="125">
        <v>0</v>
      </c>
      <c r="I957" s="125">
        <v>0</v>
      </c>
    </row>
    <row r="958" spans="1:9" s="145" customFormat="1" ht="31.5">
      <c r="A958" s="70" t="s">
        <v>2594</v>
      </c>
      <c r="B958" s="105" t="s">
        <v>6421</v>
      </c>
      <c r="C958" s="72" t="s">
        <v>1418</v>
      </c>
      <c r="D958" s="76"/>
      <c r="E958" s="125">
        <v>1306540</v>
      </c>
      <c r="F958" s="125">
        <v>1272115</v>
      </c>
      <c r="G958" s="125">
        <v>999600</v>
      </c>
      <c r="H958" s="125">
        <v>0</v>
      </c>
      <c r="I958" s="125">
        <v>0</v>
      </c>
    </row>
    <row r="959" spans="1:9" s="145" customFormat="1" ht="47.25">
      <c r="A959" s="70" t="s">
        <v>4325</v>
      </c>
      <c r="B959" s="105" t="s">
        <v>6422</v>
      </c>
      <c r="C959" s="72" t="s">
        <v>1419</v>
      </c>
      <c r="D959" s="76"/>
      <c r="E959" s="125">
        <v>1405460</v>
      </c>
      <c r="F959" s="125">
        <v>790024</v>
      </c>
      <c r="G959" s="125">
        <v>981375</v>
      </c>
      <c r="H959" s="125">
        <v>0</v>
      </c>
      <c r="I959" s="125">
        <v>0</v>
      </c>
    </row>
    <row r="960" spans="1:9" s="145" customFormat="1" ht="47.25">
      <c r="A960" s="70" t="s">
        <v>2595</v>
      </c>
      <c r="B960" s="105" t="s">
        <v>6423</v>
      </c>
      <c r="C960" s="72" t="s">
        <v>1420</v>
      </c>
      <c r="D960" s="76"/>
      <c r="E960" s="125">
        <v>8858300</v>
      </c>
      <c r="F960" s="125">
        <v>8499828</v>
      </c>
      <c r="G960" s="125">
        <v>6799990</v>
      </c>
      <c r="H960" s="125">
        <v>0</v>
      </c>
      <c r="I960" s="125">
        <v>0</v>
      </c>
    </row>
    <row r="961" spans="1:9" s="145" customFormat="1" ht="47.25">
      <c r="A961" s="70" t="s">
        <v>2596</v>
      </c>
      <c r="B961" s="105" t="s">
        <v>6424</v>
      </c>
      <c r="C961" s="72" t="s">
        <v>1421</v>
      </c>
      <c r="D961" s="76"/>
      <c r="E961" s="125">
        <v>0</v>
      </c>
      <c r="F961" s="125">
        <v>0</v>
      </c>
      <c r="G961" s="125">
        <v>939705</v>
      </c>
      <c r="H961" s="125">
        <v>2000000</v>
      </c>
      <c r="I961" s="125">
        <v>1600000</v>
      </c>
    </row>
    <row r="962" spans="1:9" s="145" customFormat="1" ht="31.5">
      <c r="A962" s="70" t="s">
        <v>2597</v>
      </c>
      <c r="B962" s="105" t="s">
        <v>6425</v>
      </c>
      <c r="C962" s="72" t="s">
        <v>1422</v>
      </c>
      <c r="D962" s="76"/>
      <c r="E962" s="125">
        <v>500000</v>
      </c>
      <c r="F962" s="125">
        <v>425000</v>
      </c>
      <c r="G962" s="125">
        <v>476000</v>
      </c>
      <c r="H962" s="125">
        <v>700000</v>
      </c>
      <c r="I962" s="125">
        <v>560000</v>
      </c>
    </row>
    <row r="963" spans="1:9" s="145" customFormat="1" ht="63">
      <c r="A963" s="70" t="s">
        <v>2598</v>
      </c>
      <c r="B963" s="105" t="s">
        <v>6426</v>
      </c>
      <c r="C963" s="72" t="s">
        <v>1423</v>
      </c>
      <c r="D963" s="76"/>
      <c r="E963" s="125">
        <v>198976</v>
      </c>
      <c r="F963" s="125">
        <v>132800</v>
      </c>
      <c r="G963" s="125">
        <v>167763</v>
      </c>
      <c r="H963" s="125">
        <v>500000</v>
      </c>
      <c r="I963" s="125">
        <v>800000</v>
      </c>
    </row>
    <row r="964" spans="1:9" s="145" customFormat="1" ht="30">
      <c r="A964" s="73" t="s">
        <v>2599</v>
      </c>
      <c r="B964" s="105" t="s">
        <v>6427</v>
      </c>
      <c r="C964" s="72" t="s">
        <v>1424</v>
      </c>
      <c r="D964" s="76"/>
      <c r="E964" s="125">
        <v>0</v>
      </c>
      <c r="F964" s="125">
        <v>0</v>
      </c>
      <c r="G964" s="125">
        <v>0</v>
      </c>
      <c r="H964" s="125">
        <v>0</v>
      </c>
      <c r="I964" s="125">
        <v>4000000</v>
      </c>
    </row>
    <row r="965" spans="1:9" s="145" customFormat="1" ht="15.75">
      <c r="A965" s="70" t="s">
        <v>2600</v>
      </c>
      <c r="B965" s="105" t="s">
        <v>6428</v>
      </c>
      <c r="C965" s="72" t="s">
        <v>1799</v>
      </c>
      <c r="D965" s="76"/>
      <c r="E965" s="125">
        <v>0</v>
      </c>
      <c r="F965" s="125">
        <v>0</v>
      </c>
      <c r="G965" s="125">
        <v>42000</v>
      </c>
      <c r="H965" s="125">
        <v>300000</v>
      </c>
      <c r="I965" s="125">
        <v>800000</v>
      </c>
    </row>
    <row r="966" spans="1:9" s="145" customFormat="1" ht="15.75">
      <c r="A966" s="70" t="s">
        <v>10414</v>
      </c>
      <c r="B966" s="105"/>
      <c r="C966" s="72" t="s">
        <v>12666</v>
      </c>
      <c r="D966" s="76"/>
      <c r="E966" s="125">
        <v>0</v>
      </c>
      <c r="F966" s="125">
        <v>0</v>
      </c>
      <c r="G966" s="125">
        <v>0</v>
      </c>
      <c r="H966" s="125">
        <v>0</v>
      </c>
      <c r="I966" s="125">
        <v>8000000</v>
      </c>
    </row>
    <row r="967" spans="1:9" s="145" customFormat="1" ht="15.75">
      <c r="A967" s="70"/>
      <c r="B967" s="105"/>
      <c r="C967" s="72"/>
      <c r="D967" s="76"/>
      <c r="E967" s="125">
        <v>0</v>
      </c>
      <c r="F967" s="125">
        <v>0</v>
      </c>
      <c r="G967" s="125">
        <v>0</v>
      </c>
      <c r="H967" s="125">
        <v>0</v>
      </c>
      <c r="I967" s="125">
        <v>0</v>
      </c>
    </row>
    <row r="968" spans="1:9" s="145" customFormat="1" ht="15.75">
      <c r="A968" s="77" t="s">
        <v>2387</v>
      </c>
      <c r="B968" s="136" t="s">
        <v>146</v>
      </c>
      <c r="C968" s="72"/>
      <c r="D968" s="76"/>
      <c r="E968" s="125">
        <v>397236671</v>
      </c>
      <c r="F968" s="125">
        <v>443599523</v>
      </c>
      <c r="G968" s="125">
        <v>483777872</v>
      </c>
      <c r="H968" s="125">
        <v>502885000</v>
      </c>
      <c r="I968" s="125">
        <v>594128000</v>
      </c>
    </row>
    <row r="969" spans="1:9" s="145" customFormat="1" ht="15.75">
      <c r="A969" s="70"/>
      <c r="B969" s="105"/>
      <c r="C969" s="72"/>
      <c r="D969" s="76"/>
      <c r="E969" s="125">
        <v>0</v>
      </c>
      <c r="F969" s="125">
        <v>0</v>
      </c>
      <c r="G969" s="125">
        <v>0</v>
      </c>
      <c r="H969" s="125">
        <v>0</v>
      </c>
      <c r="I969" s="125">
        <v>0</v>
      </c>
    </row>
    <row r="970" spans="1:9" s="145" customFormat="1" ht="15.75">
      <c r="A970" s="77" t="s">
        <v>2601</v>
      </c>
      <c r="B970" s="136" t="s">
        <v>6429</v>
      </c>
      <c r="C970" s="72"/>
      <c r="D970" s="76"/>
      <c r="E970" s="125">
        <v>714386958</v>
      </c>
      <c r="F970" s="125">
        <v>724681640</v>
      </c>
      <c r="G970" s="125">
        <v>743240390</v>
      </c>
      <c r="H970" s="125">
        <v>823710000</v>
      </c>
      <c r="I970" s="125">
        <v>930634000</v>
      </c>
    </row>
    <row r="971" spans="1:9" s="145" customFormat="1" ht="15.75">
      <c r="A971" s="70"/>
      <c r="B971" s="105"/>
      <c r="C971" s="72"/>
      <c r="D971" s="76"/>
      <c r="E971" s="125">
        <v>0</v>
      </c>
      <c r="F971" s="125">
        <v>0</v>
      </c>
      <c r="G971" s="125">
        <v>0</v>
      </c>
      <c r="H971" s="125">
        <v>0</v>
      </c>
      <c r="I971" s="125">
        <v>0</v>
      </c>
    </row>
    <row r="972" spans="1:9" s="145" customFormat="1" ht="15.75">
      <c r="A972" s="70"/>
      <c r="B972" s="105"/>
      <c r="C972" s="72"/>
      <c r="D972" s="76"/>
      <c r="E972" s="125">
        <v>0</v>
      </c>
      <c r="F972" s="125">
        <v>0</v>
      </c>
      <c r="G972" s="125">
        <v>0</v>
      </c>
      <c r="H972" s="125">
        <v>0</v>
      </c>
      <c r="I972" s="125">
        <v>0</v>
      </c>
    </row>
    <row r="973" spans="1:9" s="145" customFormat="1" ht="15.75">
      <c r="A973" s="88" t="s">
        <v>2602</v>
      </c>
      <c r="B973" s="105" t="s">
        <v>6430</v>
      </c>
      <c r="C973" s="155"/>
      <c r="D973" s="76"/>
      <c r="E973" s="125">
        <v>0</v>
      </c>
      <c r="F973" s="125">
        <v>0</v>
      </c>
      <c r="G973" s="125">
        <v>0</v>
      </c>
      <c r="H973" s="125">
        <v>0</v>
      </c>
      <c r="I973" s="125">
        <v>0</v>
      </c>
    </row>
    <row r="974" spans="1:9" s="145" customFormat="1" ht="15.75">
      <c r="A974" s="70" t="s">
        <v>2603</v>
      </c>
      <c r="B974" s="105" t="s">
        <v>6431</v>
      </c>
      <c r="C974" s="72"/>
      <c r="D974" s="76"/>
      <c r="E974" s="125">
        <v>0</v>
      </c>
      <c r="F974" s="125">
        <v>0</v>
      </c>
      <c r="G974" s="125">
        <v>0</v>
      </c>
      <c r="H974" s="125">
        <v>0</v>
      </c>
      <c r="I974" s="125">
        <v>0</v>
      </c>
    </row>
    <row r="975" spans="1:9" s="145" customFormat="1" ht="15.75">
      <c r="A975" s="70" t="s">
        <v>2148</v>
      </c>
      <c r="B975" s="105" t="s">
        <v>6139</v>
      </c>
      <c r="C975" s="72" t="s">
        <v>306</v>
      </c>
      <c r="D975" s="76"/>
      <c r="E975" s="125">
        <v>19782595</v>
      </c>
      <c r="F975" s="125">
        <v>23002604</v>
      </c>
      <c r="G975" s="125">
        <v>28413266</v>
      </c>
      <c r="H975" s="125">
        <v>30000000</v>
      </c>
      <c r="I975" s="125">
        <v>40000000</v>
      </c>
    </row>
    <row r="976" spans="1:9" s="145" customFormat="1" ht="15.75">
      <c r="A976" s="70" t="s">
        <v>2149</v>
      </c>
      <c r="B976" s="105" t="s">
        <v>5885</v>
      </c>
      <c r="C976" s="72" t="s">
        <v>307</v>
      </c>
      <c r="D976" s="76"/>
      <c r="E976" s="125">
        <v>398405</v>
      </c>
      <c r="F976" s="125">
        <v>439508</v>
      </c>
      <c r="G976" s="125">
        <v>478033</v>
      </c>
      <c r="H976" s="125">
        <v>600000</v>
      </c>
      <c r="I976" s="125">
        <v>650000</v>
      </c>
    </row>
    <row r="977" spans="1:9" s="145" customFormat="1" ht="31.5">
      <c r="A977" s="70" t="s">
        <v>2604</v>
      </c>
      <c r="B977" s="105" t="s">
        <v>6432</v>
      </c>
      <c r="C977" s="72" t="s">
        <v>1139</v>
      </c>
      <c r="D977" s="76"/>
      <c r="E977" s="125">
        <v>154039</v>
      </c>
      <c r="F977" s="125">
        <v>1689082</v>
      </c>
      <c r="G977" s="125">
        <v>1118412</v>
      </c>
      <c r="H977" s="125">
        <v>7500000</v>
      </c>
      <c r="I977" s="125">
        <v>1600000</v>
      </c>
    </row>
    <row r="978" spans="1:9" s="145" customFormat="1" ht="15.75">
      <c r="A978" s="70" t="s">
        <v>2605</v>
      </c>
      <c r="B978" s="105" t="s">
        <v>6433</v>
      </c>
      <c r="C978" s="72"/>
      <c r="D978" s="76"/>
      <c r="E978" s="125">
        <v>0</v>
      </c>
      <c r="F978" s="125">
        <v>0</v>
      </c>
      <c r="G978" s="125">
        <v>0</v>
      </c>
      <c r="H978" s="125">
        <v>0</v>
      </c>
      <c r="I978" s="125">
        <v>0</v>
      </c>
    </row>
    <row r="979" spans="1:9" s="145" customFormat="1" ht="15.75">
      <c r="A979" s="70" t="s">
        <v>2606</v>
      </c>
      <c r="B979" s="105" t="s">
        <v>6434</v>
      </c>
      <c r="C979" s="72" t="s">
        <v>958</v>
      </c>
      <c r="D979" s="76"/>
      <c r="E979" s="125">
        <v>54944</v>
      </c>
      <c r="F979" s="125">
        <v>3364918</v>
      </c>
      <c r="G979" s="125">
        <v>210802</v>
      </c>
      <c r="H979" s="125">
        <v>12500000</v>
      </c>
      <c r="I979" s="125">
        <v>14000000</v>
      </c>
    </row>
    <row r="980" spans="1:9" s="145" customFormat="1" ht="15.75">
      <c r="A980" s="70" t="s">
        <v>2607</v>
      </c>
      <c r="B980" s="105" t="s">
        <v>6435</v>
      </c>
      <c r="C980" s="72" t="s">
        <v>959</v>
      </c>
      <c r="D980" s="76"/>
      <c r="E980" s="125">
        <v>23374</v>
      </c>
      <c r="F980" s="125">
        <v>24420</v>
      </c>
      <c r="G980" s="125">
        <v>34098</v>
      </c>
      <c r="H980" s="125">
        <v>5000000</v>
      </c>
      <c r="I980" s="125">
        <v>4000000</v>
      </c>
    </row>
    <row r="981" spans="1:9" s="145" customFormat="1" ht="31.5">
      <c r="A981" s="70" t="s">
        <v>2608</v>
      </c>
      <c r="B981" s="105" t="s">
        <v>6436</v>
      </c>
      <c r="C981" s="72"/>
      <c r="D981" s="76"/>
      <c r="E981" s="125">
        <v>0</v>
      </c>
      <c r="F981" s="125">
        <v>0</v>
      </c>
      <c r="G981" s="125">
        <v>0</v>
      </c>
      <c r="H981" s="125">
        <v>0</v>
      </c>
      <c r="I981" s="125">
        <v>0</v>
      </c>
    </row>
    <row r="982" spans="1:9" s="145" customFormat="1" ht="30">
      <c r="A982" s="73" t="s">
        <v>2877</v>
      </c>
      <c r="B982" s="105" t="s">
        <v>6437</v>
      </c>
      <c r="C982" s="72" t="s">
        <v>984</v>
      </c>
      <c r="D982" s="76"/>
      <c r="E982" s="125">
        <v>7999870</v>
      </c>
      <c r="F982" s="125">
        <v>11050000</v>
      </c>
      <c r="G982" s="125">
        <v>13999998</v>
      </c>
      <c r="H982" s="125">
        <v>15000000</v>
      </c>
      <c r="I982" s="125">
        <v>16800000</v>
      </c>
    </row>
    <row r="983" spans="1:9" s="145" customFormat="1" ht="31.5">
      <c r="A983" s="70" t="s">
        <v>2878</v>
      </c>
      <c r="B983" s="105" t="s">
        <v>6438</v>
      </c>
      <c r="C983" s="72" t="s">
        <v>985</v>
      </c>
      <c r="D983" s="76"/>
      <c r="E983" s="125">
        <v>716273</v>
      </c>
      <c r="F983" s="125">
        <v>1275000</v>
      </c>
      <c r="G983" s="125">
        <v>1200000</v>
      </c>
      <c r="H983" s="125">
        <v>1300000</v>
      </c>
      <c r="I983" s="125">
        <v>2000000</v>
      </c>
    </row>
    <row r="984" spans="1:9" s="145" customFormat="1" ht="63">
      <c r="A984" s="70" t="s">
        <v>2879</v>
      </c>
      <c r="B984" s="105" t="s">
        <v>6439</v>
      </c>
      <c r="C984" s="72" t="s">
        <v>986</v>
      </c>
      <c r="D984" s="76"/>
      <c r="E984" s="125">
        <v>0</v>
      </c>
      <c r="F984" s="125">
        <v>0</v>
      </c>
      <c r="G984" s="125">
        <v>1987449</v>
      </c>
      <c r="H984" s="125">
        <v>2000000</v>
      </c>
      <c r="I984" s="125">
        <v>3500000</v>
      </c>
    </row>
    <row r="985" spans="1:9" s="145" customFormat="1" ht="47.25">
      <c r="A985" s="70" t="s">
        <v>2609</v>
      </c>
      <c r="B985" s="105" t="s">
        <v>6440</v>
      </c>
      <c r="C985" s="72" t="s">
        <v>987</v>
      </c>
      <c r="D985" s="76"/>
      <c r="E985" s="125">
        <v>444570</v>
      </c>
      <c r="F985" s="125">
        <v>419265</v>
      </c>
      <c r="G985" s="125">
        <v>128515</v>
      </c>
      <c r="H985" s="125">
        <v>400000</v>
      </c>
      <c r="I985" s="125">
        <v>0</v>
      </c>
    </row>
    <row r="986" spans="1:9" s="145" customFormat="1" ht="31.5">
      <c r="A986" s="70" t="s">
        <v>2610</v>
      </c>
      <c r="B986" s="105" t="s">
        <v>6441</v>
      </c>
      <c r="C986" s="72" t="s">
        <v>988</v>
      </c>
      <c r="D986" s="76"/>
      <c r="E986" s="125">
        <v>1278945</v>
      </c>
      <c r="F986" s="125">
        <v>1244298</v>
      </c>
      <c r="G986" s="125">
        <v>958291</v>
      </c>
      <c r="H986" s="125">
        <v>3500000</v>
      </c>
      <c r="I986" s="125">
        <v>5000000</v>
      </c>
    </row>
    <row r="987" spans="1:9" s="145" customFormat="1" ht="31.5">
      <c r="A987" s="70" t="s">
        <v>2611</v>
      </c>
      <c r="B987" s="105" t="s">
        <v>6442</v>
      </c>
      <c r="C987" s="72" t="s">
        <v>1425</v>
      </c>
      <c r="D987" s="76"/>
      <c r="E987" s="125">
        <v>9705094</v>
      </c>
      <c r="F987" s="125">
        <v>10559120</v>
      </c>
      <c r="G987" s="125">
        <v>0</v>
      </c>
      <c r="H987" s="125">
        <v>0</v>
      </c>
      <c r="I987" s="125">
        <v>0</v>
      </c>
    </row>
    <row r="988" spans="1:9" s="145" customFormat="1" ht="15.75">
      <c r="A988" s="70" t="s">
        <v>5255</v>
      </c>
      <c r="B988" s="105" t="s">
        <v>6443</v>
      </c>
      <c r="C988" s="72" t="s">
        <v>1426</v>
      </c>
      <c r="D988" s="76"/>
      <c r="E988" s="125">
        <v>0</v>
      </c>
      <c r="F988" s="125">
        <v>0</v>
      </c>
      <c r="G988" s="125">
        <v>0</v>
      </c>
      <c r="H988" s="125">
        <v>52000000</v>
      </c>
      <c r="I988" s="125">
        <v>0</v>
      </c>
    </row>
    <row r="989" spans="1:9" s="145" customFormat="1" ht="47.25">
      <c r="A989" s="70" t="s">
        <v>3692</v>
      </c>
      <c r="B989" s="105" t="s">
        <v>6444</v>
      </c>
      <c r="C989" s="72" t="s">
        <v>4843</v>
      </c>
      <c r="D989" s="76"/>
      <c r="E989" s="125">
        <v>0</v>
      </c>
      <c r="F989" s="125">
        <v>0</v>
      </c>
      <c r="G989" s="125">
        <v>0</v>
      </c>
      <c r="H989" s="125">
        <v>1000000</v>
      </c>
      <c r="I989" s="125">
        <v>400000</v>
      </c>
    </row>
    <row r="990" spans="1:9" s="145" customFormat="1" ht="78.75">
      <c r="A990" s="70" t="s">
        <v>5233</v>
      </c>
      <c r="B990" s="105" t="s">
        <v>6445</v>
      </c>
      <c r="C990" s="72" t="s">
        <v>5232</v>
      </c>
      <c r="D990" s="76"/>
      <c r="E990" s="125">
        <v>0</v>
      </c>
      <c r="F990" s="125">
        <v>0</v>
      </c>
      <c r="G990" s="125">
        <v>0</v>
      </c>
      <c r="H990" s="125">
        <v>97000000</v>
      </c>
      <c r="I990" s="125">
        <v>5000000</v>
      </c>
    </row>
    <row r="991" spans="1:9" s="145" customFormat="1" ht="15.75">
      <c r="A991" s="77" t="s">
        <v>2320</v>
      </c>
      <c r="B991" s="136" t="s">
        <v>146</v>
      </c>
      <c r="C991" s="72"/>
      <c r="D991" s="76"/>
      <c r="E991" s="125">
        <v>40558109</v>
      </c>
      <c r="F991" s="125">
        <v>53068215</v>
      </c>
      <c r="G991" s="125">
        <v>48528864</v>
      </c>
      <c r="H991" s="125">
        <v>227800000</v>
      </c>
      <c r="I991" s="125">
        <v>92950000</v>
      </c>
    </row>
    <row r="992" spans="1:9" s="145" customFormat="1" ht="15.75">
      <c r="A992" s="70"/>
      <c r="B992" s="105"/>
      <c r="C992" s="72"/>
      <c r="D992" s="76"/>
      <c r="E992" s="125">
        <v>0</v>
      </c>
      <c r="F992" s="125">
        <v>0</v>
      </c>
      <c r="G992" s="125">
        <v>0</v>
      </c>
      <c r="H992" s="125">
        <v>0</v>
      </c>
      <c r="I992" s="125">
        <v>0</v>
      </c>
    </row>
    <row r="993" spans="1:9" s="145" customFormat="1" ht="15.75">
      <c r="A993" s="70" t="s">
        <v>2612</v>
      </c>
      <c r="B993" s="105" t="s">
        <v>6446</v>
      </c>
      <c r="C993" s="72"/>
      <c r="D993" s="76"/>
      <c r="E993" s="125">
        <v>0</v>
      </c>
      <c r="F993" s="125">
        <v>0</v>
      </c>
      <c r="G993" s="125">
        <v>0</v>
      </c>
      <c r="H993" s="125">
        <v>0</v>
      </c>
      <c r="I993" s="125">
        <v>0</v>
      </c>
    </row>
    <row r="994" spans="1:9" s="145" customFormat="1" ht="31.5">
      <c r="A994" s="70" t="s">
        <v>2880</v>
      </c>
      <c r="B994" s="105" t="s">
        <v>6447</v>
      </c>
      <c r="C994" s="72" t="s">
        <v>989</v>
      </c>
      <c r="D994" s="76"/>
      <c r="E994" s="125">
        <v>1499188</v>
      </c>
      <c r="F994" s="125">
        <v>1542627</v>
      </c>
      <c r="G994" s="125">
        <v>524904</v>
      </c>
      <c r="H994" s="125">
        <v>1200000</v>
      </c>
      <c r="I994" s="125">
        <v>1500000</v>
      </c>
    </row>
    <row r="995" spans="1:9" s="145" customFormat="1" ht="47.25">
      <c r="A995" s="70" t="s">
        <v>2613</v>
      </c>
      <c r="B995" s="105" t="s">
        <v>6448</v>
      </c>
      <c r="C995" s="72" t="s">
        <v>990</v>
      </c>
      <c r="D995" s="76"/>
      <c r="E995" s="125">
        <v>351442</v>
      </c>
      <c r="F995" s="125">
        <v>0</v>
      </c>
      <c r="G995" s="125">
        <v>0</v>
      </c>
      <c r="H995" s="125">
        <v>0</v>
      </c>
      <c r="I995" s="125">
        <v>0</v>
      </c>
    </row>
    <row r="996" spans="1:9" s="145" customFormat="1" ht="94.5">
      <c r="A996" s="70" t="s">
        <v>2614</v>
      </c>
      <c r="B996" s="105" t="s">
        <v>6449</v>
      </c>
      <c r="C996" s="72" t="s">
        <v>1140</v>
      </c>
      <c r="D996" s="76"/>
      <c r="E996" s="125">
        <v>4701421</v>
      </c>
      <c r="F996" s="125">
        <v>5541984</v>
      </c>
      <c r="G996" s="125">
        <v>5554389</v>
      </c>
      <c r="H996" s="125">
        <v>5000000</v>
      </c>
      <c r="I996" s="125">
        <v>10000000</v>
      </c>
    </row>
    <row r="997" spans="1:9" s="145" customFormat="1" ht="31.5">
      <c r="A997" s="70" t="s">
        <v>2615</v>
      </c>
      <c r="B997" s="105" t="s">
        <v>6450</v>
      </c>
      <c r="C997" s="72" t="s">
        <v>1141</v>
      </c>
      <c r="D997" s="76"/>
      <c r="E997" s="125">
        <v>13147056</v>
      </c>
      <c r="F997" s="125">
        <v>10118050</v>
      </c>
      <c r="G997" s="125">
        <v>9651356</v>
      </c>
      <c r="H997" s="125">
        <v>15000000</v>
      </c>
      <c r="I997" s="125">
        <v>15000000</v>
      </c>
    </row>
    <row r="998" spans="1:9" s="145" customFormat="1" ht="47.25">
      <c r="A998" s="70" t="s">
        <v>2616</v>
      </c>
      <c r="B998" s="105" t="s">
        <v>6451</v>
      </c>
      <c r="C998" s="72" t="s">
        <v>1142</v>
      </c>
      <c r="D998" s="76" t="s">
        <v>862</v>
      </c>
      <c r="E998" s="125">
        <v>7971413</v>
      </c>
      <c r="F998" s="125">
        <v>2513246</v>
      </c>
      <c r="G998" s="125">
        <v>3094324</v>
      </c>
      <c r="H998" s="125">
        <v>5000000</v>
      </c>
      <c r="I998" s="125">
        <v>7500000</v>
      </c>
    </row>
    <row r="999" spans="1:9" s="145" customFormat="1" ht="78.75">
      <c r="A999" s="70" t="s">
        <v>2617</v>
      </c>
      <c r="B999" s="105" t="s">
        <v>6452</v>
      </c>
      <c r="C999" s="72" t="s">
        <v>1143</v>
      </c>
      <c r="D999" s="76"/>
      <c r="E999" s="125">
        <v>2800</v>
      </c>
      <c r="F999" s="125">
        <v>0</v>
      </c>
      <c r="G999" s="125">
        <v>0</v>
      </c>
      <c r="H999" s="125">
        <v>2500000</v>
      </c>
      <c r="I999" s="125">
        <v>2500000</v>
      </c>
    </row>
    <row r="1000" spans="1:9" s="145" customFormat="1" ht="47.25">
      <c r="A1000" s="70" t="s">
        <v>2618</v>
      </c>
      <c r="B1000" s="105" t="s">
        <v>6453</v>
      </c>
      <c r="C1000" s="72" t="s">
        <v>1144</v>
      </c>
      <c r="D1000" s="76"/>
      <c r="E1000" s="125">
        <v>1494832</v>
      </c>
      <c r="F1000" s="125">
        <v>490628</v>
      </c>
      <c r="G1000" s="125">
        <v>919947</v>
      </c>
      <c r="H1000" s="125">
        <v>1500000</v>
      </c>
      <c r="I1000" s="125">
        <v>2500000</v>
      </c>
    </row>
    <row r="1001" spans="1:9" s="145" customFormat="1" ht="47.25">
      <c r="A1001" s="70" t="s">
        <v>2921</v>
      </c>
      <c r="B1001" s="105" t="s">
        <v>6454</v>
      </c>
      <c r="C1001" s="72" t="s">
        <v>1553</v>
      </c>
      <c r="D1001" s="76"/>
      <c r="E1001" s="125">
        <v>0</v>
      </c>
      <c r="F1001" s="125">
        <v>1275000</v>
      </c>
      <c r="G1001" s="125">
        <v>1196494</v>
      </c>
      <c r="H1001" s="125">
        <v>2500000</v>
      </c>
      <c r="I1001" s="125">
        <v>3000000</v>
      </c>
    </row>
    <row r="1002" spans="1:9" s="145" customFormat="1" ht="47.25">
      <c r="A1002" s="70" t="s">
        <v>3678</v>
      </c>
      <c r="B1002" s="105" t="s">
        <v>6455</v>
      </c>
      <c r="C1002" s="72" t="s">
        <v>4844</v>
      </c>
      <c r="D1002" s="76"/>
      <c r="E1002" s="125">
        <v>0</v>
      </c>
      <c r="F1002" s="125">
        <v>0</v>
      </c>
      <c r="G1002" s="125">
        <v>0</v>
      </c>
      <c r="H1002" s="125">
        <v>10000000</v>
      </c>
      <c r="I1002" s="125">
        <v>0</v>
      </c>
    </row>
    <row r="1003" spans="1:9" s="145" customFormat="1" ht="15.75">
      <c r="A1003" s="70"/>
      <c r="B1003" s="105"/>
      <c r="C1003" s="72"/>
      <c r="D1003" s="76"/>
      <c r="E1003" s="125">
        <v>0</v>
      </c>
      <c r="F1003" s="125">
        <v>0</v>
      </c>
      <c r="G1003" s="125">
        <v>0</v>
      </c>
      <c r="H1003" s="125">
        <v>0</v>
      </c>
      <c r="I1003" s="125">
        <v>0</v>
      </c>
    </row>
    <row r="1004" spans="1:9" s="145" customFormat="1" ht="15.75">
      <c r="A1004" s="77" t="s">
        <v>2386</v>
      </c>
      <c r="B1004" s="136" t="s">
        <v>146</v>
      </c>
      <c r="C1004" s="72"/>
      <c r="D1004" s="76"/>
      <c r="E1004" s="125">
        <v>29168152</v>
      </c>
      <c r="F1004" s="125">
        <v>21481535</v>
      </c>
      <c r="G1004" s="125">
        <v>20941414</v>
      </c>
      <c r="H1004" s="125">
        <v>42700000</v>
      </c>
      <c r="I1004" s="125">
        <v>42000000</v>
      </c>
    </row>
    <row r="1005" spans="1:9" s="145" customFormat="1" ht="15.75">
      <c r="A1005" s="70"/>
      <c r="B1005" s="105"/>
      <c r="C1005" s="72"/>
      <c r="D1005" s="76"/>
      <c r="E1005" s="125">
        <v>0</v>
      </c>
      <c r="F1005" s="125">
        <v>0</v>
      </c>
      <c r="G1005" s="125">
        <v>0</v>
      </c>
      <c r="H1005" s="125">
        <v>0</v>
      </c>
      <c r="I1005" s="125">
        <v>0</v>
      </c>
    </row>
    <row r="1006" spans="1:9" s="145" customFormat="1" ht="15.75">
      <c r="A1006" s="70" t="s">
        <v>2619</v>
      </c>
      <c r="B1006" s="105" t="s">
        <v>6456</v>
      </c>
      <c r="C1006" s="72"/>
      <c r="D1006" s="76"/>
      <c r="E1006" s="125">
        <v>0</v>
      </c>
      <c r="F1006" s="125">
        <v>0</v>
      </c>
      <c r="G1006" s="125">
        <v>0</v>
      </c>
      <c r="H1006" s="125">
        <v>0</v>
      </c>
      <c r="I1006" s="125">
        <v>0</v>
      </c>
    </row>
    <row r="1007" spans="1:9" s="145" customFormat="1" ht="15.75">
      <c r="A1007" s="70" t="s">
        <v>2620</v>
      </c>
      <c r="B1007" s="105" t="s">
        <v>6457</v>
      </c>
      <c r="C1007" s="72" t="s">
        <v>991</v>
      </c>
      <c r="D1007" s="76"/>
      <c r="E1007" s="125">
        <v>5566986</v>
      </c>
      <c r="F1007" s="125">
        <v>6248424</v>
      </c>
      <c r="G1007" s="125">
        <v>6140273</v>
      </c>
      <c r="H1007" s="125">
        <v>7000000</v>
      </c>
      <c r="I1007" s="125">
        <v>10000000</v>
      </c>
    </row>
    <row r="1008" spans="1:9" s="145" customFormat="1" ht="15.75">
      <c r="A1008" s="70" t="s">
        <v>2149</v>
      </c>
      <c r="B1008" s="105" t="s">
        <v>5885</v>
      </c>
      <c r="C1008" s="72" t="s">
        <v>901</v>
      </c>
      <c r="D1008" s="76"/>
      <c r="E1008" s="125">
        <v>422261</v>
      </c>
      <c r="F1008" s="125">
        <v>176692</v>
      </c>
      <c r="G1008" s="125">
        <v>236856</v>
      </c>
      <c r="H1008" s="125">
        <v>300000</v>
      </c>
      <c r="I1008" s="125">
        <v>300000</v>
      </c>
    </row>
    <row r="1009" spans="1:9" s="145" customFormat="1" ht="15.75">
      <c r="A1009" s="70"/>
      <c r="B1009" s="105"/>
      <c r="C1009" s="72"/>
      <c r="D1009" s="76"/>
      <c r="E1009" s="125">
        <v>0</v>
      </c>
      <c r="F1009" s="125">
        <v>0</v>
      </c>
      <c r="G1009" s="125">
        <v>0</v>
      </c>
      <c r="H1009" s="125">
        <v>0</v>
      </c>
      <c r="I1009" s="125">
        <v>0</v>
      </c>
    </row>
    <row r="1010" spans="1:9" s="145" customFormat="1" ht="15.75">
      <c r="A1010" s="77" t="s">
        <v>2365</v>
      </c>
      <c r="B1010" s="136" t="s">
        <v>146</v>
      </c>
      <c r="C1010" s="72"/>
      <c r="D1010" s="76"/>
      <c r="E1010" s="125">
        <v>5989247</v>
      </c>
      <c r="F1010" s="125">
        <v>6425116</v>
      </c>
      <c r="G1010" s="125">
        <v>6377129</v>
      </c>
      <c r="H1010" s="125">
        <v>7300000</v>
      </c>
      <c r="I1010" s="125">
        <v>10300000</v>
      </c>
    </row>
    <row r="1011" spans="1:9" s="145" customFormat="1" ht="15.75">
      <c r="A1011" s="70"/>
      <c r="B1011" s="105"/>
      <c r="C1011" s="72"/>
      <c r="D1011" s="76"/>
      <c r="E1011" s="125">
        <v>0</v>
      </c>
      <c r="F1011" s="125">
        <v>0</v>
      </c>
      <c r="G1011" s="125">
        <v>0</v>
      </c>
      <c r="H1011" s="125">
        <v>0</v>
      </c>
      <c r="I1011" s="125">
        <v>0</v>
      </c>
    </row>
    <row r="1012" spans="1:9" s="145" customFormat="1" ht="15.75">
      <c r="A1012" s="70" t="s">
        <v>2621</v>
      </c>
      <c r="B1012" s="105" t="s">
        <v>6458</v>
      </c>
      <c r="C1012" s="72"/>
      <c r="D1012" s="76"/>
      <c r="E1012" s="125">
        <v>0</v>
      </c>
      <c r="F1012" s="125">
        <v>0</v>
      </c>
      <c r="G1012" s="125">
        <v>0</v>
      </c>
      <c r="H1012" s="125">
        <v>0</v>
      </c>
      <c r="I1012" s="125">
        <v>0</v>
      </c>
    </row>
    <row r="1013" spans="1:9" s="145" customFormat="1" ht="15.75">
      <c r="A1013" s="70" t="s">
        <v>2622</v>
      </c>
      <c r="B1013" s="105" t="s">
        <v>6459</v>
      </c>
      <c r="C1013" s="72"/>
      <c r="D1013" s="76"/>
      <c r="E1013" s="125">
        <v>0</v>
      </c>
      <c r="F1013" s="125">
        <v>0</v>
      </c>
      <c r="G1013" s="125">
        <v>0</v>
      </c>
      <c r="H1013" s="125">
        <v>0</v>
      </c>
      <c r="I1013" s="125">
        <v>0</v>
      </c>
    </row>
    <row r="1014" spans="1:9" s="145" customFormat="1" ht="31.5">
      <c r="A1014" s="70" t="s">
        <v>2623</v>
      </c>
      <c r="B1014" s="105" t="s">
        <v>6460</v>
      </c>
      <c r="C1014" s="72" t="s">
        <v>902</v>
      </c>
      <c r="D1014" s="76"/>
      <c r="E1014" s="125">
        <v>14748458</v>
      </c>
      <c r="F1014" s="125">
        <v>12411401</v>
      </c>
      <c r="G1014" s="125">
        <v>14706500</v>
      </c>
      <c r="H1014" s="125">
        <v>20088000</v>
      </c>
      <c r="I1014" s="125">
        <v>30000000</v>
      </c>
    </row>
    <row r="1015" spans="1:9" s="145" customFormat="1" ht="31.5">
      <c r="A1015" s="70" t="s">
        <v>2624</v>
      </c>
      <c r="B1015" s="105" t="s">
        <v>6461</v>
      </c>
      <c r="C1015" s="72" t="s">
        <v>903</v>
      </c>
      <c r="D1015" s="76"/>
      <c r="E1015" s="125">
        <v>10439281</v>
      </c>
      <c r="F1015" s="125">
        <v>8939377</v>
      </c>
      <c r="G1015" s="125">
        <v>9303733</v>
      </c>
      <c r="H1015" s="125">
        <v>12000000</v>
      </c>
      <c r="I1015" s="125">
        <v>15000000</v>
      </c>
    </row>
    <row r="1016" spans="1:9" s="145" customFormat="1" ht="30">
      <c r="A1016" s="73" t="s">
        <v>2625</v>
      </c>
      <c r="B1016" s="105" t="s">
        <v>6462</v>
      </c>
      <c r="C1016" s="72" t="s">
        <v>1145</v>
      </c>
      <c r="D1016" s="76"/>
      <c r="E1016" s="125">
        <v>16194191</v>
      </c>
      <c r="F1016" s="125">
        <v>11290544</v>
      </c>
      <c r="G1016" s="125">
        <v>8110552</v>
      </c>
      <c r="H1016" s="125">
        <v>22500000</v>
      </c>
      <c r="I1016" s="125">
        <v>22500000</v>
      </c>
    </row>
    <row r="1017" spans="1:9" s="145" customFormat="1" ht="31.5">
      <c r="A1017" s="70" t="s">
        <v>2626</v>
      </c>
      <c r="B1017" s="105" t="s">
        <v>6463</v>
      </c>
      <c r="C1017" s="72" t="s">
        <v>1146</v>
      </c>
      <c r="D1017" s="76"/>
      <c r="E1017" s="125">
        <v>2324853</v>
      </c>
      <c r="F1017" s="125">
        <v>1522469</v>
      </c>
      <c r="G1017" s="125">
        <v>1369678</v>
      </c>
      <c r="H1017" s="125">
        <v>5000000</v>
      </c>
      <c r="I1017" s="125">
        <v>5000000</v>
      </c>
    </row>
    <row r="1018" spans="1:9" s="145" customFormat="1" ht="31.5">
      <c r="A1018" s="70" t="s">
        <v>2357</v>
      </c>
      <c r="B1018" s="105" t="s">
        <v>6322</v>
      </c>
      <c r="C1018" s="155" t="s">
        <v>1322</v>
      </c>
      <c r="D1018" s="76"/>
      <c r="E1018" s="125">
        <v>49086175</v>
      </c>
      <c r="F1018" s="125">
        <v>22876924</v>
      </c>
      <c r="G1018" s="125">
        <v>38023500</v>
      </c>
      <c r="H1018" s="125">
        <v>163650000</v>
      </c>
      <c r="I1018" s="125">
        <v>95680000</v>
      </c>
    </row>
    <row r="1019" spans="1:9" s="145" customFormat="1" ht="31.5">
      <c r="A1019" s="70" t="s">
        <v>2358</v>
      </c>
      <c r="B1019" s="105" t="s">
        <v>6323</v>
      </c>
      <c r="C1019" s="155" t="s">
        <v>1329</v>
      </c>
      <c r="D1019" s="76"/>
      <c r="E1019" s="125">
        <v>16129509</v>
      </c>
      <c r="F1019" s="125">
        <v>19670415</v>
      </c>
      <c r="G1019" s="125">
        <v>23912974</v>
      </c>
      <c r="H1019" s="125">
        <v>34250000</v>
      </c>
      <c r="I1019" s="125">
        <v>36425000</v>
      </c>
    </row>
    <row r="1020" spans="1:9" s="145" customFormat="1" ht="15.75">
      <c r="A1020" s="70"/>
      <c r="B1020" s="105"/>
      <c r="C1020" s="72"/>
      <c r="D1020" s="76"/>
      <c r="E1020" s="125">
        <v>0</v>
      </c>
      <c r="F1020" s="125">
        <v>0</v>
      </c>
      <c r="G1020" s="125">
        <v>0</v>
      </c>
      <c r="H1020" s="125">
        <v>0</v>
      </c>
      <c r="I1020" s="125">
        <v>0</v>
      </c>
    </row>
    <row r="1021" spans="1:9" s="145" customFormat="1" ht="15.75">
      <c r="A1021" s="77" t="s">
        <v>2366</v>
      </c>
      <c r="B1021" s="136" t="s">
        <v>146</v>
      </c>
      <c r="C1021" s="72"/>
      <c r="D1021" s="76"/>
      <c r="E1021" s="125">
        <v>108922467</v>
      </c>
      <c r="F1021" s="125">
        <v>76711130</v>
      </c>
      <c r="G1021" s="125">
        <v>95426937</v>
      </c>
      <c r="H1021" s="125">
        <v>257488000</v>
      </c>
      <c r="I1021" s="125">
        <v>204605000</v>
      </c>
    </row>
    <row r="1022" spans="1:9" s="145" customFormat="1" ht="15.75">
      <c r="A1022" s="70"/>
      <c r="B1022" s="105"/>
      <c r="C1022" s="72"/>
      <c r="D1022" s="76"/>
      <c r="E1022" s="125">
        <v>0</v>
      </c>
      <c r="F1022" s="125">
        <v>0</v>
      </c>
      <c r="G1022" s="125">
        <v>0</v>
      </c>
      <c r="H1022" s="125">
        <v>0</v>
      </c>
      <c r="I1022" s="125">
        <v>0</v>
      </c>
    </row>
    <row r="1023" spans="1:9" s="145" customFormat="1" ht="15.75">
      <c r="A1023" s="77" t="s">
        <v>2367</v>
      </c>
      <c r="B1023" s="136" t="s">
        <v>6309</v>
      </c>
      <c r="C1023" s="72"/>
      <c r="D1023" s="76"/>
      <c r="E1023" s="125">
        <v>114911714</v>
      </c>
      <c r="F1023" s="125">
        <v>83136246</v>
      </c>
      <c r="G1023" s="125">
        <v>101804066</v>
      </c>
      <c r="H1023" s="125">
        <v>264788000</v>
      </c>
      <c r="I1023" s="125">
        <v>214905000</v>
      </c>
    </row>
    <row r="1024" spans="1:9" s="145" customFormat="1" ht="15.75">
      <c r="A1024" s="70"/>
      <c r="B1024" s="105"/>
      <c r="C1024" s="72"/>
      <c r="D1024" s="76"/>
      <c r="E1024" s="125">
        <v>0</v>
      </c>
      <c r="F1024" s="125">
        <v>0</v>
      </c>
      <c r="G1024" s="125">
        <v>0</v>
      </c>
      <c r="H1024" s="125">
        <v>0</v>
      </c>
      <c r="I1024" s="125">
        <v>0</v>
      </c>
    </row>
    <row r="1025" spans="1:9" s="145" customFormat="1" ht="15.75">
      <c r="A1025" s="88" t="s">
        <v>4315</v>
      </c>
      <c r="B1025" s="105" t="s">
        <v>6464</v>
      </c>
      <c r="C1025" s="72"/>
      <c r="D1025" s="76"/>
      <c r="E1025" s="125">
        <v>0</v>
      </c>
      <c r="F1025" s="125">
        <v>0</v>
      </c>
      <c r="G1025" s="125">
        <v>0</v>
      </c>
      <c r="H1025" s="125">
        <v>0</v>
      </c>
      <c r="I1025" s="125">
        <v>0</v>
      </c>
    </row>
    <row r="1026" spans="1:9" s="145" customFormat="1" ht="15.75">
      <c r="A1026" s="70" t="s">
        <v>2371</v>
      </c>
      <c r="B1026" s="105" t="s">
        <v>6465</v>
      </c>
      <c r="C1026" s="72" t="s">
        <v>4687</v>
      </c>
      <c r="D1026" s="76" t="s">
        <v>597</v>
      </c>
      <c r="E1026" s="125">
        <v>0</v>
      </c>
      <c r="F1026" s="125">
        <v>46017</v>
      </c>
      <c r="G1026" s="125">
        <v>5115</v>
      </c>
      <c r="H1026" s="125">
        <v>350000</v>
      </c>
      <c r="I1026" s="125">
        <v>500000</v>
      </c>
    </row>
    <row r="1027" spans="1:9" s="145" customFormat="1" ht="47.25">
      <c r="A1027" s="70" t="s">
        <v>2913</v>
      </c>
      <c r="B1027" s="105" t="s">
        <v>6466</v>
      </c>
      <c r="C1027" s="72" t="s">
        <v>4678</v>
      </c>
      <c r="D1027" s="76" t="s">
        <v>597</v>
      </c>
      <c r="E1027" s="125">
        <v>611890</v>
      </c>
      <c r="F1027" s="125">
        <v>0</v>
      </c>
      <c r="G1027" s="125">
        <v>878071</v>
      </c>
      <c r="H1027" s="125">
        <v>0</v>
      </c>
      <c r="I1027" s="125">
        <v>0</v>
      </c>
    </row>
    <row r="1028" spans="1:9" s="145" customFormat="1" ht="31.5">
      <c r="A1028" s="70" t="s">
        <v>3703</v>
      </c>
      <c r="B1028" s="105" t="s">
        <v>6467</v>
      </c>
      <c r="C1028" s="72" t="s">
        <v>4679</v>
      </c>
      <c r="D1028" s="76" t="s">
        <v>597</v>
      </c>
      <c r="E1028" s="125">
        <v>0</v>
      </c>
      <c r="F1028" s="125">
        <v>0</v>
      </c>
      <c r="G1028" s="125">
        <v>0</v>
      </c>
      <c r="H1028" s="125">
        <v>1000000</v>
      </c>
      <c r="I1028" s="125">
        <v>1200000</v>
      </c>
    </row>
    <row r="1029" spans="1:9" s="145" customFormat="1" ht="31.5">
      <c r="A1029" s="70" t="s">
        <v>2372</v>
      </c>
      <c r="B1029" s="105" t="s">
        <v>6468</v>
      </c>
      <c r="C1029" s="72" t="s">
        <v>4680</v>
      </c>
      <c r="D1029" s="76" t="s">
        <v>597</v>
      </c>
      <c r="E1029" s="125">
        <v>0</v>
      </c>
      <c r="F1029" s="125">
        <v>0</v>
      </c>
      <c r="G1029" s="125">
        <v>23038</v>
      </c>
      <c r="H1029" s="125">
        <v>0</v>
      </c>
      <c r="I1029" s="125">
        <v>0</v>
      </c>
    </row>
    <row r="1030" spans="1:9" s="145" customFormat="1" ht="15.75">
      <c r="A1030" s="70" t="s">
        <v>5124</v>
      </c>
      <c r="B1030" s="105" t="s">
        <v>6469</v>
      </c>
      <c r="C1030" s="72" t="s">
        <v>4681</v>
      </c>
      <c r="D1030" s="76" t="s">
        <v>597</v>
      </c>
      <c r="E1030" s="125">
        <v>91688</v>
      </c>
      <c r="F1030" s="125">
        <v>0</v>
      </c>
      <c r="G1030" s="125">
        <v>642179</v>
      </c>
      <c r="H1030" s="125">
        <v>700000</v>
      </c>
      <c r="I1030" s="125">
        <v>800000</v>
      </c>
    </row>
    <row r="1031" spans="1:9" s="145" customFormat="1" ht="15.75">
      <c r="A1031" s="70" t="s">
        <v>2373</v>
      </c>
      <c r="B1031" s="105" t="s">
        <v>6470</v>
      </c>
      <c r="C1031" s="72" t="s">
        <v>4682</v>
      </c>
      <c r="D1031" s="76" t="s">
        <v>597</v>
      </c>
      <c r="E1031" s="125">
        <v>0</v>
      </c>
      <c r="F1031" s="125">
        <v>216546</v>
      </c>
      <c r="G1031" s="125">
        <v>334805</v>
      </c>
      <c r="H1031" s="125">
        <v>0</v>
      </c>
      <c r="I1031" s="125">
        <v>0</v>
      </c>
    </row>
    <row r="1032" spans="1:9" s="145" customFormat="1" ht="15.75">
      <c r="A1032" s="70" t="s">
        <v>2374</v>
      </c>
      <c r="B1032" s="105" t="s">
        <v>6471</v>
      </c>
      <c r="C1032" s="72" t="s">
        <v>4683</v>
      </c>
      <c r="D1032" s="76" t="s">
        <v>597</v>
      </c>
      <c r="E1032" s="125">
        <v>0</v>
      </c>
      <c r="F1032" s="125">
        <v>709096</v>
      </c>
      <c r="G1032" s="125">
        <v>0</v>
      </c>
      <c r="H1032" s="125">
        <v>1500000</v>
      </c>
      <c r="I1032" s="125">
        <v>1680000</v>
      </c>
    </row>
    <row r="1033" spans="1:9" s="145" customFormat="1" ht="31.5">
      <c r="A1033" s="70" t="s">
        <v>2375</v>
      </c>
      <c r="B1033" s="105" t="s">
        <v>6472</v>
      </c>
      <c r="C1033" s="72" t="s">
        <v>4684</v>
      </c>
      <c r="D1033" s="76" t="s">
        <v>597</v>
      </c>
      <c r="E1033" s="125">
        <v>0</v>
      </c>
      <c r="F1033" s="125">
        <v>0</v>
      </c>
      <c r="G1033" s="125">
        <v>345000</v>
      </c>
      <c r="H1033" s="125">
        <v>500000</v>
      </c>
      <c r="I1033" s="125">
        <v>0</v>
      </c>
    </row>
    <row r="1034" spans="1:9" s="145" customFormat="1" ht="31.5">
      <c r="A1034" s="70" t="s">
        <v>2376</v>
      </c>
      <c r="B1034" s="105" t="s">
        <v>6473</v>
      </c>
      <c r="C1034" s="72" t="s">
        <v>4685</v>
      </c>
      <c r="D1034" s="76" t="s">
        <v>597</v>
      </c>
      <c r="E1034" s="125">
        <v>0</v>
      </c>
      <c r="F1034" s="125">
        <v>0</v>
      </c>
      <c r="G1034" s="125">
        <v>0</v>
      </c>
      <c r="H1034" s="125">
        <v>0</v>
      </c>
      <c r="I1034" s="125">
        <v>240000</v>
      </c>
    </row>
    <row r="1035" spans="1:9" s="145" customFormat="1" ht="31.5">
      <c r="A1035" s="70" t="s">
        <v>2377</v>
      </c>
      <c r="B1035" s="105" t="s">
        <v>6474</v>
      </c>
      <c r="C1035" s="72" t="s">
        <v>4686</v>
      </c>
      <c r="D1035" s="76" t="s">
        <v>597</v>
      </c>
      <c r="E1035" s="125">
        <v>0</v>
      </c>
      <c r="F1035" s="125">
        <v>0</v>
      </c>
      <c r="G1035" s="125">
        <v>30133</v>
      </c>
      <c r="H1035" s="125">
        <v>100000</v>
      </c>
      <c r="I1035" s="125">
        <v>80000</v>
      </c>
    </row>
    <row r="1036" spans="1:9" s="145" customFormat="1" ht="15.75">
      <c r="A1036" s="70"/>
      <c r="B1036" s="105"/>
      <c r="C1036" s="72"/>
      <c r="D1036" s="76"/>
      <c r="E1036" s="125">
        <v>0</v>
      </c>
      <c r="F1036" s="125">
        <v>0</v>
      </c>
      <c r="G1036" s="125">
        <v>0</v>
      </c>
      <c r="H1036" s="125">
        <v>0</v>
      </c>
      <c r="I1036" s="125">
        <v>0</v>
      </c>
    </row>
    <row r="1037" spans="1:9" s="145" customFormat="1" ht="15.75">
      <c r="A1037" s="77" t="s">
        <v>2370</v>
      </c>
      <c r="B1037" s="136" t="s">
        <v>146</v>
      </c>
      <c r="C1037" s="72"/>
      <c r="D1037" s="76"/>
      <c r="E1037" s="125">
        <v>703578</v>
      </c>
      <c r="F1037" s="125">
        <v>971659</v>
      </c>
      <c r="G1037" s="125">
        <v>2258341</v>
      </c>
      <c r="H1037" s="125">
        <v>4150000</v>
      </c>
      <c r="I1037" s="125">
        <v>4500000</v>
      </c>
    </row>
    <row r="1038" spans="1:9" s="145" customFormat="1" ht="15.75">
      <c r="A1038" s="70"/>
      <c r="B1038" s="105"/>
      <c r="C1038" s="72"/>
      <c r="D1038" s="76"/>
      <c r="E1038" s="125">
        <v>0</v>
      </c>
      <c r="F1038" s="125">
        <v>0</v>
      </c>
      <c r="G1038" s="125">
        <v>0</v>
      </c>
      <c r="H1038" s="125">
        <v>0</v>
      </c>
      <c r="I1038" s="125">
        <v>0</v>
      </c>
    </row>
    <row r="1039" spans="1:9" s="145" customFormat="1" ht="31.5">
      <c r="A1039" s="77" t="s">
        <v>2627</v>
      </c>
      <c r="B1039" s="136" t="s">
        <v>6475</v>
      </c>
      <c r="C1039" s="72"/>
      <c r="D1039" s="76"/>
      <c r="E1039" s="125">
        <v>185341553</v>
      </c>
      <c r="F1039" s="125">
        <v>158657655</v>
      </c>
      <c r="G1039" s="125">
        <v>173532685</v>
      </c>
      <c r="H1039" s="125">
        <v>539438000</v>
      </c>
      <c r="I1039" s="125">
        <v>354355000</v>
      </c>
    </row>
    <row r="1040" spans="1:9" s="145" customFormat="1" ht="15.75">
      <c r="A1040" s="70"/>
      <c r="B1040" s="105"/>
      <c r="C1040" s="72"/>
      <c r="D1040" s="76"/>
      <c r="E1040" s="125">
        <v>0</v>
      </c>
      <c r="F1040" s="125">
        <v>0</v>
      </c>
      <c r="G1040" s="125">
        <v>0</v>
      </c>
      <c r="H1040" s="125">
        <v>0</v>
      </c>
      <c r="I1040" s="125">
        <v>0</v>
      </c>
    </row>
    <row r="1041" spans="1:9" s="145" customFormat="1" ht="15.75">
      <c r="A1041" s="88" t="s">
        <v>2628</v>
      </c>
      <c r="B1041" s="105" t="s">
        <v>6476</v>
      </c>
      <c r="C1041" s="72"/>
      <c r="D1041" s="76"/>
      <c r="E1041" s="125">
        <v>0</v>
      </c>
      <c r="F1041" s="125">
        <v>0</v>
      </c>
      <c r="G1041" s="125">
        <v>0</v>
      </c>
      <c r="H1041" s="125">
        <v>0</v>
      </c>
      <c r="I1041" s="125">
        <v>0</v>
      </c>
    </row>
    <row r="1042" spans="1:9" s="145" customFormat="1" ht="15.75">
      <c r="A1042" s="70" t="s">
        <v>2629</v>
      </c>
      <c r="B1042" s="105" t="s">
        <v>6477</v>
      </c>
      <c r="C1042" s="72"/>
      <c r="D1042" s="76"/>
      <c r="E1042" s="125">
        <v>0</v>
      </c>
      <c r="F1042" s="125">
        <v>0</v>
      </c>
      <c r="G1042" s="125">
        <v>0</v>
      </c>
      <c r="H1042" s="125">
        <v>0</v>
      </c>
      <c r="I1042" s="125">
        <v>0</v>
      </c>
    </row>
    <row r="1043" spans="1:9" s="145" customFormat="1" ht="31.5">
      <c r="A1043" s="70" t="s">
        <v>2630</v>
      </c>
      <c r="B1043" s="105" t="s">
        <v>6478</v>
      </c>
      <c r="C1043" s="72" t="s">
        <v>904</v>
      </c>
      <c r="D1043" s="76"/>
      <c r="E1043" s="125">
        <v>762997</v>
      </c>
      <c r="F1043" s="125">
        <v>2915043</v>
      </c>
      <c r="G1043" s="125">
        <v>1640979</v>
      </c>
      <c r="H1043" s="125">
        <v>3200000</v>
      </c>
      <c r="I1043" s="125">
        <v>3000000</v>
      </c>
    </row>
    <row r="1044" spans="1:9" s="145" customFormat="1" ht="31.5">
      <c r="A1044" s="70" t="s">
        <v>2631</v>
      </c>
      <c r="B1044" s="105" t="s">
        <v>6479</v>
      </c>
      <c r="C1044" s="72" t="s">
        <v>961</v>
      </c>
      <c r="D1044" s="76"/>
      <c r="E1044" s="125">
        <v>11057041</v>
      </c>
      <c r="F1044" s="125">
        <v>10922443</v>
      </c>
      <c r="G1044" s="125">
        <v>14906548</v>
      </c>
      <c r="H1044" s="125">
        <v>32500000</v>
      </c>
      <c r="I1044" s="125">
        <v>35000000</v>
      </c>
    </row>
    <row r="1045" spans="1:9" s="145" customFormat="1" ht="15.75">
      <c r="A1045" s="70" t="s">
        <v>2123</v>
      </c>
      <c r="B1045" s="105" t="s">
        <v>5822</v>
      </c>
      <c r="C1045" s="72" t="s">
        <v>962</v>
      </c>
      <c r="D1045" s="76"/>
      <c r="E1045" s="125">
        <v>2991406</v>
      </c>
      <c r="F1045" s="125">
        <v>2480519</v>
      </c>
      <c r="G1045" s="125">
        <v>11116858</v>
      </c>
      <c r="H1045" s="125">
        <v>3000000</v>
      </c>
      <c r="I1045" s="125">
        <v>5000000</v>
      </c>
    </row>
    <row r="1046" spans="1:9" s="145" customFormat="1" ht="15.75">
      <c r="A1046" s="70" t="s">
        <v>2632</v>
      </c>
      <c r="B1046" s="105" t="s">
        <v>6480</v>
      </c>
      <c r="C1046" s="72" t="s">
        <v>963</v>
      </c>
      <c r="D1046" s="76"/>
      <c r="E1046" s="125">
        <v>20648</v>
      </c>
      <c r="F1046" s="125">
        <v>240</v>
      </c>
      <c r="G1046" s="125">
        <v>92490</v>
      </c>
      <c r="H1046" s="125">
        <v>700000</v>
      </c>
      <c r="I1046" s="125">
        <v>800000</v>
      </c>
    </row>
    <row r="1047" spans="1:9" s="145" customFormat="1" ht="31.5">
      <c r="A1047" s="70" t="s">
        <v>2633</v>
      </c>
      <c r="B1047" s="105" t="s">
        <v>6481</v>
      </c>
      <c r="C1047" s="72" t="s">
        <v>964</v>
      </c>
      <c r="D1047" s="76"/>
      <c r="E1047" s="125">
        <v>0</v>
      </c>
      <c r="F1047" s="125">
        <v>0</v>
      </c>
      <c r="G1047" s="125">
        <v>0</v>
      </c>
      <c r="H1047" s="125">
        <v>8500</v>
      </c>
      <c r="I1047" s="125">
        <v>6800</v>
      </c>
    </row>
    <row r="1048" spans="1:9" s="145" customFormat="1" ht="15.75">
      <c r="A1048" s="70" t="s">
        <v>2634</v>
      </c>
      <c r="B1048" s="105" t="s">
        <v>6482</v>
      </c>
      <c r="C1048" s="72" t="s">
        <v>965</v>
      </c>
      <c r="D1048" s="76"/>
      <c r="E1048" s="125">
        <v>81475</v>
      </c>
      <c r="F1048" s="125">
        <v>154231</v>
      </c>
      <c r="G1048" s="125">
        <v>133935</v>
      </c>
      <c r="H1048" s="125">
        <v>250000</v>
      </c>
      <c r="I1048" s="125">
        <v>400000</v>
      </c>
    </row>
    <row r="1049" spans="1:9" s="145" customFormat="1" ht="47.25">
      <c r="A1049" s="70" t="s">
        <v>2635</v>
      </c>
      <c r="B1049" s="105" t="s">
        <v>6483</v>
      </c>
      <c r="C1049" s="72" t="s">
        <v>1928</v>
      </c>
      <c r="D1049" s="76"/>
      <c r="E1049" s="125">
        <v>0</v>
      </c>
      <c r="F1049" s="125">
        <v>0</v>
      </c>
      <c r="G1049" s="125">
        <v>1418865</v>
      </c>
      <c r="H1049" s="125">
        <v>3000000</v>
      </c>
      <c r="I1049" s="125">
        <v>2400000</v>
      </c>
    </row>
    <row r="1050" spans="1:9" s="145" customFormat="1" ht="31.5">
      <c r="A1050" s="70" t="s">
        <v>2636</v>
      </c>
      <c r="B1050" s="105" t="s">
        <v>6484</v>
      </c>
      <c r="C1050" s="72" t="s">
        <v>1019</v>
      </c>
      <c r="D1050" s="76"/>
      <c r="E1050" s="125">
        <v>17341386</v>
      </c>
      <c r="F1050" s="125">
        <v>16668240</v>
      </c>
      <c r="G1050" s="125">
        <v>13600000</v>
      </c>
      <c r="H1050" s="125">
        <v>17500000</v>
      </c>
      <c r="I1050" s="125">
        <v>20000000</v>
      </c>
    </row>
    <row r="1051" spans="1:9" s="145" customFormat="1" ht="15">
      <c r="A1051" s="73" t="s">
        <v>2637</v>
      </c>
      <c r="B1051" s="105" t="s">
        <v>6485</v>
      </c>
      <c r="C1051" s="72" t="s">
        <v>0</v>
      </c>
      <c r="D1051" s="76"/>
      <c r="E1051" s="125">
        <v>779654</v>
      </c>
      <c r="F1051" s="125">
        <v>670876</v>
      </c>
      <c r="G1051" s="125">
        <v>328600</v>
      </c>
      <c r="H1051" s="125">
        <v>600000</v>
      </c>
      <c r="I1051" s="125">
        <v>800000</v>
      </c>
    </row>
    <row r="1052" spans="1:9" s="145" customFormat="1" ht="31.5">
      <c r="A1052" s="70" t="s">
        <v>2638</v>
      </c>
      <c r="B1052" s="105" t="s">
        <v>6486</v>
      </c>
      <c r="C1052" s="72" t="s">
        <v>1</v>
      </c>
      <c r="D1052" s="76"/>
      <c r="E1052" s="125">
        <v>0</v>
      </c>
      <c r="F1052" s="125">
        <v>0</v>
      </c>
      <c r="G1052" s="125">
        <v>676500</v>
      </c>
      <c r="H1052" s="125">
        <v>750000</v>
      </c>
      <c r="I1052" s="125">
        <v>1200000</v>
      </c>
    </row>
    <row r="1053" spans="1:9" s="145" customFormat="1" ht="31.5">
      <c r="A1053" s="70" t="s">
        <v>2639</v>
      </c>
      <c r="B1053" s="105" t="s">
        <v>6487</v>
      </c>
      <c r="C1053" s="72" t="s">
        <v>1047</v>
      </c>
      <c r="D1053" s="76"/>
      <c r="E1053" s="125">
        <v>0</v>
      </c>
      <c r="F1053" s="125">
        <v>0</v>
      </c>
      <c r="G1053" s="125">
        <v>0</v>
      </c>
      <c r="H1053" s="125">
        <v>20000000</v>
      </c>
      <c r="I1053" s="125">
        <v>16000000</v>
      </c>
    </row>
    <row r="1054" spans="1:9" s="145" customFormat="1" ht="31.5">
      <c r="A1054" s="70" t="s">
        <v>2640</v>
      </c>
      <c r="B1054" s="105" t="s">
        <v>6488</v>
      </c>
      <c r="C1054" s="72" t="s">
        <v>1274</v>
      </c>
      <c r="D1054" s="76"/>
      <c r="E1054" s="125">
        <v>3732738</v>
      </c>
      <c r="F1054" s="125">
        <v>12008178</v>
      </c>
      <c r="G1054" s="125">
        <v>7988298</v>
      </c>
      <c r="H1054" s="125">
        <v>10000000</v>
      </c>
      <c r="I1054" s="125">
        <v>8000000</v>
      </c>
    </row>
    <row r="1055" spans="1:9" s="145" customFormat="1" ht="15.75">
      <c r="A1055" s="70" t="s">
        <v>2131</v>
      </c>
      <c r="B1055" s="105" t="s">
        <v>6489</v>
      </c>
      <c r="C1055" s="72" t="s">
        <v>1276</v>
      </c>
      <c r="D1055" s="76"/>
      <c r="E1055" s="125">
        <v>0</v>
      </c>
      <c r="F1055" s="125">
        <v>0</v>
      </c>
      <c r="G1055" s="125">
        <v>954032</v>
      </c>
      <c r="H1055" s="125">
        <v>20000000</v>
      </c>
      <c r="I1055" s="125">
        <v>16000000</v>
      </c>
    </row>
    <row r="1056" spans="1:9" s="145" customFormat="1" ht="78.75">
      <c r="A1056" s="70" t="s">
        <v>2641</v>
      </c>
      <c r="B1056" s="105" t="s">
        <v>6490</v>
      </c>
      <c r="C1056" s="72" t="s">
        <v>1277</v>
      </c>
      <c r="D1056" s="76"/>
      <c r="E1056" s="125">
        <v>2494243</v>
      </c>
      <c r="F1056" s="125">
        <v>5412947</v>
      </c>
      <c r="G1056" s="125">
        <v>188909</v>
      </c>
      <c r="H1056" s="125">
        <v>20000000</v>
      </c>
      <c r="I1056" s="125">
        <v>16000000</v>
      </c>
    </row>
    <row r="1057" spans="1:9" s="145" customFormat="1" ht="45">
      <c r="A1057" s="73" t="s">
        <v>2642</v>
      </c>
      <c r="B1057" s="105" t="s">
        <v>6491</v>
      </c>
      <c r="C1057" s="72" t="s">
        <v>1427</v>
      </c>
      <c r="D1057" s="76"/>
      <c r="E1057" s="125">
        <v>7692915</v>
      </c>
      <c r="F1057" s="125">
        <v>8661090</v>
      </c>
      <c r="G1057" s="125">
        <v>14619107</v>
      </c>
      <c r="H1057" s="125">
        <v>2040000</v>
      </c>
      <c r="I1057" s="125">
        <v>16000000</v>
      </c>
    </row>
    <row r="1058" spans="1:9" s="145" customFormat="1" ht="47.25">
      <c r="A1058" s="70" t="s">
        <v>2643</v>
      </c>
      <c r="B1058" s="105" t="s">
        <v>6492</v>
      </c>
      <c r="C1058" s="72" t="s">
        <v>1428</v>
      </c>
      <c r="D1058" s="76"/>
      <c r="E1058" s="125">
        <v>0</v>
      </c>
      <c r="F1058" s="125">
        <v>553699</v>
      </c>
      <c r="G1058" s="125">
        <v>989800</v>
      </c>
      <c r="H1058" s="125">
        <v>3560000</v>
      </c>
      <c r="I1058" s="125">
        <v>3200000</v>
      </c>
    </row>
    <row r="1059" spans="1:9" s="145" customFormat="1" ht="31.5">
      <c r="A1059" s="70" t="s">
        <v>2644</v>
      </c>
      <c r="B1059" s="105" t="s">
        <v>6493</v>
      </c>
      <c r="C1059" s="72" t="s">
        <v>1429</v>
      </c>
      <c r="D1059" s="76"/>
      <c r="E1059" s="125">
        <v>0</v>
      </c>
      <c r="F1059" s="125">
        <v>0</v>
      </c>
      <c r="G1059" s="125">
        <v>853457</v>
      </c>
      <c r="H1059" s="125">
        <v>0</v>
      </c>
      <c r="I1059" s="125">
        <v>0</v>
      </c>
    </row>
    <row r="1060" spans="1:9" s="145" customFormat="1" ht="30">
      <c r="A1060" s="73" t="s">
        <v>2645</v>
      </c>
      <c r="B1060" s="105" t="s">
        <v>6494</v>
      </c>
      <c r="C1060" s="72" t="s">
        <v>1554</v>
      </c>
      <c r="D1060" s="76"/>
      <c r="E1060" s="125">
        <v>0</v>
      </c>
      <c r="F1060" s="125">
        <v>1058387</v>
      </c>
      <c r="G1060" s="125">
        <v>1987176</v>
      </c>
      <c r="H1060" s="125">
        <v>5000000</v>
      </c>
      <c r="I1060" s="125">
        <v>4000000</v>
      </c>
    </row>
    <row r="1061" spans="1:9" s="145" customFormat="1" ht="30">
      <c r="A1061" s="73" t="s">
        <v>2646</v>
      </c>
      <c r="B1061" s="105" t="s">
        <v>6495</v>
      </c>
      <c r="C1061" s="72" t="s">
        <v>1800</v>
      </c>
      <c r="D1061" s="76"/>
      <c r="E1061" s="125">
        <v>0</v>
      </c>
      <c r="F1061" s="125">
        <v>0</v>
      </c>
      <c r="G1061" s="125">
        <v>0</v>
      </c>
      <c r="H1061" s="125">
        <v>20000000</v>
      </c>
      <c r="I1061" s="125">
        <v>16000000</v>
      </c>
    </row>
    <row r="1062" spans="1:9" s="145" customFormat="1" ht="60">
      <c r="A1062" s="73" t="s">
        <v>2647</v>
      </c>
      <c r="B1062" s="105" t="s">
        <v>6496</v>
      </c>
      <c r="C1062" s="72" t="s">
        <v>1801</v>
      </c>
      <c r="D1062" s="76"/>
      <c r="E1062" s="125">
        <v>0</v>
      </c>
      <c r="F1062" s="125">
        <v>0</v>
      </c>
      <c r="G1062" s="125">
        <v>0</v>
      </c>
      <c r="H1062" s="125">
        <v>20000000</v>
      </c>
      <c r="I1062" s="125">
        <v>16000000</v>
      </c>
    </row>
    <row r="1063" spans="1:9" s="145" customFormat="1" ht="45">
      <c r="A1063" s="73" t="s">
        <v>3693</v>
      </c>
      <c r="B1063" s="105" t="s">
        <v>6497</v>
      </c>
      <c r="C1063" s="72" t="s">
        <v>4845</v>
      </c>
      <c r="D1063" s="76"/>
      <c r="E1063" s="125">
        <v>0</v>
      </c>
      <c r="F1063" s="125">
        <v>0</v>
      </c>
      <c r="G1063" s="125">
        <v>0</v>
      </c>
      <c r="H1063" s="125">
        <v>50000000</v>
      </c>
      <c r="I1063" s="125">
        <v>40000000</v>
      </c>
    </row>
    <row r="1064" spans="1:9" s="145" customFormat="1" ht="45">
      <c r="A1064" s="73" t="s">
        <v>3694</v>
      </c>
      <c r="B1064" s="105" t="s">
        <v>6498</v>
      </c>
      <c r="C1064" s="72" t="s">
        <v>4846</v>
      </c>
      <c r="D1064" s="76"/>
      <c r="E1064" s="125">
        <v>0</v>
      </c>
      <c r="F1064" s="125">
        <v>0</v>
      </c>
      <c r="G1064" s="125">
        <v>0</v>
      </c>
      <c r="H1064" s="125">
        <v>200000</v>
      </c>
      <c r="I1064" s="125">
        <v>160000</v>
      </c>
    </row>
    <row r="1065" spans="1:9" s="145" customFormat="1" ht="30">
      <c r="A1065" s="73" t="s">
        <v>3695</v>
      </c>
      <c r="B1065" s="105" t="s">
        <v>6499</v>
      </c>
      <c r="C1065" s="72" t="s">
        <v>4847</v>
      </c>
      <c r="D1065" s="76"/>
      <c r="E1065" s="125">
        <v>0</v>
      </c>
      <c r="F1065" s="125">
        <v>0</v>
      </c>
      <c r="G1065" s="125">
        <v>0</v>
      </c>
      <c r="H1065" s="125">
        <v>2500000</v>
      </c>
      <c r="I1065" s="125">
        <v>0</v>
      </c>
    </row>
    <row r="1066" spans="1:9" s="145" customFormat="1" ht="60">
      <c r="A1066" s="73" t="s">
        <v>10454</v>
      </c>
      <c r="B1066" s="105" t="s">
        <v>6500</v>
      </c>
      <c r="C1066" s="72" t="s">
        <v>4848</v>
      </c>
      <c r="D1066" s="76"/>
      <c r="E1066" s="125">
        <v>0</v>
      </c>
      <c r="F1066" s="125">
        <v>0</v>
      </c>
      <c r="G1066" s="125">
        <v>0</v>
      </c>
      <c r="H1066" s="125">
        <v>1000000</v>
      </c>
      <c r="I1066" s="125">
        <v>800000</v>
      </c>
    </row>
    <row r="1067" spans="1:9" s="145" customFormat="1" ht="15.75">
      <c r="A1067" s="70"/>
      <c r="B1067" s="105"/>
      <c r="C1067" s="72"/>
      <c r="D1067" s="76"/>
      <c r="E1067" s="125">
        <v>0</v>
      </c>
      <c r="F1067" s="125">
        <v>0</v>
      </c>
      <c r="G1067" s="125">
        <v>0</v>
      </c>
      <c r="H1067" s="125">
        <v>0</v>
      </c>
      <c r="I1067" s="125">
        <v>0</v>
      </c>
    </row>
    <row r="1068" spans="1:9" s="145" customFormat="1" ht="15.75">
      <c r="A1068" s="77" t="s">
        <v>2320</v>
      </c>
      <c r="B1068" s="136" t="s">
        <v>146</v>
      </c>
      <c r="C1068" s="72"/>
      <c r="D1068" s="76"/>
      <c r="E1068" s="125">
        <v>46954503</v>
      </c>
      <c r="F1068" s="125">
        <v>61505893</v>
      </c>
      <c r="G1068" s="125">
        <v>71495554</v>
      </c>
      <c r="H1068" s="125">
        <v>235808500</v>
      </c>
      <c r="I1068" s="125">
        <v>220766800</v>
      </c>
    </row>
    <row r="1069" spans="1:9" s="145" customFormat="1" ht="15.75">
      <c r="A1069" s="70"/>
      <c r="B1069" s="105"/>
      <c r="C1069" s="72"/>
      <c r="D1069" s="76"/>
      <c r="E1069" s="125">
        <v>0</v>
      </c>
      <c r="F1069" s="125">
        <v>0</v>
      </c>
      <c r="G1069" s="125">
        <v>0</v>
      </c>
      <c r="H1069" s="125">
        <v>0</v>
      </c>
      <c r="I1069" s="125">
        <v>0</v>
      </c>
    </row>
    <row r="1070" spans="1:9" s="145" customFormat="1" ht="15.75">
      <c r="A1070" s="70" t="s">
        <v>2648</v>
      </c>
      <c r="B1070" s="105" t="s">
        <v>6501</v>
      </c>
      <c r="C1070" s="72"/>
      <c r="D1070" s="76"/>
      <c r="E1070" s="125">
        <v>0</v>
      </c>
      <c r="F1070" s="125">
        <v>0</v>
      </c>
      <c r="G1070" s="125">
        <v>0</v>
      </c>
      <c r="H1070" s="125">
        <v>0</v>
      </c>
      <c r="I1070" s="125">
        <v>0</v>
      </c>
    </row>
    <row r="1071" spans="1:9" s="145" customFormat="1" ht="15.75">
      <c r="A1071" s="70" t="s">
        <v>2649</v>
      </c>
      <c r="B1071" s="105" t="s">
        <v>6502</v>
      </c>
      <c r="C1071" s="72"/>
      <c r="D1071" s="76"/>
      <c r="E1071" s="125">
        <v>0</v>
      </c>
      <c r="F1071" s="125">
        <v>0</v>
      </c>
      <c r="G1071" s="125">
        <v>0</v>
      </c>
      <c r="H1071" s="125">
        <v>0</v>
      </c>
      <c r="I1071" s="125">
        <v>0</v>
      </c>
    </row>
    <row r="1072" spans="1:9" s="145" customFormat="1" ht="15.75">
      <c r="A1072" s="70" t="s">
        <v>2650</v>
      </c>
      <c r="B1072" s="105" t="s">
        <v>6503</v>
      </c>
      <c r="C1072" s="72" t="s">
        <v>966</v>
      </c>
      <c r="D1072" s="76"/>
      <c r="E1072" s="125">
        <v>43109037</v>
      </c>
      <c r="F1072" s="125">
        <v>49196366</v>
      </c>
      <c r="G1072" s="125">
        <v>53469867</v>
      </c>
      <c r="H1072" s="125">
        <v>62500000</v>
      </c>
      <c r="I1072" s="125">
        <v>75000000</v>
      </c>
    </row>
    <row r="1073" spans="1:9" s="145" customFormat="1" ht="15.75">
      <c r="A1073" s="70" t="s">
        <v>2149</v>
      </c>
      <c r="B1073" s="105" t="s">
        <v>5885</v>
      </c>
      <c r="C1073" s="72" t="s">
        <v>997</v>
      </c>
      <c r="D1073" s="76"/>
      <c r="E1073" s="125">
        <v>881343</v>
      </c>
      <c r="F1073" s="125">
        <v>750620</v>
      </c>
      <c r="G1073" s="125">
        <v>636644</v>
      </c>
      <c r="H1073" s="125">
        <v>850000</v>
      </c>
      <c r="I1073" s="125">
        <v>1000000</v>
      </c>
    </row>
    <row r="1074" spans="1:9" s="145" customFormat="1" ht="15.75">
      <c r="A1074" s="70" t="s">
        <v>2651</v>
      </c>
      <c r="B1074" s="105" t="s">
        <v>6504</v>
      </c>
      <c r="C1074" s="72" t="s">
        <v>998</v>
      </c>
      <c r="D1074" s="76"/>
      <c r="E1074" s="125">
        <v>299000</v>
      </c>
      <c r="F1074" s="125">
        <v>0</v>
      </c>
      <c r="G1074" s="125">
        <v>195800</v>
      </c>
      <c r="H1074" s="125">
        <v>650000</v>
      </c>
      <c r="I1074" s="125">
        <v>520000</v>
      </c>
    </row>
    <row r="1075" spans="1:9" s="145" customFormat="1" ht="15.75">
      <c r="A1075" s="70" t="s">
        <v>2652</v>
      </c>
      <c r="B1075" s="105" t="s">
        <v>6505</v>
      </c>
      <c r="C1075" s="72" t="s">
        <v>999</v>
      </c>
      <c r="D1075" s="76"/>
      <c r="E1075" s="125">
        <v>0</v>
      </c>
      <c r="F1075" s="125">
        <v>0</v>
      </c>
      <c r="G1075" s="125">
        <v>2265</v>
      </c>
      <c r="H1075" s="125">
        <v>10000</v>
      </c>
      <c r="I1075" s="125">
        <v>16000</v>
      </c>
    </row>
    <row r="1076" spans="1:9" s="145" customFormat="1" ht="31.5">
      <c r="A1076" s="70" t="s">
        <v>3707</v>
      </c>
      <c r="B1076" s="105" t="s">
        <v>6506</v>
      </c>
      <c r="C1076" s="72" t="s">
        <v>1000</v>
      </c>
      <c r="D1076" s="76"/>
      <c r="E1076" s="125">
        <v>2336340</v>
      </c>
      <c r="F1076" s="125">
        <v>0</v>
      </c>
      <c r="G1076" s="125">
        <v>0</v>
      </c>
      <c r="H1076" s="125">
        <v>2000000</v>
      </c>
      <c r="I1076" s="125">
        <v>1600000</v>
      </c>
    </row>
    <row r="1077" spans="1:9" s="145" customFormat="1" ht="15.75">
      <c r="A1077" s="70" t="s">
        <v>3708</v>
      </c>
      <c r="B1077" s="105" t="s">
        <v>6507</v>
      </c>
      <c r="C1077" s="72" t="s">
        <v>976</v>
      </c>
      <c r="D1077" s="76"/>
      <c r="E1077" s="125">
        <v>0</v>
      </c>
      <c r="F1077" s="125">
        <v>0</v>
      </c>
      <c r="G1077" s="125">
        <v>0</v>
      </c>
      <c r="H1077" s="125">
        <v>100000</v>
      </c>
      <c r="I1077" s="125">
        <v>80000</v>
      </c>
    </row>
    <row r="1078" spans="1:9" s="145" customFormat="1" ht="15.75">
      <c r="A1078" s="70"/>
      <c r="B1078" s="105"/>
      <c r="C1078" s="72"/>
      <c r="D1078" s="76"/>
      <c r="E1078" s="125">
        <v>0</v>
      </c>
      <c r="F1078" s="125">
        <v>0</v>
      </c>
      <c r="G1078" s="125">
        <v>0</v>
      </c>
      <c r="H1078" s="125">
        <v>0</v>
      </c>
      <c r="I1078" s="125">
        <v>0</v>
      </c>
    </row>
    <row r="1079" spans="1:9" s="145" customFormat="1" ht="15.75">
      <c r="A1079" s="77" t="s">
        <v>2386</v>
      </c>
      <c r="B1079" s="136" t="s">
        <v>146</v>
      </c>
      <c r="C1079" s="72"/>
      <c r="D1079" s="76"/>
      <c r="E1079" s="125">
        <v>46625720</v>
      </c>
      <c r="F1079" s="125">
        <v>49946986</v>
      </c>
      <c r="G1079" s="125">
        <v>54304576</v>
      </c>
      <c r="H1079" s="125">
        <v>66110000</v>
      </c>
      <c r="I1079" s="125">
        <v>78216000</v>
      </c>
    </row>
    <row r="1080" spans="1:9" s="145" customFormat="1" ht="15.75">
      <c r="A1080" s="70"/>
      <c r="B1080" s="105"/>
      <c r="C1080" s="72"/>
      <c r="D1080" s="76"/>
      <c r="E1080" s="125">
        <v>0</v>
      </c>
      <c r="F1080" s="125">
        <v>0</v>
      </c>
      <c r="G1080" s="125">
        <v>0</v>
      </c>
      <c r="H1080" s="125">
        <v>0</v>
      </c>
      <c r="I1080" s="125">
        <v>0</v>
      </c>
    </row>
    <row r="1081" spans="1:9" s="145" customFormat="1" ht="15.75">
      <c r="A1081" s="70" t="s">
        <v>2653</v>
      </c>
      <c r="B1081" s="105" t="s">
        <v>6508</v>
      </c>
      <c r="C1081" s="72"/>
      <c r="D1081" s="76"/>
      <c r="E1081" s="125">
        <v>0</v>
      </c>
      <c r="F1081" s="125">
        <v>0</v>
      </c>
      <c r="G1081" s="125">
        <v>0</v>
      </c>
      <c r="H1081" s="125">
        <v>0</v>
      </c>
      <c r="I1081" s="125">
        <v>0</v>
      </c>
    </row>
    <row r="1082" spans="1:9" s="145" customFormat="1" ht="15.75">
      <c r="A1082" s="70" t="s">
        <v>2650</v>
      </c>
      <c r="B1082" s="105" t="s">
        <v>6503</v>
      </c>
      <c r="C1082" s="72" t="s">
        <v>841</v>
      </c>
      <c r="D1082" s="76"/>
      <c r="E1082" s="125">
        <v>13988617</v>
      </c>
      <c r="F1082" s="125">
        <v>14256716</v>
      </c>
      <c r="G1082" s="125">
        <v>11626513</v>
      </c>
      <c r="H1082" s="125">
        <v>18500000</v>
      </c>
      <c r="I1082" s="125">
        <v>20000000</v>
      </c>
    </row>
    <row r="1083" spans="1:9" s="145" customFormat="1" ht="15.75">
      <c r="A1083" s="70" t="s">
        <v>2149</v>
      </c>
      <c r="B1083" s="105" t="s">
        <v>5885</v>
      </c>
      <c r="C1083" s="72" t="s">
        <v>511</v>
      </c>
      <c r="D1083" s="76"/>
      <c r="E1083" s="125">
        <v>85900</v>
      </c>
      <c r="F1083" s="125">
        <v>49592</v>
      </c>
      <c r="G1083" s="125">
        <v>40923</v>
      </c>
      <c r="H1083" s="125">
        <v>80000</v>
      </c>
      <c r="I1083" s="125">
        <v>150000</v>
      </c>
    </row>
    <row r="1084" spans="1:9" s="145" customFormat="1" ht="15.75">
      <c r="A1084" s="70"/>
      <c r="B1084" s="105"/>
      <c r="C1084" s="72"/>
      <c r="D1084" s="76"/>
      <c r="E1084" s="125">
        <v>0</v>
      </c>
      <c r="F1084" s="125">
        <v>0</v>
      </c>
      <c r="G1084" s="125">
        <v>0</v>
      </c>
      <c r="H1084" s="125">
        <v>0</v>
      </c>
      <c r="I1084" s="125">
        <v>0</v>
      </c>
    </row>
    <row r="1085" spans="1:9" s="145" customFormat="1" ht="15.75">
      <c r="A1085" s="77" t="s">
        <v>2387</v>
      </c>
      <c r="B1085" s="136" t="s">
        <v>146</v>
      </c>
      <c r="C1085" s="72"/>
      <c r="D1085" s="76"/>
      <c r="E1085" s="125">
        <v>14074517</v>
      </c>
      <c r="F1085" s="125">
        <v>14306308</v>
      </c>
      <c r="G1085" s="125">
        <v>11667436</v>
      </c>
      <c r="H1085" s="125">
        <v>18580000</v>
      </c>
      <c r="I1085" s="125">
        <v>20150000</v>
      </c>
    </row>
    <row r="1086" spans="1:9" s="145" customFormat="1" ht="15.75">
      <c r="A1086" s="70"/>
      <c r="B1086" s="105"/>
      <c r="C1086" s="72"/>
      <c r="D1086" s="76"/>
      <c r="E1086" s="125">
        <v>0</v>
      </c>
      <c r="F1086" s="125">
        <v>0</v>
      </c>
      <c r="G1086" s="125">
        <v>0</v>
      </c>
      <c r="H1086" s="125">
        <v>0</v>
      </c>
      <c r="I1086" s="125">
        <v>0</v>
      </c>
    </row>
    <row r="1087" spans="1:9" s="145" customFormat="1" ht="15.75">
      <c r="A1087" s="70" t="s">
        <v>2654</v>
      </c>
      <c r="B1087" s="105" t="s">
        <v>6509</v>
      </c>
      <c r="C1087" s="72"/>
      <c r="D1087" s="76"/>
      <c r="E1087" s="125">
        <v>0</v>
      </c>
      <c r="F1087" s="125">
        <v>0</v>
      </c>
      <c r="G1087" s="125">
        <v>0</v>
      </c>
      <c r="H1087" s="125">
        <v>0</v>
      </c>
      <c r="I1087" s="125">
        <v>0</v>
      </c>
    </row>
    <row r="1088" spans="1:9" s="145" customFormat="1" ht="15.75">
      <c r="A1088" s="70" t="s">
        <v>2655</v>
      </c>
      <c r="B1088" s="105" t="s">
        <v>6503</v>
      </c>
      <c r="C1088" s="72" t="s">
        <v>512</v>
      </c>
      <c r="D1088" s="76"/>
      <c r="E1088" s="125">
        <v>16390940</v>
      </c>
      <c r="F1088" s="125">
        <v>17485579</v>
      </c>
      <c r="G1088" s="125">
        <v>20585342</v>
      </c>
      <c r="H1088" s="125">
        <v>22000000</v>
      </c>
      <c r="I1088" s="125">
        <v>25000000</v>
      </c>
    </row>
    <row r="1089" spans="1:9" s="145" customFormat="1" ht="15.75">
      <c r="A1089" s="70" t="s">
        <v>2149</v>
      </c>
      <c r="B1089" s="105" t="s">
        <v>5885</v>
      </c>
      <c r="C1089" s="72" t="s">
        <v>513</v>
      </c>
      <c r="D1089" s="76"/>
      <c r="E1089" s="125">
        <v>0</v>
      </c>
      <c r="F1089" s="125">
        <v>79197</v>
      </c>
      <c r="G1089" s="125">
        <v>67556</v>
      </c>
      <c r="H1089" s="125">
        <v>100000</v>
      </c>
      <c r="I1089" s="125">
        <v>100000</v>
      </c>
    </row>
    <row r="1090" spans="1:9" s="145" customFormat="1" ht="47.25">
      <c r="A1090" s="70" t="s">
        <v>3709</v>
      </c>
      <c r="B1090" s="105" t="s">
        <v>6510</v>
      </c>
      <c r="C1090" s="72" t="s">
        <v>514</v>
      </c>
      <c r="D1090" s="76"/>
      <c r="E1090" s="125">
        <v>0</v>
      </c>
      <c r="F1090" s="125">
        <v>0</v>
      </c>
      <c r="G1090" s="125">
        <v>0</v>
      </c>
      <c r="H1090" s="125">
        <v>20000</v>
      </c>
      <c r="I1090" s="125">
        <v>16000</v>
      </c>
    </row>
    <row r="1091" spans="1:9" s="145" customFormat="1" ht="31.5">
      <c r="A1091" s="70" t="s">
        <v>2656</v>
      </c>
      <c r="B1091" s="105" t="s">
        <v>6511</v>
      </c>
      <c r="C1091" s="72" t="s">
        <v>25</v>
      </c>
      <c r="D1091" s="76"/>
      <c r="E1091" s="125">
        <v>0</v>
      </c>
      <c r="F1091" s="125">
        <v>0</v>
      </c>
      <c r="G1091" s="125">
        <v>0</v>
      </c>
      <c r="H1091" s="125">
        <v>2000000</v>
      </c>
      <c r="I1091" s="125">
        <v>1600000</v>
      </c>
    </row>
    <row r="1092" spans="1:9" s="145" customFormat="1" ht="31.5">
      <c r="A1092" s="70" t="s">
        <v>2657</v>
      </c>
      <c r="B1092" s="105" t="s">
        <v>6512</v>
      </c>
      <c r="C1092" s="72" t="s">
        <v>26</v>
      </c>
      <c r="D1092" s="76"/>
      <c r="E1092" s="125">
        <v>0</v>
      </c>
      <c r="F1092" s="125">
        <v>0</v>
      </c>
      <c r="G1092" s="125">
        <v>0</v>
      </c>
      <c r="H1092" s="125">
        <v>700000</v>
      </c>
      <c r="I1092" s="125">
        <v>560000</v>
      </c>
    </row>
    <row r="1093" spans="1:9" s="145" customFormat="1" ht="15.75">
      <c r="A1093" s="70"/>
      <c r="B1093" s="105"/>
      <c r="C1093" s="72"/>
      <c r="D1093" s="76"/>
      <c r="E1093" s="125">
        <v>0</v>
      </c>
      <c r="F1093" s="125">
        <v>0</v>
      </c>
      <c r="G1093" s="125">
        <v>0</v>
      </c>
      <c r="H1093" s="125">
        <v>0</v>
      </c>
      <c r="I1093" s="125">
        <v>0</v>
      </c>
    </row>
    <row r="1094" spans="1:9" s="145" customFormat="1" ht="15.75">
      <c r="A1094" s="77" t="s">
        <v>2370</v>
      </c>
      <c r="B1094" s="136" t="s">
        <v>146</v>
      </c>
      <c r="C1094" s="72"/>
      <c r="D1094" s="76"/>
      <c r="E1094" s="125">
        <v>16390940</v>
      </c>
      <c r="F1094" s="125">
        <v>17564776</v>
      </c>
      <c r="G1094" s="125">
        <v>20652898</v>
      </c>
      <c r="H1094" s="125">
        <v>24820000</v>
      </c>
      <c r="I1094" s="125">
        <v>27276000</v>
      </c>
    </row>
    <row r="1095" spans="1:9" s="145" customFormat="1" ht="15.75">
      <c r="A1095" s="70"/>
      <c r="B1095" s="105"/>
      <c r="C1095" s="72"/>
      <c r="D1095" s="76"/>
      <c r="E1095" s="125">
        <v>0</v>
      </c>
      <c r="F1095" s="125">
        <v>0</v>
      </c>
      <c r="G1095" s="125">
        <v>0</v>
      </c>
      <c r="H1095" s="125">
        <v>0</v>
      </c>
      <c r="I1095" s="125">
        <v>0</v>
      </c>
    </row>
    <row r="1096" spans="1:9" s="145" customFormat="1" ht="15.75">
      <c r="A1096" s="70" t="s">
        <v>10455</v>
      </c>
      <c r="B1096" s="105" t="s">
        <v>6513</v>
      </c>
      <c r="C1096" s="72"/>
      <c r="D1096" s="76"/>
      <c r="E1096" s="125">
        <v>0</v>
      </c>
      <c r="F1096" s="125">
        <v>0</v>
      </c>
      <c r="G1096" s="125">
        <v>0</v>
      </c>
      <c r="H1096" s="125">
        <v>0</v>
      </c>
      <c r="I1096" s="125">
        <v>0</v>
      </c>
    </row>
    <row r="1097" spans="1:9" s="145" customFormat="1" ht="15.75">
      <c r="A1097" s="70" t="s">
        <v>2659</v>
      </c>
      <c r="B1097" s="105" t="s">
        <v>6514</v>
      </c>
      <c r="C1097" s="72" t="s">
        <v>515</v>
      </c>
      <c r="D1097" s="76"/>
      <c r="E1097" s="125">
        <v>16803571</v>
      </c>
      <c r="F1097" s="125">
        <v>16612223</v>
      </c>
      <c r="G1097" s="125">
        <v>19941162</v>
      </c>
      <c r="H1097" s="125">
        <v>21500000</v>
      </c>
      <c r="I1097" s="125">
        <v>25000000</v>
      </c>
    </row>
    <row r="1098" spans="1:9" s="145" customFormat="1" ht="15.75">
      <c r="A1098" s="70" t="s">
        <v>2149</v>
      </c>
      <c r="B1098" s="105" t="s">
        <v>5885</v>
      </c>
      <c r="C1098" s="72" t="s">
        <v>508</v>
      </c>
      <c r="D1098" s="76"/>
      <c r="E1098" s="125">
        <v>299406</v>
      </c>
      <c r="F1098" s="125">
        <v>247339</v>
      </c>
      <c r="G1098" s="125">
        <v>287832</v>
      </c>
      <c r="H1098" s="125">
        <v>500000</v>
      </c>
      <c r="I1098" s="125">
        <v>500000</v>
      </c>
    </row>
    <row r="1099" spans="1:9" s="145" customFormat="1" ht="15.75">
      <c r="A1099" s="70"/>
      <c r="B1099" s="105"/>
      <c r="C1099" s="72"/>
      <c r="D1099" s="76"/>
      <c r="E1099" s="125">
        <v>0</v>
      </c>
      <c r="F1099" s="125">
        <v>0</v>
      </c>
      <c r="G1099" s="125">
        <v>0</v>
      </c>
      <c r="H1099" s="125">
        <v>0</v>
      </c>
      <c r="I1099" s="125">
        <v>0</v>
      </c>
    </row>
    <row r="1100" spans="1:9" s="145" customFormat="1" ht="15.75">
      <c r="A1100" s="77" t="s">
        <v>2388</v>
      </c>
      <c r="B1100" s="136" t="s">
        <v>146</v>
      </c>
      <c r="C1100" s="72"/>
      <c r="D1100" s="76"/>
      <c r="E1100" s="125">
        <v>17102977</v>
      </c>
      <c r="F1100" s="125">
        <v>16859562</v>
      </c>
      <c r="G1100" s="125">
        <v>20228994</v>
      </c>
      <c r="H1100" s="125">
        <v>22000000</v>
      </c>
      <c r="I1100" s="125">
        <v>25500000</v>
      </c>
    </row>
    <row r="1101" spans="1:9" s="145" customFormat="1" ht="15.75">
      <c r="A1101" s="70"/>
      <c r="B1101" s="105"/>
      <c r="C1101" s="72"/>
      <c r="D1101" s="76"/>
      <c r="E1101" s="125">
        <v>0</v>
      </c>
      <c r="F1101" s="125">
        <v>0</v>
      </c>
      <c r="G1101" s="125">
        <v>0</v>
      </c>
      <c r="H1101" s="125">
        <v>0</v>
      </c>
      <c r="I1101" s="125">
        <v>0</v>
      </c>
    </row>
    <row r="1102" spans="1:9" s="145" customFormat="1" ht="15.75">
      <c r="A1102" s="70" t="s">
        <v>2658</v>
      </c>
      <c r="B1102" s="105" t="s">
        <v>6515</v>
      </c>
      <c r="C1102" s="72"/>
      <c r="D1102" s="76"/>
      <c r="E1102" s="125">
        <v>0</v>
      </c>
      <c r="F1102" s="125">
        <v>0</v>
      </c>
      <c r="G1102" s="125">
        <v>0</v>
      </c>
      <c r="H1102" s="125">
        <v>0</v>
      </c>
      <c r="I1102" s="125">
        <v>0</v>
      </c>
    </row>
    <row r="1103" spans="1:9" s="145" customFormat="1" ht="15.75">
      <c r="A1103" s="70" t="s">
        <v>2659</v>
      </c>
      <c r="B1103" s="105" t="s">
        <v>6514</v>
      </c>
      <c r="C1103" s="72" t="s">
        <v>509</v>
      </c>
      <c r="D1103" s="76"/>
      <c r="E1103" s="125">
        <v>11432286</v>
      </c>
      <c r="F1103" s="125">
        <v>11706972</v>
      </c>
      <c r="G1103" s="125">
        <v>13526857</v>
      </c>
      <c r="H1103" s="125">
        <v>15000000</v>
      </c>
      <c r="I1103" s="125">
        <v>25000000</v>
      </c>
    </row>
    <row r="1104" spans="1:9" s="145" customFormat="1" ht="15.75">
      <c r="A1104" s="77" t="s">
        <v>2378</v>
      </c>
      <c r="B1104" s="136" t="s">
        <v>146</v>
      </c>
      <c r="C1104" s="72"/>
      <c r="D1104" s="76"/>
      <c r="E1104" s="125">
        <v>11432286</v>
      </c>
      <c r="F1104" s="125">
        <v>11706972</v>
      </c>
      <c r="G1104" s="125">
        <v>13526857</v>
      </c>
      <c r="H1104" s="125">
        <v>15000000</v>
      </c>
      <c r="I1104" s="125">
        <v>25000000</v>
      </c>
    </row>
    <row r="1105" spans="1:9" s="145" customFormat="1" ht="15.75">
      <c r="A1105" s="70"/>
      <c r="B1105" s="105"/>
      <c r="C1105" s="72"/>
      <c r="D1105" s="76"/>
      <c r="E1105" s="125">
        <v>0</v>
      </c>
      <c r="F1105" s="125">
        <v>0</v>
      </c>
      <c r="G1105" s="125">
        <v>0</v>
      </c>
      <c r="H1105" s="125">
        <v>0</v>
      </c>
      <c r="I1105" s="125">
        <v>0</v>
      </c>
    </row>
    <row r="1106" spans="1:9" s="145" customFormat="1" ht="15.75">
      <c r="A1106" s="70" t="s">
        <v>2660</v>
      </c>
      <c r="B1106" s="105" t="s">
        <v>6516</v>
      </c>
      <c r="C1106" s="72"/>
      <c r="D1106" s="76"/>
      <c r="E1106" s="125">
        <v>0</v>
      </c>
      <c r="F1106" s="125">
        <v>0</v>
      </c>
      <c r="G1106" s="125">
        <v>0</v>
      </c>
      <c r="H1106" s="125">
        <v>0</v>
      </c>
      <c r="I1106" s="125">
        <v>0</v>
      </c>
    </row>
    <row r="1107" spans="1:9" s="145" customFormat="1" ht="15.75">
      <c r="A1107" s="70" t="s">
        <v>2148</v>
      </c>
      <c r="B1107" s="105" t="s">
        <v>6139</v>
      </c>
      <c r="C1107" s="72" t="s">
        <v>510</v>
      </c>
      <c r="D1107" s="76"/>
      <c r="E1107" s="125">
        <v>58114187</v>
      </c>
      <c r="F1107" s="125">
        <v>66040872</v>
      </c>
      <c r="G1107" s="125">
        <v>67449615</v>
      </c>
      <c r="H1107" s="125">
        <v>100000000</v>
      </c>
      <c r="I1107" s="125">
        <v>120000000</v>
      </c>
    </row>
    <row r="1108" spans="1:9" s="145" customFormat="1" ht="15.75">
      <c r="A1108" s="70" t="s">
        <v>2149</v>
      </c>
      <c r="B1108" s="105" t="s">
        <v>5885</v>
      </c>
      <c r="C1108" s="72" t="s">
        <v>242</v>
      </c>
      <c r="D1108" s="76"/>
      <c r="E1108" s="125">
        <v>399114</v>
      </c>
      <c r="F1108" s="125">
        <v>331270</v>
      </c>
      <c r="G1108" s="125">
        <v>273926</v>
      </c>
      <c r="H1108" s="125">
        <v>300000</v>
      </c>
      <c r="I1108" s="125">
        <v>350000</v>
      </c>
    </row>
    <row r="1109" spans="1:9" s="145" customFormat="1" ht="15.75">
      <c r="A1109" s="77" t="s">
        <v>2661</v>
      </c>
      <c r="B1109" s="136" t="s">
        <v>146</v>
      </c>
      <c r="C1109" s="72"/>
      <c r="D1109" s="76"/>
      <c r="E1109" s="125">
        <v>58513301</v>
      </c>
      <c r="F1109" s="125">
        <v>66372142</v>
      </c>
      <c r="G1109" s="125">
        <v>67723541</v>
      </c>
      <c r="H1109" s="125">
        <v>100300000</v>
      </c>
      <c r="I1109" s="125">
        <v>120350000</v>
      </c>
    </row>
    <row r="1110" spans="1:9" s="145" customFormat="1" ht="15.75">
      <c r="A1110" s="70"/>
      <c r="B1110" s="105"/>
      <c r="C1110" s="72"/>
      <c r="D1110" s="76"/>
      <c r="E1110" s="125">
        <v>0</v>
      </c>
      <c r="F1110" s="125">
        <v>0</v>
      </c>
      <c r="G1110" s="125">
        <v>0</v>
      </c>
      <c r="H1110" s="125">
        <v>0</v>
      </c>
      <c r="I1110" s="125">
        <v>0</v>
      </c>
    </row>
    <row r="1111" spans="1:9" s="145" customFormat="1" ht="15.75">
      <c r="A1111" s="70" t="s">
        <v>2662</v>
      </c>
      <c r="B1111" s="105" t="s">
        <v>6517</v>
      </c>
      <c r="C1111" s="72"/>
      <c r="D1111" s="76"/>
      <c r="E1111" s="125">
        <v>0</v>
      </c>
      <c r="F1111" s="125">
        <v>0</v>
      </c>
      <c r="G1111" s="125">
        <v>0</v>
      </c>
      <c r="H1111" s="125">
        <v>0</v>
      </c>
      <c r="I1111" s="125">
        <v>0</v>
      </c>
    </row>
    <row r="1112" spans="1:9" s="145" customFormat="1" ht="15.75">
      <c r="A1112" s="70" t="s">
        <v>2148</v>
      </c>
      <c r="B1112" s="105" t="s">
        <v>6139</v>
      </c>
      <c r="C1112" s="72" t="s">
        <v>243</v>
      </c>
      <c r="D1112" s="76"/>
      <c r="E1112" s="125">
        <v>34365076</v>
      </c>
      <c r="F1112" s="125">
        <v>43642056</v>
      </c>
      <c r="G1112" s="125">
        <v>47027815</v>
      </c>
      <c r="H1112" s="125">
        <v>60000000</v>
      </c>
      <c r="I1112" s="125">
        <v>75000000</v>
      </c>
    </row>
    <row r="1113" spans="1:9" s="145" customFormat="1" ht="15.75">
      <c r="A1113" s="77" t="s">
        <v>2663</v>
      </c>
      <c r="B1113" s="136" t="s">
        <v>146</v>
      </c>
      <c r="C1113" s="72"/>
      <c r="D1113" s="76"/>
      <c r="E1113" s="125">
        <v>34365076</v>
      </c>
      <c r="F1113" s="125">
        <v>43642056</v>
      </c>
      <c r="G1113" s="125">
        <v>47027815</v>
      </c>
      <c r="H1113" s="125">
        <v>60000000</v>
      </c>
      <c r="I1113" s="125">
        <v>75000000</v>
      </c>
    </row>
    <row r="1114" spans="1:9" s="145" customFormat="1" ht="15.75">
      <c r="A1114" s="70"/>
      <c r="B1114" s="105"/>
      <c r="C1114" s="72"/>
      <c r="D1114" s="76"/>
      <c r="E1114" s="125">
        <v>0</v>
      </c>
      <c r="F1114" s="125">
        <v>0</v>
      </c>
      <c r="G1114" s="125">
        <v>0</v>
      </c>
      <c r="H1114" s="125">
        <v>0</v>
      </c>
      <c r="I1114" s="125">
        <v>0</v>
      </c>
    </row>
    <row r="1115" spans="1:9" s="145" customFormat="1" ht="15.75">
      <c r="A1115" s="77" t="s">
        <v>2664</v>
      </c>
      <c r="B1115" s="136" t="s">
        <v>146</v>
      </c>
      <c r="C1115" s="72"/>
      <c r="D1115" s="76"/>
      <c r="E1115" s="125">
        <v>92878377</v>
      </c>
      <c r="F1115" s="125">
        <v>110014198</v>
      </c>
      <c r="G1115" s="125">
        <v>114751356</v>
      </c>
      <c r="H1115" s="125">
        <v>160300000</v>
      </c>
      <c r="I1115" s="125">
        <v>195350000</v>
      </c>
    </row>
    <row r="1116" spans="1:9" s="145" customFormat="1" ht="15.75">
      <c r="A1116" s="70"/>
      <c r="B1116" s="105"/>
      <c r="C1116" s="72"/>
      <c r="D1116" s="76"/>
      <c r="E1116" s="125">
        <v>0</v>
      </c>
      <c r="F1116" s="125">
        <v>0</v>
      </c>
      <c r="G1116" s="125">
        <v>0</v>
      </c>
      <c r="H1116" s="125">
        <v>0</v>
      </c>
      <c r="I1116" s="125">
        <v>0</v>
      </c>
    </row>
    <row r="1117" spans="1:9" s="145" customFormat="1" ht="15.75">
      <c r="A1117" s="70" t="s">
        <v>4474</v>
      </c>
      <c r="B1117" s="105" t="s">
        <v>6518</v>
      </c>
      <c r="C1117" s="72"/>
      <c r="D1117" s="76"/>
      <c r="E1117" s="125">
        <v>0</v>
      </c>
      <c r="F1117" s="125">
        <v>0</v>
      </c>
      <c r="G1117" s="125">
        <v>0</v>
      </c>
      <c r="H1117" s="125">
        <v>0</v>
      </c>
      <c r="I1117" s="125">
        <v>0</v>
      </c>
    </row>
    <row r="1118" spans="1:9" s="145" customFormat="1" ht="31.5">
      <c r="A1118" s="70" t="s">
        <v>10444</v>
      </c>
      <c r="B1118" s="105" t="s">
        <v>6519</v>
      </c>
      <c r="C1118" s="72" t="s">
        <v>4473</v>
      </c>
      <c r="D1118" s="76"/>
      <c r="E1118" s="125">
        <v>25764737</v>
      </c>
      <c r="F1118" s="125">
        <v>26338493</v>
      </c>
      <c r="G1118" s="125">
        <v>49920138</v>
      </c>
      <c r="H1118" s="125">
        <v>81300000</v>
      </c>
      <c r="I1118" s="125">
        <v>62800000</v>
      </c>
    </row>
    <row r="1119" spans="1:9" s="145" customFormat="1" ht="15.75">
      <c r="A1119" s="70" t="s">
        <v>2736</v>
      </c>
      <c r="B1119" s="105" t="s">
        <v>6465</v>
      </c>
      <c r="C1119" s="72" t="s">
        <v>4476</v>
      </c>
      <c r="D1119" s="76"/>
      <c r="E1119" s="125">
        <v>0</v>
      </c>
      <c r="F1119" s="125">
        <v>0</v>
      </c>
      <c r="G1119" s="125">
        <v>0</v>
      </c>
      <c r="H1119" s="125">
        <v>200000</v>
      </c>
      <c r="I1119" s="125">
        <v>200000</v>
      </c>
    </row>
    <row r="1120" spans="1:9" s="145" customFormat="1" ht="15.75">
      <c r="A1120" s="77" t="s">
        <v>2799</v>
      </c>
      <c r="B1120" s="136" t="s">
        <v>146</v>
      </c>
      <c r="C1120" s="72"/>
      <c r="D1120" s="76"/>
      <c r="E1120" s="125">
        <v>25764737</v>
      </c>
      <c r="F1120" s="125">
        <v>26338493</v>
      </c>
      <c r="G1120" s="125">
        <v>49920138</v>
      </c>
      <c r="H1120" s="125">
        <v>81500000</v>
      </c>
      <c r="I1120" s="125">
        <v>63000000</v>
      </c>
    </row>
    <row r="1121" spans="1:9" s="145" customFormat="1" ht="15.75">
      <c r="A1121" s="70"/>
      <c r="B1121" s="105"/>
      <c r="C1121" s="72"/>
      <c r="D1121" s="76"/>
      <c r="E1121" s="125">
        <v>0</v>
      </c>
      <c r="F1121" s="125">
        <v>0</v>
      </c>
      <c r="G1121" s="125">
        <v>0</v>
      </c>
      <c r="H1121" s="125">
        <v>0</v>
      </c>
      <c r="I1121" s="125">
        <v>0</v>
      </c>
    </row>
    <row r="1122" spans="1:9" s="145" customFormat="1" ht="31.5">
      <c r="A1122" s="77" t="s">
        <v>2665</v>
      </c>
      <c r="B1122" s="136" t="s">
        <v>6520</v>
      </c>
      <c r="C1122" s="72"/>
      <c r="D1122" s="76"/>
      <c r="E1122" s="125">
        <v>271224057</v>
      </c>
      <c r="F1122" s="125">
        <v>308243188</v>
      </c>
      <c r="G1122" s="125">
        <v>356547809</v>
      </c>
      <c r="H1122" s="125">
        <v>624118500</v>
      </c>
      <c r="I1122" s="125">
        <v>655258800</v>
      </c>
    </row>
    <row r="1123" spans="1:9" s="145" customFormat="1" ht="15.75" customHeight="1">
      <c r="A1123" s="70"/>
      <c r="B1123" s="105"/>
      <c r="C1123" s="72"/>
      <c r="D1123" s="76"/>
      <c r="E1123" s="125">
        <v>0</v>
      </c>
      <c r="F1123" s="125">
        <v>0</v>
      </c>
      <c r="G1123" s="125">
        <v>0</v>
      </c>
      <c r="H1123" s="125">
        <v>0</v>
      </c>
      <c r="I1123" s="125">
        <v>0</v>
      </c>
    </row>
    <row r="1124" spans="1:9" s="145" customFormat="1" ht="15.75">
      <c r="A1124" s="70" t="s">
        <v>2666</v>
      </c>
      <c r="B1124" s="105" t="s">
        <v>6521</v>
      </c>
      <c r="C1124" s="72"/>
      <c r="D1124" s="76"/>
      <c r="E1124" s="125">
        <v>0</v>
      </c>
      <c r="F1124" s="125">
        <v>0</v>
      </c>
      <c r="G1124" s="125">
        <v>0</v>
      </c>
      <c r="H1124" s="125">
        <v>0</v>
      </c>
      <c r="I1124" s="125">
        <v>0</v>
      </c>
    </row>
    <row r="1125" spans="1:9" s="145" customFormat="1" ht="15.75">
      <c r="A1125" s="70" t="s">
        <v>2667</v>
      </c>
      <c r="B1125" s="105" t="s">
        <v>6522</v>
      </c>
      <c r="C1125" s="72"/>
      <c r="D1125" s="76"/>
      <c r="E1125" s="125">
        <v>0</v>
      </c>
      <c r="F1125" s="125">
        <v>0</v>
      </c>
      <c r="G1125" s="125">
        <v>0</v>
      </c>
      <c r="H1125" s="125">
        <v>0</v>
      </c>
      <c r="I1125" s="125">
        <v>0</v>
      </c>
    </row>
    <row r="1126" spans="1:9" s="145" customFormat="1" ht="15.75">
      <c r="A1126" s="70" t="s">
        <v>2659</v>
      </c>
      <c r="B1126" s="105" t="s">
        <v>6514</v>
      </c>
      <c r="C1126" s="72" t="s">
        <v>870</v>
      </c>
      <c r="D1126" s="76"/>
      <c r="E1126" s="125">
        <v>128612014</v>
      </c>
      <c r="F1126" s="125">
        <v>147174713</v>
      </c>
      <c r="G1126" s="125">
        <v>160581921</v>
      </c>
      <c r="H1126" s="125">
        <v>190000000</v>
      </c>
      <c r="I1126" s="125">
        <v>220000000</v>
      </c>
    </row>
    <row r="1127" spans="1:9" s="145" customFormat="1" ht="15.75">
      <c r="A1127" s="70" t="s">
        <v>2668</v>
      </c>
      <c r="B1127" s="105" t="s">
        <v>6523</v>
      </c>
      <c r="C1127" s="72" t="s">
        <v>338</v>
      </c>
      <c r="D1127" s="76"/>
      <c r="E1127" s="125">
        <v>3298621</v>
      </c>
      <c r="F1127" s="125">
        <v>1296929</v>
      </c>
      <c r="G1127" s="125">
        <v>6848389</v>
      </c>
      <c r="H1127" s="125">
        <v>10000000</v>
      </c>
      <c r="I1127" s="125">
        <v>10000000</v>
      </c>
    </row>
    <row r="1128" spans="1:9" s="145" customFormat="1" ht="15.75">
      <c r="A1128" s="70" t="s">
        <v>2669</v>
      </c>
      <c r="B1128" s="105" t="s">
        <v>6524</v>
      </c>
      <c r="C1128" s="72"/>
      <c r="D1128" s="76"/>
      <c r="E1128" s="125">
        <v>0</v>
      </c>
      <c r="F1128" s="125">
        <v>0</v>
      </c>
      <c r="G1128" s="125">
        <v>0</v>
      </c>
      <c r="H1128" s="125">
        <v>0</v>
      </c>
      <c r="I1128" s="125">
        <v>0</v>
      </c>
    </row>
    <row r="1129" spans="1:9" s="145" customFormat="1" ht="15.75">
      <c r="A1129" s="70" t="s">
        <v>2670</v>
      </c>
      <c r="B1129" s="105" t="s">
        <v>6525</v>
      </c>
      <c r="C1129" s="72" t="s">
        <v>339</v>
      </c>
      <c r="D1129" s="76"/>
      <c r="E1129" s="125">
        <v>354449</v>
      </c>
      <c r="F1129" s="125">
        <v>0</v>
      </c>
      <c r="G1129" s="125">
        <v>0</v>
      </c>
      <c r="H1129" s="125">
        <v>400000</v>
      </c>
      <c r="I1129" s="125">
        <v>400000</v>
      </c>
    </row>
    <row r="1130" spans="1:9" s="145" customFormat="1" ht="31.5">
      <c r="A1130" s="70" t="s">
        <v>2671</v>
      </c>
      <c r="B1130" s="105" t="s">
        <v>6526</v>
      </c>
      <c r="C1130" s="72" t="s">
        <v>531</v>
      </c>
      <c r="D1130" s="76"/>
      <c r="E1130" s="125">
        <v>0</v>
      </c>
      <c r="F1130" s="125">
        <v>0</v>
      </c>
      <c r="G1130" s="125">
        <v>0</v>
      </c>
      <c r="H1130" s="125">
        <v>425000</v>
      </c>
      <c r="I1130" s="125">
        <v>400000</v>
      </c>
    </row>
    <row r="1131" spans="1:9" s="145" customFormat="1" ht="15.75">
      <c r="A1131" s="70" t="s">
        <v>2672</v>
      </c>
      <c r="B1131" s="105" t="s">
        <v>6527</v>
      </c>
      <c r="C1131" s="72" t="s">
        <v>532</v>
      </c>
      <c r="D1131" s="76"/>
      <c r="E1131" s="125">
        <v>0</v>
      </c>
      <c r="F1131" s="125">
        <v>0</v>
      </c>
      <c r="G1131" s="125">
        <v>0</v>
      </c>
      <c r="H1131" s="125">
        <v>50000</v>
      </c>
      <c r="I1131" s="125">
        <v>40000</v>
      </c>
    </row>
    <row r="1132" spans="1:9" s="145" customFormat="1" ht="31.5">
      <c r="A1132" s="70" t="s">
        <v>2673</v>
      </c>
      <c r="B1132" s="105" t="s">
        <v>6528</v>
      </c>
      <c r="C1132" s="72" t="s">
        <v>533</v>
      </c>
      <c r="D1132" s="76"/>
      <c r="E1132" s="125">
        <v>716850</v>
      </c>
      <c r="F1132" s="125">
        <v>656230</v>
      </c>
      <c r="G1132" s="125">
        <v>578000</v>
      </c>
      <c r="H1132" s="125">
        <v>0</v>
      </c>
      <c r="I1132" s="125">
        <v>800000</v>
      </c>
    </row>
    <row r="1133" spans="1:9" s="145" customFormat="1" ht="31.5">
      <c r="A1133" s="70" t="s">
        <v>2674</v>
      </c>
      <c r="B1133" s="105" t="s">
        <v>6529</v>
      </c>
      <c r="C1133" s="72" t="s">
        <v>534</v>
      </c>
      <c r="D1133" s="76"/>
      <c r="E1133" s="125">
        <v>2177014</v>
      </c>
      <c r="F1133" s="125">
        <v>1616075</v>
      </c>
      <c r="G1133" s="125">
        <v>2850686</v>
      </c>
      <c r="H1133" s="125">
        <v>10000000</v>
      </c>
      <c r="I1133" s="125">
        <v>4000000</v>
      </c>
    </row>
    <row r="1134" spans="1:9" s="145" customFormat="1" ht="47.25">
      <c r="A1134" s="70" t="s">
        <v>2675</v>
      </c>
      <c r="B1134" s="105" t="s">
        <v>6530</v>
      </c>
      <c r="C1134" s="72" t="s">
        <v>535</v>
      </c>
      <c r="D1134" s="76"/>
      <c r="E1134" s="125">
        <v>0</v>
      </c>
      <c r="F1134" s="125">
        <v>0</v>
      </c>
      <c r="G1134" s="125">
        <v>0</v>
      </c>
      <c r="H1134" s="125">
        <v>42200</v>
      </c>
      <c r="I1134" s="125">
        <v>80000</v>
      </c>
    </row>
    <row r="1135" spans="1:9" s="145" customFormat="1" ht="15.75">
      <c r="A1135" s="70" t="s">
        <v>2881</v>
      </c>
      <c r="B1135" s="105" t="s">
        <v>6531</v>
      </c>
      <c r="C1135" s="72" t="s">
        <v>536</v>
      </c>
      <c r="D1135" s="76"/>
      <c r="E1135" s="125">
        <v>1199070</v>
      </c>
      <c r="F1135" s="125">
        <v>1699998</v>
      </c>
      <c r="G1135" s="125">
        <v>2399989</v>
      </c>
      <c r="H1135" s="125">
        <v>3000000</v>
      </c>
      <c r="I1135" s="125">
        <v>3000000</v>
      </c>
    </row>
    <row r="1136" spans="1:9" s="145" customFormat="1" ht="31.5">
      <c r="A1136" s="70" t="s">
        <v>2882</v>
      </c>
      <c r="B1136" s="105" t="s">
        <v>6532</v>
      </c>
      <c r="C1136" s="72" t="s">
        <v>1147</v>
      </c>
      <c r="D1136" s="76"/>
      <c r="E1136" s="125">
        <v>416742</v>
      </c>
      <c r="F1136" s="125">
        <v>0</v>
      </c>
      <c r="G1136" s="125">
        <v>0</v>
      </c>
      <c r="H1136" s="125">
        <v>320000</v>
      </c>
      <c r="I1136" s="125">
        <v>400000</v>
      </c>
    </row>
    <row r="1137" spans="1:9" s="145" customFormat="1" ht="15.75">
      <c r="A1137" s="77" t="s">
        <v>2320</v>
      </c>
      <c r="B1137" s="136" t="s">
        <v>146</v>
      </c>
      <c r="C1137" s="72"/>
      <c r="D1137" s="76"/>
      <c r="E1137" s="125">
        <v>136774760</v>
      </c>
      <c r="F1137" s="125">
        <v>152443945</v>
      </c>
      <c r="G1137" s="125">
        <v>173258985</v>
      </c>
      <c r="H1137" s="125">
        <v>214237200</v>
      </c>
      <c r="I1137" s="125">
        <v>239120000</v>
      </c>
    </row>
    <row r="1138" spans="1:9" s="145" customFormat="1" ht="15.75">
      <c r="A1138" s="70"/>
      <c r="B1138" s="105"/>
      <c r="C1138" s="72"/>
      <c r="D1138" s="76"/>
      <c r="E1138" s="125">
        <v>0</v>
      </c>
      <c r="F1138" s="125">
        <v>0</v>
      </c>
      <c r="G1138" s="125">
        <v>0</v>
      </c>
      <c r="H1138" s="125">
        <v>0</v>
      </c>
      <c r="I1138" s="125">
        <v>0</v>
      </c>
    </row>
    <row r="1139" spans="1:9" s="145" customFormat="1" ht="15.75">
      <c r="A1139" s="77" t="s">
        <v>2676</v>
      </c>
      <c r="B1139" s="136" t="s">
        <v>6533</v>
      </c>
      <c r="C1139" s="72"/>
      <c r="D1139" s="76"/>
      <c r="E1139" s="125">
        <v>136774760</v>
      </c>
      <c r="F1139" s="125">
        <v>152443945</v>
      </c>
      <c r="G1139" s="125">
        <v>173258985</v>
      </c>
      <c r="H1139" s="125">
        <v>214237200</v>
      </c>
      <c r="I1139" s="125">
        <v>239120000</v>
      </c>
    </row>
    <row r="1140" spans="1:9" s="145" customFormat="1" ht="15.75">
      <c r="A1140" s="70"/>
      <c r="B1140" s="105"/>
      <c r="C1140" s="72"/>
      <c r="D1140" s="76"/>
      <c r="E1140" s="125">
        <v>0</v>
      </c>
      <c r="F1140" s="125">
        <v>0</v>
      </c>
      <c r="G1140" s="125">
        <v>0</v>
      </c>
      <c r="H1140" s="125">
        <v>0</v>
      </c>
      <c r="I1140" s="125">
        <v>0</v>
      </c>
    </row>
    <row r="1141" spans="1:9" s="145" customFormat="1" ht="31.5">
      <c r="A1141" s="70" t="s">
        <v>2677</v>
      </c>
      <c r="B1141" s="105" t="s">
        <v>6534</v>
      </c>
      <c r="C1141" s="72"/>
      <c r="D1141" s="76"/>
      <c r="E1141" s="125">
        <v>0</v>
      </c>
      <c r="F1141" s="125">
        <v>0</v>
      </c>
      <c r="G1141" s="125">
        <v>0</v>
      </c>
      <c r="H1141" s="125">
        <v>0</v>
      </c>
      <c r="I1141" s="125">
        <v>0</v>
      </c>
    </row>
    <row r="1142" spans="1:9" s="145" customFormat="1" ht="15.75">
      <c r="A1142" s="70" t="s">
        <v>2678</v>
      </c>
      <c r="B1142" s="105" t="s">
        <v>6535</v>
      </c>
      <c r="C1142" s="72"/>
      <c r="D1142" s="76"/>
      <c r="E1142" s="125">
        <v>0</v>
      </c>
      <c r="F1142" s="125">
        <v>0</v>
      </c>
      <c r="G1142" s="125">
        <v>0</v>
      </c>
      <c r="H1142" s="125">
        <v>0</v>
      </c>
      <c r="I1142" s="125">
        <v>0</v>
      </c>
    </row>
    <row r="1143" spans="1:9" s="145" customFormat="1" ht="15.75">
      <c r="A1143" s="70" t="s">
        <v>2679</v>
      </c>
      <c r="B1143" s="105" t="s">
        <v>6536</v>
      </c>
      <c r="C1143" s="72" t="s">
        <v>537</v>
      </c>
      <c r="D1143" s="76"/>
      <c r="E1143" s="125">
        <v>12597384</v>
      </c>
      <c r="F1143" s="125">
        <v>14765673</v>
      </c>
      <c r="G1143" s="125">
        <v>16138650</v>
      </c>
      <c r="H1143" s="125">
        <v>20000000</v>
      </c>
      <c r="I1143" s="125">
        <v>25000000</v>
      </c>
    </row>
    <row r="1144" spans="1:9" s="145" customFormat="1" ht="15.75">
      <c r="A1144" s="70" t="s">
        <v>2149</v>
      </c>
      <c r="B1144" s="105" t="s">
        <v>5885</v>
      </c>
      <c r="C1144" s="72" t="s">
        <v>538</v>
      </c>
      <c r="D1144" s="76"/>
      <c r="E1144" s="125">
        <v>267189</v>
      </c>
      <c r="F1144" s="125">
        <v>246052</v>
      </c>
      <c r="G1144" s="125">
        <v>258832</v>
      </c>
      <c r="H1144" s="125">
        <v>450000</v>
      </c>
      <c r="I1144" s="125">
        <v>500000</v>
      </c>
    </row>
    <row r="1145" spans="1:9" s="145" customFormat="1" ht="47.25">
      <c r="A1145" s="70" t="s">
        <v>5125</v>
      </c>
      <c r="B1145" s="105" t="s">
        <v>6537</v>
      </c>
      <c r="C1145" s="72" t="s">
        <v>90</v>
      </c>
      <c r="D1145" s="76"/>
      <c r="E1145" s="125">
        <v>1998542</v>
      </c>
      <c r="F1145" s="125">
        <v>1408320</v>
      </c>
      <c r="G1145" s="125">
        <v>1190413</v>
      </c>
      <c r="H1145" s="125">
        <v>3000000</v>
      </c>
      <c r="I1145" s="125">
        <v>320000</v>
      </c>
    </row>
    <row r="1146" spans="1:9" s="145" customFormat="1" ht="15.75">
      <c r="A1146" s="77" t="s">
        <v>2320</v>
      </c>
      <c r="B1146" s="136" t="s">
        <v>146</v>
      </c>
      <c r="C1146" s="72"/>
      <c r="D1146" s="76"/>
      <c r="E1146" s="125">
        <v>14863115</v>
      </c>
      <c r="F1146" s="125">
        <v>16420045</v>
      </c>
      <c r="G1146" s="125">
        <v>17587895</v>
      </c>
      <c r="H1146" s="125">
        <v>23450000</v>
      </c>
      <c r="I1146" s="125">
        <v>25820000</v>
      </c>
    </row>
    <row r="1147" spans="1:9" s="145" customFormat="1" ht="15.75">
      <c r="A1147" s="70" t="s">
        <v>2680</v>
      </c>
      <c r="B1147" s="105" t="s">
        <v>6538</v>
      </c>
      <c r="C1147" s="72"/>
      <c r="D1147" s="76"/>
      <c r="E1147" s="125">
        <v>0</v>
      </c>
      <c r="F1147" s="125">
        <v>0</v>
      </c>
      <c r="G1147" s="125">
        <v>0</v>
      </c>
      <c r="H1147" s="125">
        <v>0</v>
      </c>
      <c r="I1147" s="125">
        <v>0</v>
      </c>
    </row>
    <row r="1148" spans="1:9" s="145" customFormat="1" ht="15.75">
      <c r="A1148" s="70" t="s">
        <v>2659</v>
      </c>
      <c r="B1148" s="105" t="s">
        <v>6514</v>
      </c>
      <c r="C1148" s="72" t="s">
        <v>539</v>
      </c>
      <c r="D1148" s="76"/>
      <c r="E1148" s="125">
        <v>41176001</v>
      </c>
      <c r="F1148" s="125">
        <v>46114612</v>
      </c>
      <c r="G1148" s="125">
        <v>51829283</v>
      </c>
      <c r="H1148" s="125">
        <v>60000000</v>
      </c>
      <c r="I1148" s="125">
        <v>70000000</v>
      </c>
    </row>
    <row r="1149" spans="1:9" s="145" customFormat="1" ht="15.75">
      <c r="A1149" s="70" t="s">
        <v>2681</v>
      </c>
      <c r="B1149" s="105" t="s">
        <v>6539</v>
      </c>
      <c r="C1149" s="72" t="s">
        <v>703</v>
      </c>
      <c r="D1149" s="76"/>
      <c r="E1149" s="125">
        <v>109790211</v>
      </c>
      <c r="F1149" s="125">
        <v>47971820</v>
      </c>
      <c r="G1149" s="125">
        <v>0</v>
      </c>
      <c r="H1149" s="125">
        <v>45000000</v>
      </c>
      <c r="I1149" s="125">
        <v>40000000</v>
      </c>
    </row>
    <row r="1150" spans="1:9" s="145" customFormat="1" ht="15.75">
      <c r="A1150" s="70" t="s">
        <v>2123</v>
      </c>
      <c r="B1150" s="105" t="s">
        <v>5822</v>
      </c>
      <c r="C1150" s="72" t="s">
        <v>704</v>
      </c>
      <c r="D1150" s="76"/>
      <c r="E1150" s="125">
        <v>223355</v>
      </c>
      <c r="F1150" s="125">
        <v>312581</v>
      </c>
      <c r="G1150" s="125">
        <v>808720</v>
      </c>
      <c r="H1150" s="125">
        <v>450000</v>
      </c>
      <c r="I1150" s="125">
        <v>500000</v>
      </c>
    </row>
    <row r="1151" spans="1:9" s="145" customFormat="1" ht="31.5">
      <c r="A1151" s="70" t="s">
        <v>2682</v>
      </c>
      <c r="B1151" s="105" t="s">
        <v>6540</v>
      </c>
      <c r="C1151" s="72" t="s">
        <v>705</v>
      </c>
      <c r="D1151" s="76"/>
      <c r="E1151" s="125">
        <v>0</v>
      </c>
      <c r="F1151" s="125">
        <v>0</v>
      </c>
      <c r="G1151" s="125">
        <v>0</v>
      </c>
      <c r="H1151" s="125">
        <v>100000</v>
      </c>
      <c r="I1151" s="125">
        <v>80000</v>
      </c>
    </row>
    <row r="1152" spans="1:9" s="145" customFormat="1" ht="31.5">
      <c r="A1152" s="70" t="s">
        <v>2683</v>
      </c>
      <c r="B1152" s="105" t="s">
        <v>6541</v>
      </c>
      <c r="C1152" s="72" t="s">
        <v>706</v>
      </c>
      <c r="D1152" s="76"/>
      <c r="E1152" s="125">
        <v>3633057</v>
      </c>
      <c r="F1152" s="125">
        <v>3964030</v>
      </c>
      <c r="G1152" s="125">
        <v>1997401</v>
      </c>
      <c r="H1152" s="125">
        <v>5100000</v>
      </c>
      <c r="I1152" s="125">
        <v>6000000</v>
      </c>
    </row>
    <row r="1153" spans="1:9" s="145" customFormat="1" ht="15.75">
      <c r="A1153" s="70" t="s">
        <v>2684</v>
      </c>
      <c r="B1153" s="105" t="s">
        <v>6542</v>
      </c>
      <c r="C1153" s="72" t="s">
        <v>1555</v>
      </c>
      <c r="D1153" s="76"/>
      <c r="E1153" s="125">
        <v>0</v>
      </c>
      <c r="F1153" s="125">
        <v>2677547</v>
      </c>
      <c r="G1153" s="125">
        <v>0</v>
      </c>
      <c r="H1153" s="125">
        <v>8000000</v>
      </c>
      <c r="I1153" s="125">
        <v>6400000</v>
      </c>
    </row>
    <row r="1154" spans="1:9" s="145" customFormat="1" ht="31.5">
      <c r="A1154" s="70" t="s">
        <v>5126</v>
      </c>
      <c r="B1154" s="105" t="s">
        <v>6543</v>
      </c>
      <c r="C1154" s="72" t="s">
        <v>1556</v>
      </c>
      <c r="D1154" s="76"/>
      <c r="E1154" s="125">
        <v>0</v>
      </c>
      <c r="F1154" s="125">
        <v>0</v>
      </c>
      <c r="G1154" s="125">
        <v>0</v>
      </c>
      <c r="H1154" s="125">
        <v>2500000</v>
      </c>
      <c r="I1154" s="125">
        <v>2000000</v>
      </c>
    </row>
    <row r="1155" spans="1:9" s="145" customFormat="1" ht="31.5">
      <c r="A1155" s="70" t="s">
        <v>2685</v>
      </c>
      <c r="B1155" s="105" t="s">
        <v>6544</v>
      </c>
      <c r="C1155" s="72" t="s">
        <v>1656</v>
      </c>
      <c r="D1155" s="76"/>
      <c r="E1155" s="125">
        <v>0</v>
      </c>
      <c r="F1155" s="125">
        <v>99750</v>
      </c>
      <c r="G1155" s="125">
        <v>1304262</v>
      </c>
      <c r="H1155" s="125">
        <v>2000000</v>
      </c>
      <c r="I1155" s="125">
        <v>1600000</v>
      </c>
    </row>
    <row r="1156" spans="1:9" s="145" customFormat="1" ht="15.75">
      <c r="A1156" s="70" t="s">
        <v>2686</v>
      </c>
      <c r="B1156" s="105" t="s">
        <v>6545</v>
      </c>
      <c r="C1156" s="72" t="s">
        <v>1802</v>
      </c>
      <c r="D1156" s="76"/>
      <c r="E1156" s="125">
        <v>0</v>
      </c>
      <c r="F1156" s="125">
        <v>0</v>
      </c>
      <c r="G1156" s="125">
        <v>83767</v>
      </c>
      <c r="H1156" s="125">
        <v>1000000</v>
      </c>
      <c r="I1156" s="125">
        <v>800000</v>
      </c>
    </row>
    <row r="1157" spans="1:9" s="145" customFormat="1" ht="31.5">
      <c r="A1157" s="70" t="s">
        <v>3711</v>
      </c>
      <c r="B1157" s="105" t="s">
        <v>6546</v>
      </c>
      <c r="C1157" s="72" t="s">
        <v>4849</v>
      </c>
      <c r="D1157" s="76"/>
      <c r="E1157" s="125">
        <v>0</v>
      </c>
      <c r="F1157" s="125">
        <v>0</v>
      </c>
      <c r="G1157" s="125">
        <v>0</v>
      </c>
      <c r="H1157" s="125">
        <v>6500000</v>
      </c>
      <c r="I1157" s="125">
        <v>4000000</v>
      </c>
    </row>
    <row r="1158" spans="1:9" s="145" customFormat="1" ht="47.25">
      <c r="A1158" s="70" t="s">
        <v>3712</v>
      </c>
      <c r="B1158" s="105" t="s">
        <v>6547</v>
      </c>
      <c r="C1158" s="72" t="s">
        <v>4850</v>
      </c>
      <c r="D1158" s="76"/>
      <c r="E1158" s="125">
        <v>0</v>
      </c>
      <c r="F1158" s="125">
        <v>0</v>
      </c>
      <c r="G1158" s="125">
        <v>0</v>
      </c>
      <c r="H1158" s="125">
        <v>20000000</v>
      </c>
      <c r="I1158" s="125">
        <v>8000000</v>
      </c>
    </row>
    <row r="1159" spans="1:9" s="145" customFormat="1" ht="47.25">
      <c r="A1159" s="70" t="s">
        <v>4325</v>
      </c>
      <c r="B1159" s="105" t="s">
        <v>6548</v>
      </c>
      <c r="C1159" s="72" t="s">
        <v>4851</v>
      </c>
      <c r="D1159" s="76"/>
      <c r="E1159" s="125">
        <v>0</v>
      </c>
      <c r="F1159" s="125">
        <v>0</v>
      </c>
      <c r="G1159" s="125">
        <v>0</v>
      </c>
      <c r="H1159" s="125">
        <v>2500000</v>
      </c>
      <c r="I1159" s="125">
        <v>2000000</v>
      </c>
    </row>
    <row r="1160" spans="1:9" s="145" customFormat="1" ht="31.5">
      <c r="A1160" s="70" t="s">
        <v>2687</v>
      </c>
      <c r="B1160" s="105" t="s">
        <v>6549</v>
      </c>
      <c r="C1160" s="72" t="s">
        <v>1234</v>
      </c>
      <c r="D1160" s="76"/>
      <c r="E1160" s="125">
        <v>7660365</v>
      </c>
      <c r="F1160" s="125">
        <v>7148234</v>
      </c>
      <c r="G1160" s="125">
        <v>7210726</v>
      </c>
      <c r="H1160" s="125">
        <v>24000000</v>
      </c>
      <c r="I1160" s="125">
        <v>19200000</v>
      </c>
    </row>
    <row r="1161" spans="1:9" s="145" customFormat="1" ht="78.75">
      <c r="A1161" s="70" t="s">
        <v>2688</v>
      </c>
      <c r="B1161" s="105" t="s">
        <v>6550</v>
      </c>
      <c r="C1161" s="72" t="s">
        <v>1235</v>
      </c>
      <c r="D1161" s="76"/>
      <c r="E1161" s="125">
        <v>1716072</v>
      </c>
      <c r="F1161" s="125">
        <v>980343</v>
      </c>
      <c r="G1161" s="125">
        <v>786759</v>
      </c>
      <c r="H1161" s="125">
        <v>45000000</v>
      </c>
      <c r="I1161" s="125">
        <v>12000000</v>
      </c>
    </row>
    <row r="1162" spans="1:9" s="145" customFormat="1" ht="15.75">
      <c r="A1162" s="70"/>
      <c r="B1162" s="105"/>
      <c r="C1162" s="72"/>
      <c r="D1162" s="76"/>
      <c r="E1162" s="125">
        <v>0</v>
      </c>
      <c r="F1162" s="125">
        <v>0</v>
      </c>
      <c r="G1162" s="125">
        <v>0</v>
      </c>
      <c r="H1162" s="125">
        <v>0</v>
      </c>
      <c r="I1162" s="125">
        <v>0</v>
      </c>
    </row>
    <row r="1163" spans="1:9" s="145" customFormat="1" ht="15.75">
      <c r="A1163" s="77" t="s">
        <v>2351</v>
      </c>
      <c r="B1163" s="136" t="s">
        <v>146</v>
      </c>
      <c r="C1163" s="72"/>
      <c r="D1163" s="76"/>
      <c r="E1163" s="125">
        <v>164199061</v>
      </c>
      <c r="F1163" s="125">
        <v>109268917</v>
      </c>
      <c r="G1163" s="125">
        <v>64020918</v>
      </c>
      <c r="H1163" s="125">
        <v>222150000</v>
      </c>
      <c r="I1163" s="125">
        <v>172580000</v>
      </c>
    </row>
    <row r="1164" spans="1:9" s="145" customFormat="1" ht="15.75">
      <c r="A1164" s="70"/>
      <c r="B1164" s="105"/>
      <c r="C1164" s="72"/>
      <c r="D1164" s="76"/>
      <c r="E1164" s="125">
        <v>0</v>
      </c>
      <c r="F1164" s="125">
        <v>0</v>
      </c>
      <c r="G1164" s="125">
        <v>0</v>
      </c>
      <c r="H1164" s="125">
        <v>0</v>
      </c>
      <c r="I1164" s="125">
        <v>0</v>
      </c>
    </row>
    <row r="1165" spans="1:9" s="145" customFormat="1" ht="15.75">
      <c r="A1165" s="70" t="s">
        <v>2689</v>
      </c>
      <c r="B1165" s="105" t="s">
        <v>6551</v>
      </c>
      <c r="C1165" s="72"/>
      <c r="D1165" s="76"/>
      <c r="E1165" s="125">
        <v>0</v>
      </c>
      <c r="F1165" s="125">
        <v>0</v>
      </c>
      <c r="G1165" s="125">
        <v>0</v>
      </c>
      <c r="H1165" s="125">
        <v>0</v>
      </c>
      <c r="I1165" s="125">
        <v>0</v>
      </c>
    </row>
    <row r="1166" spans="1:9" s="145" customFormat="1" ht="15.75">
      <c r="A1166" s="70" t="s">
        <v>2690</v>
      </c>
      <c r="B1166" s="105" t="s">
        <v>6552</v>
      </c>
      <c r="C1166" s="72" t="s">
        <v>707</v>
      </c>
      <c r="D1166" s="76"/>
      <c r="E1166" s="125">
        <v>4536515</v>
      </c>
      <c r="F1166" s="125">
        <v>5416698</v>
      </c>
      <c r="G1166" s="125">
        <v>5709878</v>
      </c>
      <c r="H1166" s="125">
        <v>8500000</v>
      </c>
      <c r="I1166" s="125">
        <v>10000000</v>
      </c>
    </row>
    <row r="1167" spans="1:9" s="145" customFormat="1" ht="15.75">
      <c r="A1167" s="70" t="s">
        <v>2149</v>
      </c>
      <c r="B1167" s="105" t="s">
        <v>5885</v>
      </c>
      <c r="C1167" s="72" t="s">
        <v>708</v>
      </c>
      <c r="D1167" s="76"/>
      <c r="E1167" s="125">
        <v>54006</v>
      </c>
      <c r="F1167" s="125">
        <v>0</v>
      </c>
      <c r="G1167" s="125">
        <v>71239</v>
      </c>
      <c r="H1167" s="125">
        <v>80000</v>
      </c>
      <c r="I1167" s="125">
        <v>80000</v>
      </c>
    </row>
    <row r="1168" spans="1:9" s="145" customFormat="1" ht="15.75">
      <c r="A1168" s="70" t="s">
        <v>2691</v>
      </c>
      <c r="B1168" s="105" t="s">
        <v>6553</v>
      </c>
      <c r="C1168" s="72" t="s">
        <v>709</v>
      </c>
      <c r="D1168" s="76"/>
      <c r="E1168" s="125">
        <v>494380</v>
      </c>
      <c r="F1168" s="125">
        <v>424417</v>
      </c>
      <c r="G1168" s="125">
        <v>309592</v>
      </c>
      <c r="H1168" s="125">
        <v>500000</v>
      </c>
      <c r="I1168" s="125">
        <v>480000</v>
      </c>
    </row>
    <row r="1169" spans="1:9" s="145" customFormat="1" ht="15.75">
      <c r="A1169" s="70"/>
      <c r="B1169" s="105"/>
      <c r="C1169" s="72"/>
      <c r="D1169" s="76"/>
      <c r="E1169" s="125">
        <v>0</v>
      </c>
      <c r="F1169" s="125">
        <v>0</v>
      </c>
      <c r="G1169" s="125">
        <v>0</v>
      </c>
      <c r="H1169" s="125">
        <v>0</v>
      </c>
      <c r="I1169" s="125">
        <v>0</v>
      </c>
    </row>
    <row r="1170" spans="1:9" s="145" customFormat="1" ht="15.75">
      <c r="A1170" s="77" t="s">
        <v>2387</v>
      </c>
      <c r="B1170" s="136" t="s">
        <v>146</v>
      </c>
      <c r="C1170" s="72"/>
      <c r="D1170" s="76"/>
      <c r="E1170" s="125">
        <v>5084901</v>
      </c>
      <c r="F1170" s="125">
        <v>5841115</v>
      </c>
      <c r="G1170" s="125">
        <v>6090709</v>
      </c>
      <c r="H1170" s="125">
        <v>9080000</v>
      </c>
      <c r="I1170" s="125">
        <v>10560000</v>
      </c>
    </row>
    <row r="1171" spans="1:9" s="145" customFormat="1" ht="15.75">
      <c r="A1171" s="70"/>
      <c r="B1171" s="105"/>
      <c r="C1171" s="72"/>
      <c r="D1171" s="76"/>
      <c r="E1171" s="125">
        <v>0</v>
      </c>
      <c r="F1171" s="125">
        <v>0</v>
      </c>
      <c r="G1171" s="125">
        <v>0</v>
      </c>
      <c r="H1171" s="125">
        <v>0</v>
      </c>
      <c r="I1171" s="125">
        <v>0</v>
      </c>
    </row>
    <row r="1172" spans="1:9" s="145" customFormat="1" ht="47.25">
      <c r="A1172" s="77" t="s">
        <v>2692</v>
      </c>
      <c r="B1172" s="136" t="s">
        <v>6554</v>
      </c>
      <c r="C1172" s="72"/>
      <c r="D1172" s="76"/>
      <c r="E1172" s="125">
        <v>184147077</v>
      </c>
      <c r="F1172" s="125">
        <v>131530077</v>
      </c>
      <c r="G1172" s="125">
        <v>87699522</v>
      </c>
      <c r="H1172" s="125">
        <v>254680000</v>
      </c>
      <c r="I1172" s="125">
        <v>208960000</v>
      </c>
    </row>
    <row r="1173" spans="1:9" s="145" customFormat="1" ht="15.75">
      <c r="A1173" s="70"/>
      <c r="B1173" s="105"/>
      <c r="C1173" s="72"/>
      <c r="D1173" s="76"/>
      <c r="E1173" s="125">
        <v>0</v>
      </c>
      <c r="F1173" s="125">
        <v>0</v>
      </c>
      <c r="G1173" s="125">
        <v>0</v>
      </c>
      <c r="H1173" s="125">
        <v>0</v>
      </c>
      <c r="I1173" s="125">
        <v>0</v>
      </c>
    </row>
    <row r="1174" spans="1:9" s="145" customFormat="1" ht="15.75">
      <c r="A1174" s="88" t="s">
        <v>2923</v>
      </c>
      <c r="B1174" s="105" t="s">
        <v>6555</v>
      </c>
      <c r="C1174" s="72"/>
      <c r="D1174" s="76"/>
      <c r="E1174" s="125">
        <v>0</v>
      </c>
      <c r="F1174" s="125">
        <v>0</v>
      </c>
      <c r="G1174" s="125">
        <v>0</v>
      </c>
      <c r="H1174" s="125">
        <v>0</v>
      </c>
      <c r="I1174" s="125">
        <v>0</v>
      </c>
    </row>
    <row r="1175" spans="1:9" s="145" customFormat="1" ht="15.75">
      <c r="A1175" s="70" t="s">
        <v>2924</v>
      </c>
      <c r="B1175" s="105" t="s">
        <v>6556</v>
      </c>
      <c r="C1175" s="72"/>
      <c r="D1175" s="76"/>
      <c r="E1175" s="125">
        <v>0</v>
      </c>
      <c r="F1175" s="125">
        <v>0</v>
      </c>
      <c r="G1175" s="125">
        <v>0</v>
      </c>
      <c r="H1175" s="125">
        <v>0</v>
      </c>
      <c r="I1175" s="125">
        <v>0</v>
      </c>
    </row>
    <row r="1176" spans="1:9" s="145" customFormat="1" ht="15.75">
      <c r="A1176" s="70" t="s">
        <v>2148</v>
      </c>
      <c r="B1176" s="105" t="s">
        <v>5855</v>
      </c>
      <c r="C1176" s="72" t="s">
        <v>710</v>
      </c>
      <c r="D1176" s="76"/>
      <c r="E1176" s="125">
        <v>110687702</v>
      </c>
      <c r="F1176" s="125">
        <v>130388606</v>
      </c>
      <c r="G1176" s="125">
        <v>149674258</v>
      </c>
      <c r="H1176" s="125">
        <v>150000000</v>
      </c>
      <c r="I1176" s="125">
        <v>185000000</v>
      </c>
    </row>
    <row r="1177" spans="1:9" s="145" customFormat="1" ht="15.75">
      <c r="A1177" s="70" t="s">
        <v>2149</v>
      </c>
      <c r="B1177" s="105" t="s">
        <v>5885</v>
      </c>
      <c r="C1177" s="72" t="s">
        <v>711</v>
      </c>
      <c r="D1177" s="76"/>
      <c r="E1177" s="125">
        <v>1088823</v>
      </c>
      <c r="F1177" s="125">
        <v>1016588</v>
      </c>
      <c r="G1177" s="125">
        <v>997257</v>
      </c>
      <c r="H1177" s="125">
        <v>1300000</v>
      </c>
      <c r="I1177" s="125">
        <v>1500000</v>
      </c>
    </row>
    <row r="1178" spans="1:9" s="145" customFormat="1" ht="31.5">
      <c r="A1178" s="70" t="s">
        <v>2925</v>
      </c>
      <c r="B1178" s="105" t="s">
        <v>6557</v>
      </c>
      <c r="C1178" s="72" t="s">
        <v>258</v>
      </c>
      <c r="D1178" s="76"/>
      <c r="E1178" s="125">
        <v>9476759</v>
      </c>
      <c r="F1178" s="125">
        <v>9857640</v>
      </c>
      <c r="G1178" s="125">
        <v>11199998</v>
      </c>
      <c r="H1178" s="125">
        <v>13000000</v>
      </c>
      <c r="I1178" s="125">
        <v>14500000</v>
      </c>
    </row>
    <row r="1179" spans="1:9" s="145" customFormat="1" ht="63">
      <c r="A1179" s="70" t="s">
        <v>2926</v>
      </c>
      <c r="B1179" s="105" t="s">
        <v>6558</v>
      </c>
      <c r="C1179" s="72" t="s">
        <v>549</v>
      </c>
      <c r="D1179" s="76"/>
      <c r="E1179" s="125">
        <v>4242116</v>
      </c>
      <c r="F1179" s="125">
        <v>2552829</v>
      </c>
      <c r="G1179" s="125">
        <v>4006504</v>
      </c>
      <c r="H1179" s="125">
        <v>4000000</v>
      </c>
      <c r="I1179" s="125">
        <v>4000000</v>
      </c>
    </row>
    <row r="1180" spans="1:9" s="145" customFormat="1" ht="31.5">
      <c r="A1180" s="70" t="s">
        <v>2927</v>
      </c>
      <c r="B1180" s="105" t="s">
        <v>6559</v>
      </c>
      <c r="C1180" s="72" t="s">
        <v>550</v>
      </c>
      <c r="D1180" s="76"/>
      <c r="E1180" s="125">
        <v>3367194</v>
      </c>
      <c r="F1180" s="125">
        <v>3514562</v>
      </c>
      <c r="G1180" s="125">
        <v>1923253</v>
      </c>
      <c r="H1180" s="125">
        <v>6000000</v>
      </c>
      <c r="I1180" s="125">
        <v>8000000</v>
      </c>
    </row>
    <row r="1181" spans="1:9" s="145" customFormat="1" ht="31.5">
      <c r="A1181" s="70" t="s">
        <v>2928</v>
      </c>
      <c r="B1181" s="105" t="s">
        <v>6560</v>
      </c>
      <c r="C1181" s="72" t="s">
        <v>551</v>
      </c>
      <c r="D1181" s="76" t="s">
        <v>862</v>
      </c>
      <c r="E1181" s="125">
        <v>72240</v>
      </c>
      <c r="F1181" s="125">
        <v>1502705</v>
      </c>
      <c r="G1181" s="125">
        <v>1535170</v>
      </c>
      <c r="H1181" s="125">
        <v>3000000</v>
      </c>
      <c r="I1181" s="125">
        <v>2400000</v>
      </c>
    </row>
    <row r="1182" spans="1:9" s="145" customFormat="1" ht="31.5">
      <c r="A1182" s="70" t="s">
        <v>2922</v>
      </c>
      <c r="B1182" s="105" t="s">
        <v>6561</v>
      </c>
      <c r="C1182" s="72" t="s">
        <v>552</v>
      </c>
      <c r="D1182" s="76"/>
      <c r="E1182" s="125">
        <v>5920427</v>
      </c>
      <c r="F1182" s="125">
        <v>4063612</v>
      </c>
      <c r="G1182" s="125">
        <v>3999931</v>
      </c>
      <c r="H1182" s="125">
        <v>7000000</v>
      </c>
      <c r="I1182" s="125">
        <v>10000000</v>
      </c>
    </row>
    <row r="1183" spans="1:9" s="145" customFormat="1" ht="47.25">
      <c r="A1183" s="70" t="s">
        <v>2929</v>
      </c>
      <c r="B1183" s="105" t="s">
        <v>6562</v>
      </c>
      <c r="C1183" s="72" t="s">
        <v>553</v>
      </c>
      <c r="D1183" s="76"/>
      <c r="E1183" s="125">
        <v>25924783</v>
      </c>
      <c r="F1183" s="125">
        <v>33403856</v>
      </c>
      <c r="G1183" s="125">
        <v>10501946</v>
      </c>
      <c r="H1183" s="125">
        <v>40000000</v>
      </c>
      <c r="I1183" s="125">
        <v>48000000</v>
      </c>
    </row>
    <row r="1184" spans="1:9" s="145" customFormat="1" ht="15.75">
      <c r="A1184" s="70" t="s">
        <v>2693</v>
      </c>
      <c r="B1184" s="105" t="s">
        <v>6563</v>
      </c>
      <c r="C1184" s="72" t="s">
        <v>554</v>
      </c>
      <c r="D1184" s="76"/>
      <c r="E1184" s="125">
        <v>0</v>
      </c>
      <c r="F1184" s="125">
        <v>0</v>
      </c>
      <c r="G1184" s="125">
        <v>9270</v>
      </c>
      <c r="H1184" s="125">
        <v>1500000</v>
      </c>
      <c r="I1184" s="125">
        <v>1200000</v>
      </c>
    </row>
    <row r="1185" spans="1:9" s="145" customFormat="1" ht="47.25">
      <c r="A1185" s="70" t="s">
        <v>2930</v>
      </c>
      <c r="B1185" s="105" t="s">
        <v>6564</v>
      </c>
      <c r="C1185" s="72" t="s">
        <v>1074</v>
      </c>
      <c r="D1185" s="76"/>
      <c r="E1185" s="125">
        <v>0</v>
      </c>
      <c r="F1185" s="125">
        <v>0</v>
      </c>
      <c r="G1185" s="125">
        <v>578000</v>
      </c>
      <c r="H1185" s="125">
        <v>2000000</v>
      </c>
      <c r="I1185" s="125">
        <v>3200000</v>
      </c>
    </row>
    <row r="1186" spans="1:9" s="145" customFormat="1" ht="31.5">
      <c r="A1186" s="70" t="s">
        <v>2931</v>
      </c>
      <c r="B1186" s="105" t="s">
        <v>6565</v>
      </c>
      <c r="C1186" s="72" t="s">
        <v>1311</v>
      </c>
      <c r="D1186" s="76"/>
      <c r="E1186" s="125">
        <v>36798582</v>
      </c>
      <c r="F1186" s="125">
        <v>29743614</v>
      </c>
      <c r="G1186" s="125">
        <v>0</v>
      </c>
      <c r="H1186" s="125">
        <v>0</v>
      </c>
      <c r="I1186" s="125">
        <v>0</v>
      </c>
    </row>
    <row r="1187" spans="1:9" s="145" customFormat="1" ht="31.5">
      <c r="A1187" s="70" t="s">
        <v>10445</v>
      </c>
      <c r="B1187" s="105" t="s">
        <v>6566</v>
      </c>
      <c r="C1187" s="72" t="s">
        <v>4695</v>
      </c>
      <c r="D1187" s="76"/>
      <c r="E1187" s="125">
        <v>0</v>
      </c>
      <c r="F1187" s="125">
        <v>0</v>
      </c>
      <c r="G1187" s="125">
        <v>0</v>
      </c>
      <c r="H1187" s="125">
        <v>7000000</v>
      </c>
      <c r="I1187" s="125">
        <v>29600000</v>
      </c>
    </row>
    <row r="1188" spans="1:9" s="145" customFormat="1" ht="15.75">
      <c r="A1188" s="70"/>
      <c r="B1188" s="105"/>
      <c r="C1188" s="72"/>
      <c r="D1188" s="76"/>
      <c r="E1188" s="125">
        <v>0</v>
      </c>
      <c r="F1188" s="125">
        <v>0</v>
      </c>
      <c r="G1188" s="125">
        <v>0</v>
      </c>
      <c r="H1188" s="125">
        <v>0</v>
      </c>
      <c r="I1188" s="125">
        <v>0</v>
      </c>
    </row>
    <row r="1189" spans="1:9" s="145" customFormat="1" ht="15.75">
      <c r="A1189" s="77" t="s">
        <v>2320</v>
      </c>
      <c r="B1189" s="136" t="s">
        <v>146</v>
      </c>
      <c r="C1189" s="72"/>
      <c r="D1189" s="76"/>
      <c r="E1189" s="125">
        <v>197578626</v>
      </c>
      <c r="F1189" s="125">
        <v>216044012</v>
      </c>
      <c r="G1189" s="125">
        <v>184425587</v>
      </c>
      <c r="H1189" s="125">
        <v>234800000</v>
      </c>
      <c r="I1189" s="125">
        <v>307400000</v>
      </c>
    </row>
    <row r="1190" spans="1:9" s="145" customFormat="1" ht="15.75">
      <c r="A1190" s="70"/>
      <c r="B1190" s="105"/>
      <c r="C1190" s="72"/>
      <c r="D1190" s="76"/>
      <c r="E1190" s="125">
        <v>0</v>
      </c>
      <c r="F1190" s="125">
        <v>0</v>
      </c>
      <c r="G1190" s="125">
        <v>0</v>
      </c>
      <c r="H1190" s="125">
        <v>0</v>
      </c>
      <c r="I1190" s="125">
        <v>0</v>
      </c>
    </row>
    <row r="1191" spans="1:9" s="145" customFormat="1" ht="15.75">
      <c r="A1191" s="70" t="s">
        <v>2696</v>
      </c>
      <c r="B1191" s="105" t="s">
        <v>6567</v>
      </c>
      <c r="C1191" s="72"/>
      <c r="D1191" s="76"/>
      <c r="E1191" s="125">
        <v>0</v>
      </c>
      <c r="F1191" s="125">
        <v>0</v>
      </c>
      <c r="G1191" s="125">
        <v>0</v>
      </c>
      <c r="H1191" s="125">
        <v>0</v>
      </c>
      <c r="I1191" s="125">
        <v>0</v>
      </c>
    </row>
    <row r="1192" spans="1:9" s="145" customFormat="1" ht="15.75">
      <c r="A1192" s="70" t="s">
        <v>2148</v>
      </c>
      <c r="B1192" s="105" t="s">
        <v>5855</v>
      </c>
      <c r="C1192" s="72" t="s">
        <v>555</v>
      </c>
      <c r="D1192" s="76"/>
      <c r="E1192" s="125">
        <v>6952804</v>
      </c>
      <c r="F1192" s="125">
        <v>6840266</v>
      </c>
      <c r="G1192" s="125">
        <v>7161992</v>
      </c>
      <c r="H1192" s="125">
        <v>12000000</v>
      </c>
      <c r="I1192" s="125">
        <v>18000000</v>
      </c>
    </row>
    <row r="1193" spans="1:9" s="145" customFormat="1" ht="15.75">
      <c r="A1193" s="70" t="s">
        <v>2149</v>
      </c>
      <c r="B1193" s="105" t="s">
        <v>5885</v>
      </c>
      <c r="C1193" s="72" t="s">
        <v>556</v>
      </c>
      <c r="D1193" s="76"/>
      <c r="E1193" s="125">
        <v>145323</v>
      </c>
      <c r="F1193" s="125">
        <v>280260</v>
      </c>
      <c r="G1193" s="125">
        <v>259908</v>
      </c>
      <c r="H1193" s="125">
        <v>400000</v>
      </c>
      <c r="I1193" s="125">
        <v>500000</v>
      </c>
    </row>
    <row r="1194" spans="1:9" s="145" customFormat="1" ht="15">
      <c r="A1194" s="73" t="s">
        <v>2697</v>
      </c>
      <c r="B1194" s="105" t="s">
        <v>6568</v>
      </c>
      <c r="C1194" s="72" t="s">
        <v>557</v>
      </c>
      <c r="D1194" s="76"/>
      <c r="E1194" s="125">
        <v>175724</v>
      </c>
      <c r="F1194" s="125">
        <v>135769</v>
      </c>
      <c r="G1194" s="125">
        <v>208028</v>
      </c>
      <c r="H1194" s="125">
        <v>600000</v>
      </c>
      <c r="I1194" s="125">
        <v>480000</v>
      </c>
    </row>
    <row r="1195" spans="1:9" s="145" customFormat="1" ht="15.75">
      <c r="A1195" s="70" t="s">
        <v>2698</v>
      </c>
      <c r="B1195" s="105" t="s">
        <v>6569</v>
      </c>
      <c r="C1195" s="72" t="s">
        <v>558</v>
      </c>
      <c r="D1195" s="76"/>
      <c r="E1195" s="125">
        <v>7597318</v>
      </c>
      <c r="F1195" s="125">
        <v>8702876</v>
      </c>
      <c r="G1195" s="125">
        <v>6606501</v>
      </c>
      <c r="H1195" s="125">
        <v>12000000</v>
      </c>
      <c r="I1195" s="125">
        <v>9600000</v>
      </c>
    </row>
    <row r="1196" spans="1:9" s="145" customFormat="1" ht="15.75">
      <c r="A1196" s="70" t="s">
        <v>2699</v>
      </c>
      <c r="B1196" s="105" t="s">
        <v>6570</v>
      </c>
      <c r="C1196" s="72" t="s">
        <v>559</v>
      </c>
      <c r="D1196" s="76"/>
      <c r="E1196" s="125">
        <v>40962</v>
      </c>
      <c r="F1196" s="125">
        <v>204856</v>
      </c>
      <c r="G1196" s="125">
        <v>152895</v>
      </c>
      <c r="H1196" s="125">
        <v>500000</v>
      </c>
      <c r="I1196" s="125">
        <v>800000</v>
      </c>
    </row>
    <row r="1197" spans="1:9" s="145" customFormat="1" ht="31.5">
      <c r="A1197" s="70" t="s">
        <v>2700</v>
      </c>
      <c r="B1197" s="105" t="s">
        <v>6571</v>
      </c>
      <c r="C1197" s="72" t="s">
        <v>560</v>
      </c>
      <c r="D1197" s="76"/>
      <c r="E1197" s="125">
        <v>3127701</v>
      </c>
      <c r="F1197" s="125">
        <v>1408093</v>
      </c>
      <c r="G1197" s="125">
        <v>1221572</v>
      </c>
      <c r="H1197" s="125">
        <v>6000000</v>
      </c>
      <c r="I1197" s="125">
        <v>4800000</v>
      </c>
    </row>
    <row r="1198" spans="1:9" s="145" customFormat="1" ht="31.5">
      <c r="A1198" s="70" t="s">
        <v>2701</v>
      </c>
      <c r="B1198" s="105" t="s">
        <v>6572</v>
      </c>
      <c r="C1198" s="72" t="s">
        <v>369</v>
      </c>
      <c r="D1198" s="76"/>
      <c r="E1198" s="125">
        <v>0</v>
      </c>
      <c r="F1198" s="125">
        <v>0</v>
      </c>
      <c r="G1198" s="125">
        <v>327665</v>
      </c>
      <c r="H1198" s="125">
        <v>2255000</v>
      </c>
      <c r="I1198" s="125">
        <v>2400000</v>
      </c>
    </row>
    <row r="1199" spans="1:9" s="145" customFormat="1" ht="15.75">
      <c r="A1199" s="70" t="s">
        <v>2702</v>
      </c>
      <c r="B1199" s="105" t="s">
        <v>6573</v>
      </c>
      <c r="C1199" s="72" t="s">
        <v>27</v>
      </c>
      <c r="D1199" s="76" t="s">
        <v>862</v>
      </c>
      <c r="E1199" s="125">
        <v>184388</v>
      </c>
      <c r="F1199" s="125">
        <v>79676</v>
      </c>
      <c r="G1199" s="125">
        <v>136000</v>
      </c>
      <c r="H1199" s="125">
        <v>570000</v>
      </c>
      <c r="I1199" s="125">
        <v>560000</v>
      </c>
    </row>
    <row r="1200" spans="1:9" s="145" customFormat="1" ht="31.5">
      <c r="A1200" s="70" t="s">
        <v>2703</v>
      </c>
      <c r="B1200" s="105" t="s">
        <v>6574</v>
      </c>
      <c r="C1200" s="72" t="s">
        <v>1148</v>
      </c>
      <c r="D1200" s="76"/>
      <c r="E1200" s="125">
        <v>14892</v>
      </c>
      <c r="F1200" s="125">
        <v>0</v>
      </c>
      <c r="G1200" s="125">
        <v>97020</v>
      </c>
      <c r="H1200" s="125">
        <v>150000</v>
      </c>
      <c r="I1200" s="125">
        <v>120000</v>
      </c>
    </row>
    <row r="1201" spans="1:9" s="145" customFormat="1" ht="15">
      <c r="A1201" s="73" t="s">
        <v>2704</v>
      </c>
      <c r="B1201" s="105" t="s">
        <v>6575</v>
      </c>
      <c r="C1201" s="72" t="s">
        <v>1149</v>
      </c>
      <c r="D1201" s="76"/>
      <c r="E1201" s="125">
        <v>0</v>
      </c>
      <c r="F1201" s="125">
        <v>0</v>
      </c>
      <c r="G1201" s="125">
        <v>0</v>
      </c>
      <c r="H1201" s="125">
        <v>1000000</v>
      </c>
      <c r="I1201" s="125">
        <v>1200000</v>
      </c>
    </row>
    <row r="1202" spans="1:9" s="145" customFormat="1" ht="30">
      <c r="A1202" s="73" t="s">
        <v>2705</v>
      </c>
      <c r="B1202" s="105" t="s">
        <v>6576</v>
      </c>
      <c r="C1202" s="72" t="s">
        <v>1803</v>
      </c>
      <c r="D1202" s="76"/>
      <c r="E1202" s="125">
        <v>0</v>
      </c>
      <c r="F1202" s="125">
        <v>0</v>
      </c>
      <c r="G1202" s="125">
        <v>181066</v>
      </c>
      <c r="H1202" s="125">
        <v>850000</v>
      </c>
      <c r="I1202" s="125">
        <v>960000</v>
      </c>
    </row>
    <row r="1203" spans="1:9" s="145" customFormat="1" ht="30">
      <c r="A1203" s="73" t="s">
        <v>4697</v>
      </c>
      <c r="B1203" s="105" t="s">
        <v>6577</v>
      </c>
      <c r="C1203" s="72" t="s">
        <v>4852</v>
      </c>
      <c r="D1203" s="76"/>
      <c r="E1203" s="125">
        <v>0</v>
      </c>
      <c r="F1203" s="125">
        <v>0</v>
      </c>
      <c r="G1203" s="125">
        <v>0</v>
      </c>
      <c r="H1203" s="125">
        <v>8000000</v>
      </c>
      <c r="I1203" s="125">
        <v>7200000</v>
      </c>
    </row>
    <row r="1204" spans="1:9" s="145" customFormat="1" ht="15.75">
      <c r="A1204" s="70"/>
      <c r="B1204" s="105"/>
      <c r="C1204" s="72"/>
      <c r="D1204" s="76"/>
      <c r="E1204" s="125">
        <v>0</v>
      </c>
      <c r="F1204" s="125">
        <v>0</v>
      </c>
      <c r="G1204" s="125">
        <v>0</v>
      </c>
      <c r="H1204" s="125">
        <v>0</v>
      </c>
      <c r="I1204" s="125">
        <v>0</v>
      </c>
    </row>
    <row r="1205" spans="1:9" s="145" customFormat="1" ht="15.75">
      <c r="A1205" s="77" t="s">
        <v>2386</v>
      </c>
      <c r="B1205" s="136" t="s">
        <v>146</v>
      </c>
      <c r="C1205" s="72"/>
      <c r="D1205" s="76"/>
      <c r="E1205" s="125">
        <v>18239112</v>
      </c>
      <c r="F1205" s="125">
        <v>17651796</v>
      </c>
      <c r="G1205" s="125">
        <v>16352647</v>
      </c>
      <c r="H1205" s="125">
        <v>44325000</v>
      </c>
      <c r="I1205" s="125">
        <v>46620000</v>
      </c>
    </row>
    <row r="1206" spans="1:9" s="145" customFormat="1" ht="15.75">
      <c r="A1206" s="70"/>
      <c r="B1206" s="105"/>
      <c r="C1206" s="72"/>
      <c r="D1206" s="76"/>
      <c r="E1206" s="125">
        <v>0</v>
      </c>
      <c r="F1206" s="125">
        <v>0</v>
      </c>
      <c r="G1206" s="125">
        <v>0</v>
      </c>
      <c r="H1206" s="125">
        <v>0</v>
      </c>
      <c r="I1206" s="125">
        <v>0</v>
      </c>
    </row>
    <row r="1207" spans="1:9" s="145" customFormat="1" ht="15.75">
      <c r="A1207" s="70" t="s">
        <v>2706</v>
      </c>
      <c r="B1207" s="105" t="s">
        <v>6578</v>
      </c>
      <c r="C1207" s="72"/>
      <c r="D1207" s="76"/>
      <c r="E1207" s="125">
        <v>0</v>
      </c>
      <c r="F1207" s="125">
        <v>0</v>
      </c>
      <c r="G1207" s="125">
        <v>0</v>
      </c>
      <c r="H1207" s="125">
        <v>0</v>
      </c>
      <c r="I1207" s="125">
        <v>0</v>
      </c>
    </row>
    <row r="1208" spans="1:9" s="145" customFormat="1" ht="15.75">
      <c r="A1208" s="70" t="s">
        <v>2371</v>
      </c>
      <c r="B1208" s="105" t="s">
        <v>6579</v>
      </c>
      <c r="C1208" s="72" t="s">
        <v>1150</v>
      </c>
      <c r="D1208" s="76"/>
      <c r="E1208" s="125">
        <v>0</v>
      </c>
      <c r="F1208" s="125">
        <v>9900</v>
      </c>
      <c r="G1208" s="125">
        <v>12960</v>
      </c>
      <c r="H1208" s="125">
        <v>50000</v>
      </c>
      <c r="I1208" s="125">
        <v>50000</v>
      </c>
    </row>
    <row r="1209" spans="1:9" s="145" customFormat="1" ht="31.5">
      <c r="A1209" s="70" t="s">
        <v>2707</v>
      </c>
      <c r="B1209" s="105" t="s">
        <v>6580</v>
      </c>
      <c r="C1209" s="72" t="s">
        <v>1151</v>
      </c>
      <c r="D1209" s="76"/>
      <c r="E1209" s="125">
        <v>1749003</v>
      </c>
      <c r="F1209" s="125">
        <v>0</v>
      </c>
      <c r="G1209" s="125">
        <v>0</v>
      </c>
      <c r="H1209" s="125">
        <v>1000000</v>
      </c>
      <c r="I1209" s="125">
        <v>1200000</v>
      </c>
    </row>
    <row r="1210" spans="1:9" s="145" customFormat="1" ht="31.5">
      <c r="A1210" s="70" t="s">
        <v>2708</v>
      </c>
      <c r="B1210" s="105" t="s">
        <v>6581</v>
      </c>
      <c r="C1210" s="72" t="s">
        <v>1152</v>
      </c>
      <c r="D1210" s="76"/>
      <c r="E1210" s="125">
        <v>1253651</v>
      </c>
      <c r="F1210" s="125">
        <v>917064</v>
      </c>
      <c r="G1210" s="125">
        <v>1193857</v>
      </c>
      <c r="H1210" s="125">
        <v>1500000</v>
      </c>
      <c r="I1210" s="125">
        <v>1600000</v>
      </c>
    </row>
    <row r="1211" spans="1:9" s="145" customFormat="1" ht="31.5">
      <c r="A1211" s="70" t="s">
        <v>2694</v>
      </c>
      <c r="B1211" s="105" t="s">
        <v>6582</v>
      </c>
      <c r="C1211" s="72" t="s">
        <v>1153</v>
      </c>
      <c r="D1211" s="76"/>
      <c r="E1211" s="125">
        <v>1290286</v>
      </c>
      <c r="F1211" s="125">
        <v>1802548</v>
      </c>
      <c r="G1211" s="125">
        <v>1012337</v>
      </c>
      <c r="H1211" s="125">
        <v>1500000</v>
      </c>
      <c r="I1211" s="125">
        <v>1600000</v>
      </c>
    </row>
    <row r="1212" spans="1:9" s="145" customFormat="1" ht="31.5">
      <c r="A1212" s="70" t="s">
        <v>2695</v>
      </c>
      <c r="B1212" s="105" t="s">
        <v>6583</v>
      </c>
      <c r="C1212" s="72" t="s">
        <v>1154</v>
      </c>
      <c r="D1212" s="76"/>
      <c r="E1212" s="125">
        <v>0</v>
      </c>
      <c r="F1212" s="125">
        <v>424967</v>
      </c>
      <c r="G1212" s="125">
        <v>0</v>
      </c>
      <c r="H1212" s="125">
        <v>500000</v>
      </c>
      <c r="I1212" s="125">
        <v>800000</v>
      </c>
    </row>
    <row r="1213" spans="1:9" s="145" customFormat="1" ht="63">
      <c r="A1213" s="70" t="s">
        <v>5127</v>
      </c>
      <c r="B1213" s="105" t="s">
        <v>6584</v>
      </c>
      <c r="C1213" s="72" t="s">
        <v>1312</v>
      </c>
      <c r="D1213" s="76"/>
      <c r="E1213" s="125">
        <v>124172</v>
      </c>
      <c r="F1213" s="125">
        <v>134480</v>
      </c>
      <c r="G1213" s="125">
        <v>119662</v>
      </c>
      <c r="H1213" s="125">
        <v>500000</v>
      </c>
      <c r="I1213" s="125">
        <v>400000</v>
      </c>
    </row>
    <row r="1214" spans="1:9" s="145" customFormat="1" ht="15.75">
      <c r="A1214" s="70" t="s">
        <v>2709</v>
      </c>
      <c r="B1214" s="105" t="s">
        <v>6585</v>
      </c>
      <c r="C1214" s="72" t="s">
        <v>1371</v>
      </c>
      <c r="D1214" s="76"/>
      <c r="E1214" s="125">
        <v>111013</v>
      </c>
      <c r="F1214" s="125">
        <v>119169</v>
      </c>
      <c r="G1214" s="125">
        <v>0</v>
      </c>
      <c r="H1214" s="125">
        <v>500000</v>
      </c>
      <c r="I1214" s="125">
        <v>400000</v>
      </c>
    </row>
    <row r="1215" spans="1:9" s="145" customFormat="1" ht="31.5">
      <c r="A1215" s="70" t="s">
        <v>2710</v>
      </c>
      <c r="B1215" s="105" t="s">
        <v>6586</v>
      </c>
      <c r="C1215" s="72" t="s">
        <v>1804</v>
      </c>
      <c r="D1215" s="76"/>
      <c r="E1215" s="125">
        <v>0</v>
      </c>
      <c r="F1215" s="125">
        <v>0</v>
      </c>
      <c r="G1215" s="125">
        <v>0</v>
      </c>
      <c r="H1215" s="125">
        <v>1000000</v>
      </c>
      <c r="I1215" s="125">
        <v>800000</v>
      </c>
    </row>
    <row r="1216" spans="1:9" s="145" customFormat="1" ht="31.5">
      <c r="A1216" s="70" t="s">
        <v>2711</v>
      </c>
      <c r="B1216" s="105" t="s">
        <v>6587</v>
      </c>
      <c r="C1216" s="72" t="s">
        <v>1805</v>
      </c>
      <c r="D1216" s="76"/>
      <c r="E1216" s="125">
        <v>0</v>
      </c>
      <c r="F1216" s="125">
        <v>0</v>
      </c>
      <c r="G1216" s="125">
        <v>19942</v>
      </c>
      <c r="H1216" s="125">
        <v>500000</v>
      </c>
      <c r="I1216" s="125">
        <v>800000</v>
      </c>
    </row>
    <row r="1217" spans="1:9" s="145" customFormat="1" ht="15.75">
      <c r="A1217" s="77" t="s">
        <v>2712</v>
      </c>
      <c r="B1217" s="136" t="s">
        <v>6588</v>
      </c>
      <c r="C1217" s="72"/>
      <c r="D1217" s="76"/>
      <c r="E1217" s="125">
        <v>4528125</v>
      </c>
      <c r="F1217" s="125">
        <v>3408128</v>
      </c>
      <c r="G1217" s="125">
        <v>2358758</v>
      </c>
      <c r="H1217" s="125">
        <v>7050000</v>
      </c>
      <c r="I1217" s="125">
        <v>7650000</v>
      </c>
    </row>
    <row r="1218" spans="1:9" s="145" customFormat="1" ht="15.75">
      <c r="A1218" s="70"/>
      <c r="B1218" s="105"/>
      <c r="C1218" s="72"/>
      <c r="D1218" s="76"/>
      <c r="E1218" s="125">
        <v>0</v>
      </c>
      <c r="F1218" s="125">
        <v>0</v>
      </c>
      <c r="G1218" s="125">
        <v>0</v>
      </c>
      <c r="H1218" s="125">
        <v>0</v>
      </c>
      <c r="I1218" s="125">
        <v>0</v>
      </c>
    </row>
    <row r="1219" spans="1:9" s="145" customFormat="1" ht="31.5">
      <c r="A1219" s="77" t="s">
        <v>2932</v>
      </c>
      <c r="B1219" s="136" t="s">
        <v>6589</v>
      </c>
      <c r="C1219" s="72"/>
      <c r="D1219" s="76"/>
      <c r="E1219" s="125">
        <v>220345863</v>
      </c>
      <c r="F1219" s="125">
        <v>237103936</v>
      </c>
      <c r="G1219" s="125">
        <v>203136992</v>
      </c>
      <c r="H1219" s="125">
        <v>286175000</v>
      </c>
      <c r="I1219" s="125">
        <v>361670000</v>
      </c>
    </row>
    <row r="1220" spans="1:9" s="145" customFormat="1" ht="15.75">
      <c r="A1220" s="70"/>
      <c r="B1220" s="105"/>
      <c r="C1220" s="72"/>
      <c r="D1220" s="76"/>
      <c r="E1220" s="125">
        <v>0</v>
      </c>
      <c r="F1220" s="125">
        <v>0</v>
      </c>
      <c r="G1220" s="125">
        <v>0</v>
      </c>
      <c r="H1220" s="125">
        <v>0</v>
      </c>
      <c r="I1220" s="125">
        <v>0</v>
      </c>
    </row>
    <row r="1221" spans="1:9" s="145" customFormat="1" ht="15.75">
      <c r="A1221" s="70" t="s">
        <v>2714</v>
      </c>
      <c r="B1221" s="105" t="s">
        <v>6590</v>
      </c>
      <c r="C1221" s="72"/>
      <c r="D1221" s="76"/>
      <c r="E1221" s="125">
        <v>0</v>
      </c>
      <c r="F1221" s="125">
        <v>0</v>
      </c>
      <c r="G1221" s="125">
        <v>0</v>
      </c>
      <c r="H1221" s="125">
        <v>0</v>
      </c>
      <c r="I1221" s="125">
        <v>0</v>
      </c>
    </row>
    <row r="1222" spans="1:9" s="145" customFormat="1" ht="15.75">
      <c r="A1222" s="70" t="s">
        <v>2715</v>
      </c>
      <c r="B1222" s="105" t="s">
        <v>6591</v>
      </c>
      <c r="C1222" s="72"/>
      <c r="D1222" s="76"/>
      <c r="E1222" s="125">
        <v>0</v>
      </c>
      <c r="F1222" s="125">
        <v>0</v>
      </c>
      <c r="G1222" s="125">
        <v>0</v>
      </c>
      <c r="H1222" s="125">
        <v>0</v>
      </c>
      <c r="I1222" s="125">
        <v>0</v>
      </c>
    </row>
    <row r="1223" spans="1:9" s="145" customFormat="1" ht="15.75">
      <c r="A1223" s="70" t="s">
        <v>2716</v>
      </c>
      <c r="B1223" s="105" t="s">
        <v>6592</v>
      </c>
      <c r="C1223" s="72" t="s">
        <v>1039</v>
      </c>
      <c r="D1223" s="76"/>
      <c r="E1223" s="125">
        <v>6065294</v>
      </c>
      <c r="F1223" s="125">
        <v>5935090</v>
      </c>
      <c r="G1223" s="125">
        <v>6756930</v>
      </c>
      <c r="H1223" s="125">
        <v>8000000</v>
      </c>
      <c r="I1223" s="125">
        <v>12500000</v>
      </c>
    </row>
    <row r="1224" spans="1:9" s="145" customFormat="1" ht="15.75">
      <c r="A1224" s="70" t="s">
        <v>2149</v>
      </c>
      <c r="B1224" s="105" t="s">
        <v>5885</v>
      </c>
      <c r="C1224" s="72" t="s">
        <v>1040</v>
      </c>
      <c r="D1224" s="76"/>
      <c r="E1224" s="125">
        <v>199945</v>
      </c>
      <c r="F1224" s="125">
        <v>47648</v>
      </c>
      <c r="G1224" s="125">
        <v>128980</v>
      </c>
      <c r="H1224" s="125">
        <v>200000</v>
      </c>
      <c r="I1224" s="125">
        <v>250000</v>
      </c>
    </row>
    <row r="1225" spans="1:9" s="145" customFormat="1" ht="15.75">
      <c r="A1225" s="70" t="s">
        <v>2717</v>
      </c>
      <c r="B1225" s="105" t="s">
        <v>6593</v>
      </c>
      <c r="C1225" s="72" t="s">
        <v>894</v>
      </c>
      <c r="D1225" s="76"/>
      <c r="E1225" s="125">
        <v>0</v>
      </c>
      <c r="F1225" s="125">
        <v>0</v>
      </c>
      <c r="G1225" s="125">
        <v>0</v>
      </c>
      <c r="H1225" s="125">
        <v>15000</v>
      </c>
      <c r="I1225" s="125">
        <v>12000</v>
      </c>
    </row>
    <row r="1226" spans="1:9" s="145" customFormat="1" ht="15.75">
      <c r="A1226" s="70" t="s">
        <v>2718</v>
      </c>
      <c r="B1226" s="105" t="s">
        <v>6594</v>
      </c>
      <c r="C1226" s="72" t="s">
        <v>895</v>
      </c>
      <c r="D1226" s="76"/>
      <c r="E1226" s="125">
        <v>0</v>
      </c>
      <c r="F1226" s="125">
        <v>0</v>
      </c>
      <c r="G1226" s="125">
        <v>0</v>
      </c>
      <c r="H1226" s="125">
        <v>2000</v>
      </c>
      <c r="I1226" s="125">
        <v>1600</v>
      </c>
    </row>
    <row r="1227" spans="1:9" s="145" customFormat="1" ht="15.75">
      <c r="A1227" s="70" t="s">
        <v>2719</v>
      </c>
      <c r="B1227" s="105" t="s">
        <v>6595</v>
      </c>
      <c r="C1227" s="72" t="s">
        <v>896</v>
      </c>
      <c r="D1227" s="76"/>
      <c r="E1227" s="125">
        <v>0</v>
      </c>
      <c r="F1227" s="125">
        <v>0</v>
      </c>
      <c r="G1227" s="125">
        <v>703416</v>
      </c>
      <c r="H1227" s="125">
        <v>2000000</v>
      </c>
      <c r="I1227" s="125">
        <v>2000000</v>
      </c>
    </row>
    <row r="1228" spans="1:9" s="145" customFormat="1" ht="15.75">
      <c r="A1228" s="70" t="s">
        <v>2883</v>
      </c>
      <c r="B1228" s="105" t="s">
        <v>6596</v>
      </c>
      <c r="C1228" s="72" t="s">
        <v>897</v>
      </c>
      <c r="D1228" s="76"/>
      <c r="E1228" s="125">
        <v>397300</v>
      </c>
      <c r="F1228" s="125">
        <v>743130</v>
      </c>
      <c r="G1228" s="125">
        <v>720000</v>
      </c>
      <c r="H1228" s="125">
        <v>900000</v>
      </c>
      <c r="I1228" s="125">
        <v>1000000</v>
      </c>
    </row>
    <row r="1229" spans="1:9" s="145" customFormat="1" ht="47.25">
      <c r="A1229" s="70" t="s">
        <v>2720</v>
      </c>
      <c r="B1229" s="105" t="s">
        <v>6597</v>
      </c>
      <c r="C1229" s="72" t="s">
        <v>898</v>
      </c>
      <c r="D1229" s="76"/>
      <c r="E1229" s="125">
        <v>0</v>
      </c>
      <c r="F1229" s="125">
        <v>0</v>
      </c>
      <c r="G1229" s="125">
        <v>0</v>
      </c>
      <c r="H1229" s="125">
        <v>1800000</v>
      </c>
      <c r="I1229" s="125">
        <v>1440000</v>
      </c>
    </row>
    <row r="1230" spans="1:9" s="145" customFormat="1" ht="31.5">
      <c r="A1230" s="70" t="s">
        <v>2721</v>
      </c>
      <c r="B1230" s="105" t="s">
        <v>6598</v>
      </c>
      <c r="C1230" s="72" t="s">
        <v>928</v>
      </c>
      <c r="D1230" s="76"/>
      <c r="E1230" s="125">
        <v>57000</v>
      </c>
      <c r="F1230" s="125">
        <v>0</v>
      </c>
      <c r="G1230" s="125">
        <v>0</v>
      </c>
      <c r="H1230" s="125">
        <v>200000</v>
      </c>
      <c r="I1230" s="125">
        <v>160000</v>
      </c>
    </row>
    <row r="1231" spans="1:9" s="145" customFormat="1" ht="31.5">
      <c r="A1231" s="70" t="s">
        <v>2722</v>
      </c>
      <c r="B1231" s="105" t="s">
        <v>6599</v>
      </c>
      <c r="C1231" s="72" t="s">
        <v>929</v>
      </c>
      <c r="D1231" s="76"/>
      <c r="E1231" s="125">
        <v>92516</v>
      </c>
      <c r="F1231" s="125">
        <v>40454</v>
      </c>
      <c r="G1231" s="125">
        <v>100937</v>
      </c>
      <c r="H1231" s="125">
        <v>200000</v>
      </c>
      <c r="I1231" s="125">
        <v>160000</v>
      </c>
    </row>
    <row r="1232" spans="1:9" s="145" customFormat="1" ht="31.5">
      <c r="A1232" s="70" t="s">
        <v>2723</v>
      </c>
      <c r="B1232" s="105" t="s">
        <v>6600</v>
      </c>
      <c r="C1232" s="72" t="s">
        <v>930</v>
      </c>
      <c r="D1232" s="76"/>
      <c r="E1232" s="125">
        <v>15010</v>
      </c>
      <c r="F1232" s="125">
        <v>3002</v>
      </c>
      <c r="G1232" s="125">
        <v>0</v>
      </c>
      <c r="H1232" s="125">
        <v>1500</v>
      </c>
      <c r="I1232" s="125">
        <v>1200</v>
      </c>
    </row>
    <row r="1233" spans="1:9" s="145" customFormat="1" ht="15.75">
      <c r="A1233" s="70" t="s">
        <v>5128</v>
      </c>
      <c r="B1233" s="105" t="s">
        <v>6601</v>
      </c>
      <c r="C1233" s="72" t="s">
        <v>931</v>
      </c>
      <c r="D1233" s="76"/>
      <c r="E1233" s="125">
        <v>18729861</v>
      </c>
      <c r="F1233" s="125">
        <v>17240308</v>
      </c>
      <c r="G1233" s="125">
        <v>18052319</v>
      </c>
      <c r="H1233" s="125">
        <v>15000000</v>
      </c>
      <c r="I1233" s="125">
        <v>12000000</v>
      </c>
    </row>
    <row r="1234" spans="1:9" s="145" customFormat="1" ht="15.75">
      <c r="A1234" s="70" t="s">
        <v>2724</v>
      </c>
      <c r="B1234" s="105" t="s">
        <v>6602</v>
      </c>
      <c r="C1234" s="72" t="s">
        <v>932</v>
      </c>
      <c r="D1234" s="76"/>
      <c r="E1234" s="125">
        <v>1965230</v>
      </c>
      <c r="F1234" s="125">
        <v>0</v>
      </c>
      <c r="G1234" s="125">
        <v>0</v>
      </c>
      <c r="H1234" s="125">
        <v>0</v>
      </c>
      <c r="I1234" s="125">
        <v>0</v>
      </c>
    </row>
    <row r="1235" spans="1:9" s="145" customFormat="1" ht="31.5">
      <c r="A1235" s="70" t="s">
        <v>2725</v>
      </c>
      <c r="B1235" s="105" t="s">
        <v>6603</v>
      </c>
      <c r="C1235" s="72" t="s">
        <v>933</v>
      </c>
      <c r="D1235" s="76"/>
      <c r="E1235" s="125">
        <v>0</v>
      </c>
      <c r="F1235" s="125">
        <v>0</v>
      </c>
      <c r="G1235" s="125">
        <v>0</v>
      </c>
      <c r="H1235" s="125">
        <v>1000000</v>
      </c>
      <c r="I1235" s="125">
        <v>0</v>
      </c>
    </row>
    <row r="1236" spans="1:9" s="145" customFormat="1" ht="15.75">
      <c r="A1236" s="70" t="s">
        <v>2726</v>
      </c>
      <c r="B1236" s="105" t="s">
        <v>6604</v>
      </c>
      <c r="C1236" s="72" t="s">
        <v>934</v>
      </c>
      <c r="D1236" s="76"/>
      <c r="E1236" s="125">
        <v>2431060</v>
      </c>
      <c r="F1236" s="125">
        <v>0</v>
      </c>
      <c r="G1236" s="125">
        <v>0</v>
      </c>
      <c r="H1236" s="125">
        <v>0</v>
      </c>
      <c r="I1236" s="125">
        <v>0</v>
      </c>
    </row>
    <row r="1237" spans="1:9" s="145" customFormat="1" ht="31.5">
      <c r="A1237" s="70" t="s">
        <v>2727</v>
      </c>
      <c r="B1237" s="105" t="s">
        <v>6605</v>
      </c>
      <c r="C1237" s="72" t="s">
        <v>935</v>
      </c>
      <c r="D1237" s="76"/>
      <c r="E1237" s="125">
        <v>5750683</v>
      </c>
      <c r="F1237" s="125">
        <v>6750180</v>
      </c>
      <c r="G1237" s="125">
        <v>7375000</v>
      </c>
      <c r="H1237" s="125">
        <v>11000000</v>
      </c>
      <c r="I1237" s="125">
        <v>8800000</v>
      </c>
    </row>
    <row r="1238" spans="1:9" s="145" customFormat="1" ht="15.75">
      <c r="A1238" s="70" t="s">
        <v>2728</v>
      </c>
      <c r="B1238" s="105" t="s">
        <v>6606</v>
      </c>
      <c r="C1238" s="72" t="s">
        <v>936</v>
      </c>
      <c r="D1238" s="76"/>
      <c r="E1238" s="125">
        <v>183107</v>
      </c>
      <c r="F1238" s="125">
        <v>115000</v>
      </c>
      <c r="G1238" s="125">
        <v>339740</v>
      </c>
      <c r="H1238" s="125">
        <v>500000</v>
      </c>
      <c r="I1238" s="125">
        <v>400000</v>
      </c>
    </row>
    <row r="1239" spans="1:9" s="145" customFormat="1" ht="15.75">
      <c r="A1239" s="70" t="s">
        <v>2729</v>
      </c>
      <c r="B1239" s="105" t="s">
        <v>6607</v>
      </c>
      <c r="C1239" s="75" t="s">
        <v>129</v>
      </c>
      <c r="D1239" s="76"/>
      <c r="E1239" s="125">
        <v>1153528</v>
      </c>
      <c r="F1239" s="125">
        <v>0</v>
      </c>
      <c r="G1239" s="125">
        <v>0</v>
      </c>
      <c r="H1239" s="125">
        <v>0</v>
      </c>
      <c r="I1239" s="125">
        <v>0</v>
      </c>
    </row>
    <row r="1240" spans="1:9" s="145" customFormat="1" ht="60">
      <c r="A1240" s="73" t="s">
        <v>2730</v>
      </c>
      <c r="B1240" s="105" t="s">
        <v>6608</v>
      </c>
      <c r="C1240" s="75" t="s">
        <v>1372</v>
      </c>
      <c r="D1240" s="76"/>
      <c r="E1240" s="125">
        <v>0</v>
      </c>
      <c r="F1240" s="125">
        <v>0</v>
      </c>
      <c r="G1240" s="125">
        <v>0</v>
      </c>
      <c r="H1240" s="125">
        <v>1000000</v>
      </c>
      <c r="I1240" s="125">
        <v>0</v>
      </c>
    </row>
    <row r="1241" spans="1:9" s="145" customFormat="1" ht="15.75">
      <c r="A1241" s="70" t="s">
        <v>2731</v>
      </c>
      <c r="B1241" s="105" t="s">
        <v>6609</v>
      </c>
      <c r="C1241" s="75" t="s">
        <v>1373</v>
      </c>
      <c r="D1241" s="76"/>
      <c r="E1241" s="125">
        <v>0</v>
      </c>
      <c r="F1241" s="125">
        <v>0</v>
      </c>
      <c r="G1241" s="125">
        <v>0</v>
      </c>
      <c r="H1241" s="125">
        <v>2000000</v>
      </c>
      <c r="I1241" s="125">
        <v>1600000</v>
      </c>
    </row>
    <row r="1242" spans="1:9" s="145" customFormat="1" ht="31.5">
      <c r="A1242" s="70" t="s">
        <v>2732</v>
      </c>
      <c r="B1242" s="105" t="s">
        <v>6610</v>
      </c>
      <c r="C1242" s="75" t="s">
        <v>1374</v>
      </c>
      <c r="D1242" s="76"/>
      <c r="E1242" s="125">
        <v>0</v>
      </c>
      <c r="F1242" s="125">
        <v>0</v>
      </c>
      <c r="G1242" s="125">
        <v>1829544</v>
      </c>
      <c r="H1242" s="125">
        <v>2500000</v>
      </c>
      <c r="I1242" s="125">
        <v>2000000</v>
      </c>
    </row>
    <row r="1243" spans="1:9" s="145" customFormat="1" ht="31.5">
      <c r="A1243" s="70" t="s">
        <v>2733</v>
      </c>
      <c r="B1243" s="105" t="s">
        <v>6611</v>
      </c>
      <c r="C1243" s="75" t="s">
        <v>1806</v>
      </c>
      <c r="D1243" s="76"/>
      <c r="E1243" s="125">
        <v>0</v>
      </c>
      <c r="F1243" s="125">
        <v>0</v>
      </c>
      <c r="G1243" s="125">
        <v>485280</v>
      </c>
      <c r="H1243" s="125">
        <v>2000000</v>
      </c>
      <c r="I1243" s="125">
        <v>2000000</v>
      </c>
    </row>
    <row r="1244" spans="1:9" s="145" customFormat="1" ht="47.25">
      <c r="A1244" s="70" t="s">
        <v>2734</v>
      </c>
      <c r="B1244" s="105" t="s">
        <v>6612</v>
      </c>
      <c r="C1244" s="75" t="s">
        <v>1933</v>
      </c>
      <c r="D1244" s="76"/>
      <c r="E1244" s="125">
        <v>0</v>
      </c>
      <c r="F1244" s="125">
        <v>0</v>
      </c>
      <c r="G1244" s="125">
        <v>2500000</v>
      </c>
      <c r="H1244" s="125">
        <v>1000000</v>
      </c>
      <c r="I1244" s="125">
        <v>1600000</v>
      </c>
    </row>
    <row r="1245" spans="1:9" s="145" customFormat="1" ht="15.75">
      <c r="A1245" s="70" t="s">
        <v>5386</v>
      </c>
      <c r="B1245" s="105"/>
      <c r="C1245" s="75" t="s">
        <v>5383</v>
      </c>
      <c r="D1245" s="76"/>
      <c r="E1245" s="125">
        <v>0</v>
      </c>
      <c r="F1245" s="125">
        <v>0</v>
      </c>
      <c r="G1245" s="125">
        <v>484257</v>
      </c>
      <c r="H1245" s="125">
        <v>0</v>
      </c>
      <c r="I1245" s="125">
        <v>0</v>
      </c>
    </row>
    <row r="1246" spans="1:9" s="145" customFormat="1" ht="47.25">
      <c r="A1246" s="70" t="s">
        <v>5389</v>
      </c>
      <c r="B1246" s="105"/>
      <c r="C1246" s="75" t="s">
        <v>5384</v>
      </c>
      <c r="D1246" s="76"/>
      <c r="E1246" s="125">
        <v>0</v>
      </c>
      <c r="F1246" s="125">
        <v>0</v>
      </c>
      <c r="G1246" s="125">
        <v>1000000</v>
      </c>
      <c r="H1246" s="125">
        <v>0</v>
      </c>
      <c r="I1246" s="125">
        <v>0</v>
      </c>
    </row>
    <row r="1247" spans="1:9" s="145" customFormat="1" ht="47.25">
      <c r="A1247" s="70" t="s">
        <v>5390</v>
      </c>
      <c r="B1247" s="105"/>
      <c r="C1247" s="75" t="s">
        <v>5385</v>
      </c>
      <c r="D1247" s="76"/>
      <c r="E1247" s="125">
        <v>0</v>
      </c>
      <c r="F1247" s="125">
        <v>0</v>
      </c>
      <c r="G1247" s="125">
        <v>150000</v>
      </c>
      <c r="H1247" s="125">
        <v>0</v>
      </c>
      <c r="I1247" s="125">
        <v>0</v>
      </c>
    </row>
    <row r="1248" spans="1:9" s="145" customFormat="1" ht="15.75">
      <c r="A1248" s="77" t="s">
        <v>2320</v>
      </c>
      <c r="B1248" s="136" t="s">
        <v>146</v>
      </c>
      <c r="C1248" s="72"/>
      <c r="D1248" s="76"/>
      <c r="E1248" s="125">
        <v>37040534</v>
      </c>
      <c r="F1248" s="125">
        <v>30874812</v>
      </c>
      <c r="G1248" s="125">
        <v>40626403</v>
      </c>
      <c r="H1248" s="125">
        <v>49318500</v>
      </c>
      <c r="I1248" s="125">
        <v>45924800</v>
      </c>
    </row>
    <row r="1249" spans="1:9" s="145" customFormat="1" ht="15.75">
      <c r="A1249" s="70"/>
      <c r="B1249" s="105"/>
      <c r="C1249" s="72"/>
      <c r="D1249" s="76"/>
      <c r="E1249" s="125">
        <v>0</v>
      </c>
      <c r="F1249" s="125">
        <v>0</v>
      </c>
      <c r="G1249" s="125">
        <v>0</v>
      </c>
      <c r="H1249" s="125">
        <v>0</v>
      </c>
      <c r="I1249" s="125">
        <v>0</v>
      </c>
    </row>
    <row r="1250" spans="1:9" s="145" customFormat="1" ht="15.75">
      <c r="A1250" s="88" t="s">
        <v>2735</v>
      </c>
      <c r="B1250" s="105" t="s">
        <v>6613</v>
      </c>
      <c r="C1250" s="72"/>
      <c r="D1250" s="76"/>
      <c r="E1250" s="125">
        <v>0</v>
      </c>
      <c r="F1250" s="125">
        <v>0</v>
      </c>
      <c r="G1250" s="125">
        <v>0</v>
      </c>
      <c r="H1250" s="125">
        <v>0</v>
      </c>
      <c r="I1250" s="125">
        <v>0</v>
      </c>
    </row>
    <row r="1251" spans="1:9" s="145" customFormat="1" ht="15.75">
      <c r="A1251" s="70" t="s">
        <v>2736</v>
      </c>
      <c r="B1251" s="105" t="s">
        <v>6465</v>
      </c>
      <c r="C1251" s="72" t="s">
        <v>1430</v>
      </c>
      <c r="D1251" s="76"/>
      <c r="E1251" s="125">
        <v>96655</v>
      </c>
      <c r="F1251" s="125">
        <v>22058</v>
      </c>
      <c r="G1251" s="125">
        <v>1077511</v>
      </c>
      <c r="H1251" s="125">
        <v>1200000</v>
      </c>
      <c r="I1251" s="125">
        <v>1200000</v>
      </c>
    </row>
    <row r="1252" spans="1:9" s="145" customFormat="1" ht="31.5">
      <c r="A1252" s="70" t="s">
        <v>2737</v>
      </c>
      <c r="B1252" s="105" t="s">
        <v>6614</v>
      </c>
      <c r="C1252" s="72" t="s">
        <v>1431</v>
      </c>
      <c r="D1252" s="76"/>
      <c r="E1252" s="125">
        <v>0</v>
      </c>
      <c r="F1252" s="125">
        <v>0</v>
      </c>
      <c r="G1252" s="125">
        <v>1689973</v>
      </c>
      <c r="H1252" s="125">
        <v>2500000</v>
      </c>
      <c r="I1252" s="125">
        <v>2000000</v>
      </c>
    </row>
    <row r="1253" spans="1:9" s="145" customFormat="1" ht="15.75">
      <c r="A1253" s="70" t="s">
        <v>2738</v>
      </c>
      <c r="B1253" s="105" t="s">
        <v>6615</v>
      </c>
      <c r="C1253" s="72" t="s">
        <v>1432</v>
      </c>
      <c r="D1253" s="76"/>
      <c r="E1253" s="125">
        <v>1037960</v>
      </c>
      <c r="F1253" s="125">
        <v>0</v>
      </c>
      <c r="G1253" s="125">
        <v>0</v>
      </c>
      <c r="H1253" s="125">
        <v>0</v>
      </c>
      <c r="I1253" s="125">
        <v>0</v>
      </c>
    </row>
    <row r="1254" spans="1:9" s="145" customFormat="1" ht="15.75">
      <c r="A1254" s="70" t="s">
        <v>2739</v>
      </c>
      <c r="B1254" s="105" t="s">
        <v>6616</v>
      </c>
      <c r="C1254" s="72" t="s">
        <v>1433</v>
      </c>
      <c r="D1254" s="76"/>
      <c r="E1254" s="125">
        <v>0</v>
      </c>
      <c r="F1254" s="125">
        <v>0</v>
      </c>
      <c r="G1254" s="125">
        <v>646324</v>
      </c>
      <c r="H1254" s="125">
        <v>500000</v>
      </c>
      <c r="I1254" s="125">
        <v>400000</v>
      </c>
    </row>
    <row r="1255" spans="1:9" s="145" customFormat="1" ht="15.75">
      <c r="A1255" s="70" t="s">
        <v>2740</v>
      </c>
      <c r="B1255" s="105" t="s">
        <v>6617</v>
      </c>
      <c r="C1255" s="72" t="s">
        <v>1434</v>
      </c>
      <c r="D1255" s="76"/>
      <c r="E1255" s="125">
        <v>0</v>
      </c>
      <c r="F1255" s="125">
        <v>0</v>
      </c>
      <c r="G1255" s="125">
        <v>0</v>
      </c>
      <c r="H1255" s="125">
        <v>500000</v>
      </c>
      <c r="I1255" s="125">
        <v>400000</v>
      </c>
    </row>
    <row r="1256" spans="1:9" s="145" customFormat="1" ht="15.75">
      <c r="A1256" s="70" t="s">
        <v>2741</v>
      </c>
      <c r="B1256" s="105" t="s">
        <v>6618</v>
      </c>
      <c r="C1256" s="72" t="s">
        <v>1435</v>
      </c>
      <c r="D1256" s="76"/>
      <c r="E1256" s="125">
        <v>0</v>
      </c>
      <c r="F1256" s="125">
        <v>1780000</v>
      </c>
      <c r="G1256" s="125">
        <v>108140</v>
      </c>
      <c r="H1256" s="125">
        <v>1500000</v>
      </c>
      <c r="I1256" s="125">
        <v>1200000</v>
      </c>
    </row>
    <row r="1257" spans="1:9" s="145" customFormat="1" ht="15.75">
      <c r="A1257" s="70" t="s">
        <v>2742</v>
      </c>
      <c r="B1257" s="105" t="s">
        <v>6619</v>
      </c>
      <c r="C1257" s="72" t="s">
        <v>1436</v>
      </c>
      <c r="D1257" s="76"/>
      <c r="E1257" s="125">
        <v>0</v>
      </c>
      <c r="F1257" s="125">
        <v>0</v>
      </c>
      <c r="G1257" s="125">
        <v>0</v>
      </c>
      <c r="H1257" s="125">
        <v>500000</v>
      </c>
      <c r="I1257" s="125">
        <v>400000</v>
      </c>
    </row>
    <row r="1258" spans="1:9" s="145" customFormat="1" ht="15">
      <c r="A1258" s="73" t="s">
        <v>2743</v>
      </c>
      <c r="B1258" s="105" t="s">
        <v>6620</v>
      </c>
      <c r="C1258" s="72" t="s">
        <v>1437</v>
      </c>
      <c r="D1258" s="76"/>
      <c r="E1258" s="125">
        <v>0</v>
      </c>
      <c r="F1258" s="125">
        <v>0</v>
      </c>
      <c r="G1258" s="125">
        <v>0</v>
      </c>
      <c r="H1258" s="125">
        <v>300000</v>
      </c>
      <c r="I1258" s="125">
        <v>240000</v>
      </c>
    </row>
    <row r="1259" spans="1:9" s="145" customFormat="1" ht="15.75">
      <c r="A1259" s="70" t="s">
        <v>2744</v>
      </c>
      <c r="B1259" s="105" t="s">
        <v>6621</v>
      </c>
      <c r="C1259" s="72" t="s">
        <v>1438</v>
      </c>
      <c r="D1259" s="76"/>
      <c r="E1259" s="125">
        <v>0</v>
      </c>
      <c r="F1259" s="125">
        <v>0</v>
      </c>
      <c r="G1259" s="125">
        <v>0</v>
      </c>
      <c r="H1259" s="125">
        <v>1000000</v>
      </c>
      <c r="I1259" s="125">
        <v>800000</v>
      </c>
    </row>
    <row r="1260" spans="1:9" s="145" customFormat="1" ht="15.75">
      <c r="A1260" s="70" t="s">
        <v>2745</v>
      </c>
      <c r="B1260" s="105" t="s">
        <v>6622</v>
      </c>
      <c r="C1260" s="72" t="s">
        <v>1439</v>
      </c>
      <c r="D1260" s="76"/>
      <c r="E1260" s="125">
        <v>0</v>
      </c>
      <c r="F1260" s="125">
        <v>0</v>
      </c>
      <c r="G1260" s="125">
        <v>0</v>
      </c>
      <c r="H1260" s="125">
        <v>500000</v>
      </c>
      <c r="I1260" s="125">
        <v>400000</v>
      </c>
    </row>
    <row r="1261" spans="1:9" s="145" customFormat="1" ht="31.5">
      <c r="A1261" s="70" t="s">
        <v>2746</v>
      </c>
      <c r="B1261" s="105" t="s">
        <v>6623</v>
      </c>
      <c r="C1261" s="72" t="s">
        <v>1440</v>
      </c>
      <c r="D1261" s="76"/>
      <c r="E1261" s="125">
        <v>0</v>
      </c>
      <c r="F1261" s="125">
        <v>0</v>
      </c>
      <c r="G1261" s="125">
        <v>0</v>
      </c>
      <c r="H1261" s="125">
        <v>1500000</v>
      </c>
      <c r="I1261" s="125">
        <v>1200000</v>
      </c>
    </row>
    <row r="1262" spans="1:9" s="145" customFormat="1" ht="15.75">
      <c r="A1262" s="70" t="s">
        <v>2747</v>
      </c>
      <c r="B1262" s="105" t="s">
        <v>6624</v>
      </c>
      <c r="C1262" s="72" t="s">
        <v>1441</v>
      </c>
      <c r="D1262" s="76"/>
      <c r="E1262" s="125">
        <v>0</v>
      </c>
      <c r="F1262" s="125">
        <v>0</v>
      </c>
      <c r="G1262" s="125">
        <v>2800000</v>
      </c>
      <c r="H1262" s="125">
        <v>2500000</v>
      </c>
      <c r="I1262" s="125">
        <v>2500000</v>
      </c>
    </row>
    <row r="1263" spans="1:9" s="145" customFormat="1" ht="15.75">
      <c r="A1263" s="70" t="s">
        <v>4651</v>
      </c>
      <c r="B1263" s="105" t="s">
        <v>6625</v>
      </c>
      <c r="C1263" s="72" t="s">
        <v>4853</v>
      </c>
      <c r="D1263" s="76"/>
      <c r="E1263" s="125">
        <v>0</v>
      </c>
      <c r="F1263" s="125">
        <v>0</v>
      </c>
      <c r="G1263" s="125">
        <v>0</v>
      </c>
      <c r="H1263" s="125">
        <v>2000000</v>
      </c>
      <c r="I1263" s="125">
        <v>1600000</v>
      </c>
    </row>
    <row r="1264" spans="1:9" s="145" customFormat="1" ht="15.75">
      <c r="A1264" s="77" t="s">
        <v>2347</v>
      </c>
      <c r="B1264" s="136" t="s">
        <v>146</v>
      </c>
      <c r="C1264" s="72"/>
      <c r="D1264" s="76"/>
      <c r="E1264" s="125">
        <v>1134615</v>
      </c>
      <c r="F1264" s="125">
        <v>1802058</v>
      </c>
      <c r="G1264" s="125">
        <v>6321948</v>
      </c>
      <c r="H1264" s="125">
        <v>14500000</v>
      </c>
      <c r="I1264" s="125">
        <v>12340000</v>
      </c>
    </row>
    <row r="1265" spans="1:9" s="145" customFormat="1" ht="15.75">
      <c r="A1265" s="70"/>
      <c r="B1265" s="105"/>
      <c r="C1265" s="72"/>
      <c r="D1265" s="76"/>
      <c r="E1265" s="125">
        <v>0</v>
      </c>
      <c r="F1265" s="125">
        <v>0</v>
      </c>
      <c r="G1265" s="125">
        <v>0</v>
      </c>
      <c r="H1265" s="125">
        <v>0</v>
      </c>
      <c r="I1265" s="125">
        <v>0</v>
      </c>
    </row>
    <row r="1266" spans="1:9" s="145" customFormat="1" ht="15.75">
      <c r="A1266" s="70" t="s">
        <v>2748</v>
      </c>
      <c r="B1266" s="105" t="s">
        <v>6626</v>
      </c>
      <c r="C1266" s="72"/>
      <c r="D1266" s="76"/>
      <c r="E1266" s="125">
        <v>0</v>
      </c>
      <c r="F1266" s="125">
        <v>0</v>
      </c>
      <c r="G1266" s="125">
        <v>0</v>
      </c>
      <c r="H1266" s="125">
        <v>0</v>
      </c>
      <c r="I1266" s="125">
        <v>0</v>
      </c>
    </row>
    <row r="1267" spans="1:9" s="145" customFormat="1" ht="15.75">
      <c r="A1267" s="70" t="s">
        <v>2749</v>
      </c>
      <c r="B1267" s="105" t="s">
        <v>6627</v>
      </c>
      <c r="C1267" s="72" t="s">
        <v>937</v>
      </c>
      <c r="D1267" s="76"/>
      <c r="E1267" s="125">
        <v>998697</v>
      </c>
      <c r="F1267" s="125">
        <v>825050</v>
      </c>
      <c r="G1267" s="125">
        <v>735048</v>
      </c>
      <c r="H1267" s="125">
        <v>1500000</v>
      </c>
      <c r="I1267" s="125">
        <v>0</v>
      </c>
    </row>
    <row r="1268" spans="1:9" s="145" customFormat="1" ht="15.75">
      <c r="A1268" s="77" t="s">
        <v>2386</v>
      </c>
      <c r="B1268" s="136" t="s">
        <v>146</v>
      </c>
      <c r="C1268" s="72"/>
      <c r="D1268" s="76"/>
      <c r="E1268" s="125">
        <v>998697</v>
      </c>
      <c r="F1268" s="125">
        <v>825050</v>
      </c>
      <c r="G1268" s="125">
        <v>735048</v>
      </c>
      <c r="H1268" s="125">
        <v>1500000</v>
      </c>
      <c r="I1268" s="125">
        <v>0</v>
      </c>
    </row>
    <row r="1269" spans="1:9" s="145" customFormat="1" ht="15.75">
      <c r="A1269" s="70"/>
      <c r="B1269" s="105"/>
      <c r="C1269" s="72"/>
      <c r="D1269" s="76"/>
      <c r="E1269" s="125">
        <v>0</v>
      </c>
      <c r="F1269" s="125">
        <v>0</v>
      </c>
      <c r="G1269" s="125">
        <v>0</v>
      </c>
      <c r="H1269" s="125">
        <v>0</v>
      </c>
      <c r="I1269" s="125">
        <v>0</v>
      </c>
    </row>
    <row r="1270" spans="1:9" s="145" customFormat="1" ht="15.75">
      <c r="A1270" s="88" t="s">
        <v>3137</v>
      </c>
      <c r="B1270" s="105" t="s">
        <v>6628</v>
      </c>
      <c r="C1270" s="72"/>
      <c r="D1270" s="76"/>
      <c r="E1270" s="125">
        <v>0</v>
      </c>
      <c r="F1270" s="125">
        <v>0</v>
      </c>
      <c r="G1270" s="125">
        <v>0</v>
      </c>
      <c r="H1270" s="125">
        <v>0</v>
      </c>
      <c r="I1270" s="125">
        <v>0</v>
      </c>
    </row>
    <row r="1271" spans="1:9" s="145" customFormat="1" ht="15.75">
      <c r="A1271" s="70" t="s">
        <v>2545</v>
      </c>
      <c r="B1271" s="105" t="s">
        <v>6629</v>
      </c>
      <c r="C1271" s="72" t="s">
        <v>938</v>
      </c>
      <c r="D1271" s="76"/>
      <c r="E1271" s="125">
        <v>0</v>
      </c>
      <c r="F1271" s="125">
        <v>0</v>
      </c>
      <c r="G1271" s="125">
        <v>36465</v>
      </c>
      <c r="H1271" s="125">
        <v>40000</v>
      </c>
      <c r="I1271" s="125">
        <v>40000</v>
      </c>
    </row>
    <row r="1272" spans="1:9" s="145" customFormat="1" ht="15.75">
      <c r="A1272" s="70" t="s">
        <v>2884</v>
      </c>
      <c r="B1272" s="105" t="s">
        <v>6630</v>
      </c>
      <c r="C1272" s="72" t="s">
        <v>939</v>
      </c>
      <c r="D1272" s="76"/>
      <c r="E1272" s="125">
        <v>398350</v>
      </c>
      <c r="F1272" s="125">
        <v>761510</v>
      </c>
      <c r="G1272" s="125">
        <v>800000</v>
      </c>
      <c r="H1272" s="125">
        <v>900000</v>
      </c>
      <c r="I1272" s="125">
        <v>1000000</v>
      </c>
    </row>
    <row r="1273" spans="1:9" s="145" customFormat="1" ht="15.75">
      <c r="A1273" s="70" t="s">
        <v>2750</v>
      </c>
      <c r="B1273" s="105" t="s">
        <v>6631</v>
      </c>
      <c r="C1273" s="72" t="s">
        <v>940</v>
      </c>
      <c r="D1273" s="76"/>
      <c r="E1273" s="125">
        <v>0</v>
      </c>
      <c r="F1273" s="125">
        <v>0</v>
      </c>
      <c r="G1273" s="125">
        <v>12580</v>
      </c>
      <c r="H1273" s="125">
        <v>1500000</v>
      </c>
      <c r="I1273" s="125">
        <v>1500000</v>
      </c>
    </row>
    <row r="1274" spans="1:9" s="145" customFormat="1" ht="63">
      <c r="A1274" s="70" t="s">
        <v>3138</v>
      </c>
      <c r="B1274" s="105" t="s">
        <v>6632</v>
      </c>
      <c r="C1274" s="72" t="s">
        <v>1807</v>
      </c>
      <c r="D1274" s="76"/>
      <c r="E1274" s="125">
        <v>0</v>
      </c>
      <c r="F1274" s="125">
        <v>0</v>
      </c>
      <c r="G1274" s="125">
        <v>784400</v>
      </c>
      <c r="H1274" s="125">
        <v>800000</v>
      </c>
      <c r="I1274" s="125">
        <v>1000000</v>
      </c>
    </row>
    <row r="1275" spans="1:9" s="145" customFormat="1" ht="15.75">
      <c r="A1275" s="70"/>
      <c r="B1275" s="105"/>
      <c r="C1275" s="72"/>
      <c r="D1275" s="76"/>
      <c r="E1275" s="125">
        <v>0</v>
      </c>
      <c r="F1275" s="125">
        <v>0</v>
      </c>
      <c r="G1275" s="125">
        <v>0</v>
      </c>
      <c r="H1275" s="125">
        <v>0</v>
      </c>
      <c r="I1275" s="125">
        <v>0</v>
      </c>
    </row>
    <row r="1276" spans="1:9" s="145" customFormat="1" ht="15.75">
      <c r="A1276" s="77" t="s">
        <v>2387</v>
      </c>
      <c r="B1276" s="136" t="s">
        <v>146</v>
      </c>
      <c r="C1276" s="72"/>
      <c r="D1276" s="76"/>
      <c r="E1276" s="125">
        <v>398350</v>
      </c>
      <c r="F1276" s="125">
        <v>761510</v>
      </c>
      <c r="G1276" s="125">
        <v>1633445</v>
      </c>
      <c r="H1276" s="125">
        <v>3240000</v>
      </c>
      <c r="I1276" s="125">
        <v>3540000</v>
      </c>
    </row>
    <row r="1277" spans="1:9" s="145" customFormat="1" ht="15.75">
      <c r="A1277" s="70"/>
      <c r="B1277" s="105"/>
      <c r="C1277" s="72"/>
      <c r="D1277" s="76"/>
      <c r="E1277" s="125">
        <v>0</v>
      </c>
      <c r="F1277" s="125">
        <v>0</v>
      </c>
      <c r="G1277" s="125">
        <v>0</v>
      </c>
      <c r="H1277" s="125">
        <v>0</v>
      </c>
      <c r="I1277" s="125">
        <v>0</v>
      </c>
    </row>
    <row r="1278" spans="1:9" s="145" customFormat="1" ht="15.75">
      <c r="A1278" s="77" t="s">
        <v>2751</v>
      </c>
      <c r="B1278" s="136" t="s">
        <v>6633</v>
      </c>
      <c r="C1278" s="72"/>
      <c r="D1278" s="76"/>
      <c r="E1278" s="125">
        <v>39572196</v>
      </c>
      <c r="F1278" s="125">
        <v>34263430</v>
      </c>
      <c r="G1278" s="125">
        <v>49316844</v>
      </c>
      <c r="H1278" s="125">
        <v>68558500</v>
      </c>
      <c r="I1278" s="125">
        <v>61804800</v>
      </c>
    </row>
    <row r="1279" spans="1:9" s="145" customFormat="1" ht="15.75">
      <c r="A1279" s="70"/>
      <c r="B1279" s="105"/>
      <c r="C1279" s="72"/>
      <c r="D1279" s="76"/>
      <c r="E1279" s="125">
        <v>0</v>
      </c>
      <c r="F1279" s="125">
        <v>0</v>
      </c>
      <c r="G1279" s="125">
        <v>0</v>
      </c>
      <c r="H1279" s="125">
        <v>0</v>
      </c>
      <c r="I1279" s="125">
        <v>0</v>
      </c>
    </row>
    <row r="1280" spans="1:9" s="145" customFormat="1" ht="15.75">
      <c r="A1280" s="70" t="s">
        <v>2752</v>
      </c>
      <c r="B1280" s="105" t="s">
        <v>5644</v>
      </c>
      <c r="C1280" s="72"/>
      <c r="D1280" s="76"/>
      <c r="E1280" s="125">
        <v>0</v>
      </c>
      <c r="F1280" s="125">
        <v>0</v>
      </c>
      <c r="G1280" s="125">
        <v>0</v>
      </c>
      <c r="H1280" s="125">
        <v>0</v>
      </c>
      <c r="I1280" s="125">
        <v>0</v>
      </c>
    </row>
    <row r="1281" spans="1:9" s="145" customFormat="1" ht="15.75">
      <c r="A1281" s="70" t="s">
        <v>2753</v>
      </c>
      <c r="B1281" s="105" t="s">
        <v>6634</v>
      </c>
      <c r="C1281" s="72"/>
      <c r="D1281" s="76"/>
      <c r="E1281" s="125">
        <v>0</v>
      </c>
      <c r="F1281" s="125">
        <v>0</v>
      </c>
      <c r="G1281" s="125">
        <v>0</v>
      </c>
      <c r="H1281" s="125">
        <v>0</v>
      </c>
      <c r="I1281" s="125">
        <v>0</v>
      </c>
    </row>
    <row r="1282" spans="1:9" s="145" customFormat="1" ht="15.75">
      <c r="A1282" s="70" t="s">
        <v>2148</v>
      </c>
      <c r="B1282" s="105" t="s">
        <v>6139</v>
      </c>
      <c r="C1282" s="72" t="s">
        <v>941</v>
      </c>
      <c r="D1282" s="76"/>
      <c r="E1282" s="125">
        <v>6263143</v>
      </c>
      <c r="F1282" s="125">
        <v>6051338</v>
      </c>
      <c r="G1282" s="125">
        <v>9780737</v>
      </c>
      <c r="H1282" s="125">
        <v>8000000</v>
      </c>
      <c r="I1282" s="125">
        <v>10000000</v>
      </c>
    </row>
    <row r="1283" spans="1:9" s="145" customFormat="1" ht="15.75">
      <c r="A1283" s="70" t="s">
        <v>2149</v>
      </c>
      <c r="B1283" s="105" t="s">
        <v>5885</v>
      </c>
      <c r="C1283" s="72" t="s">
        <v>942</v>
      </c>
      <c r="D1283" s="76"/>
      <c r="E1283" s="125">
        <v>100237</v>
      </c>
      <c r="F1283" s="125">
        <v>47658</v>
      </c>
      <c r="G1283" s="125">
        <v>316651</v>
      </c>
      <c r="H1283" s="125">
        <v>400000</v>
      </c>
      <c r="I1283" s="125">
        <v>450000</v>
      </c>
    </row>
    <row r="1284" spans="1:9" s="145" customFormat="1" ht="31.5">
      <c r="A1284" s="70" t="s">
        <v>2855</v>
      </c>
      <c r="B1284" s="105" t="s">
        <v>6635</v>
      </c>
      <c r="C1284" s="72" t="s">
        <v>943</v>
      </c>
      <c r="D1284" s="76"/>
      <c r="E1284" s="125">
        <v>200000</v>
      </c>
      <c r="F1284" s="125">
        <v>170000</v>
      </c>
      <c r="G1284" s="125">
        <v>136000</v>
      </c>
      <c r="H1284" s="125">
        <v>200000</v>
      </c>
      <c r="I1284" s="125">
        <v>250000</v>
      </c>
    </row>
    <row r="1285" spans="1:9" s="145" customFormat="1" ht="31.5">
      <c r="A1285" s="70" t="s">
        <v>2754</v>
      </c>
      <c r="B1285" s="105" t="s">
        <v>6636</v>
      </c>
      <c r="C1285" s="72" t="s">
        <v>944</v>
      </c>
      <c r="D1285" s="76"/>
      <c r="E1285" s="125">
        <v>252560</v>
      </c>
      <c r="F1285" s="125">
        <v>282412</v>
      </c>
      <c r="G1285" s="125">
        <v>154000</v>
      </c>
      <c r="H1285" s="125">
        <v>400000</v>
      </c>
      <c r="I1285" s="125">
        <v>360000</v>
      </c>
    </row>
    <row r="1286" spans="1:9" s="145" customFormat="1" ht="15.75">
      <c r="A1286" s="70" t="s">
        <v>2755</v>
      </c>
      <c r="B1286" s="105" t="s">
        <v>6637</v>
      </c>
      <c r="C1286" s="72" t="s">
        <v>945</v>
      </c>
      <c r="D1286" s="76"/>
      <c r="E1286" s="125">
        <v>505518</v>
      </c>
      <c r="F1286" s="125">
        <v>803430</v>
      </c>
      <c r="G1286" s="125">
        <v>522000</v>
      </c>
      <c r="H1286" s="125">
        <v>1200000</v>
      </c>
      <c r="I1286" s="125">
        <v>1000000</v>
      </c>
    </row>
    <row r="1287" spans="1:9" s="145" customFormat="1" ht="15.75">
      <c r="A1287" s="70" t="s">
        <v>2756</v>
      </c>
      <c r="B1287" s="105" t="s">
        <v>6638</v>
      </c>
      <c r="C1287" s="72" t="s">
        <v>946</v>
      </c>
      <c r="D1287" s="76"/>
      <c r="E1287" s="125">
        <v>11103</v>
      </c>
      <c r="F1287" s="125">
        <v>1020000</v>
      </c>
      <c r="G1287" s="125">
        <v>0</v>
      </c>
      <c r="H1287" s="125">
        <v>2000000</v>
      </c>
      <c r="I1287" s="125">
        <v>2000000</v>
      </c>
    </row>
    <row r="1288" spans="1:9" s="145" customFormat="1" ht="15.75">
      <c r="A1288" s="70" t="s">
        <v>2856</v>
      </c>
      <c r="B1288" s="105" t="s">
        <v>6639</v>
      </c>
      <c r="C1288" s="72" t="s">
        <v>947</v>
      </c>
      <c r="D1288" s="76"/>
      <c r="E1288" s="125">
        <v>4999290</v>
      </c>
      <c r="F1288" s="125">
        <v>5898960</v>
      </c>
      <c r="G1288" s="125">
        <v>5039980</v>
      </c>
      <c r="H1288" s="125">
        <v>7600000</v>
      </c>
      <c r="I1288" s="125">
        <v>8500000</v>
      </c>
    </row>
    <row r="1289" spans="1:9" s="145" customFormat="1" ht="31.5">
      <c r="A1289" s="70" t="s">
        <v>2857</v>
      </c>
      <c r="B1289" s="105" t="s">
        <v>6640</v>
      </c>
      <c r="C1289" s="72" t="s">
        <v>948</v>
      </c>
      <c r="D1289" s="76"/>
      <c r="E1289" s="125">
        <v>500000</v>
      </c>
      <c r="F1289" s="125">
        <v>391070</v>
      </c>
      <c r="G1289" s="125">
        <v>744999</v>
      </c>
      <c r="H1289" s="125">
        <v>640000</v>
      </c>
      <c r="I1289" s="125">
        <v>700000</v>
      </c>
    </row>
    <row r="1290" spans="1:9" s="145" customFormat="1" ht="15.75">
      <c r="A1290" s="70" t="s">
        <v>2757</v>
      </c>
      <c r="B1290" s="105" t="s">
        <v>6641</v>
      </c>
      <c r="C1290" s="72" t="s">
        <v>846</v>
      </c>
      <c r="D1290" s="76"/>
      <c r="E1290" s="125">
        <v>0</v>
      </c>
      <c r="F1290" s="125">
        <v>0</v>
      </c>
      <c r="G1290" s="125">
        <v>0</v>
      </c>
      <c r="H1290" s="125">
        <v>2500000</v>
      </c>
      <c r="I1290" s="125">
        <v>400000</v>
      </c>
    </row>
    <row r="1291" spans="1:9" s="145" customFormat="1" ht="31.5">
      <c r="A1291" s="70" t="s">
        <v>2758</v>
      </c>
      <c r="B1291" s="105" t="s">
        <v>6642</v>
      </c>
      <c r="C1291" s="72" t="s">
        <v>847</v>
      </c>
      <c r="D1291" s="76"/>
      <c r="E1291" s="125">
        <v>0</v>
      </c>
      <c r="F1291" s="125">
        <v>0</v>
      </c>
      <c r="G1291" s="125">
        <v>0</v>
      </c>
      <c r="H1291" s="125">
        <v>5000</v>
      </c>
      <c r="I1291" s="125">
        <v>4000</v>
      </c>
    </row>
    <row r="1292" spans="1:9" s="145" customFormat="1" ht="15">
      <c r="A1292" s="73" t="s">
        <v>2759</v>
      </c>
      <c r="B1292" s="105" t="s">
        <v>6643</v>
      </c>
      <c r="C1292" s="72" t="s">
        <v>848</v>
      </c>
      <c r="D1292" s="76"/>
      <c r="E1292" s="125">
        <v>0</v>
      </c>
      <c r="F1292" s="125">
        <v>0</v>
      </c>
      <c r="G1292" s="125">
        <v>0</v>
      </c>
      <c r="H1292" s="125">
        <v>500000</v>
      </c>
      <c r="I1292" s="125">
        <v>400000</v>
      </c>
    </row>
    <row r="1293" spans="1:9" s="145" customFormat="1" ht="31.5">
      <c r="A1293" s="70" t="s">
        <v>2858</v>
      </c>
      <c r="B1293" s="105" t="s">
        <v>6644</v>
      </c>
      <c r="C1293" s="72" t="s">
        <v>849</v>
      </c>
      <c r="D1293" s="76"/>
      <c r="E1293" s="125">
        <v>200000</v>
      </c>
      <c r="F1293" s="125">
        <v>170000</v>
      </c>
      <c r="G1293" s="125">
        <v>136000</v>
      </c>
      <c r="H1293" s="125">
        <v>160000</v>
      </c>
      <c r="I1293" s="125">
        <v>200000</v>
      </c>
    </row>
    <row r="1294" spans="1:9" s="145" customFormat="1" ht="15">
      <c r="A1294" s="73" t="s">
        <v>2859</v>
      </c>
      <c r="B1294" s="105" t="s">
        <v>6645</v>
      </c>
      <c r="C1294" s="72" t="s">
        <v>850</v>
      </c>
      <c r="D1294" s="76"/>
      <c r="E1294" s="125">
        <v>200000</v>
      </c>
      <c r="F1294" s="125">
        <v>170000</v>
      </c>
      <c r="G1294" s="125">
        <v>135999</v>
      </c>
      <c r="H1294" s="125">
        <v>160000</v>
      </c>
      <c r="I1294" s="125">
        <v>200000</v>
      </c>
    </row>
    <row r="1295" spans="1:9" s="145" customFormat="1" ht="15.75">
      <c r="A1295" s="70" t="s">
        <v>2860</v>
      </c>
      <c r="B1295" s="105" t="s">
        <v>6646</v>
      </c>
      <c r="C1295" s="72" t="s">
        <v>851</v>
      </c>
      <c r="D1295" s="76"/>
      <c r="E1295" s="125">
        <v>454510</v>
      </c>
      <c r="F1295" s="125">
        <v>435779</v>
      </c>
      <c r="G1295" s="125">
        <v>960000</v>
      </c>
      <c r="H1295" s="125">
        <v>640000</v>
      </c>
      <c r="I1295" s="125">
        <v>800000</v>
      </c>
    </row>
    <row r="1296" spans="1:9" s="145" customFormat="1" ht="31.5">
      <c r="A1296" s="70" t="s">
        <v>2760</v>
      </c>
      <c r="B1296" s="105" t="s">
        <v>6647</v>
      </c>
      <c r="C1296" s="72" t="s">
        <v>330</v>
      </c>
      <c r="D1296" s="76"/>
      <c r="E1296" s="125">
        <v>0</v>
      </c>
      <c r="F1296" s="125">
        <v>321397</v>
      </c>
      <c r="G1296" s="125">
        <v>0</v>
      </c>
      <c r="H1296" s="125">
        <v>400000</v>
      </c>
      <c r="I1296" s="125">
        <v>400000</v>
      </c>
    </row>
    <row r="1297" spans="1:9" s="145" customFormat="1" ht="15.75">
      <c r="A1297" s="70" t="s">
        <v>2761</v>
      </c>
      <c r="B1297" s="105" t="s">
        <v>6648</v>
      </c>
      <c r="C1297" s="72" t="s">
        <v>331</v>
      </c>
      <c r="D1297" s="76"/>
      <c r="E1297" s="125">
        <v>51000</v>
      </c>
      <c r="F1297" s="125">
        <v>51000</v>
      </c>
      <c r="G1297" s="125">
        <v>51000</v>
      </c>
      <c r="H1297" s="125">
        <v>0</v>
      </c>
      <c r="I1297" s="125">
        <v>60000</v>
      </c>
    </row>
    <row r="1298" spans="1:9" s="145" customFormat="1" ht="31.5">
      <c r="A1298" s="70" t="s">
        <v>2762</v>
      </c>
      <c r="B1298" s="105" t="s">
        <v>6649</v>
      </c>
      <c r="C1298" s="72" t="s">
        <v>332</v>
      </c>
      <c r="D1298" s="76"/>
      <c r="E1298" s="125">
        <v>16772</v>
      </c>
      <c r="F1298" s="125">
        <v>12596</v>
      </c>
      <c r="G1298" s="125">
        <v>16535</v>
      </c>
      <c r="H1298" s="125">
        <v>136000</v>
      </c>
      <c r="I1298" s="125">
        <v>160000</v>
      </c>
    </row>
    <row r="1299" spans="1:9" s="145" customFormat="1" ht="75">
      <c r="A1299" s="73" t="s">
        <v>2763</v>
      </c>
      <c r="B1299" s="105" t="s">
        <v>6650</v>
      </c>
      <c r="C1299" s="72" t="s">
        <v>1155</v>
      </c>
      <c r="D1299" s="76"/>
      <c r="E1299" s="125">
        <v>2732768</v>
      </c>
      <c r="F1299" s="125">
        <v>4158395</v>
      </c>
      <c r="G1299" s="125">
        <v>3522501</v>
      </c>
      <c r="H1299" s="125">
        <v>5000000</v>
      </c>
      <c r="I1299" s="125">
        <v>5000000</v>
      </c>
    </row>
    <row r="1300" spans="1:9" s="145" customFormat="1" ht="31.5">
      <c r="A1300" s="70" t="s">
        <v>2764</v>
      </c>
      <c r="B1300" s="105" t="s">
        <v>6651</v>
      </c>
      <c r="C1300" s="72" t="s">
        <v>1275</v>
      </c>
      <c r="D1300" s="76"/>
      <c r="E1300" s="125">
        <v>0</v>
      </c>
      <c r="F1300" s="125">
        <v>0</v>
      </c>
      <c r="G1300" s="125">
        <v>1997985</v>
      </c>
      <c r="H1300" s="125">
        <v>0</v>
      </c>
      <c r="I1300" s="125">
        <v>0</v>
      </c>
    </row>
    <row r="1301" spans="1:9" s="145" customFormat="1" ht="31.5">
      <c r="A1301" s="70" t="s">
        <v>2765</v>
      </c>
      <c r="B1301" s="105"/>
      <c r="C1301" s="72" t="s">
        <v>1442</v>
      </c>
      <c r="D1301" s="76"/>
      <c r="E1301" s="125">
        <v>4960908</v>
      </c>
      <c r="F1301" s="125">
        <v>4229852</v>
      </c>
      <c r="G1301" s="125">
        <v>0</v>
      </c>
      <c r="H1301" s="125">
        <v>0</v>
      </c>
      <c r="I1301" s="125">
        <v>0</v>
      </c>
    </row>
    <row r="1302" spans="1:9" s="145" customFormat="1" ht="15.75">
      <c r="A1302" s="70"/>
      <c r="B1302" s="105"/>
      <c r="C1302" s="72"/>
      <c r="D1302" s="76"/>
      <c r="E1302" s="125">
        <v>0</v>
      </c>
      <c r="F1302" s="125">
        <v>0</v>
      </c>
      <c r="G1302" s="125">
        <v>0</v>
      </c>
      <c r="H1302" s="125">
        <v>0</v>
      </c>
      <c r="I1302" s="125">
        <v>0</v>
      </c>
    </row>
    <row r="1303" spans="1:9" s="145" customFormat="1" ht="15.75">
      <c r="A1303" s="77" t="s">
        <v>2320</v>
      </c>
      <c r="B1303" s="136" t="s">
        <v>146</v>
      </c>
      <c r="C1303" s="72"/>
      <c r="D1303" s="76"/>
      <c r="E1303" s="125">
        <v>21447809</v>
      </c>
      <c r="F1303" s="125">
        <v>24213887</v>
      </c>
      <c r="G1303" s="125">
        <v>23514387</v>
      </c>
      <c r="H1303" s="125">
        <v>29941000</v>
      </c>
      <c r="I1303" s="125">
        <v>30884000</v>
      </c>
    </row>
    <row r="1304" spans="1:9" s="145" customFormat="1" ht="15.75">
      <c r="A1304" s="70"/>
      <c r="B1304" s="105"/>
      <c r="C1304" s="72"/>
      <c r="D1304" s="76"/>
      <c r="E1304" s="125">
        <v>0</v>
      </c>
      <c r="F1304" s="125">
        <v>0</v>
      </c>
      <c r="G1304" s="125">
        <v>0</v>
      </c>
      <c r="H1304" s="125">
        <v>0</v>
      </c>
      <c r="I1304" s="125">
        <v>0</v>
      </c>
    </row>
    <row r="1305" spans="1:9" s="145" customFormat="1" ht="15.75">
      <c r="A1305" s="70" t="s">
        <v>2766</v>
      </c>
      <c r="B1305" s="105" t="s">
        <v>6652</v>
      </c>
      <c r="C1305" s="72"/>
      <c r="D1305" s="76"/>
      <c r="E1305" s="125">
        <v>0</v>
      </c>
      <c r="F1305" s="125">
        <v>0</v>
      </c>
      <c r="G1305" s="125">
        <v>0</v>
      </c>
      <c r="H1305" s="125">
        <v>0</v>
      </c>
      <c r="I1305" s="125">
        <v>0</v>
      </c>
    </row>
    <row r="1306" spans="1:9" s="145" customFormat="1" ht="15.75">
      <c r="A1306" s="70" t="s">
        <v>2148</v>
      </c>
      <c r="B1306" s="105" t="s">
        <v>6139</v>
      </c>
      <c r="C1306" s="72" t="s">
        <v>780</v>
      </c>
      <c r="D1306" s="76"/>
      <c r="E1306" s="125">
        <v>554162</v>
      </c>
      <c r="F1306" s="125">
        <v>698980</v>
      </c>
      <c r="G1306" s="125">
        <v>803198</v>
      </c>
      <c r="H1306" s="125">
        <v>1800000</v>
      </c>
      <c r="I1306" s="125">
        <v>2000000</v>
      </c>
    </row>
    <row r="1307" spans="1:9" s="145" customFormat="1" ht="15.75">
      <c r="A1307" s="70" t="s">
        <v>2767</v>
      </c>
      <c r="B1307" s="105" t="s">
        <v>6653</v>
      </c>
      <c r="C1307" s="72" t="s">
        <v>781</v>
      </c>
      <c r="D1307" s="76"/>
      <c r="E1307" s="125">
        <v>30674</v>
      </c>
      <c r="F1307" s="125">
        <v>43714</v>
      </c>
      <c r="G1307" s="125">
        <v>93025</v>
      </c>
      <c r="H1307" s="125">
        <v>200000</v>
      </c>
      <c r="I1307" s="125">
        <v>200000</v>
      </c>
    </row>
    <row r="1308" spans="1:9" s="145" customFormat="1" ht="15.75">
      <c r="A1308" s="70" t="s">
        <v>2885</v>
      </c>
      <c r="B1308" s="105" t="s">
        <v>6654</v>
      </c>
      <c r="C1308" s="72" t="s">
        <v>782</v>
      </c>
      <c r="D1308" s="76"/>
      <c r="E1308" s="125">
        <v>200000</v>
      </c>
      <c r="F1308" s="125">
        <v>170000</v>
      </c>
      <c r="G1308" s="125">
        <v>136000</v>
      </c>
      <c r="H1308" s="125">
        <v>200000</v>
      </c>
      <c r="I1308" s="125">
        <v>200000</v>
      </c>
    </row>
    <row r="1309" spans="1:9" s="145" customFormat="1" ht="15.75">
      <c r="A1309" s="70" t="s">
        <v>2719</v>
      </c>
      <c r="B1309" s="105" t="s">
        <v>6655</v>
      </c>
      <c r="C1309" s="72" t="s">
        <v>783</v>
      </c>
      <c r="D1309" s="76"/>
      <c r="E1309" s="125">
        <v>0</v>
      </c>
      <c r="F1309" s="125">
        <v>0</v>
      </c>
      <c r="G1309" s="125">
        <v>0</v>
      </c>
      <c r="H1309" s="125">
        <v>400000</v>
      </c>
      <c r="I1309" s="125">
        <v>500000</v>
      </c>
    </row>
    <row r="1310" spans="1:9" s="145" customFormat="1" ht="15.75">
      <c r="A1310" s="70" t="s">
        <v>2886</v>
      </c>
      <c r="B1310" s="105" t="s">
        <v>6656</v>
      </c>
      <c r="C1310" s="72" t="s">
        <v>784</v>
      </c>
      <c r="D1310" s="76"/>
      <c r="E1310" s="125">
        <v>4478050</v>
      </c>
      <c r="F1310" s="125">
        <v>5950000</v>
      </c>
      <c r="G1310" s="125">
        <v>5037040</v>
      </c>
      <c r="H1310" s="125">
        <v>6900000</v>
      </c>
      <c r="I1310" s="125">
        <v>7500000</v>
      </c>
    </row>
    <row r="1311" spans="1:9" s="145" customFormat="1" ht="15">
      <c r="A1311" s="73" t="s">
        <v>2768</v>
      </c>
      <c r="B1311" s="105" t="s">
        <v>6657</v>
      </c>
      <c r="C1311" s="72" t="s">
        <v>785</v>
      </c>
      <c r="D1311" s="76"/>
      <c r="E1311" s="125">
        <v>0</v>
      </c>
      <c r="F1311" s="125">
        <v>0</v>
      </c>
      <c r="G1311" s="125">
        <v>0</v>
      </c>
      <c r="H1311" s="125">
        <v>5000</v>
      </c>
      <c r="I1311" s="125">
        <v>4000</v>
      </c>
    </row>
    <row r="1312" spans="1:9" s="145" customFormat="1" ht="15.75">
      <c r="A1312" s="70" t="s">
        <v>2887</v>
      </c>
      <c r="B1312" s="105" t="s">
        <v>6658</v>
      </c>
      <c r="C1312" s="72" t="s">
        <v>786</v>
      </c>
      <c r="D1312" s="76"/>
      <c r="E1312" s="125">
        <v>505933</v>
      </c>
      <c r="F1312" s="125">
        <v>475200</v>
      </c>
      <c r="G1312" s="125">
        <v>502800</v>
      </c>
      <c r="H1312" s="125">
        <v>600000</v>
      </c>
      <c r="I1312" s="125">
        <v>650000</v>
      </c>
    </row>
    <row r="1313" spans="1:9" s="145" customFormat="1" ht="15.75">
      <c r="A1313" s="70" t="s">
        <v>2769</v>
      </c>
      <c r="B1313" s="105" t="s">
        <v>6659</v>
      </c>
      <c r="C1313" s="72" t="s">
        <v>787</v>
      </c>
      <c r="D1313" s="76"/>
      <c r="E1313" s="125">
        <v>0</v>
      </c>
      <c r="F1313" s="125">
        <v>0</v>
      </c>
      <c r="G1313" s="125">
        <v>0</v>
      </c>
      <c r="H1313" s="125">
        <v>50000</v>
      </c>
      <c r="I1313" s="125">
        <v>80000</v>
      </c>
    </row>
    <row r="1314" spans="1:9" s="145" customFormat="1" ht="15">
      <c r="A1314" s="73" t="s">
        <v>2888</v>
      </c>
      <c r="B1314" s="105" t="s">
        <v>6660</v>
      </c>
      <c r="C1314" s="72" t="s">
        <v>222</v>
      </c>
      <c r="D1314" s="76"/>
      <c r="E1314" s="125">
        <v>200000</v>
      </c>
      <c r="F1314" s="125">
        <v>170000</v>
      </c>
      <c r="G1314" s="125">
        <v>136000</v>
      </c>
      <c r="H1314" s="125">
        <v>160000</v>
      </c>
      <c r="I1314" s="125">
        <v>200000</v>
      </c>
    </row>
    <row r="1315" spans="1:9" s="145" customFormat="1" ht="15.75">
      <c r="A1315" s="70" t="s">
        <v>2770</v>
      </c>
      <c r="B1315" s="105" t="s">
        <v>6661</v>
      </c>
      <c r="C1315" s="72" t="s">
        <v>223</v>
      </c>
      <c r="D1315" s="76"/>
      <c r="E1315" s="125">
        <v>307626</v>
      </c>
      <c r="F1315" s="125">
        <v>251694</v>
      </c>
      <c r="G1315" s="125">
        <v>633150</v>
      </c>
      <c r="H1315" s="125">
        <v>1200000</v>
      </c>
      <c r="I1315" s="125">
        <v>1000000</v>
      </c>
    </row>
    <row r="1316" spans="1:9" s="145" customFormat="1" ht="31.5">
      <c r="A1316" s="70" t="s">
        <v>2889</v>
      </c>
      <c r="B1316" s="105" t="s">
        <v>6662</v>
      </c>
      <c r="C1316" s="72" t="s">
        <v>1041</v>
      </c>
      <c r="D1316" s="76"/>
      <c r="E1316" s="125">
        <v>312113</v>
      </c>
      <c r="F1316" s="125">
        <v>475200</v>
      </c>
      <c r="G1316" s="125">
        <v>408000</v>
      </c>
      <c r="H1316" s="125">
        <v>640000</v>
      </c>
      <c r="I1316" s="125">
        <v>650000</v>
      </c>
    </row>
    <row r="1317" spans="1:9" s="145" customFormat="1" ht="31.5">
      <c r="A1317" s="70" t="s">
        <v>2890</v>
      </c>
      <c r="B1317" s="105" t="s">
        <v>6663</v>
      </c>
      <c r="C1317" s="72" t="s">
        <v>1042</v>
      </c>
      <c r="D1317" s="76"/>
      <c r="E1317" s="125">
        <v>200000</v>
      </c>
      <c r="F1317" s="125">
        <v>134697</v>
      </c>
      <c r="G1317" s="125">
        <v>0</v>
      </c>
      <c r="H1317" s="125">
        <v>160000</v>
      </c>
      <c r="I1317" s="125">
        <v>200000</v>
      </c>
    </row>
    <row r="1318" spans="1:9" s="145" customFormat="1" ht="31.5">
      <c r="A1318" s="70" t="s">
        <v>3697</v>
      </c>
      <c r="B1318" s="105" t="s">
        <v>6664</v>
      </c>
      <c r="C1318" s="72" t="s">
        <v>4854</v>
      </c>
      <c r="D1318" s="76"/>
      <c r="E1318" s="125">
        <v>0</v>
      </c>
      <c r="F1318" s="125">
        <v>0</v>
      </c>
      <c r="G1318" s="125">
        <v>0</v>
      </c>
      <c r="H1318" s="125">
        <v>3200000</v>
      </c>
      <c r="I1318" s="125">
        <v>1000000</v>
      </c>
    </row>
    <row r="1319" spans="1:9" s="145" customFormat="1" ht="15.75">
      <c r="A1319" s="77" t="s">
        <v>2386</v>
      </c>
      <c r="B1319" s="136" t="s">
        <v>146</v>
      </c>
      <c r="C1319" s="72"/>
      <c r="D1319" s="76"/>
      <c r="E1319" s="125">
        <v>6788558</v>
      </c>
      <c r="F1319" s="125">
        <v>8369485</v>
      </c>
      <c r="G1319" s="125">
        <v>7749213</v>
      </c>
      <c r="H1319" s="125">
        <v>15515000</v>
      </c>
      <c r="I1319" s="125">
        <v>14184000</v>
      </c>
    </row>
    <row r="1320" spans="1:9" s="145" customFormat="1" ht="15.75">
      <c r="A1320" s="70" t="s">
        <v>2771</v>
      </c>
      <c r="B1320" s="105" t="s">
        <v>6665</v>
      </c>
      <c r="C1320" s="72"/>
      <c r="D1320" s="76"/>
      <c r="E1320" s="125">
        <v>0</v>
      </c>
      <c r="F1320" s="125">
        <v>0</v>
      </c>
      <c r="G1320" s="125">
        <v>0</v>
      </c>
      <c r="H1320" s="125">
        <v>0</v>
      </c>
      <c r="I1320" s="125">
        <v>0</v>
      </c>
    </row>
    <row r="1321" spans="1:9" s="145" customFormat="1" ht="15.75">
      <c r="A1321" s="70" t="s">
        <v>2148</v>
      </c>
      <c r="B1321" s="105" t="s">
        <v>6139</v>
      </c>
      <c r="C1321" s="72" t="s">
        <v>224</v>
      </c>
      <c r="D1321" s="76"/>
      <c r="E1321" s="125">
        <v>1049900</v>
      </c>
      <c r="F1321" s="125">
        <v>1829931</v>
      </c>
      <c r="G1321" s="125">
        <v>1468225</v>
      </c>
      <c r="H1321" s="125">
        <v>3500000</v>
      </c>
      <c r="I1321" s="125">
        <v>3500000</v>
      </c>
    </row>
    <row r="1322" spans="1:9" s="145" customFormat="1" ht="15.75">
      <c r="A1322" s="70" t="s">
        <v>2149</v>
      </c>
      <c r="B1322" s="105" t="s">
        <v>5885</v>
      </c>
      <c r="C1322" s="72" t="s">
        <v>225</v>
      </c>
      <c r="D1322" s="76"/>
      <c r="E1322" s="125">
        <v>76960</v>
      </c>
      <c r="F1322" s="125">
        <v>76969</v>
      </c>
      <c r="G1322" s="125">
        <v>68965</v>
      </c>
      <c r="H1322" s="125">
        <v>100000</v>
      </c>
      <c r="I1322" s="125">
        <v>100000</v>
      </c>
    </row>
    <row r="1323" spans="1:9" s="145" customFormat="1" ht="15.75">
      <c r="A1323" s="70" t="s">
        <v>2891</v>
      </c>
      <c r="B1323" s="105" t="s">
        <v>6666</v>
      </c>
      <c r="C1323" s="72" t="s">
        <v>226</v>
      </c>
      <c r="D1323" s="76"/>
      <c r="E1323" s="125">
        <v>100000</v>
      </c>
      <c r="F1323" s="125">
        <v>85000</v>
      </c>
      <c r="G1323" s="125">
        <v>68000</v>
      </c>
      <c r="H1323" s="125">
        <v>100000</v>
      </c>
      <c r="I1323" s="125">
        <v>100000</v>
      </c>
    </row>
    <row r="1324" spans="1:9" s="145" customFormat="1" ht="15.75">
      <c r="A1324" s="70" t="s">
        <v>2772</v>
      </c>
      <c r="B1324" s="105" t="s">
        <v>6667</v>
      </c>
      <c r="C1324" s="72" t="s">
        <v>517</v>
      </c>
      <c r="D1324" s="76"/>
      <c r="E1324" s="125">
        <v>350000</v>
      </c>
      <c r="F1324" s="125">
        <v>297500</v>
      </c>
      <c r="G1324" s="125">
        <v>234060</v>
      </c>
      <c r="H1324" s="125">
        <v>250000</v>
      </c>
      <c r="I1324" s="125">
        <v>320000</v>
      </c>
    </row>
    <row r="1325" spans="1:9" s="145" customFormat="1" ht="15.75">
      <c r="A1325" s="70" t="s">
        <v>2719</v>
      </c>
      <c r="B1325" s="105" t="s">
        <v>6668</v>
      </c>
      <c r="C1325" s="72" t="s">
        <v>518</v>
      </c>
      <c r="D1325" s="76"/>
      <c r="E1325" s="125">
        <v>0</v>
      </c>
      <c r="F1325" s="125">
        <v>0</v>
      </c>
      <c r="G1325" s="125">
        <v>240000</v>
      </c>
      <c r="H1325" s="125">
        <v>200000</v>
      </c>
      <c r="I1325" s="125">
        <v>200000</v>
      </c>
    </row>
    <row r="1326" spans="1:9" s="145" customFormat="1" ht="15.75">
      <c r="A1326" s="70" t="s">
        <v>2886</v>
      </c>
      <c r="B1326" s="105" t="s">
        <v>6656</v>
      </c>
      <c r="C1326" s="72" t="s">
        <v>227</v>
      </c>
      <c r="D1326" s="76"/>
      <c r="E1326" s="125">
        <v>3993980</v>
      </c>
      <c r="F1326" s="125">
        <v>5949680</v>
      </c>
      <c r="G1326" s="125">
        <v>4620418</v>
      </c>
      <c r="H1326" s="125">
        <v>6000000</v>
      </c>
      <c r="I1326" s="125">
        <v>6500000</v>
      </c>
    </row>
    <row r="1327" spans="1:9" s="145" customFormat="1" ht="15.75">
      <c r="A1327" s="70" t="s">
        <v>2892</v>
      </c>
      <c r="B1327" s="105" t="s">
        <v>6669</v>
      </c>
      <c r="C1327" s="72" t="s">
        <v>228</v>
      </c>
      <c r="D1327" s="76"/>
      <c r="E1327" s="125">
        <v>150000</v>
      </c>
      <c r="F1327" s="125">
        <v>127500</v>
      </c>
      <c r="G1327" s="125">
        <v>102000</v>
      </c>
      <c r="H1327" s="125">
        <v>160000</v>
      </c>
      <c r="I1327" s="125">
        <v>200000</v>
      </c>
    </row>
    <row r="1328" spans="1:9" s="145" customFormat="1" ht="15.75">
      <c r="A1328" s="70" t="s">
        <v>2893</v>
      </c>
      <c r="B1328" s="105" t="s">
        <v>6670</v>
      </c>
      <c r="C1328" s="72" t="s">
        <v>370</v>
      </c>
      <c r="D1328" s="76"/>
      <c r="E1328" s="125">
        <v>116250</v>
      </c>
      <c r="F1328" s="125">
        <v>54000</v>
      </c>
      <c r="G1328" s="125">
        <v>136000</v>
      </c>
      <c r="H1328" s="125">
        <v>160000</v>
      </c>
      <c r="I1328" s="125">
        <v>200000</v>
      </c>
    </row>
    <row r="1329" spans="1:9" s="145" customFormat="1" ht="15.75">
      <c r="A1329" s="70" t="s">
        <v>2773</v>
      </c>
      <c r="B1329" s="105" t="s">
        <v>6671</v>
      </c>
      <c r="C1329" s="72" t="s">
        <v>723</v>
      </c>
      <c r="D1329" s="76"/>
      <c r="E1329" s="125">
        <v>0</v>
      </c>
      <c r="F1329" s="125">
        <v>0</v>
      </c>
      <c r="G1329" s="125">
        <v>204000</v>
      </c>
      <c r="H1329" s="125">
        <v>150000</v>
      </c>
      <c r="I1329" s="125">
        <v>160000</v>
      </c>
    </row>
    <row r="1330" spans="1:9" s="145" customFormat="1" ht="15.75">
      <c r="A1330" s="70" t="s">
        <v>2774</v>
      </c>
      <c r="B1330" s="105" t="s">
        <v>6672</v>
      </c>
      <c r="C1330" s="72" t="s">
        <v>736</v>
      </c>
      <c r="D1330" s="76"/>
      <c r="E1330" s="125">
        <v>300000</v>
      </c>
      <c r="F1330" s="125">
        <v>255000</v>
      </c>
      <c r="G1330" s="125">
        <v>466996</v>
      </c>
      <c r="H1330" s="125">
        <v>1200000</v>
      </c>
      <c r="I1330" s="125">
        <v>1000000</v>
      </c>
    </row>
    <row r="1331" spans="1:9" s="145" customFormat="1" ht="31.5">
      <c r="A1331" s="70" t="s">
        <v>2894</v>
      </c>
      <c r="B1331" s="105" t="s">
        <v>6673</v>
      </c>
      <c r="C1331" s="72" t="s">
        <v>1024</v>
      </c>
      <c r="D1331" s="76"/>
      <c r="E1331" s="125">
        <v>300000</v>
      </c>
      <c r="F1331" s="125">
        <v>454222</v>
      </c>
      <c r="G1331" s="125">
        <v>250898</v>
      </c>
      <c r="H1331" s="125">
        <v>680000</v>
      </c>
      <c r="I1331" s="125">
        <v>700000</v>
      </c>
    </row>
    <row r="1332" spans="1:9" s="145" customFormat="1" ht="31.5">
      <c r="A1332" s="70" t="s">
        <v>2895</v>
      </c>
      <c r="B1332" s="105" t="s">
        <v>6674</v>
      </c>
      <c r="C1332" s="72" t="s">
        <v>1025</v>
      </c>
      <c r="D1332" s="76"/>
      <c r="E1332" s="125">
        <v>198400</v>
      </c>
      <c r="F1332" s="125">
        <v>354200</v>
      </c>
      <c r="G1332" s="125">
        <v>595000</v>
      </c>
      <c r="H1332" s="125">
        <v>640000</v>
      </c>
      <c r="I1332" s="125">
        <v>800000</v>
      </c>
    </row>
    <row r="1333" spans="1:9" s="145" customFormat="1" ht="15.75">
      <c r="A1333" s="70" t="s">
        <v>2775</v>
      </c>
      <c r="B1333" s="105" t="s">
        <v>6675</v>
      </c>
      <c r="C1333" s="72" t="s">
        <v>799</v>
      </c>
      <c r="D1333" s="76"/>
      <c r="E1333" s="125">
        <v>0</v>
      </c>
      <c r="F1333" s="125">
        <v>170000</v>
      </c>
      <c r="G1333" s="125">
        <v>0</v>
      </c>
      <c r="H1333" s="125">
        <v>200000</v>
      </c>
      <c r="I1333" s="125">
        <v>160000</v>
      </c>
    </row>
    <row r="1334" spans="1:9" s="157" customFormat="1" ht="15.75">
      <c r="A1334" s="70"/>
      <c r="B1334" s="105"/>
      <c r="C1334" s="75"/>
      <c r="D1334" s="76"/>
      <c r="E1334" s="125">
        <v>0</v>
      </c>
      <c r="F1334" s="125">
        <v>0</v>
      </c>
      <c r="G1334" s="125">
        <v>0</v>
      </c>
      <c r="H1334" s="125">
        <v>0</v>
      </c>
      <c r="I1334" s="125">
        <v>0</v>
      </c>
    </row>
    <row r="1335" spans="1:9" s="145" customFormat="1" ht="15.75">
      <c r="A1335" s="77" t="s">
        <v>2387</v>
      </c>
      <c r="B1335" s="136" t="s">
        <v>146</v>
      </c>
      <c r="C1335" s="72"/>
      <c r="D1335" s="76"/>
      <c r="E1335" s="125">
        <v>6635490</v>
      </c>
      <c r="F1335" s="125">
        <v>9654002</v>
      </c>
      <c r="G1335" s="125">
        <v>8454562</v>
      </c>
      <c r="H1335" s="125">
        <v>13340000</v>
      </c>
      <c r="I1335" s="125">
        <v>13940000</v>
      </c>
    </row>
    <row r="1336" spans="1:9" s="145" customFormat="1" ht="15.75">
      <c r="A1336" s="70"/>
      <c r="B1336" s="105"/>
      <c r="C1336" s="72"/>
      <c r="D1336" s="76"/>
      <c r="E1336" s="125">
        <v>0</v>
      </c>
      <c r="F1336" s="125">
        <v>0</v>
      </c>
      <c r="G1336" s="125">
        <v>0</v>
      </c>
      <c r="H1336" s="125">
        <v>0</v>
      </c>
      <c r="I1336" s="125">
        <v>0</v>
      </c>
    </row>
    <row r="1337" spans="1:9" s="145" customFormat="1" ht="31.5">
      <c r="A1337" s="70" t="s">
        <v>2776</v>
      </c>
      <c r="B1337" s="105" t="s">
        <v>6676</v>
      </c>
      <c r="C1337" s="72"/>
      <c r="D1337" s="76"/>
      <c r="E1337" s="125">
        <v>0</v>
      </c>
      <c r="F1337" s="125">
        <v>0</v>
      </c>
      <c r="G1337" s="125">
        <v>0</v>
      </c>
      <c r="H1337" s="125">
        <v>0</v>
      </c>
      <c r="I1337" s="125">
        <v>0</v>
      </c>
    </row>
    <row r="1338" spans="1:9" s="145" customFormat="1" ht="15.75">
      <c r="A1338" s="70" t="s">
        <v>2148</v>
      </c>
      <c r="B1338" s="105" t="s">
        <v>6139</v>
      </c>
      <c r="C1338" s="72" t="s">
        <v>377</v>
      </c>
      <c r="D1338" s="76"/>
      <c r="E1338" s="125">
        <v>875536</v>
      </c>
      <c r="F1338" s="125">
        <v>995542</v>
      </c>
      <c r="G1338" s="125">
        <v>858200</v>
      </c>
      <c r="H1338" s="125">
        <v>1500000</v>
      </c>
      <c r="I1338" s="125">
        <v>1500000</v>
      </c>
    </row>
    <row r="1339" spans="1:9" s="145" customFormat="1" ht="15.75">
      <c r="A1339" s="70" t="s">
        <v>2149</v>
      </c>
      <c r="B1339" s="105" t="s">
        <v>5885</v>
      </c>
      <c r="C1339" s="72" t="s">
        <v>378</v>
      </c>
      <c r="D1339" s="76"/>
      <c r="E1339" s="125">
        <v>192725</v>
      </c>
      <c r="F1339" s="125">
        <v>104348</v>
      </c>
      <c r="G1339" s="125">
        <v>118696</v>
      </c>
      <c r="H1339" s="125">
        <v>200000</v>
      </c>
      <c r="I1339" s="125">
        <v>200000</v>
      </c>
    </row>
    <row r="1340" spans="1:9" s="145" customFormat="1" ht="15.75">
      <c r="A1340" s="70" t="s">
        <v>2891</v>
      </c>
      <c r="B1340" s="105" t="s">
        <v>6666</v>
      </c>
      <c r="C1340" s="72" t="s">
        <v>379</v>
      </c>
      <c r="D1340" s="76"/>
      <c r="E1340" s="125">
        <v>100000</v>
      </c>
      <c r="F1340" s="125">
        <v>85000</v>
      </c>
      <c r="G1340" s="125">
        <v>61500</v>
      </c>
      <c r="H1340" s="125">
        <v>80000</v>
      </c>
      <c r="I1340" s="125">
        <v>100000</v>
      </c>
    </row>
    <row r="1341" spans="1:9" s="145" customFormat="1" ht="15.75">
      <c r="A1341" s="70" t="s">
        <v>2719</v>
      </c>
      <c r="B1341" s="105" t="s">
        <v>6668</v>
      </c>
      <c r="C1341" s="72" t="s">
        <v>380</v>
      </c>
      <c r="D1341" s="76"/>
      <c r="E1341" s="125">
        <v>0</v>
      </c>
      <c r="F1341" s="125">
        <v>0</v>
      </c>
      <c r="G1341" s="125">
        <v>400000</v>
      </c>
      <c r="H1341" s="125">
        <v>500000</v>
      </c>
      <c r="I1341" s="125">
        <v>500000</v>
      </c>
    </row>
    <row r="1342" spans="1:9" s="145" customFormat="1" ht="15.75">
      <c r="A1342" s="70" t="s">
        <v>2886</v>
      </c>
      <c r="B1342" s="105" t="s">
        <v>6656</v>
      </c>
      <c r="C1342" s="72" t="s">
        <v>381</v>
      </c>
      <c r="D1342" s="76"/>
      <c r="E1342" s="125">
        <v>1499940</v>
      </c>
      <c r="F1342" s="125">
        <v>1186290</v>
      </c>
      <c r="G1342" s="125">
        <v>1119980</v>
      </c>
      <c r="H1342" s="125">
        <v>1500000</v>
      </c>
      <c r="I1342" s="125">
        <v>1500000</v>
      </c>
    </row>
    <row r="1343" spans="1:9" s="145" customFormat="1" ht="15.75">
      <c r="A1343" s="70" t="s">
        <v>2892</v>
      </c>
      <c r="B1343" s="105" t="s">
        <v>6669</v>
      </c>
      <c r="C1343" s="72" t="s">
        <v>382</v>
      </c>
      <c r="D1343" s="76"/>
      <c r="E1343" s="125">
        <v>0</v>
      </c>
      <c r="F1343" s="125">
        <v>63750</v>
      </c>
      <c r="G1343" s="125">
        <v>51000</v>
      </c>
      <c r="H1343" s="125">
        <v>80000</v>
      </c>
      <c r="I1343" s="125">
        <v>100000</v>
      </c>
    </row>
    <row r="1344" spans="1:9" s="145" customFormat="1" ht="15.75">
      <c r="A1344" s="70" t="s">
        <v>2893</v>
      </c>
      <c r="B1344" s="105" t="s">
        <v>6670</v>
      </c>
      <c r="C1344" s="72" t="s">
        <v>383</v>
      </c>
      <c r="D1344" s="76"/>
      <c r="E1344" s="125">
        <v>86606</v>
      </c>
      <c r="F1344" s="125">
        <v>85000</v>
      </c>
      <c r="G1344" s="125">
        <v>68000</v>
      </c>
      <c r="H1344" s="125">
        <v>80000</v>
      </c>
      <c r="I1344" s="125">
        <v>100000</v>
      </c>
    </row>
    <row r="1345" spans="1:9" s="145" customFormat="1" ht="15.75">
      <c r="A1345" s="70" t="s">
        <v>2777</v>
      </c>
      <c r="B1345" s="105" t="s">
        <v>6677</v>
      </c>
      <c r="C1345" s="72" t="s">
        <v>384</v>
      </c>
      <c r="D1345" s="76"/>
      <c r="E1345" s="125">
        <v>0</v>
      </c>
      <c r="F1345" s="125">
        <v>0</v>
      </c>
      <c r="G1345" s="125">
        <v>0</v>
      </c>
      <c r="H1345" s="125">
        <v>0</v>
      </c>
      <c r="I1345" s="125">
        <v>60000</v>
      </c>
    </row>
    <row r="1346" spans="1:9" s="145" customFormat="1" ht="15.75">
      <c r="A1346" s="70" t="s">
        <v>2774</v>
      </c>
      <c r="B1346" s="105" t="s">
        <v>6672</v>
      </c>
      <c r="C1346" s="72" t="s">
        <v>866</v>
      </c>
      <c r="D1346" s="76"/>
      <c r="E1346" s="125">
        <v>439705</v>
      </c>
      <c r="F1346" s="125">
        <v>293802</v>
      </c>
      <c r="G1346" s="125">
        <v>534739</v>
      </c>
      <c r="H1346" s="125">
        <v>800000</v>
      </c>
      <c r="I1346" s="125">
        <v>800000</v>
      </c>
    </row>
    <row r="1347" spans="1:9" s="145" customFormat="1" ht="31.5">
      <c r="A1347" s="70" t="s">
        <v>2894</v>
      </c>
      <c r="B1347" s="105" t="s">
        <v>6673</v>
      </c>
      <c r="C1347" s="72" t="s">
        <v>867</v>
      </c>
      <c r="D1347" s="76"/>
      <c r="E1347" s="125">
        <v>241150</v>
      </c>
      <c r="F1347" s="125">
        <v>383170</v>
      </c>
      <c r="G1347" s="125">
        <v>500999</v>
      </c>
      <c r="H1347" s="125">
        <v>400000</v>
      </c>
      <c r="I1347" s="125">
        <v>450000</v>
      </c>
    </row>
    <row r="1348" spans="1:9" s="145" customFormat="1" ht="31.5">
      <c r="A1348" s="70" t="s">
        <v>2895</v>
      </c>
      <c r="B1348" s="105" t="s">
        <v>6674</v>
      </c>
      <c r="C1348" s="72" t="s">
        <v>868</v>
      </c>
      <c r="D1348" s="76"/>
      <c r="E1348" s="125">
        <v>150000</v>
      </c>
      <c r="F1348" s="125">
        <v>127500</v>
      </c>
      <c r="G1348" s="125">
        <v>265711</v>
      </c>
      <c r="H1348" s="125">
        <v>280000</v>
      </c>
      <c r="I1348" s="125">
        <v>300000</v>
      </c>
    </row>
    <row r="1349" spans="1:9" s="145" customFormat="1" ht="15.75">
      <c r="A1349" s="70" t="s">
        <v>2775</v>
      </c>
      <c r="B1349" s="105" t="s">
        <v>6675</v>
      </c>
      <c r="C1349" s="72" t="s">
        <v>869</v>
      </c>
      <c r="D1349" s="76"/>
      <c r="E1349" s="125">
        <v>0</v>
      </c>
      <c r="F1349" s="125">
        <v>0</v>
      </c>
      <c r="G1349" s="125">
        <v>0</v>
      </c>
      <c r="H1349" s="125">
        <v>250000</v>
      </c>
      <c r="I1349" s="125">
        <v>200000</v>
      </c>
    </row>
    <row r="1350" spans="1:9" s="145" customFormat="1" ht="15.75">
      <c r="A1350" s="70" t="s">
        <v>2778</v>
      </c>
      <c r="B1350" s="105" t="s">
        <v>6678</v>
      </c>
      <c r="C1350" s="72" t="s">
        <v>890</v>
      </c>
      <c r="D1350" s="76"/>
      <c r="E1350" s="125">
        <v>0</v>
      </c>
      <c r="F1350" s="125">
        <v>0</v>
      </c>
      <c r="G1350" s="125">
        <v>0</v>
      </c>
      <c r="H1350" s="125">
        <v>100000</v>
      </c>
      <c r="I1350" s="125">
        <v>120000</v>
      </c>
    </row>
    <row r="1351" spans="1:9" s="145" customFormat="1" ht="15.75">
      <c r="A1351" s="70"/>
      <c r="B1351" s="105"/>
      <c r="C1351" s="72"/>
      <c r="D1351" s="76"/>
      <c r="E1351" s="125">
        <v>0</v>
      </c>
      <c r="F1351" s="125">
        <v>0</v>
      </c>
      <c r="G1351" s="125">
        <v>0</v>
      </c>
      <c r="H1351" s="125">
        <v>0</v>
      </c>
      <c r="I1351" s="125">
        <v>0</v>
      </c>
    </row>
    <row r="1352" spans="1:9" s="145" customFormat="1" ht="15.75">
      <c r="A1352" s="77" t="s">
        <v>2370</v>
      </c>
      <c r="B1352" s="136" t="s">
        <v>146</v>
      </c>
      <c r="C1352" s="72"/>
      <c r="D1352" s="76"/>
      <c r="E1352" s="125">
        <v>3585662</v>
      </c>
      <c r="F1352" s="125">
        <v>3324402</v>
      </c>
      <c r="G1352" s="125">
        <v>3978825</v>
      </c>
      <c r="H1352" s="125">
        <v>5770000</v>
      </c>
      <c r="I1352" s="125">
        <v>5930000</v>
      </c>
    </row>
    <row r="1353" spans="1:9" s="145" customFormat="1" ht="15.75">
      <c r="A1353" s="70"/>
      <c r="B1353" s="105"/>
      <c r="C1353" s="72"/>
      <c r="D1353" s="76"/>
      <c r="E1353" s="125">
        <v>0</v>
      </c>
      <c r="F1353" s="125">
        <v>0</v>
      </c>
      <c r="G1353" s="125">
        <v>0</v>
      </c>
      <c r="H1353" s="125">
        <v>0</v>
      </c>
      <c r="I1353" s="125">
        <v>0</v>
      </c>
    </row>
    <row r="1354" spans="1:9" s="145" customFormat="1" ht="15.75">
      <c r="A1354" s="70" t="s">
        <v>2779</v>
      </c>
      <c r="B1354" s="105" t="s">
        <v>6679</v>
      </c>
      <c r="C1354" s="72"/>
      <c r="D1354" s="76"/>
      <c r="E1354" s="125">
        <v>0</v>
      </c>
      <c r="F1354" s="125">
        <v>0</v>
      </c>
      <c r="G1354" s="125">
        <v>0</v>
      </c>
      <c r="H1354" s="125">
        <v>0</v>
      </c>
      <c r="I1354" s="125">
        <v>0</v>
      </c>
    </row>
    <row r="1355" spans="1:9" s="145" customFormat="1" ht="15.75">
      <c r="A1355" s="70" t="s">
        <v>2767</v>
      </c>
      <c r="B1355" s="105" t="s">
        <v>6653</v>
      </c>
      <c r="C1355" s="72" t="s">
        <v>647</v>
      </c>
      <c r="D1355" s="76"/>
      <c r="E1355" s="125">
        <v>0</v>
      </c>
      <c r="F1355" s="125">
        <v>0</v>
      </c>
      <c r="G1355" s="125">
        <v>0</v>
      </c>
      <c r="H1355" s="125">
        <v>20000</v>
      </c>
      <c r="I1355" s="125">
        <v>30000</v>
      </c>
    </row>
    <row r="1356" spans="1:9" s="145" customFormat="1" ht="15.75">
      <c r="A1356" s="70" t="s">
        <v>2891</v>
      </c>
      <c r="B1356" s="105" t="s">
        <v>6666</v>
      </c>
      <c r="C1356" s="72" t="s">
        <v>648</v>
      </c>
      <c r="D1356" s="76"/>
      <c r="E1356" s="125">
        <v>50000</v>
      </c>
      <c r="F1356" s="125">
        <v>42500</v>
      </c>
      <c r="G1356" s="125">
        <v>20000</v>
      </c>
      <c r="H1356" s="125">
        <v>40000</v>
      </c>
      <c r="I1356" s="125">
        <v>50000</v>
      </c>
    </row>
    <row r="1357" spans="1:9" s="145" customFormat="1" ht="15.75">
      <c r="A1357" s="70" t="s">
        <v>2780</v>
      </c>
      <c r="B1357" s="105" t="s">
        <v>6680</v>
      </c>
      <c r="C1357" s="72" t="s">
        <v>649</v>
      </c>
      <c r="D1357" s="76"/>
      <c r="E1357" s="125">
        <v>140736</v>
      </c>
      <c r="F1357" s="125">
        <v>0</v>
      </c>
      <c r="G1357" s="125">
        <v>120000</v>
      </c>
      <c r="H1357" s="125">
        <v>120000</v>
      </c>
      <c r="I1357" s="125">
        <v>200000</v>
      </c>
    </row>
    <row r="1358" spans="1:9" s="145" customFormat="1" ht="15.75">
      <c r="A1358" s="70" t="s">
        <v>2896</v>
      </c>
      <c r="B1358" s="105" t="s">
        <v>6681</v>
      </c>
      <c r="C1358" s="72" t="s">
        <v>650</v>
      </c>
      <c r="D1358" s="76"/>
      <c r="E1358" s="125">
        <v>242000</v>
      </c>
      <c r="F1358" s="125">
        <v>419430</v>
      </c>
      <c r="G1358" s="125">
        <v>400000</v>
      </c>
      <c r="H1358" s="125">
        <v>450000</v>
      </c>
      <c r="I1358" s="125">
        <v>500000</v>
      </c>
    </row>
    <row r="1359" spans="1:9" s="145" customFormat="1" ht="15.75">
      <c r="A1359" s="70" t="s">
        <v>2897</v>
      </c>
      <c r="B1359" s="105" t="s">
        <v>6682</v>
      </c>
      <c r="C1359" s="72" t="s">
        <v>645</v>
      </c>
      <c r="D1359" s="76"/>
      <c r="E1359" s="125">
        <v>146713</v>
      </c>
      <c r="F1359" s="125">
        <v>0</v>
      </c>
      <c r="G1359" s="125">
        <v>102000</v>
      </c>
      <c r="H1359" s="125">
        <v>80000</v>
      </c>
      <c r="I1359" s="125">
        <v>100000</v>
      </c>
    </row>
    <row r="1360" spans="1:9" s="145" customFormat="1" ht="15.75">
      <c r="A1360" s="70" t="s">
        <v>2898</v>
      </c>
      <c r="B1360" s="105" t="s">
        <v>6683</v>
      </c>
      <c r="C1360" s="72" t="s">
        <v>646</v>
      </c>
      <c r="D1360" s="76"/>
      <c r="E1360" s="125">
        <v>0</v>
      </c>
      <c r="F1360" s="125">
        <v>41829</v>
      </c>
      <c r="G1360" s="125">
        <v>34000</v>
      </c>
      <c r="H1360" s="125">
        <v>45000</v>
      </c>
      <c r="I1360" s="125">
        <v>59000</v>
      </c>
    </row>
    <row r="1361" spans="1:9" s="145" customFormat="1" ht="15.75">
      <c r="A1361" s="70" t="s">
        <v>2781</v>
      </c>
      <c r="B1361" s="105" t="s">
        <v>6684</v>
      </c>
      <c r="C1361" s="72" t="s">
        <v>491</v>
      </c>
      <c r="D1361" s="76"/>
      <c r="E1361" s="125">
        <v>150000</v>
      </c>
      <c r="F1361" s="125">
        <v>127500</v>
      </c>
      <c r="G1361" s="125">
        <v>0</v>
      </c>
      <c r="H1361" s="125">
        <v>600000</v>
      </c>
      <c r="I1361" s="125">
        <v>480000</v>
      </c>
    </row>
    <row r="1362" spans="1:9" s="145" customFormat="1" ht="31.5">
      <c r="A1362" s="70" t="s">
        <v>2899</v>
      </c>
      <c r="B1362" s="105" t="s">
        <v>6685</v>
      </c>
      <c r="C1362" s="72" t="s">
        <v>492</v>
      </c>
      <c r="D1362" s="76"/>
      <c r="E1362" s="125">
        <v>0</v>
      </c>
      <c r="F1362" s="125">
        <v>122000</v>
      </c>
      <c r="G1362" s="125">
        <v>0</v>
      </c>
      <c r="H1362" s="125">
        <v>80000</v>
      </c>
      <c r="I1362" s="125">
        <v>100000</v>
      </c>
    </row>
    <row r="1363" spans="1:9" s="145" customFormat="1" ht="31.5">
      <c r="A1363" s="70" t="s">
        <v>2900</v>
      </c>
      <c r="B1363" s="105" t="s">
        <v>6686</v>
      </c>
      <c r="C1363" s="72" t="s">
        <v>493</v>
      </c>
      <c r="D1363" s="76"/>
      <c r="E1363" s="125">
        <v>100000</v>
      </c>
      <c r="F1363" s="125">
        <v>0</v>
      </c>
      <c r="G1363" s="125">
        <v>175200</v>
      </c>
      <c r="H1363" s="125">
        <v>100000</v>
      </c>
      <c r="I1363" s="125">
        <v>150000</v>
      </c>
    </row>
    <row r="1364" spans="1:9" s="145" customFormat="1" ht="15.75">
      <c r="A1364" s="70" t="s">
        <v>2782</v>
      </c>
      <c r="B1364" s="105" t="s">
        <v>6687</v>
      </c>
      <c r="C1364" s="72" t="s">
        <v>494</v>
      </c>
      <c r="D1364" s="76"/>
      <c r="E1364" s="125">
        <v>0</v>
      </c>
      <c r="F1364" s="125">
        <v>0</v>
      </c>
      <c r="G1364" s="125">
        <v>0</v>
      </c>
      <c r="H1364" s="125">
        <v>100000</v>
      </c>
      <c r="I1364" s="125">
        <v>40000</v>
      </c>
    </row>
    <row r="1365" spans="1:9" s="145" customFormat="1" ht="15.75">
      <c r="A1365" s="70"/>
      <c r="B1365" s="105"/>
      <c r="C1365" s="72"/>
      <c r="D1365" s="76"/>
      <c r="E1365" s="125">
        <v>0</v>
      </c>
      <c r="F1365" s="125">
        <v>0</v>
      </c>
      <c r="G1365" s="125">
        <v>0</v>
      </c>
      <c r="H1365" s="125">
        <v>0</v>
      </c>
      <c r="I1365" s="125">
        <v>0</v>
      </c>
    </row>
    <row r="1366" spans="1:9" s="145" customFormat="1" ht="15.75">
      <c r="A1366" s="77" t="s">
        <v>2783</v>
      </c>
      <c r="B1366" s="136" t="s">
        <v>146</v>
      </c>
      <c r="C1366" s="72"/>
      <c r="D1366" s="76"/>
      <c r="E1366" s="125">
        <v>829449</v>
      </c>
      <c r="F1366" s="125">
        <v>753259</v>
      </c>
      <c r="G1366" s="125">
        <v>851200</v>
      </c>
      <c r="H1366" s="125">
        <v>1635000</v>
      </c>
      <c r="I1366" s="125">
        <v>1709000</v>
      </c>
    </row>
    <row r="1367" spans="1:9" s="145" customFormat="1" ht="15.75">
      <c r="A1367" s="70"/>
      <c r="B1367" s="105"/>
      <c r="C1367" s="72"/>
      <c r="D1367" s="76"/>
      <c r="E1367" s="125">
        <v>0</v>
      </c>
      <c r="F1367" s="125">
        <v>0</v>
      </c>
      <c r="G1367" s="125">
        <v>0</v>
      </c>
      <c r="H1367" s="125">
        <v>0</v>
      </c>
      <c r="I1367" s="125">
        <v>0</v>
      </c>
    </row>
    <row r="1368" spans="1:9" s="145" customFormat="1" ht="47.25">
      <c r="A1368" s="70" t="s">
        <v>2784</v>
      </c>
      <c r="B1368" s="105" t="s">
        <v>6688</v>
      </c>
      <c r="C1368" s="72"/>
      <c r="D1368" s="76"/>
      <c r="E1368" s="125">
        <v>0</v>
      </c>
      <c r="F1368" s="125">
        <v>0</v>
      </c>
      <c r="G1368" s="125">
        <v>0</v>
      </c>
      <c r="H1368" s="125">
        <v>0</v>
      </c>
      <c r="I1368" s="125">
        <v>0</v>
      </c>
    </row>
    <row r="1369" spans="1:9" s="145" customFormat="1" ht="15.75">
      <c r="A1369" s="70" t="s">
        <v>2371</v>
      </c>
      <c r="B1369" s="105" t="s">
        <v>6465</v>
      </c>
      <c r="C1369" s="72" t="s">
        <v>1514</v>
      </c>
      <c r="D1369" s="76"/>
      <c r="E1369" s="125">
        <v>0</v>
      </c>
      <c r="F1369" s="125">
        <v>0</v>
      </c>
      <c r="G1369" s="125">
        <v>0</v>
      </c>
      <c r="H1369" s="125">
        <v>30000</v>
      </c>
      <c r="I1369" s="125">
        <v>30000</v>
      </c>
    </row>
    <row r="1370" spans="1:9" s="145" customFormat="1" ht="15.75">
      <c r="A1370" s="70" t="s">
        <v>2901</v>
      </c>
      <c r="B1370" s="105" t="s">
        <v>6689</v>
      </c>
      <c r="C1370" s="72" t="s">
        <v>385</v>
      </c>
      <c r="D1370" s="76"/>
      <c r="E1370" s="125">
        <v>938230</v>
      </c>
      <c r="F1370" s="125">
        <v>817170</v>
      </c>
      <c r="G1370" s="125">
        <v>797570</v>
      </c>
      <c r="H1370" s="125">
        <v>1100000</v>
      </c>
      <c r="I1370" s="125">
        <v>1200000</v>
      </c>
    </row>
    <row r="1371" spans="1:9" s="145" customFormat="1" ht="15.75">
      <c r="A1371" s="70" t="s">
        <v>2902</v>
      </c>
      <c r="B1371" s="105" t="s">
        <v>6690</v>
      </c>
      <c r="C1371" s="72" t="s">
        <v>386</v>
      </c>
      <c r="D1371" s="76"/>
      <c r="E1371" s="125">
        <v>0</v>
      </c>
      <c r="F1371" s="125">
        <v>22677</v>
      </c>
      <c r="G1371" s="125">
        <v>80000</v>
      </c>
      <c r="H1371" s="125">
        <v>100000</v>
      </c>
      <c r="I1371" s="125">
        <v>100000</v>
      </c>
    </row>
    <row r="1372" spans="1:9" s="145" customFormat="1" ht="15.75">
      <c r="A1372" s="70" t="s">
        <v>2903</v>
      </c>
      <c r="B1372" s="105" t="s">
        <v>6691</v>
      </c>
      <c r="C1372" s="72" t="s">
        <v>387</v>
      </c>
      <c r="D1372" s="76"/>
      <c r="E1372" s="125">
        <v>10410</v>
      </c>
      <c r="F1372" s="125">
        <v>0</v>
      </c>
      <c r="G1372" s="125">
        <v>58012</v>
      </c>
      <c r="H1372" s="125">
        <v>100000</v>
      </c>
      <c r="I1372" s="125">
        <v>100000</v>
      </c>
    </row>
    <row r="1373" spans="1:9" s="145" customFormat="1" ht="15.75">
      <c r="A1373" s="70" t="s">
        <v>2904</v>
      </c>
      <c r="B1373" s="105" t="s">
        <v>6692</v>
      </c>
      <c r="C1373" s="72" t="s">
        <v>983</v>
      </c>
      <c r="D1373" s="76"/>
      <c r="E1373" s="125">
        <v>0</v>
      </c>
      <c r="F1373" s="125">
        <v>174900</v>
      </c>
      <c r="G1373" s="125">
        <v>94800</v>
      </c>
      <c r="H1373" s="125">
        <v>400000</v>
      </c>
      <c r="I1373" s="125">
        <v>450000</v>
      </c>
    </row>
    <row r="1374" spans="1:9" s="145" customFormat="1" ht="31.5">
      <c r="A1374" s="70" t="s">
        <v>2905</v>
      </c>
      <c r="B1374" s="105" t="s">
        <v>6693</v>
      </c>
      <c r="C1374" s="72" t="s">
        <v>120</v>
      </c>
      <c r="D1374" s="76"/>
      <c r="E1374" s="125">
        <v>0</v>
      </c>
      <c r="F1374" s="125">
        <v>0</v>
      </c>
      <c r="G1374" s="125">
        <v>358813</v>
      </c>
      <c r="H1374" s="125">
        <v>400000</v>
      </c>
      <c r="I1374" s="125">
        <v>450000</v>
      </c>
    </row>
    <row r="1375" spans="1:9" s="145" customFormat="1" ht="15.75">
      <c r="A1375" s="70" t="s">
        <v>2785</v>
      </c>
      <c r="B1375" s="105" t="s">
        <v>6694</v>
      </c>
      <c r="C1375" s="72" t="s">
        <v>1808</v>
      </c>
      <c r="D1375" s="76"/>
      <c r="E1375" s="125">
        <v>0</v>
      </c>
      <c r="F1375" s="125">
        <v>0</v>
      </c>
      <c r="G1375" s="125">
        <v>0</v>
      </c>
      <c r="H1375" s="125">
        <v>700000</v>
      </c>
      <c r="I1375" s="125">
        <v>560000</v>
      </c>
    </row>
    <row r="1376" spans="1:9" s="145" customFormat="1" ht="15.75">
      <c r="A1376" s="70" t="s">
        <v>2786</v>
      </c>
      <c r="B1376" s="105" t="s">
        <v>6695</v>
      </c>
      <c r="C1376" s="72" t="s">
        <v>1809</v>
      </c>
      <c r="D1376" s="76"/>
      <c r="E1376" s="125">
        <v>0</v>
      </c>
      <c r="F1376" s="125">
        <v>0</v>
      </c>
      <c r="G1376" s="125">
        <v>0</v>
      </c>
      <c r="H1376" s="125">
        <v>200000</v>
      </c>
      <c r="I1376" s="125">
        <v>160000</v>
      </c>
    </row>
    <row r="1377" spans="1:9" s="145" customFormat="1" ht="15.75">
      <c r="A1377" s="70" t="s">
        <v>2906</v>
      </c>
      <c r="B1377" s="105" t="s">
        <v>6696</v>
      </c>
      <c r="C1377" s="72" t="s">
        <v>1810</v>
      </c>
      <c r="D1377" s="76"/>
      <c r="E1377" s="125">
        <v>0</v>
      </c>
      <c r="F1377" s="125">
        <v>0</v>
      </c>
      <c r="G1377" s="125">
        <v>0</v>
      </c>
      <c r="H1377" s="125">
        <v>80000</v>
      </c>
      <c r="I1377" s="125">
        <v>100000</v>
      </c>
    </row>
    <row r="1378" spans="1:9" s="145" customFormat="1" ht="15.75">
      <c r="A1378" s="70"/>
      <c r="B1378" s="105"/>
      <c r="C1378" s="72"/>
      <c r="D1378" s="76"/>
      <c r="E1378" s="125">
        <v>0</v>
      </c>
      <c r="F1378" s="125">
        <v>0</v>
      </c>
      <c r="G1378" s="125">
        <v>0</v>
      </c>
      <c r="H1378" s="125">
        <v>0</v>
      </c>
      <c r="I1378" s="125">
        <v>0</v>
      </c>
    </row>
    <row r="1379" spans="1:9" s="145" customFormat="1" ht="15.75">
      <c r="A1379" s="77" t="s">
        <v>2787</v>
      </c>
      <c r="B1379" s="136" t="s">
        <v>146</v>
      </c>
      <c r="C1379" s="72"/>
      <c r="D1379" s="76"/>
      <c r="E1379" s="125">
        <v>948640</v>
      </c>
      <c r="F1379" s="125">
        <v>1014747</v>
      </c>
      <c r="G1379" s="125">
        <v>1389195</v>
      </c>
      <c r="H1379" s="125">
        <v>3110000</v>
      </c>
      <c r="I1379" s="125">
        <v>3150000</v>
      </c>
    </row>
    <row r="1380" spans="1:9" s="145" customFormat="1" ht="15.75">
      <c r="A1380" s="70"/>
      <c r="B1380" s="105"/>
      <c r="C1380" s="72"/>
      <c r="D1380" s="76"/>
      <c r="E1380" s="125">
        <v>0</v>
      </c>
      <c r="F1380" s="125">
        <v>0</v>
      </c>
      <c r="G1380" s="125">
        <v>0</v>
      </c>
      <c r="H1380" s="125">
        <v>0</v>
      </c>
      <c r="I1380" s="125">
        <v>0</v>
      </c>
    </row>
    <row r="1381" spans="1:9" s="145" customFormat="1" ht="15.75">
      <c r="A1381" s="88" t="s">
        <v>2788</v>
      </c>
      <c r="B1381" s="105" t="s">
        <v>6697</v>
      </c>
      <c r="C1381" s="72"/>
      <c r="D1381" s="76"/>
      <c r="E1381" s="125">
        <v>0</v>
      </c>
      <c r="F1381" s="125">
        <v>0</v>
      </c>
      <c r="G1381" s="125">
        <v>0</v>
      </c>
      <c r="H1381" s="125">
        <v>0</v>
      </c>
      <c r="I1381" s="125">
        <v>0</v>
      </c>
    </row>
    <row r="1382" spans="1:9" s="145" customFormat="1" ht="15.75">
      <c r="A1382" s="70" t="s">
        <v>2371</v>
      </c>
      <c r="B1382" s="105" t="s">
        <v>6465</v>
      </c>
      <c r="C1382" s="72" t="s">
        <v>1443</v>
      </c>
      <c r="D1382" s="76"/>
      <c r="E1382" s="125">
        <v>0</v>
      </c>
      <c r="F1382" s="125">
        <v>8000</v>
      </c>
      <c r="G1382" s="125">
        <v>0</v>
      </c>
      <c r="H1382" s="125">
        <v>16000</v>
      </c>
      <c r="I1382" s="125">
        <v>16000</v>
      </c>
    </row>
    <row r="1383" spans="1:9" s="145" customFormat="1" ht="15.75">
      <c r="A1383" s="70" t="s">
        <v>2906</v>
      </c>
      <c r="B1383" s="105" t="s">
        <v>6696</v>
      </c>
      <c r="C1383" s="72" t="s">
        <v>1598</v>
      </c>
      <c r="D1383" s="76"/>
      <c r="E1383" s="125">
        <v>0</v>
      </c>
      <c r="F1383" s="125">
        <v>0</v>
      </c>
      <c r="G1383" s="125">
        <v>0</v>
      </c>
      <c r="H1383" s="125">
        <v>80000</v>
      </c>
      <c r="I1383" s="125">
        <v>100000</v>
      </c>
    </row>
    <row r="1384" spans="1:9" s="145" customFormat="1" ht="15.75">
      <c r="A1384" s="70" t="s">
        <v>2790</v>
      </c>
      <c r="B1384" s="105" t="s">
        <v>6698</v>
      </c>
      <c r="C1384" s="72" t="s">
        <v>1444</v>
      </c>
      <c r="D1384" s="76"/>
      <c r="E1384" s="125">
        <v>0</v>
      </c>
      <c r="F1384" s="125">
        <v>0</v>
      </c>
      <c r="G1384" s="125">
        <v>0</v>
      </c>
      <c r="H1384" s="125">
        <v>40000</v>
      </c>
      <c r="I1384" s="125">
        <v>50000</v>
      </c>
    </row>
    <row r="1385" spans="1:9" s="145" customFormat="1" ht="15.75">
      <c r="A1385" s="70" t="s">
        <v>2901</v>
      </c>
      <c r="B1385" s="105" t="s">
        <v>6689</v>
      </c>
      <c r="C1385" s="72" t="s">
        <v>1445</v>
      </c>
      <c r="D1385" s="76"/>
      <c r="E1385" s="125">
        <v>293730</v>
      </c>
      <c r="F1385" s="125">
        <v>508270</v>
      </c>
      <c r="G1385" s="125">
        <v>800000</v>
      </c>
      <c r="H1385" s="125">
        <v>900000</v>
      </c>
      <c r="I1385" s="125">
        <v>1000000</v>
      </c>
    </row>
    <row r="1386" spans="1:9" s="145" customFormat="1" ht="15.75">
      <c r="A1386" s="70" t="s">
        <v>2907</v>
      </c>
      <c r="B1386" s="105" t="s">
        <v>6699</v>
      </c>
      <c r="C1386" s="72" t="s">
        <v>1446</v>
      </c>
      <c r="D1386" s="76"/>
      <c r="E1386" s="125">
        <v>0</v>
      </c>
      <c r="F1386" s="125">
        <v>255000</v>
      </c>
      <c r="G1386" s="125">
        <v>102000</v>
      </c>
      <c r="H1386" s="125">
        <v>240000</v>
      </c>
      <c r="I1386" s="125">
        <v>300000</v>
      </c>
    </row>
    <row r="1387" spans="1:9" s="145" customFormat="1" ht="15.75">
      <c r="A1387" s="70" t="s">
        <v>2903</v>
      </c>
      <c r="B1387" s="105" t="s">
        <v>6691</v>
      </c>
      <c r="C1387" s="72" t="s">
        <v>1447</v>
      </c>
      <c r="D1387" s="76"/>
      <c r="E1387" s="125">
        <v>0</v>
      </c>
      <c r="F1387" s="125">
        <v>85000</v>
      </c>
      <c r="G1387" s="125">
        <v>0</v>
      </c>
      <c r="H1387" s="125">
        <v>80000</v>
      </c>
      <c r="I1387" s="125">
        <v>100000</v>
      </c>
    </row>
    <row r="1388" spans="1:9" s="145" customFormat="1" ht="15.75">
      <c r="A1388" s="70" t="s">
        <v>2791</v>
      </c>
      <c r="B1388" s="105" t="s">
        <v>6700</v>
      </c>
      <c r="C1388" s="72" t="s">
        <v>1448</v>
      </c>
      <c r="D1388" s="76"/>
      <c r="E1388" s="125">
        <v>0</v>
      </c>
      <c r="F1388" s="125">
        <v>0</v>
      </c>
      <c r="G1388" s="125">
        <v>0</v>
      </c>
      <c r="H1388" s="125">
        <v>80000</v>
      </c>
      <c r="I1388" s="125">
        <v>100000</v>
      </c>
    </row>
    <row r="1389" spans="1:9" s="145" customFormat="1" ht="15.75">
      <c r="A1389" s="70" t="s">
        <v>2785</v>
      </c>
      <c r="B1389" s="105" t="s">
        <v>6694</v>
      </c>
      <c r="C1389" s="72" t="s">
        <v>1449</v>
      </c>
      <c r="D1389" s="76"/>
      <c r="E1389" s="125">
        <v>187095</v>
      </c>
      <c r="F1389" s="125">
        <v>166665</v>
      </c>
      <c r="G1389" s="125">
        <v>399996</v>
      </c>
      <c r="H1389" s="125">
        <v>500000</v>
      </c>
      <c r="I1389" s="125">
        <v>480000</v>
      </c>
    </row>
    <row r="1390" spans="1:9" s="145" customFormat="1" ht="31.5">
      <c r="A1390" s="70" t="s">
        <v>2908</v>
      </c>
      <c r="B1390" s="105" t="s">
        <v>6692</v>
      </c>
      <c r="C1390" s="72" t="s">
        <v>1450</v>
      </c>
      <c r="D1390" s="76"/>
      <c r="E1390" s="125">
        <v>0</v>
      </c>
      <c r="F1390" s="125">
        <v>90300</v>
      </c>
      <c r="G1390" s="125">
        <v>155000</v>
      </c>
      <c r="H1390" s="125">
        <v>250000</v>
      </c>
      <c r="I1390" s="125">
        <v>300000</v>
      </c>
    </row>
    <row r="1391" spans="1:9" s="145" customFormat="1" ht="15.75">
      <c r="A1391" s="70" t="s">
        <v>2909</v>
      </c>
      <c r="B1391" s="105" t="s">
        <v>6693</v>
      </c>
      <c r="C1391" s="72" t="s">
        <v>1451</v>
      </c>
      <c r="D1391" s="76"/>
      <c r="E1391" s="125">
        <v>0</v>
      </c>
      <c r="F1391" s="125">
        <v>255000</v>
      </c>
      <c r="G1391" s="125">
        <v>575000</v>
      </c>
      <c r="H1391" s="125">
        <v>240000</v>
      </c>
      <c r="I1391" s="125">
        <v>250000</v>
      </c>
    </row>
    <row r="1392" spans="1:9" s="145" customFormat="1" ht="15.75">
      <c r="A1392" s="70" t="s">
        <v>2792</v>
      </c>
      <c r="B1392" s="105"/>
      <c r="C1392" s="72" t="s">
        <v>1599</v>
      </c>
      <c r="D1392" s="76"/>
      <c r="E1392" s="125">
        <v>0</v>
      </c>
      <c r="F1392" s="125">
        <v>0</v>
      </c>
      <c r="G1392" s="125">
        <v>0</v>
      </c>
      <c r="H1392" s="125">
        <v>0</v>
      </c>
      <c r="I1392" s="125">
        <v>40000</v>
      </c>
    </row>
    <row r="1393" spans="1:9" s="145" customFormat="1" ht="15.75">
      <c r="A1393" s="70" t="s">
        <v>2793</v>
      </c>
      <c r="B1393" s="105" t="s">
        <v>6701</v>
      </c>
      <c r="C1393" s="72" t="s">
        <v>1452</v>
      </c>
      <c r="D1393" s="76"/>
      <c r="E1393" s="125">
        <v>0</v>
      </c>
      <c r="F1393" s="125">
        <v>0</v>
      </c>
      <c r="G1393" s="125">
        <v>136000</v>
      </c>
      <c r="H1393" s="125">
        <v>140000</v>
      </c>
      <c r="I1393" s="125">
        <v>0</v>
      </c>
    </row>
    <row r="1394" spans="1:9" s="145" customFormat="1" ht="15.75">
      <c r="A1394" s="70" t="s">
        <v>2794</v>
      </c>
      <c r="B1394" s="105" t="s">
        <v>6702</v>
      </c>
      <c r="C1394" s="72" t="s">
        <v>1453</v>
      </c>
      <c r="D1394" s="76"/>
      <c r="E1394" s="125">
        <v>200000</v>
      </c>
      <c r="F1394" s="125">
        <v>170000</v>
      </c>
      <c r="G1394" s="125">
        <v>0</v>
      </c>
      <c r="H1394" s="125">
        <v>160000</v>
      </c>
      <c r="I1394" s="125">
        <v>0</v>
      </c>
    </row>
    <row r="1395" spans="1:9" s="145" customFormat="1" ht="15.75">
      <c r="A1395" s="70"/>
      <c r="B1395" s="105"/>
      <c r="C1395" s="72"/>
      <c r="D1395" s="76"/>
      <c r="E1395" s="125">
        <v>0</v>
      </c>
      <c r="F1395" s="125">
        <v>0</v>
      </c>
      <c r="G1395" s="125">
        <v>0</v>
      </c>
      <c r="H1395" s="125">
        <v>0</v>
      </c>
      <c r="I1395" s="125">
        <v>0</v>
      </c>
    </row>
    <row r="1396" spans="1:9" s="145" customFormat="1" ht="15.75">
      <c r="A1396" s="77" t="s">
        <v>2795</v>
      </c>
      <c r="B1396" s="136" t="s">
        <v>146</v>
      </c>
      <c r="C1396" s="72"/>
      <c r="D1396" s="76"/>
      <c r="E1396" s="125">
        <v>680825</v>
      </c>
      <c r="F1396" s="125">
        <v>1538235</v>
      </c>
      <c r="G1396" s="125">
        <v>2167996</v>
      </c>
      <c r="H1396" s="125">
        <v>2726000</v>
      </c>
      <c r="I1396" s="125">
        <v>2736000</v>
      </c>
    </row>
    <row r="1397" spans="1:9" s="145" customFormat="1" ht="15.75">
      <c r="A1397" s="70"/>
      <c r="B1397" s="105"/>
      <c r="C1397" s="72"/>
      <c r="D1397" s="76"/>
      <c r="E1397" s="125">
        <v>0</v>
      </c>
      <c r="F1397" s="125">
        <v>0</v>
      </c>
      <c r="G1397" s="125">
        <v>0</v>
      </c>
      <c r="H1397" s="125">
        <v>0</v>
      </c>
      <c r="I1397" s="125">
        <v>0</v>
      </c>
    </row>
    <row r="1398" spans="1:9" s="145" customFormat="1" ht="15.75">
      <c r="A1398" s="70" t="s">
        <v>2796</v>
      </c>
      <c r="B1398" s="105" t="s">
        <v>6703</v>
      </c>
      <c r="C1398" s="72"/>
      <c r="D1398" s="76"/>
      <c r="E1398" s="125">
        <v>0</v>
      </c>
      <c r="F1398" s="125">
        <v>0</v>
      </c>
      <c r="G1398" s="125">
        <v>0</v>
      </c>
      <c r="H1398" s="125">
        <v>0</v>
      </c>
      <c r="I1398" s="125">
        <v>0</v>
      </c>
    </row>
    <row r="1399" spans="1:9" s="145" customFormat="1" ht="15.75">
      <c r="A1399" s="70" t="s">
        <v>2371</v>
      </c>
      <c r="B1399" s="105" t="s">
        <v>6465</v>
      </c>
      <c r="C1399" s="72" t="s">
        <v>1454</v>
      </c>
      <c r="D1399" s="76"/>
      <c r="E1399" s="125">
        <v>36609</v>
      </c>
      <c r="F1399" s="125">
        <v>12916</v>
      </c>
      <c r="G1399" s="125">
        <v>8969</v>
      </c>
      <c r="H1399" s="125">
        <v>30000</v>
      </c>
      <c r="I1399" s="125">
        <v>40000</v>
      </c>
    </row>
    <row r="1400" spans="1:9" s="145" customFormat="1" ht="15.75">
      <c r="A1400" s="70" t="s">
        <v>2906</v>
      </c>
      <c r="B1400" s="105" t="s">
        <v>6696</v>
      </c>
      <c r="C1400" s="72" t="s">
        <v>1455</v>
      </c>
      <c r="D1400" s="76"/>
      <c r="E1400" s="125">
        <v>0</v>
      </c>
      <c r="F1400" s="125">
        <v>42500</v>
      </c>
      <c r="G1400" s="125">
        <v>0</v>
      </c>
      <c r="H1400" s="125">
        <v>60000</v>
      </c>
      <c r="I1400" s="125">
        <v>60000</v>
      </c>
    </row>
    <row r="1401" spans="1:9" s="145" customFormat="1" ht="15.75">
      <c r="A1401" s="70" t="s">
        <v>2786</v>
      </c>
      <c r="B1401" s="105" t="s">
        <v>6695</v>
      </c>
      <c r="C1401" s="72" t="s">
        <v>1456</v>
      </c>
      <c r="D1401" s="76"/>
      <c r="E1401" s="125">
        <v>79834</v>
      </c>
      <c r="F1401" s="125">
        <v>71398</v>
      </c>
      <c r="G1401" s="125">
        <v>0</v>
      </c>
      <c r="H1401" s="125">
        <v>90000</v>
      </c>
      <c r="I1401" s="125">
        <v>72000</v>
      </c>
    </row>
    <row r="1402" spans="1:9" s="145" customFormat="1" ht="15.75">
      <c r="A1402" s="70" t="s">
        <v>2790</v>
      </c>
      <c r="B1402" s="105" t="s">
        <v>6698</v>
      </c>
      <c r="C1402" s="72" t="s">
        <v>1457</v>
      </c>
      <c r="D1402" s="76"/>
      <c r="E1402" s="125">
        <v>0</v>
      </c>
      <c r="F1402" s="125">
        <v>0</v>
      </c>
      <c r="G1402" s="125">
        <v>0</v>
      </c>
      <c r="H1402" s="125">
        <v>80000</v>
      </c>
      <c r="I1402" s="125">
        <v>100000</v>
      </c>
    </row>
    <row r="1403" spans="1:9" s="145" customFormat="1" ht="15.75">
      <c r="A1403" s="70" t="s">
        <v>2901</v>
      </c>
      <c r="B1403" s="105" t="s">
        <v>6689</v>
      </c>
      <c r="C1403" s="72" t="s">
        <v>1458</v>
      </c>
      <c r="D1403" s="76"/>
      <c r="E1403" s="125">
        <v>297880</v>
      </c>
      <c r="F1403" s="125">
        <v>422840</v>
      </c>
      <c r="G1403" s="125">
        <v>479960</v>
      </c>
      <c r="H1403" s="125">
        <v>600000</v>
      </c>
      <c r="I1403" s="125">
        <v>700000</v>
      </c>
    </row>
    <row r="1404" spans="1:9" s="145" customFormat="1" ht="15.75">
      <c r="A1404" s="70" t="s">
        <v>2907</v>
      </c>
      <c r="B1404" s="105" t="s">
        <v>6699</v>
      </c>
      <c r="C1404" s="72" t="s">
        <v>1459</v>
      </c>
      <c r="D1404" s="76"/>
      <c r="E1404" s="125">
        <v>0</v>
      </c>
      <c r="F1404" s="125">
        <v>0</v>
      </c>
      <c r="G1404" s="125">
        <v>0</v>
      </c>
      <c r="H1404" s="125">
        <v>80000</v>
      </c>
      <c r="I1404" s="125">
        <v>100000</v>
      </c>
    </row>
    <row r="1405" spans="1:9" s="145" customFormat="1" ht="15.75">
      <c r="A1405" s="70" t="s">
        <v>2903</v>
      </c>
      <c r="B1405" s="105" t="s">
        <v>6691</v>
      </c>
      <c r="C1405" s="72" t="s">
        <v>1460</v>
      </c>
      <c r="D1405" s="76"/>
      <c r="E1405" s="125">
        <v>2400</v>
      </c>
      <c r="F1405" s="125">
        <v>0</v>
      </c>
      <c r="G1405" s="125">
        <v>0</v>
      </c>
      <c r="H1405" s="125">
        <v>80000</v>
      </c>
      <c r="I1405" s="125">
        <v>100000</v>
      </c>
    </row>
    <row r="1406" spans="1:9" s="145" customFormat="1" ht="15.75">
      <c r="A1406" s="70" t="s">
        <v>2791</v>
      </c>
      <c r="B1406" s="105" t="s">
        <v>6700</v>
      </c>
      <c r="C1406" s="72" t="s">
        <v>1600</v>
      </c>
      <c r="D1406" s="76"/>
      <c r="E1406" s="125">
        <v>0</v>
      </c>
      <c r="F1406" s="125">
        <v>0</v>
      </c>
      <c r="G1406" s="125">
        <v>0</v>
      </c>
      <c r="H1406" s="125">
        <v>100000</v>
      </c>
      <c r="I1406" s="125">
        <v>100000</v>
      </c>
    </row>
    <row r="1407" spans="1:9" s="145" customFormat="1" ht="15.75">
      <c r="A1407" s="70" t="s">
        <v>2785</v>
      </c>
      <c r="B1407" s="105" t="s">
        <v>6694</v>
      </c>
      <c r="C1407" s="72" t="s">
        <v>1461</v>
      </c>
      <c r="D1407" s="76"/>
      <c r="E1407" s="125">
        <v>200000</v>
      </c>
      <c r="F1407" s="125">
        <v>143400</v>
      </c>
      <c r="G1407" s="125">
        <v>428388</v>
      </c>
      <c r="H1407" s="125">
        <v>600000</v>
      </c>
      <c r="I1407" s="125">
        <v>480000</v>
      </c>
    </row>
    <row r="1408" spans="1:9" s="145" customFormat="1" ht="31.5">
      <c r="A1408" s="70" t="s">
        <v>2908</v>
      </c>
      <c r="B1408" s="105" t="s">
        <v>6692</v>
      </c>
      <c r="C1408" s="72" t="s">
        <v>1462</v>
      </c>
      <c r="D1408" s="76"/>
      <c r="E1408" s="125">
        <v>100000</v>
      </c>
      <c r="F1408" s="125">
        <v>0</v>
      </c>
      <c r="G1408" s="125">
        <v>133600</v>
      </c>
      <c r="H1408" s="125">
        <v>320000</v>
      </c>
      <c r="I1408" s="125">
        <v>350000</v>
      </c>
    </row>
    <row r="1409" spans="1:9" s="145" customFormat="1" ht="15.75">
      <c r="A1409" s="70" t="s">
        <v>2909</v>
      </c>
      <c r="B1409" s="105" t="s">
        <v>6693</v>
      </c>
      <c r="C1409" s="72" t="s">
        <v>1463</v>
      </c>
      <c r="D1409" s="76"/>
      <c r="E1409" s="125">
        <v>200000</v>
      </c>
      <c r="F1409" s="125">
        <v>302400</v>
      </c>
      <c r="G1409" s="125">
        <v>320000</v>
      </c>
      <c r="H1409" s="125">
        <v>400000</v>
      </c>
      <c r="I1409" s="125">
        <v>400000</v>
      </c>
    </row>
    <row r="1410" spans="1:9" s="145" customFormat="1" ht="15.75">
      <c r="A1410" s="70" t="s">
        <v>2792</v>
      </c>
      <c r="B1410" s="105" t="s">
        <v>6704</v>
      </c>
      <c r="C1410" s="72" t="s">
        <v>1601</v>
      </c>
      <c r="D1410" s="76"/>
      <c r="E1410" s="125">
        <v>0</v>
      </c>
      <c r="F1410" s="125">
        <v>0</v>
      </c>
      <c r="G1410" s="125">
        <v>0</v>
      </c>
      <c r="H1410" s="125">
        <v>20000</v>
      </c>
      <c r="I1410" s="125">
        <v>16000</v>
      </c>
    </row>
    <row r="1411" spans="1:9" s="145" customFormat="1" ht="15.75">
      <c r="A1411" s="70"/>
      <c r="B1411" s="105"/>
      <c r="C1411" s="72"/>
      <c r="D1411" s="76"/>
      <c r="E1411" s="125">
        <v>0</v>
      </c>
      <c r="F1411" s="125">
        <v>0</v>
      </c>
      <c r="G1411" s="125">
        <v>0</v>
      </c>
      <c r="H1411" s="125">
        <v>0</v>
      </c>
      <c r="I1411" s="125">
        <v>0</v>
      </c>
    </row>
    <row r="1412" spans="1:9" s="145" customFormat="1" ht="15.75">
      <c r="A1412" s="77" t="s">
        <v>2797</v>
      </c>
      <c r="B1412" s="136" t="s">
        <v>146</v>
      </c>
      <c r="C1412" s="72"/>
      <c r="D1412" s="76"/>
      <c r="E1412" s="125">
        <v>916723</v>
      </c>
      <c r="F1412" s="125">
        <v>995454</v>
      </c>
      <c r="G1412" s="125">
        <v>1370917</v>
      </c>
      <c r="H1412" s="125">
        <v>2460000</v>
      </c>
      <c r="I1412" s="125">
        <v>2518000</v>
      </c>
    </row>
    <row r="1413" spans="1:9" s="145" customFormat="1" ht="15.75">
      <c r="A1413" s="70"/>
      <c r="B1413" s="105"/>
      <c r="C1413" s="72"/>
      <c r="D1413" s="76"/>
      <c r="E1413" s="125">
        <v>0</v>
      </c>
      <c r="F1413" s="125">
        <v>0</v>
      </c>
      <c r="G1413" s="125">
        <v>0</v>
      </c>
      <c r="H1413" s="125">
        <v>0</v>
      </c>
      <c r="I1413" s="125">
        <v>0</v>
      </c>
    </row>
    <row r="1414" spans="1:9" s="145" customFormat="1" ht="15.75">
      <c r="A1414" s="88" t="s">
        <v>2798</v>
      </c>
      <c r="B1414" s="105" t="s">
        <v>5690</v>
      </c>
      <c r="C1414" s="72"/>
      <c r="D1414" s="76"/>
      <c r="E1414" s="125">
        <v>0</v>
      </c>
      <c r="F1414" s="125">
        <v>0</v>
      </c>
      <c r="G1414" s="125">
        <v>0</v>
      </c>
      <c r="H1414" s="125">
        <v>0</v>
      </c>
      <c r="I1414" s="125">
        <v>0</v>
      </c>
    </row>
    <row r="1415" spans="1:9" s="145" customFormat="1" ht="15.75">
      <c r="A1415" s="70" t="s">
        <v>2371</v>
      </c>
      <c r="B1415" s="105" t="s">
        <v>6465</v>
      </c>
      <c r="C1415" s="72" t="s">
        <v>1557</v>
      </c>
      <c r="D1415" s="76"/>
      <c r="E1415" s="125">
        <v>0</v>
      </c>
      <c r="F1415" s="125">
        <v>10000</v>
      </c>
      <c r="G1415" s="125">
        <v>0</v>
      </c>
      <c r="H1415" s="125">
        <v>20000</v>
      </c>
      <c r="I1415" s="125">
        <v>20000</v>
      </c>
    </row>
    <row r="1416" spans="1:9" s="145" customFormat="1" ht="15.75">
      <c r="A1416" s="70" t="s">
        <v>2906</v>
      </c>
      <c r="B1416" s="105" t="s">
        <v>6696</v>
      </c>
      <c r="C1416" s="72" t="s">
        <v>1558</v>
      </c>
      <c r="D1416" s="76"/>
      <c r="E1416" s="125">
        <v>0</v>
      </c>
      <c r="F1416" s="125">
        <v>85000</v>
      </c>
      <c r="G1416" s="125">
        <v>79250</v>
      </c>
      <c r="H1416" s="125">
        <v>80000</v>
      </c>
      <c r="I1416" s="125">
        <v>100000</v>
      </c>
    </row>
    <row r="1417" spans="1:9" s="145" customFormat="1" ht="15.75">
      <c r="A1417" s="70" t="s">
        <v>2786</v>
      </c>
      <c r="B1417" s="105" t="s">
        <v>6695</v>
      </c>
      <c r="C1417" s="72" t="s">
        <v>1559</v>
      </c>
      <c r="D1417" s="76"/>
      <c r="E1417" s="125">
        <v>0</v>
      </c>
      <c r="F1417" s="125">
        <v>0</v>
      </c>
      <c r="G1417" s="125">
        <v>19999</v>
      </c>
      <c r="H1417" s="125">
        <v>100000</v>
      </c>
      <c r="I1417" s="125">
        <v>160000</v>
      </c>
    </row>
    <row r="1418" spans="1:9" s="145" customFormat="1" ht="15.75">
      <c r="A1418" s="70" t="s">
        <v>2901</v>
      </c>
      <c r="B1418" s="105" t="s">
        <v>6689</v>
      </c>
      <c r="C1418" s="72" t="s">
        <v>1560</v>
      </c>
      <c r="D1418" s="76"/>
      <c r="E1418" s="125">
        <v>0</v>
      </c>
      <c r="F1418" s="125">
        <v>338920</v>
      </c>
      <c r="G1418" s="125">
        <v>1191000</v>
      </c>
      <c r="H1418" s="125">
        <v>1500000</v>
      </c>
      <c r="I1418" s="125">
        <v>1700000</v>
      </c>
    </row>
    <row r="1419" spans="1:9" s="145" customFormat="1" ht="15.75">
      <c r="A1419" s="70" t="s">
        <v>2907</v>
      </c>
      <c r="B1419" s="105" t="s">
        <v>6699</v>
      </c>
      <c r="C1419" s="72" t="s">
        <v>1561</v>
      </c>
      <c r="D1419" s="76"/>
      <c r="E1419" s="125">
        <v>0</v>
      </c>
      <c r="F1419" s="125">
        <v>170000</v>
      </c>
      <c r="G1419" s="125">
        <v>160000</v>
      </c>
      <c r="H1419" s="125">
        <v>160000</v>
      </c>
      <c r="I1419" s="125">
        <v>160000</v>
      </c>
    </row>
    <row r="1420" spans="1:9" s="145" customFormat="1" ht="15.75">
      <c r="A1420" s="70" t="s">
        <v>2903</v>
      </c>
      <c r="B1420" s="105" t="s">
        <v>6691</v>
      </c>
      <c r="C1420" s="72" t="s">
        <v>1562</v>
      </c>
      <c r="D1420" s="76"/>
      <c r="E1420" s="125">
        <v>0</v>
      </c>
      <c r="F1420" s="125">
        <v>0</v>
      </c>
      <c r="G1420" s="125">
        <v>141500</v>
      </c>
      <c r="H1420" s="125">
        <v>160000</v>
      </c>
      <c r="I1420" s="125">
        <v>160000</v>
      </c>
    </row>
    <row r="1421" spans="1:9" s="145" customFormat="1" ht="15.75">
      <c r="A1421" s="70" t="s">
        <v>2785</v>
      </c>
      <c r="B1421" s="105" t="s">
        <v>6694</v>
      </c>
      <c r="C1421" s="72" t="s">
        <v>1563</v>
      </c>
      <c r="D1421" s="76"/>
      <c r="E1421" s="125">
        <v>0</v>
      </c>
      <c r="F1421" s="125">
        <v>0</v>
      </c>
      <c r="G1421" s="125">
        <v>679994</v>
      </c>
      <c r="H1421" s="125">
        <v>800000</v>
      </c>
      <c r="I1421" s="125">
        <v>640000</v>
      </c>
    </row>
    <row r="1422" spans="1:9" s="145" customFormat="1" ht="31.5">
      <c r="A1422" s="70" t="s">
        <v>2908</v>
      </c>
      <c r="B1422" s="105" t="s">
        <v>6692</v>
      </c>
      <c r="C1422" s="72" t="s">
        <v>1564</v>
      </c>
      <c r="D1422" s="76"/>
      <c r="E1422" s="125">
        <v>0</v>
      </c>
      <c r="F1422" s="125">
        <v>152250</v>
      </c>
      <c r="G1422" s="125">
        <v>522000</v>
      </c>
      <c r="H1422" s="125">
        <v>320000</v>
      </c>
      <c r="I1422" s="125">
        <v>500000</v>
      </c>
    </row>
    <row r="1423" spans="1:9" s="145" customFormat="1" ht="15.75">
      <c r="A1423" s="70" t="s">
        <v>2909</v>
      </c>
      <c r="B1423" s="105" t="s">
        <v>6693</v>
      </c>
      <c r="C1423" s="72" t="s">
        <v>1565</v>
      </c>
      <c r="D1423" s="76"/>
      <c r="E1423" s="125">
        <v>0</v>
      </c>
      <c r="F1423" s="125">
        <v>393600</v>
      </c>
      <c r="G1423" s="125">
        <v>590000</v>
      </c>
      <c r="H1423" s="125">
        <v>600000</v>
      </c>
      <c r="I1423" s="125">
        <v>600000</v>
      </c>
    </row>
    <row r="1424" spans="1:9" s="145" customFormat="1" ht="15.75">
      <c r="A1424" s="70" t="s">
        <v>2792</v>
      </c>
      <c r="B1424" s="105" t="s">
        <v>6704</v>
      </c>
      <c r="C1424" s="72" t="s">
        <v>1566</v>
      </c>
      <c r="D1424" s="76"/>
      <c r="E1424" s="125">
        <v>0</v>
      </c>
      <c r="F1424" s="125">
        <v>0</v>
      </c>
      <c r="G1424" s="125">
        <v>0</v>
      </c>
      <c r="H1424" s="125">
        <v>20000</v>
      </c>
      <c r="I1424" s="125">
        <v>16000</v>
      </c>
    </row>
    <row r="1425" spans="1:9" s="145" customFormat="1" ht="15.75">
      <c r="A1425" s="70"/>
      <c r="B1425" s="105"/>
      <c r="C1425" s="72"/>
      <c r="D1425" s="76"/>
      <c r="E1425" s="125">
        <v>0</v>
      </c>
      <c r="F1425" s="125">
        <v>0</v>
      </c>
      <c r="G1425" s="125">
        <v>0</v>
      </c>
      <c r="H1425" s="125">
        <v>0</v>
      </c>
      <c r="I1425" s="125">
        <v>0</v>
      </c>
    </row>
    <row r="1426" spans="1:9" s="145" customFormat="1" ht="15.75">
      <c r="A1426" s="77" t="s">
        <v>2799</v>
      </c>
      <c r="B1426" s="136" t="s">
        <v>146</v>
      </c>
      <c r="C1426" s="72"/>
      <c r="D1426" s="76"/>
      <c r="E1426" s="125">
        <v>0</v>
      </c>
      <c r="F1426" s="125">
        <v>1149770</v>
      </c>
      <c r="G1426" s="125">
        <v>3383743</v>
      </c>
      <c r="H1426" s="125">
        <v>3760000</v>
      </c>
      <c r="I1426" s="125">
        <v>4056000</v>
      </c>
    </row>
    <row r="1427" spans="1:9" s="145" customFormat="1" ht="15.75">
      <c r="A1427" s="70"/>
      <c r="B1427" s="105"/>
      <c r="C1427" s="72"/>
      <c r="D1427" s="76"/>
      <c r="E1427" s="125">
        <v>0</v>
      </c>
      <c r="F1427" s="125">
        <v>0</v>
      </c>
      <c r="G1427" s="125">
        <v>0</v>
      </c>
      <c r="H1427" s="125">
        <v>0</v>
      </c>
      <c r="I1427" s="125">
        <v>0</v>
      </c>
    </row>
    <row r="1428" spans="1:9" s="145" customFormat="1" ht="15.75">
      <c r="A1428" s="88" t="s">
        <v>2800</v>
      </c>
      <c r="B1428" s="105" t="s">
        <v>6705</v>
      </c>
      <c r="C1428" s="72"/>
      <c r="D1428" s="76"/>
      <c r="E1428" s="125">
        <v>0</v>
      </c>
      <c r="F1428" s="125">
        <v>0</v>
      </c>
      <c r="G1428" s="125">
        <v>0</v>
      </c>
      <c r="H1428" s="125">
        <v>0</v>
      </c>
      <c r="I1428" s="125">
        <v>0</v>
      </c>
    </row>
    <row r="1429" spans="1:9" s="145" customFormat="1" ht="15.75">
      <c r="A1429" s="70" t="s">
        <v>2371</v>
      </c>
      <c r="B1429" s="105" t="s">
        <v>6465</v>
      </c>
      <c r="C1429" s="72" t="s">
        <v>1567</v>
      </c>
      <c r="D1429" s="76"/>
      <c r="E1429" s="125">
        <v>0</v>
      </c>
      <c r="F1429" s="125">
        <v>0</v>
      </c>
      <c r="G1429" s="125">
        <v>0</v>
      </c>
      <c r="H1429" s="125">
        <v>20000</v>
      </c>
      <c r="I1429" s="125">
        <v>20000</v>
      </c>
    </row>
    <row r="1430" spans="1:9" s="145" customFormat="1" ht="15.75">
      <c r="A1430" s="70" t="s">
        <v>2906</v>
      </c>
      <c r="B1430" s="105" t="s">
        <v>6696</v>
      </c>
      <c r="C1430" s="72" t="s">
        <v>1568</v>
      </c>
      <c r="D1430" s="76"/>
      <c r="E1430" s="125">
        <v>0</v>
      </c>
      <c r="F1430" s="125">
        <v>170000</v>
      </c>
      <c r="G1430" s="125">
        <v>0</v>
      </c>
      <c r="H1430" s="125">
        <v>120000</v>
      </c>
      <c r="I1430" s="125">
        <v>120000</v>
      </c>
    </row>
    <row r="1431" spans="1:9" s="145" customFormat="1" ht="15.75">
      <c r="A1431" s="70" t="s">
        <v>2790</v>
      </c>
      <c r="B1431" s="105" t="s">
        <v>6698</v>
      </c>
      <c r="C1431" s="72" t="s">
        <v>1569</v>
      </c>
      <c r="D1431" s="76"/>
      <c r="E1431" s="125">
        <v>0</v>
      </c>
      <c r="F1431" s="125">
        <v>0</v>
      </c>
      <c r="G1431" s="125">
        <v>0</v>
      </c>
      <c r="H1431" s="125">
        <v>100000</v>
      </c>
      <c r="I1431" s="125">
        <v>100000</v>
      </c>
    </row>
    <row r="1432" spans="1:9" s="145" customFormat="1" ht="15.75">
      <c r="A1432" s="70" t="s">
        <v>2901</v>
      </c>
      <c r="B1432" s="105" t="s">
        <v>6689</v>
      </c>
      <c r="C1432" s="72" t="s">
        <v>1570</v>
      </c>
      <c r="D1432" s="76"/>
      <c r="E1432" s="125">
        <v>0</v>
      </c>
      <c r="F1432" s="125">
        <v>250540</v>
      </c>
      <c r="G1432" s="125">
        <v>399950</v>
      </c>
      <c r="H1432" s="125">
        <v>500000</v>
      </c>
      <c r="I1432" s="125">
        <v>500000</v>
      </c>
    </row>
    <row r="1433" spans="1:9" s="145" customFormat="1" ht="15.75">
      <c r="A1433" s="70" t="s">
        <v>2907</v>
      </c>
      <c r="B1433" s="105" t="s">
        <v>6699</v>
      </c>
      <c r="C1433" s="72" t="s">
        <v>1571</v>
      </c>
      <c r="D1433" s="76"/>
      <c r="E1433" s="125">
        <v>0</v>
      </c>
      <c r="F1433" s="125">
        <v>42500</v>
      </c>
      <c r="G1433" s="125">
        <v>0</v>
      </c>
      <c r="H1433" s="125">
        <v>40000</v>
      </c>
      <c r="I1433" s="125">
        <v>50000</v>
      </c>
    </row>
    <row r="1434" spans="1:9" s="145" customFormat="1" ht="15.75">
      <c r="A1434" s="70" t="s">
        <v>2903</v>
      </c>
      <c r="B1434" s="105" t="s">
        <v>6691</v>
      </c>
      <c r="C1434" s="72" t="s">
        <v>1572</v>
      </c>
      <c r="D1434" s="76"/>
      <c r="E1434" s="125">
        <v>0</v>
      </c>
      <c r="F1434" s="125">
        <v>170000</v>
      </c>
      <c r="G1434" s="125">
        <v>23600</v>
      </c>
      <c r="H1434" s="125">
        <v>200000</v>
      </c>
      <c r="I1434" s="125">
        <v>150000</v>
      </c>
    </row>
    <row r="1435" spans="1:9" s="145" customFormat="1" ht="31.5">
      <c r="A1435" s="70" t="s">
        <v>2908</v>
      </c>
      <c r="B1435" s="105" t="s">
        <v>6692</v>
      </c>
      <c r="C1435" s="72" t="s">
        <v>1573</v>
      </c>
      <c r="D1435" s="76"/>
      <c r="E1435" s="125">
        <v>0</v>
      </c>
      <c r="F1435" s="125">
        <v>170000</v>
      </c>
      <c r="G1435" s="125">
        <v>0</v>
      </c>
      <c r="H1435" s="125">
        <v>200000</v>
      </c>
      <c r="I1435" s="125">
        <v>200000</v>
      </c>
    </row>
    <row r="1436" spans="1:9" s="145" customFormat="1" ht="15.75">
      <c r="A1436" s="70" t="s">
        <v>2909</v>
      </c>
      <c r="B1436" s="105" t="s">
        <v>6693</v>
      </c>
      <c r="C1436" s="72" t="s">
        <v>1574</v>
      </c>
      <c r="D1436" s="76"/>
      <c r="E1436" s="125">
        <v>0</v>
      </c>
      <c r="F1436" s="125">
        <v>170000</v>
      </c>
      <c r="G1436" s="125">
        <v>0</v>
      </c>
      <c r="H1436" s="125">
        <v>100000</v>
      </c>
      <c r="I1436" s="125">
        <v>100000</v>
      </c>
    </row>
    <row r="1437" spans="1:9" s="145" customFormat="1" ht="15.75">
      <c r="A1437" s="70" t="s">
        <v>2792</v>
      </c>
      <c r="B1437" s="105"/>
      <c r="C1437" s="72" t="s">
        <v>1575</v>
      </c>
      <c r="D1437" s="76"/>
      <c r="E1437" s="125">
        <v>0</v>
      </c>
      <c r="F1437" s="125">
        <v>0</v>
      </c>
      <c r="G1437" s="125">
        <v>0</v>
      </c>
      <c r="H1437" s="125">
        <v>0</v>
      </c>
      <c r="I1437" s="125">
        <v>16000</v>
      </c>
    </row>
    <row r="1438" spans="1:9" s="145" customFormat="1" ht="15.75">
      <c r="A1438" s="70"/>
      <c r="B1438" s="105"/>
      <c r="C1438" s="72"/>
      <c r="D1438" s="76"/>
      <c r="E1438" s="125">
        <v>0</v>
      </c>
      <c r="F1438" s="125">
        <v>0</v>
      </c>
      <c r="G1438" s="125">
        <v>0</v>
      </c>
      <c r="H1438" s="125">
        <v>0</v>
      </c>
      <c r="I1438" s="125">
        <v>0</v>
      </c>
    </row>
    <row r="1439" spans="1:9" s="145" customFormat="1" ht="15.75">
      <c r="A1439" s="77" t="s">
        <v>2799</v>
      </c>
      <c r="B1439" s="136" t="s">
        <v>146</v>
      </c>
      <c r="C1439" s="72"/>
      <c r="D1439" s="76"/>
      <c r="E1439" s="125">
        <v>0</v>
      </c>
      <c r="F1439" s="125">
        <v>973040</v>
      </c>
      <c r="G1439" s="125">
        <v>423550</v>
      </c>
      <c r="H1439" s="125">
        <v>1280000</v>
      </c>
      <c r="I1439" s="125">
        <v>1256000</v>
      </c>
    </row>
    <row r="1440" spans="1:9" s="145" customFormat="1" ht="15.75">
      <c r="A1440" s="70"/>
      <c r="B1440" s="105"/>
      <c r="C1440" s="72"/>
      <c r="D1440" s="76"/>
      <c r="E1440" s="125">
        <v>0</v>
      </c>
      <c r="F1440" s="125">
        <v>0</v>
      </c>
      <c r="G1440" s="125">
        <v>0</v>
      </c>
      <c r="H1440" s="125">
        <v>0</v>
      </c>
      <c r="I1440" s="125">
        <v>0</v>
      </c>
    </row>
    <row r="1441" spans="1:9" s="145" customFormat="1" ht="15.75">
      <c r="A1441" s="88" t="s">
        <v>2801</v>
      </c>
      <c r="B1441" s="105" t="s">
        <v>6706</v>
      </c>
      <c r="C1441" s="72"/>
      <c r="D1441" s="76"/>
      <c r="E1441" s="125">
        <v>0</v>
      </c>
      <c r="F1441" s="125">
        <v>0</v>
      </c>
      <c r="G1441" s="125">
        <v>0</v>
      </c>
      <c r="H1441" s="125">
        <v>0</v>
      </c>
      <c r="I1441" s="125">
        <v>0</v>
      </c>
    </row>
    <row r="1442" spans="1:9" s="145" customFormat="1" ht="15.75">
      <c r="A1442" s="70" t="s">
        <v>2371</v>
      </c>
      <c r="B1442" s="105" t="s">
        <v>6465</v>
      </c>
      <c r="C1442" s="72" t="s">
        <v>1576</v>
      </c>
      <c r="D1442" s="76"/>
      <c r="E1442" s="125">
        <v>0</v>
      </c>
      <c r="F1442" s="125">
        <v>0</v>
      </c>
      <c r="G1442" s="125">
        <v>0</v>
      </c>
      <c r="H1442" s="125">
        <v>20000</v>
      </c>
      <c r="I1442" s="125">
        <v>20000</v>
      </c>
    </row>
    <row r="1443" spans="1:9" s="145" customFormat="1" ht="15.75">
      <c r="A1443" s="70" t="s">
        <v>2906</v>
      </c>
      <c r="B1443" s="105" t="s">
        <v>6696</v>
      </c>
      <c r="C1443" s="72" t="s">
        <v>1577</v>
      </c>
      <c r="D1443" s="76"/>
      <c r="E1443" s="125">
        <v>0</v>
      </c>
      <c r="F1443" s="125">
        <v>80299</v>
      </c>
      <c r="G1443" s="125">
        <v>0</v>
      </c>
      <c r="H1443" s="125">
        <v>100000</v>
      </c>
      <c r="I1443" s="125">
        <v>100000</v>
      </c>
    </row>
    <row r="1444" spans="1:9" s="145" customFormat="1" ht="15.75">
      <c r="A1444" s="70" t="s">
        <v>2786</v>
      </c>
      <c r="B1444" s="105" t="s">
        <v>6695</v>
      </c>
      <c r="C1444" s="72" t="s">
        <v>1578</v>
      </c>
      <c r="D1444" s="76"/>
      <c r="E1444" s="125">
        <v>0</v>
      </c>
      <c r="F1444" s="125">
        <v>0</v>
      </c>
      <c r="G1444" s="125">
        <v>0</v>
      </c>
      <c r="H1444" s="125">
        <v>80000</v>
      </c>
      <c r="I1444" s="125">
        <v>64000</v>
      </c>
    </row>
    <row r="1445" spans="1:9" s="145" customFormat="1" ht="15.75">
      <c r="A1445" s="70" t="s">
        <v>2790</v>
      </c>
      <c r="B1445" s="105" t="s">
        <v>6698</v>
      </c>
      <c r="C1445" s="72" t="s">
        <v>1579</v>
      </c>
      <c r="D1445" s="76"/>
      <c r="E1445" s="125">
        <v>0</v>
      </c>
      <c r="F1445" s="125">
        <v>0</v>
      </c>
      <c r="G1445" s="125">
        <v>0</v>
      </c>
      <c r="H1445" s="125">
        <v>100000</v>
      </c>
      <c r="I1445" s="125">
        <v>100000</v>
      </c>
    </row>
    <row r="1446" spans="1:9" s="145" customFormat="1" ht="15.75">
      <c r="A1446" s="70" t="s">
        <v>2901</v>
      </c>
      <c r="B1446" s="105" t="s">
        <v>6689</v>
      </c>
      <c r="C1446" s="72" t="s">
        <v>1580</v>
      </c>
      <c r="D1446" s="76"/>
      <c r="E1446" s="125">
        <v>0</v>
      </c>
      <c r="F1446" s="125">
        <v>338370</v>
      </c>
      <c r="G1446" s="125">
        <v>319960</v>
      </c>
      <c r="H1446" s="125">
        <v>400000</v>
      </c>
      <c r="I1446" s="125">
        <v>450000</v>
      </c>
    </row>
    <row r="1447" spans="1:9" s="145" customFormat="1" ht="15.75">
      <c r="A1447" s="70" t="s">
        <v>2907</v>
      </c>
      <c r="B1447" s="105" t="s">
        <v>6699</v>
      </c>
      <c r="C1447" s="72" t="s">
        <v>1581</v>
      </c>
      <c r="D1447" s="76"/>
      <c r="E1447" s="125">
        <v>0</v>
      </c>
      <c r="F1447" s="125">
        <v>170000</v>
      </c>
      <c r="G1447" s="125">
        <v>160000</v>
      </c>
      <c r="H1447" s="125">
        <v>160000</v>
      </c>
      <c r="I1447" s="125">
        <v>160000</v>
      </c>
    </row>
    <row r="1448" spans="1:9" s="145" customFormat="1" ht="15.75">
      <c r="A1448" s="70" t="s">
        <v>2903</v>
      </c>
      <c r="B1448" s="105" t="s">
        <v>6691</v>
      </c>
      <c r="C1448" s="72" t="s">
        <v>1582</v>
      </c>
      <c r="D1448" s="76"/>
      <c r="E1448" s="125">
        <v>0</v>
      </c>
      <c r="F1448" s="125">
        <v>0</v>
      </c>
      <c r="G1448" s="125">
        <v>0</v>
      </c>
      <c r="H1448" s="125">
        <v>160000</v>
      </c>
      <c r="I1448" s="125">
        <v>150000</v>
      </c>
    </row>
    <row r="1449" spans="1:9" s="145" customFormat="1" ht="15.75">
      <c r="A1449" s="70" t="s">
        <v>2785</v>
      </c>
      <c r="B1449" s="105" t="s">
        <v>6694</v>
      </c>
      <c r="C1449" s="72" t="s">
        <v>1583</v>
      </c>
      <c r="D1449" s="76"/>
      <c r="E1449" s="125">
        <v>0</v>
      </c>
      <c r="F1449" s="125">
        <v>0</v>
      </c>
      <c r="G1449" s="125">
        <v>0</v>
      </c>
      <c r="H1449" s="125">
        <v>500000</v>
      </c>
      <c r="I1449" s="125">
        <v>400000</v>
      </c>
    </row>
    <row r="1450" spans="1:9" s="145" customFormat="1" ht="31.5">
      <c r="A1450" s="70" t="s">
        <v>2908</v>
      </c>
      <c r="B1450" s="105" t="s">
        <v>6692</v>
      </c>
      <c r="C1450" s="72" t="s">
        <v>1584</v>
      </c>
      <c r="D1450" s="76"/>
      <c r="E1450" s="125">
        <v>0</v>
      </c>
      <c r="F1450" s="125">
        <v>0</v>
      </c>
      <c r="G1450" s="125">
        <v>0</v>
      </c>
      <c r="H1450" s="125">
        <v>220000</v>
      </c>
      <c r="I1450" s="125">
        <v>220000</v>
      </c>
    </row>
    <row r="1451" spans="1:9" s="145" customFormat="1" ht="15.75">
      <c r="A1451" s="70" t="s">
        <v>2909</v>
      </c>
      <c r="B1451" s="105" t="s">
        <v>6693</v>
      </c>
      <c r="C1451" s="72" t="s">
        <v>1585</v>
      </c>
      <c r="D1451" s="76"/>
      <c r="E1451" s="125">
        <v>0</v>
      </c>
      <c r="F1451" s="125">
        <v>0</v>
      </c>
      <c r="G1451" s="125">
        <v>0</v>
      </c>
      <c r="H1451" s="125">
        <v>200000</v>
      </c>
      <c r="I1451" s="125">
        <v>200000</v>
      </c>
    </row>
    <row r="1452" spans="1:9" s="145" customFormat="1" ht="15.75">
      <c r="A1452" s="70" t="s">
        <v>2792</v>
      </c>
      <c r="B1452" s="105" t="s">
        <v>6704</v>
      </c>
      <c r="C1452" s="72" t="s">
        <v>1586</v>
      </c>
      <c r="D1452" s="76"/>
      <c r="E1452" s="125">
        <v>0</v>
      </c>
      <c r="F1452" s="125">
        <v>0</v>
      </c>
      <c r="G1452" s="125">
        <v>0</v>
      </c>
      <c r="H1452" s="125">
        <v>20000</v>
      </c>
      <c r="I1452" s="125">
        <v>16000</v>
      </c>
    </row>
    <row r="1453" spans="1:9" s="145" customFormat="1" ht="15.75">
      <c r="A1453" s="70"/>
      <c r="B1453" s="105"/>
      <c r="C1453" s="72"/>
      <c r="D1453" s="76"/>
      <c r="E1453" s="125">
        <v>0</v>
      </c>
      <c r="F1453" s="125">
        <v>0</v>
      </c>
      <c r="G1453" s="125">
        <v>0</v>
      </c>
      <c r="H1453" s="125">
        <v>0</v>
      </c>
      <c r="I1453" s="125">
        <v>0</v>
      </c>
    </row>
    <row r="1454" spans="1:9" s="145" customFormat="1" ht="15.75">
      <c r="A1454" s="77" t="s">
        <v>2799</v>
      </c>
      <c r="B1454" s="136" t="s">
        <v>146</v>
      </c>
      <c r="C1454" s="72"/>
      <c r="D1454" s="76"/>
      <c r="E1454" s="125">
        <v>0</v>
      </c>
      <c r="F1454" s="125">
        <v>588669</v>
      </c>
      <c r="G1454" s="125">
        <v>479960</v>
      </c>
      <c r="H1454" s="125">
        <v>1960000</v>
      </c>
      <c r="I1454" s="125">
        <v>1880000</v>
      </c>
    </row>
    <row r="1455" spans="1:9" s="145" customFormat="1" ht="15.75">
      <c r="A1455" s="70"/>
      <c r="B1455" s="105"/>
      <c r="C1455" s="72"/>
      <c r="D1455" s="76"/>
      <c r="E1455" s="125">
        <v>0</v>
      </c>
      <c r="F1455" s="125">
        <v>0</v>
      </c>
      <c r="G1455" s="125">
        <v>0</v>
      </c>
      <c r="H1455" s="125">
        <v>0</v>
      </c>
      <c r="I1455" s="125">
        <v>0</v>
      </c>
    </row>
    <row r="1456" spans="1:9" s="145" customFormat="1" ht="15.75">
      <c r="A1456" s="70" t="s">
        <v>2802</v>
      </c>
      <c r="B1456" s="105" t="s">
        <v>6707</v>
      </c>
      <c r="C1456" s="72"/>
      <c r="D1456" s="76"/>
      <c r="E1456" s="125">
        <v>0</v>
      </c>
      <c r="F1456" s="125">
        <v>0</v>
      </c>
      <c r="G1456" s="125">
        <v>0</v>
      </c>
      <c r="H1456" s="125">
        <v>0</v>
      </c>
      <c r="I1456" s="125">
        <v>0</v>
      </c>
    </row>
    <row r="1457" spans="1:9" s="145" customFormat="1" ht="15.75">
      <c r="A1457" s="70" t="s">
        <v>2371</v>
      </c>
      <c r="B1457" s="105" t="s">
        <v>6465</v>
      </c>
      <c r="C1457" s="72" t="s">
        <v>1587</v>
      </c>
      <c r="D1457" s="76"/>
      <c r="E1457" s="125">
        <v>0</v>
      </c>
      <c r="F1457" s="125">
        <v>0</v>
      </c>
      <c r="G1457" s="125">
        <v>0</v>
      </c>
      <c r="H1457" s="125">
        <v>20000</v>
      </c>
      <c r="I1457" s="125">
        <v>20000</v>
      </c>
    </row>
    <row r="1458" spans="1:9" s="145" customFormat="1" ht="15.75">
      <c r="A1458" s="70" t="s">
        <v>2906</v>
      </c>
      <c r="B1458" s="105" t="s">
        <v>6696</v>
      </c>
      <c r="C1458" s="72" t="s">
        <v>1588</v>
      </c>
      <c r="D1458" s="76"/>
      <c r="E1458" s="125">
        <v>0</v>
      </c>
      <c r="F1458" s="125">
        <v>170000</v>
      </c>
      <c r="G1458" s="125">
        <v>150750</v>
      </c>
      <c r="H1458" s="125">
        <v>160000</v>
      </c>
      <c r="I1458" s="125">
        <v>160000</v>
      </c>
    </row>
    <row r="1459" spans="1:9" s="145" customFormat="1" ht="15.75">
      <c r="A1459" s="70" t="s">
        <v>2786</v>
      </c>
      <c r="B1459" s="105" t="s">
        <v>6695</v>
      </c>
      <c r="C1459" s="72" t="s">
        <v>1589</v>
      </c>
      <c r="D1459" s="76"/>
      <c r="E1459" s="125">
        <v>0</v>
      </c>
      <c r="F1459" s="125">
        <v>0</v>
      </c>
      <c r="G1459" s="125">
        <v>0</v>
      </c>
      <c r="H1459" s="125">
        <v>160000</v>
      </c>
      <c r="I1459" s="125">
        <v>160000</v>
      </c>
    </row>
    <row r="1460" spans="1:9" s="145" customFormat="1" ht="15.75">
      <c r="A1460" s="70" t="s">
        <v>2790</v>
      </c>
      <c r="B1460" s="105" t="s">
        <v>6698</v>
      </c>
      <c r="C1460" s="72" t="s">
        <v>1590</v>
      </c>
      <c r="D1460" s="76"/>
      <c r="E1460" s="125">
        <v>0</v>
      </c>
      <c r="F1460" s="125">
        <v>0</v>
      </c>
      <c r="G1460" s="125">
        <v>0</v>
      </c>
      <c r="H1460" s="125">
        <v>50000</v>
      </c>
      <c r="I1460" s="125">
        <v>50000</v>
      </c>
    </row>
    <row r="1461" spans="1:9" s="145" customFormat="1" ht="15.75">
      <c r="A1461" s="70" t="s">
        <v>2901</v>
      </c>
      <c r="B1461" s="105" t="s">
        <v>6689</v>
      </c>
      <c r="C1461" s="72" t="s">
        <v>1591</v>
      </c>
      <c r="D1461" s="76"/>
      <c r="E1461" s="125">
        <v>0</v>
      </c>
      <c r="F1461" s="125">
        <v>334510</v>
      </c>
      <c r="G1461" s="125">
        <v>560000</v>
      </c>
      <c r="H1461" s="125">
        <v>700000</v>
      </c>
      <c r="I1461" s="125">
        <v>800000</v>
      </c>
    </row>
    <row r="1462" spans="1:9" s="145" customFormat="1" ht="15.75">
      <c r="A1462" s="70" t="s">
        <v>2907</v>
      </c>
      <c r="B1462" s="105" t="s">
        <v>6699</v>
      </c>
      <c r="C1462" s="72" t="s">
        <v>1592</v>
      </c>
      <c r="D1462" s="76"/>
      <c r="E1462" s="125">
        <v>0</v>
      </c>
      <c r="F1462" s="125">
        <v>128334</v>
      </c>
      <c r="G1462" s="125">
        <v>160000</v>
      </c>
      <c r="H1462" s="125">
        <v>160000</v>
      </c>
      <c r="I1462" s="125">
        <v>200000</v>
      </c>
    </row>
    <row r="1463" spans="1:9" s="145" customFormat="1" ht="15.75">
      <c r="A1463" s="70" t="s">
        <v>2903</v>
      </c>
      <c r="B1463" s="105" t="s">
        <v>6691</v>
      </c>
      <c r="C1463" s="72" t="s">
        <v>1593</v>
      </c>
      <c r="D1463" s="76"/>
      <c r="E1463" s="125">
        <v>0</v>
      </c>
      <c r="F1463" s="125">
        <v>0</v>
      </c>
      <c r="G1463" s="125">
        <v>160000</v>
      </c>
      <c r="H1463" s="125">
        <v>160000</v>
      </c>
      <c r="I1463" s="125">
        <v>200000</v>
      </c>
    </row>
    <row r="1464" spans="1:9" s="145" customFormat="1" ht="15.75">
      <c r="A1464" s="70" t="s">
        <v>2785</v>
      </c>
      <c r="B1464" s="105" t="s">
        <v>6694</v>
      </c>
      <c r="C1464" s="72" t="s">
        <v>1594</v>
      </c>
      <c r="D1464" s="76"/>
      <c r="E1464" s="125">
        <v>0</v>
      </c>
      <c r="F1464" s="125">
        <v>0</v>
      </c>
      <c r="G1464" s="125">
        <v>419144</v>
      </c>
      <c r="H1464" s="125">
        <v>600000</v>
      </c>
      <c r="I1464" s="125">
        <v>560000</v>
      </c>
    </row>
    <row r="1465" spans="1:9" s="145" customFormat="1" ht="31.5">
      <c r="A1465" s="70" t="s">
        <v>2908</v>
      </c>
      <c r="B1465" s="105" t="s">
        <v>6692</v>
      </c>
      <c r="C1465" s="72" t="s">
        <v>1595</v>
      </c>
      <c r="D1465" s="76"/>
      <c r="E1465" s="125">
        <v>0</v>
      </c>
      <c r="F1465" s="125">
        <v>152250</v>
      </c>
      <c r="G1465" s="125">
        <v>482503</v>
      </c>
      <c r="H1465" s="125">
        <v>220000</v>
      </c>
      <c r="I1465" s="125">
        <v>220000</v>
      </c>
    </row>
    <row r="1466" spans="1:9" s="145" customFormat="1" ht="15.75">
      <c r="A1466" s="70" t="s">
        <v>2909</v>
      </c>
      <c r="B1466" s="105" t="s">
        <v>6693</v>
      </c>
      <c r="C1466" s="72" t="s">
        <v>1596</v>
      </c>
      <c r="D1466" s="76"/>
      <c r="E1466" s="125">
        <v>0</v>
      </c>
      <c r="F1466" s="125">
        <v>261000</v>
      </c>
      <c r="G1466" s="125">
        <v>530750</v>
      </c>
      <c r="H1466" s="125">
        <v>220000</v>
      </c>
      <c r="I1466" s="125">
        <v>220000</v>
      </c>
    </row>
    <row r="1467" spans="1:9" s="145" customFormat="1" ht="15.75">
      <c r="A1467" s="70" t="s">
        <v>2792</v>
      </c>
      <c r="B1467" s="105" t="s">
        <v>6704</v>
      </c>
      <c r="C1467" s="72" t="s">
        <v>1597</v>
      </c>
      <c r="D1467" s="76"/>
      <c r="E1467" s="125">
        <v>0</v>
      </c>
      <c r="F1467" s="125">
        <v>0</v>
      </c>
      <c r="G1467" s="125">
        <v>0</v>
      </c>
      <c r="H1467" s="125">
        <v>20000</v>
      </c>
      <c r="I1467" s="125">
        <v>16000</v>
      </c>
    </row>
    <row r="1468" spans="1:9" s="145" customFormat="1" ht="15.75">
      <c r="A1468" s="70"/>
      <c r="B1468" s="105"/>
      <c r="C1468" s="72"/>
      <c r="D1468" s="76"/>
      <c r="E1468" s="125">
        <v>0</v>
      </c>
      <c r="F1468" s="125">
        <v>0</v>
      </c>
      <c r="G1468" s="125">
        <v>0</v>
      </c>
      <c r="H1468" s="125">
        <v>0</v>
      </c>
      <c r="I1468" s="125">
        <v>0</v>
      </c>
    </row>
    <row r="1469" spans="1:9" s="145" customFormat="1" ht="15.75">
      <c r="A1469" s="77" t="s">
        <v>2799</v>
      </c>
      <c r="B1469" s="136" t="s">
        <v>146</v>
      </c>
      <c r="C1469" s="72"/>
      <c r="D1469" s="76"/>
      <c r="E1469" s="125">
        <v>0</v>
      </c>
      <c r="F1469" s="125">
        <v>1046094</v>
      </c>
      <c r="G1469" s="125">
        <v>2463147</v>
      </c>
      <c r="H1469" s="125">
        <v>2470000</v>
      </c>
      <c r="I1469" s="125">
        <v>2606000</v>
      </c>
    </row>
    <row r="1470" spans="1:9" s="145" customFormat="1" ht="15.75">
      <c r="A1470" s="70"/>
      <c r="B1470" s="105"/>
      <c r="C1470" s="72"/>
      <c r="D1470" s="76"/>
      <c r="E1470" s="125">
        <v>0</v>
      </c>
      <c r="F1470" s="125">
        <v>0</v>
      </c>
      <c r="G1470" s="125">
        <v>0</v>
      </c>
      <c r="H1470" s="125">
        <v>0</v>
      </c>
      <c r="I1470" s="125">
        <v>0</v>
      </c>
    </row>
    <row r="1471" spans="1:9" s="145" customFormat="1" ht="15.75">
      <c r="A1471" s="70" t="s">
        <v>2803</v>
      </c>
      <c r="B1471" s="136" t="s">
        <v>6708</v>
      </c>
      <c r="C1471" s="72"/>
      <c r="D1471" s="76"/>
      <c r="E1471" s="125">
        <v>41833156</v>
      </c>
      <c r="F1471" s="125">
        <v>53621044</v>
      </c>
      <c r="G1471" s="125">
        <v>56226695</v>
      </c>
      <c r="H1471" s="125">
        <v>83967000</v>
      </c>
      <c r="I1471" s="125">
        <v>84849000</v>
      </c>
    </row>
    <row r="1472" spans="1:9" s="145" customFormat="1" ht="15.75">
      <c r="A1472" s="70"/>
      <c r="B1472" s="105"/>
      <c r="C1472" s="72"/>
      <c r="D1472" s="76"/>
      <c r="E1472" s="125">
        <v>0</v>
      </c>
      <c r="F1472" s="125">
        <v>0</v>
      </c>
      <c r="G1472" s="125">
        <v>0</v>
      </c>
      <c r="H1472" s="125">
        <v>0</v>
      </c>
      <c r="I1472" s="125">
        <v>0</v>
      </c>
    </row>
    <row r="1473" spans="1:9" s="145" customFormat="1" ht="15.75">
      <c r="A1473" s="70" t="s">
        <v>2804</v>
      </c>
      <c r="B1473" s="105" t="s">
        <v>6709</v>
      </c>
      <c r="C1473" s="72"/>
      <c r="D1473" s="76"/>
      <c r="E1473" s="125">
        <v>0</v>
      </c>
      <c r="F1473" s="125">
        <v>0</v>
      </c>
      <c r="G1473" s="125">
        <v>0</v>
      </c>
      <c r="H1473" s="125">
        <v>0</v>
      </c>
      <c r="I1473" s="125">
        <v>0</v>
      </c>
    </row>
    <row r="1474" spans="1:9" s="145" customFormat="1" ht="15.75">
      <c r="A1474" s="70" t="s">
        <v>2805</v>
      </c>
      <c r="B1474" s="105" t="s">
        <v>6710</v>
      </c>
      <c r="C1474" s="72"/>
      <c r="D1474" s="76"/>
      <c r="E1474" s="125">
        <v>0</v>
      </c>
      <c r="F1474" s="125">
        <v>0</v>
      </c>
      <c r="G1474" s="125">
        <v>0</v>
      </c>
      <c r="H1474" s="125">
        <v>0</v>
      </c>
      <c r="I1474" s="125">
        <v>0</v>
      </c>
    </row>
    <row r="1475" spans="1:9" s="145" customFormat="1" ht="15.75">
      <c r="A1475" s="70" t="s">
        <v>2806</v>
      </c>
      <c r="B1475" s="105" t="s">
        <v>6711</v>
      </c>
      <c r="C1475" s="72" t="s">
        <v>121</v>
      </c>
      <c r="D1475" s="76"/>
      <c r="E1475" s="125">
        <v>12813497</v>
      </c>
      <c r="F1475" s="125">
        <v>14013563</v>
      </c>
      <c r="G1475" s="125">
        <v>15483412</v>
      </c>
      <c r="H1475" s="125">
        <v>20000000</v>
      </c>
      <c r="I1475" s="125">
        <v>25000000</v>
      </c>
    </row>
    <row r="1476" spans="1:9" s="145" customFormat="1" ht="15.75">
      <c r="A1476" s="70" t="s">
        <v>2149</v>
      </c>
      <c r="B1476" s="105" t="s">
        <v>5885</v>
      </c>
      <c r="C1476" s="72" t="s">
        <v>140</v>
      </c>
      <c r="D1476" s="76"/>
      <c r="E1476" s="125">
        <v>192094</v>
      </c>
      <c r="F1476" s="125">
        <v>81600</v>
      </c>
      <c r="G1476" s="125">
        <v>133271</v>
      </c>
      <c r="H1476" s="125">
        <v>160000</v>
      </c>
      <c r="I1476" s="125">
        <v>120000</v>
      </c>
    </row>
    <row r="1477" spans="1:9" s="145" customFormat="1" ht="31.5">
      <c r="A1477" s="70" t="s">
        <v>2910</v>
      </c>
      <c r="B1477" s="105" t="s">
        <v>6712</v>
      </c>
      <c r="C1477" s="72" t="s">
        <v>141</v>
      </c>
      <c r="D1477" s="76"/>
      <c r="E1477" s="125">
        <v>899340</v>
      </c>
      <c r="F1477" s="125">
        <v>2114600</v>
      </c>
      <c r="G1477" s="125">
        <v>1920000</v>
      </c>
      <c r="H1477" s="125">
        <v>2500000</v>
      </c>
      <c r="I1477" s="125">
        <v>2800000</v>
      </c>
    </row>
    <row r="1478" spans="1:9" s="145" customFormat="1" ht="15.75">
      <c r="A1478" s="70" t="s">
        <v>2807</v>
      </c>
      <c r="B1478" s="105" t="s">
        <v>6713</v>
      </c>
      <c r="C1478" s="72" t="s">
        <v>142</v>
      </c>
      <c r="D1478" s="76"/>
      <c r="E1478" s="125">
        <v>32500</v>
      </c>
      <c r="F1478" s="125">
        <v>0</v>
      </c>
      <c r="G1478" s="125">
        <v>0</v>
      </c>
      <c r="H1478" s="125">
        <v>0</v>
      </c>
      <c r="I1478" s="125">
        <v>0</v>
      </c>
    </row>
    <row r="1479" spans="1:9" s="145" customFormat="1" ht="31.5">
      <c r="A1479" s="70" t="s">
        <v>2808</v>
      </c>
      <c r="B1479" s="105" t="s">
        <v>6714</v>
      </c>
      <c r="C1479" s="72" t="s">
        <v>143</v>
      </c>
      <c r="D1479" s="76"/>
      <c r="E1479" s="125">
        <v>4958543</v>
      </c>
      <c r="F1479" s="125">
        <v>4213382</v>
      </c>
      <c r="G1479" s="125">
        <v>8982889</v>
      </c>
      <c r="H1479" s="125">
        <v>12000000</v>
      </c>
      <c r="I1479" s="125">
        <v>12800000</v>
      </c>
    </row>
    <row r="1480" spans="1:9" s="145" customFormat="1" ht="15.75">
      <c r="A1480" s="70"/>
      <c r="B1480" s="105"/>
      <c r="C1480" s="72"/>
      <c r="D1480" s="76"/>
      <c r="E1480" s="125">
        <v>0</v>
      </c>
      <c r="F1480" s="125">
        <v>0</v>
      </c>
      <c r="G1480" s="125">
        <v>0</v>
      </c>
      <c r="H1480" s="125">
        <v>0</v>
      </c>
      <c r="I1480" s="125">
        <v>0</v>
      </c>
    </row>
    <row r="1481" spans="1:9" s="145" customFormat="1" ht="15.75">
      <c r="A1481" s="77" t="s">
        <v>2809</v>
      </c>
      <c r="B1481" s="136" t="s">
        <v>6715</v>
      </c>
      <c r="C1481" s="72"/>
      <c r="D1481" s="76"/>
      <c r="E1481" s="125">
        <v>18895974</v>
      </c>
      <c r="F1481" s="125">
        <v>20423145</v>
      </c>
      <c r="G1481" s="125">
        <v>26519572</v>
      </c>
      <c r="H1481" s="125">
        <v>34660000</v>
      </c>
      <c r="I1481" s="125">
        <v>40720000</v>
      </c>
    </row>
    <row r="1482" spans="1:9" s="145" customFormat="1" ht="15.75">
      <c r="A1482" s="70"/>
      <c r="B1482" s="105"/>
      <c r="C1482" s="72"/>
      <c r="D1482" s="76"/>
      <c r="E1482" s="125">
        <v>0</v>
      </c>
      <c r="F1482" s="125">
        <v>0</v>
      </c>
      <c r="G1482" s="125">
        <v>0</v>
      </c>
      <c r="H1482" s="125">
        <v>0</v>
      </c>
      <c r="I1482" s="125">
        <v>0</v>
      </c>
    </row>
    <row r="1483" spans="1:9" s="145" customFormat="1" ht="15.75">
      <c r="A1483" s="70"/>
      <c r="B1483" s="105"/>
      <c r="C1483" s="72"/>
      <c r="D1483" s="76"/>
      <c r="E1483" s="125">
        <v>0</v>
      </c>
      <c r="F1483" s="125">
        <v>0</v>
      </c>
      <c r="G1483" s="125">
        <v>0</v>
      </c>
      <c r="H1483" s="125">
        <v>0</v>
      </c>
      <c r="I1483" s="125">
        <v>0</v>
      </c>
    </row>
    <row r="1484" spans="1:9" s="145" customFormat="1" ht="31.5">
      <c r="A1484" s="158" t="s">
        <v>10446</v>
      </c>
      <c r="B1484" s="159" t="s">
        <v>6716</v>
      </c>
      <c r="C1484" s="72" t="s">
        <v>4674</v>
      </c>
      <c r="D1484" s="76"/>
      <c r="E1484" s="125">
        <v>269179765</v>
      </c>
      <c r="F1484" s="125">
        <v>186777312</v>
      </c>
      <c r="G1484" s="125">
        <v>183192420</v>
      </c>
      <c r="H1484" s="125">
        <v>324000000</v>
      </c>
      <c r="I1484" s="125">
        <v>344000000</v>
      </c>
    </row>
    <row r="1485" spans="1:9" s="145" customFormat="1" ht="15.75">
      <c r="A1485" s="70"/>
      <c r="B1485" s="105"/>
      <c r="C1485" s="72"/>
      <c r="D1485" s="76"/>
      <c r="E1485" s="125">
        <v>0</v>
      </c>
      <c r="F1485" s="125">
        <v>0</v>
      </c>
      <c r="G1485" s="125">
        <v>0</v>
      </c>
      <c r="H1485" s="125">
        <v>0</v>
      </c>
      <c r="I1485" s="125">
        <v>0</v>
      </c>
    </row>
    <row r="1486" spans="1:9" s="145" customFormat="1" ht="31.5">
      <c r="A1486" s="70" t="s">
        <v>2816</v>
      </c>
      <c r="B1486" s="105" t="s">
        <v>6717</v>
      </c>
      <c r="C1486" s="72"/>
      <c r="D1486" s="76"/>
      <c r="E1486" s="125">
        <v>0</v>
      </c>
      <c r="F1486" s="125">
        <v>0</v>
      </c>
      <c r="G1486" s="125">
        <v>0</v>
      </c>
      <c r="H1486" s="125">
        <v>0</v>
      </c>
      <c r="I1486" s="125">
        <v>0</v>
      </c>
    </row>
    <row r="1487" spans="1:9" s="145" customFormat="1" ht="15.75">
      <c r="A1487" s="70" t="s">
        <v>2817</v>
      </c>
      <c r="B1487" s="105" t="s">
        <v>6718</v>
      </c>
      <c r="C1487" s="72"/>
      <c r="D1487" s="76"/>
      <c r="E1487" s="125">
        <v>0</v>
      </c>
      <c r="F1487" s="125">
        <v>0</v>
      </c>
      <c r="G1487" s="125">
        <v>0</v>
      </c>
      <c r="H1487" s="125">
        <v>0</v>
      </c>
      <c r="I1487" s="125">
        <v>0</v>
      </c>
    </row>
    <row r="1488" spans="1:9" s="145" customFormat="1" ht="15.75">
      <c r="A1488" s="70" t="s">
        <v>2818</v>
      </c>
      <c r="B1488" s="105" t="s">
        <v>6719</v>
      </c>
      <c r="C1488" s="72" t="s">
        <v>503</v>
      </c>
      <c r="D1488" s="76"/>
      <c r="E1488" s="125">
        <v>71521</v>
      </c>
      <c r="F1488" s="125">
        <v>36000</v>
      </c>
      <c r="G1488" s="125">
        <v>188104</v>
      </c>
      <c r="H1488" s="125">
        <v>500000</v>
      </c>
      <c r="I1488" s="125">
        <v>500000</v>
      </c>
    </row>
    <row r="1489" spans="1:9" s="145" customFormat="1" ht="15.75">
      <c r="A1489" s="70" t="s">
        <v>2819</v>
      </c>
      <c r="B1489" s="105" t="s">
        <v>6720</v>
      </c>
      <c r="C1489" s="72" t="s">
        <v>504</v>
      </c>
      <c r="D1489" s="76"/>
      <c r="E1489" s="125">
        <v>0</v>
      </c>
      <c r="F1489" s="125">
        <v>0</v>
      </c>
      <c r="G1489" s="125">
        <v>0</v>
      </c>
      <c r="H1489" s="125">
        <v>500000</v>
      </c>
      <c r="I1489" s="125">
        <v>500000</v>
      </c>
    </row>
    <row r="1490" spans="1:9" s="145" customFormat="1" ht="31.5">
      <c r="A1490" s="70" t="s">
        <v>2820</v>
      </c>
      <c r="B1490" s="105" t="s">
        <v>6721</v>
      </c>
      <c r="C1490" s="72" t="s">
        <v>1313</v>
      </c>
      <c r="D1490" s="76"/>
      <c r="E1490" s="125">
        <v>50000000</v>
      </c>
      <c r="F1490" s="125">
        <v>42500000</v>
      </c>
      <c r="G1490" s="125">
        <v>65000000</v>
      </c>
      <c r="H1490" s="125">
        <v>80000000</v>
      </c>
      <c r="I1490" s="125">
        <v>80000000</v>
      </c>
    </row>
    <row r="1491" spans="1:9" s="145" customFormat="1" ht="15.75">
      <c r="A1491" s="70"/>
      <c r="B1491" s="105"/>
      <c r="C1491" s="72"/>
      <c r="D1491" s="76"/>
      <c r="E1491" s="125">
        <v>0</v>
      </c>
      <c r="F1491" s="125">
        <v>0</v>
      </c>
      <c r="G1491" s="125">
        <v>0</v>
      </c>
      <c r="H1491" s="125">
        <v>0</v>
      </c>
      <c r="I1491" s="125">
        <v>0</v>
      </c>
    </row>
    <row r="1492" spans="1:9" s="145" customFormat="1" ht="15.75">
      <c r="A1492" s="77" t="s">
        <v>2320</v>
      </c>
      <c r="B1492" s="136" t="s">
        <v>146</v>
      </c>
      <c r="C1492" s="72"/>
      <c r="D1492" s="76"/>
      <c r="E1492" s="125">
        <v>50071521</v>
      </c>
      <c r="F1492" s="125">
        <v>42536000</v>
      </c>
      <c r="G1492" s="125">
        <v>65188104</v>
      </c>
      <c r="H1492" s="125">
        <v>81000000</v>
      </c>
      <c r="I1492" s="125">
        <v>81000000</v>
      </c>
    </row>
    <row r="1493" spans="1:9" s="145" customFormat="1" ht="15.75">
      <c r="A1493" s="70"/>
      <c r="B1493" s="105"/>
      <c r="C1493" s="72"/>
      <c r="D1493" s="76"/>
      <c r="E1493" s="125">
        <v>0</v>
      </c>
      <c r="F1493" s="125">
        <v>0</v>
      </c>
      <c r="G1493" s="125">
        <v>0</v>
      </c>
      <c r="H1493" s="125">
        <v>0</v>
      </c>
      <c r="I1493" s="125">
        <v>0</v>
      </c>
    </row>
    <row r="1494" spans="1:9" s="145" customFormat="1" ht="31.5">
      <c r="A1494" s="70" t="s">
        <v>2821</v>
      </c>
      <c r="B1494" s="105" t="s">
        <v>6722</v>
      </c>
      <c r="C1494" s="72" t="s">
        <v>505</v>
      </c>
      <c r="D1494" s="76"/>
      <c r="E1494" s="125">
        <v>1170000000</v>
      </c>
      <c r="F1494" s="125">
        <v>1170000000</v>
      </c>
      <c r="G1494" s="125">
        <v>1530000000</v>
      </c>
      <c r="H1494" s="125">
        <v>1880000000</v>
      </c>
      <c r="I1494" s="125">
        <v>2150000000</v>
      </c>
    </row>
    <row r="1495" spans="1:9" s="145" customFormat="1" ht="15.75">
      <c r="A1495" s="70"/>
      <c r="B1495" s="105"/>
      <c r="C1495" s="72"/>
      <c r="D1495" s="76"/>
      <c r="E1495" s="125">
        <v>0</v>
      </c>
      <c r="F1495" s="125">
        <v>0</v>
      </c>
      <c r="G1495" s="125">
        <v>0</v>
      </c>
      <c r="H1495" s="125">
        <v>0</v>
      </c>
      <c r="I1495" s="125">
        <v>0</v>
      </c>
    </row>
    <row r="1496" spans="1:9" s="145" customFormat="1" ht="15.75">
      <c r="A1496" s="77" t="s">
        <v>2386</v>
      </c>
      <c r="B1496" s="136" t="s">
        <v>146</v>
      </c>
      <c r="C1496" s="72"/>
      <c r="D1496" s="76"/>
      <c r="E1496" s="125">
        <v>1170000000</v>
      </c>
      <c r="F1496" s="125">
        <v>1170000000</v>
      </c>
      <c r="G1496" s="125">
        <v>1530000000</v>
      </c>
      <c r="H1496" s="125">
        <v>1880000000</v>
      </c>
      <c r="I1496" s="125">
        <v>2150000000</v>
      </c>
    </row>
    <row r="1497" spans="1:9" s="145" customFormat="1" ht="15.75">
      <c r="A1497" s="70"/>
      <c r="B1497" s="105"/>
      <c r="C1497" s="72"/>
      <c r="D1497" s="76"/>
      <c r="E1497" s="125">
        <v>0</v>
      </c>
      <c r="F1497" s="125">
        <v>0</v>
      </c>
      <c r="G1497" s="125">
        <v>0</v>
      </c>
      <c r="H1497" s="125">
        <v>0</v>
      </c>
      <c r="I1497" s="125">
        <v>0</v>
      </c>
    </row>
    <row r="1498" spans="1:9" s="145" customFormat="1" ht="47.25">
      <c r="A1498" s="77" t="s">
        <v>2822</v>
      </c>
      <c r="B1498" s="136" t="s">
        <v>6723</v>
      </c>
      <c r="C1498" s="72"/>
      <c r="D1498" s="76"/>
      <c r="E1498" s="125">
        <v>1220071521</v>
      </c>
      <c r="F1498" s="125">
        <v>1212536000</v>
      </c>
      <c r="G1498" s="125">
        <v>1595188104</v>
      </c>
      <c r="H1498" s="125">
        <v>1961000000</v>
      </c>
      <c r="I1498" s="125">
        <v>2231000000</v>
      </c>
    </row>
    <row r="1499" spans="1:9" s="145" customFormat="1" ht="15.75">
      <c r="A1499" s="70" t="s">
        <v>2823</v>
      </c>
      <c r="B1499" s="105" t="s">
        <v>6724</v>
      </c>
      <c r="C1499" s="72"/>
      <c r="D1499" s="76"/>
      <c r="E1499" s="125">
        <v>0</v>
      </c>
      <c r="F1499" s="125">
        <v>0</v>
      </c>
      <c r="G1499" s="125">
        <v>0</v>
      </c>
      <c r="H1499" s="125">
        <v>0</v>
      </c>
      <c r="I1499" s="125">
        <v>0</v>
      </c>
    </row>
    <row r="1500" spans="1:9" s="145" customFormat="1" ht="15.75">
      <c r="A1500" s="70" t="s">
        <v>2824</v>
      </c>
      <c r="B1500" s="105" t="s">
        <v>6725</v>
      </c>
      <c r="C1500" s="72"/>
      <c r="D1500" s="76"/>
      <c r="E1500" s="125">
        <v>0</v>
      </c>
      <c r="F1500" s="125">
        <v>0</v>
      </c>
      <c r="G1500" s="125">
        <v>0</v>
      </c>
      <c r="H1500" s="125">
        <v>0</v>
      </c>
      <c r="I1500" s="125">
        <v>0</v>
      </c>
    </row>
    <row r="1501" spans="1:9" s="145" customFormat="1" ht="15.75">
      <c r="A1501" s="70" t="s">
        <v>2825</v>
      </c>
      <c r="B1501" s="105" t="s">
        <v>6726</v>
      </c>
      <c r="C1501" s="72"/>
      <c r="D1501" s="76"/>
      <c r="E1501" s="125">
        <v>0</v>
      </c>
      <c r="F1501" s="125">
        <v>0</v>
      </c>
      <c r="G1501" s="125">
        <v>0</v>
      </c>
      <c r="H1501" s="125">
        <v>0</v>
      </c>
      <c r="I1501" s="125">
        <v>0</v>
      </c>
    </row>
    <row r="1502" spans="1:9" s="145" customFormat="1" ht="15.75">
      <c r="A1502" s="70" t="s">
        <v>2826</v>
      </c>
      <c r="B1502" s="105" t="s">
        <v>6727</v>
      </c>
      <c r="C1502" s="72" t="s">
        <v>969</v>
      </c>
      <c r="D1502" s="76"/>
      <c r="E1502" s="125">
        <v>20000</v>
      </c>
      <c r="F1502" s="125">
        <v>20000</v>
      </c>
      <c r="G1502" s="125">
        <v>20000</v>
      </c>
      <c r="H1502" s="125">
        <v>20000</v>
      </c>
      <c r="I1502" s="125">
        <v>20000</v>
      </c>
    </row>
    <row r="1503" spans="1:9" s="145" customFormat="1" ht="15.75">
      <c r="A1503" s="70" t="s">
        <v>2827</v>
      </c>
      <c r="B1503" s="105" t="s">
        <v>6728</v>
      </c>
      <c r="C1503" s="72" t="s">
        <v>970</v>
      </c>
      <c r="D1503" s="76"/>
      <c r="E1503" s="125">
        <v>20000</v>
      </c>
      <c r="F1503" s="125">
        <v>20000</v>
      </c>
      <c r="G1503" s="125">
        <v>20000</v>
      </c>
      <c r="H1503" s="125">
        <v>20000</v>
      </c>
      <c r="I1503" s="125">
        <v>20000</v>
      </c>
    </row>
    <row r="1504" spans="1:9" s="145" customFormat="1" ht="60">
      <c r="A1504" s="73" t="s">
        <v>2933</v>
      </c>
      <c r="B1504" s="105" t="s">
        <v>6729</v>
      </c>
      <c r="C1504" s="72" t="s">
        <v>971</v>
      </c>
      <c r="D1504" s="76"/>
      <c r="E1504" s="125">
        <v>200000</v>
      </c>
      <c r="F1504" s="125">
        <v>200000</v>
      </c>
      <c r="G1504" s="125">
        <v>200000</v>
      </c>
      <c r="H1504" s="125">
        <v>200000</v>
      </c>
      <c r="I1504" s="125">
        <v>200000</v>
      </c>
    </row>
    <row r="1505" spans="1:9" s="145" customFormat="1" ht="15.75">
      <c r="A1505" s="70" t="s">
        <v>2828</v>
      </c>
      <c r="B1505" s="105" t="s">
        <v>6730</v>
      </c>
      <c r="C1505" s="72" t="s">
        <v>972</v>
      </c>
      <c r="D1505" s="76"/>
      <c r="E1505" s="125">
        <v>10000</v>
      </c>
      <c r="F1505" s="125">
        <v>10000</v>
      </c>
      <c r="G1505" s="125">
        <v>10000</v>
      </c>
      <c r="H1505" s="125">
        <v>10000</v>
      </c>
      <c r="I1505" s="125">
        <v>10000</v>
      </c>
    </row>
    <row r="1506" spans="1:9" s="145" customFormat="1" ht="15.75">
      <c r="A1506" s="70" t="s">
        <v>2829</v>
      </c>
      <c r="B1506" s="105" t="s">
        <v>6731</v>
      </c>
      <c r="C1506" s="72" t="s">
        <v>973</v>
      </c>
      <c r="D1506" s="76"/>
      <c r="E1506" s="125">
        <v>10000</v>
      </c>
      <c r="F1506" s="125">
        <v>10000</v>
      </c>
      <c r="G1506" s="125">
        <v>10000</v>
      </c>
      <c r="H1506" s="125">
        <v>10000</v>
      </c>
      <c r="I1506" s="125">
        <v>10000</v>
      </c>
    </row>
    <row r="1507" spans="1:9" s="145" customFormat="1" ht="15.75">
      <c r="A1507" s="70"/>
      <c r="B1507" s="105"/>
      <c r="C1507" s="72"/>
      <c r="D1507" s="76"/>
      <c r="E1507" s="125">
        <v>0</v>
      </c>
      <c r="F1507" s="125">
        <v>0</v>
      </c>
      <c r="G1507" s="125">
        <v>0</v>
      </c>
      <c r="H1507" s="125">
        <v>0</v>
      </c>
      <c r="I1507" s="125">
        <v>0</v>
      </c>
    </row>
    <row r="1508" spans="1:9" s="145" customFormat="1" ht="15.75">
      <c r="A1508" s="77" t="s">
        <v>2347</v>
      </c>
      <c r="B1508" s="136" t="s">
        <v>6303</v>
      </c>
      <c r="C1508" s="72"/>
      <c r="D1508" s="76"/>
      <c r="E1508" s="125">
        <v>260000</v>
      </c>
      <c r="F1508" s="125">
        <v>260000</v>
      </c>
      <c r="G1508" s="125">
        <v>260000</v>
      </c>
      <c r="H1508" s="125">
        <v>260000</v>
      </c>
      <c r="I1508" s="125">
        <v>260000</v>
      </c>
    </row>
    <row r="1509" spans="1:9" s="145" customFormat="1" ht="15.75">
      <c r="A1509" s="70"/>
      <c r="B1509" s="105"/>
      <c r="C1509" s="72"/>
      <c r="D1509" s="76"/>
      <c r="E1509" s="125">
        <v>0</v>
      </c>
      <c r="F1509" s="125">
        <v>0</v>
      </c>
      <c r="G1509" s="125">
        <v>0</v>
      </c>
      <c r="H1509" s="125">
        <v>0</v>
      </c>
      <c r="I1509" s="125">
        <v>0</v>
      </c>
    </row>
    <row r="1510" spans="1:9" s="145" customFormat="1" ht="15.75">
      <c r="A1510" s="70" t="s">
        <v>2830</v>
      </c>
      <c r="B1510" s="105" t="s">
        <v>6732</v>
      </c>
      <c r="C1510" s="72"/>
      <c r="D1510" s="76"/>
      <c r="E1510" s="125">
        <v>0</v>
      </c>
      <c r="F1510" s="125">
        <v>0</v>
      </c>
      <c r="G1510" s="125">
        <v>0</v>
      </c>
      <c r="H1510" s="125">
        <v>0</v>
      </c>
      <c r="I1510" s="125">
        <v>0</v>
      </c>
    </row>
    <row r="1511" spans="1:9" s="145" customFormat="1" ht="15.75">
      <c r="A1511" s="70" t="s">
        <v>2831</v>
      </c>
      <c r="B1511" s="105" t="s">
        <v>6733</v>
      </c>
      <c r="C1511" s="72" t="s">
        <v>974</v>
      </c>
      <c r="D1511" s="76"/>
      <c r="E1511" s="125">
        <v>7500</v>
      </c>
      <c r="F1511" s="125">
        <v>7500</v>
      </c>
      <c r="G1511" s="125">
        <v>7500</v>
      </c>
      <c r="H1511" s="125">
        <v>7500</v>
      </c>
      <c r="I1511" s="125">
        <v>7500</v>
      </c>
    </row>
    <row r="1512" spans="1:9" s="145" customFormat="1" ht="15.75">
      <c r="A1512" s="70" t="s">
        <v>2832</v>
      </c>
      <c r="B1512" s="105" t="s">
        <v>6734</v>
      </c>
      <c r="C1512" s="72" t="s">
        <v>975</v>
      </c>
      <c r="D1512" s="76"/>
      <c r="E1512" s="125">
        <v>50000</v>
      </c>
      <c r="F1512" s="125">
        <v>50000</v>
      </c>
      <c r="G1512" s="125">
        <v>50000</v>
      </c>
      <c r="H1512" s="125">
        <v>50000</v>
      </c>
      <c r="I1512" s="125">
        <v>50000</v>
      </c>
    </row>
    <row r="1513" spans="1:9" s="145" customFormat="1" ht="15.75">
      <c r="A1513" s="70"/>
      <c r="B1513" s="105"/>
      <c r="C1513" s="72"/>
      <c r="D1513" s="76"/>
      <c r="E1513" s="125">
        <v>0</v>
      </c>
      <c r="F1513" s="125">
        <v>0</v>
      </c>
      <c r="G1513" s="125">
        <v>0</v>
      </c>
      <c r="H1513" s="125">
        <v>0</v>
      </c>
      <c r="I1513" s="125">
        <v>0</v>
      </c>
    </row>
    <row r="1514" spans="1:9" s="145" customFormat="1" ht="15.75">
      <c r="A1514" s="77" t="s">
        <v>2348</v>
      </c>
      <c r="B1514" s="136" t="s">
        <v>146</v>
      </c>
      <c r="C1514" s="72"/>
      <c r="D1514" s="76"/>
      <c r="E1514" s="125">
        <v>57500</v>
      </c>
      <c r="F1514" s="125">
        <v>57500</v>
      </c>
      <c r="G1514" s="125">
        <v>57500</v>
      </c>
      <c r="H1514" s="125">
        <v>57500</v>
      </c>
      <c r="I1514" s="125">
        <v>57500</v>
      </c>
    </row>
    <row r="1515" spans="1:9" s="145" customFormat="1" ht="15.75">
      <c r="A1515" s="70"/>
      <c r="B1515" s="105"/>
      <c r="C1515" s="72"/>
      <c r="D1515" s="76"/>
      <c r="E1515" s="125">
        <v>0</v>
      </c>
      <c r="F1515" s="125">
        <v>0</v>
      </c>
      <c r="G1515" s="125">
        <v>0</v>
      </c>
      <c r="H1515" s="125">
        <v>0</v>
      </c>
      <c r="I1515" s="125">
        <v>0</v>
      </c>
    </row>
    <row r="1516" spans="1:9" s="145" customFormat="1" ht="15.75">
      <c r="A1516" s="70" t="s">
        <v>3140</v>
      </c>
      <c r="B1516" s="105" t="s">
        <v>6735</v>
      </c>
      <c r="C1516" s="72"/>
      <c r="D1516" s="76"/>
      <c r="E1516" s="125">
        <v>0</v>
      </c>
      <c r="F1516" s="125">
        <v>0</v>
      </c>
      <c r="G1516" s="125">
        <v>0</v>
      </c>
      <c r="H1516" s="125">
        <v>0</v>
      </c>
      <c r="I1516" s="125">
        <v>0</v>
      </c>
    </row>
    <row r="1517" spans="1:9" s="145" customFormat="1" ht="15.75">
      <c r="A1517" s="70" t="s">
        <v>2833</v>
      </c>
      <c r="B1517" s="105" t="s">
        <v>6736</v>
      </c>
      <c r="C1517" s="72" t="s">
        <v>876</v>
      </c>
      <c r="D1517" s="76"/>
      <c r="E1517" s="125">
        <v>5000</v>
      </c>
      <c r="F1517" s="125">
        <v>5000</v>
      </c>
      <c r="G1517" s="125">
        <v>5000</v>
      </c>
      <c r="H1517" s="125">
        <v>5000</v>
      </c>
      <c r="I1517" s="125">
        <v>5000</v>
      </c>
    </row>
    <row r="1518" spans="1:9" s="145" customFormat="1" ht="31.5">
      <c r="A1518" s="70" t="s">
        <v>2834</v>
      </c>
      <c r="B1518" s="105" t="s">
        <v>6737</v>
      </c>
      <c r="C1518" s="72" t="s">
        <v>744</v>
      </c>
      <c r="D1518" s="76"/>
      <c r="E1518" s="125">
        <v>10000</v>
      </c>
      <c r="F1518" s="125">
        <v>10000</v>
      </c>
      <c r="G1518" s="125">
        <v>10000</v>
      </c>
      <c r="H1518" s="125">
        <v>10000</v>
      </c>
      <c r="I1518" s="125">
        <v>10000</v>
      </c>
    </row>
    <row r="1519" spans="1:9" s="145" customFormat="1" ht="15.75">
      <c r="A1519" s="70"/>
      <c r="B1519" s="105"/>
      <c r="C1519" s="72"/>
      <c r="D1519" s="76"/>
      <c r="E1519" s="125">
        <v>0</v>
      </c>
      <c r="F1519" s="125">
        <v>0</v>
      </c>
      <c r="G1519" s="125">
        <v>0</v>
      </c>
      <c r="H1519" s="125">
        <v>0</v>
      </c>
      <c r="I1519" s="125">
        <v>0</v>
      </c>
    </row>
    <row r="1520" spans="1:9" s="145" customFormat="1" ht="15.75">
      <c r="A1520" s="77" t="s">
        <v>2386</v>
      </c>
      <c r="B1520" s="136" t="s">
        <v>6738</v>
      </c>
      <c r="C1520" s="72"/>
      <c r="D1520" s="76"/>
      <c r="E1520" s="125">
        <v>15000</v>
      </c>
      <c r="F1520" s="125">
        <v>15000</v>
      </c>
      <c r="G1520" s="125">
        <v>15000</v>
      </c>
      <c r="H1520" s="125">
        <v>15000</v>
      </c>
      <c r="I1520" s="125">
        <v>15000</v>
      </c>
    </row>
    <row r="1521" spans="1:9" s="145" customFormat="1" ht="15.75">
      <c r="A1521" s="70"/>
      <c r="B1521" s="105"/>
      <c r="C1521" s="72"/>
      <c r="D1521" s="76"/>
      <c r="E1521" s="125">
        <v>0</v>
      </c>
      <c r="F1521" s="125">
        <v>0</v>
      </c>
      <c r="G1521" s="125">
        <v>0</v>
      </c>
      <c r="H1521" s="125">
        <v>0</v>
      </c>
      <c r="I1521" s="125">
        <v>0</v>
      </c>
    </row>
    <row r="1522" spans="1:9" s="145" customFormat="1" ht="15.75">
      <c r="A1522" s="77" t="s">
        <v>2835</v>
      </c>
      <c r="B1522" s="136" t="s">
        <v>6739</v>
      </c>
      <c r="C1522" s="72"/>
      <c r="D1522" s="76"/>
      <c r="E1522" s="125">
        <v>332500</v>
      </c>
      <c r="F1522" s="125">
        <v>332500</v>
      </c>
      <c r="G1522" s="125">
        <v>332500</v>
      </c>
      <c r="H1522" s="125">
        <v>332500</v>
      </c>
      <c r="I1522" s="125">
        <v>332500</v>
      </c>
    </row>
    <row r="1523" spans="1:9" s="145" customFormat="1" ht="15.75">
      <c r="A1523" s="70"/>
      <c r="B1523" s="105"/>
      <c r="C1523" s="72"/>
      <c r="D1523" s="76"/>
      <c r="E1523" s="125">
        <v>0</v>
      </c>
      <c r="F1523" s="125">
        <v>0</v>
      </c>
      <c r="G1523" s="125">
        <v>0</v>
      </c>
      <c r="H1523" s="125">
        <v>0</v>
      </c>
      <c r="I1523" s="125">
        <v>0</v>
      </c>
    </row>
    <row r="1524" spans="1:9" s="145" customFormat="1" ht="15.75">
      <c r="A1524" s="70" t="s">
        <v>3139</v>
      </c>
      <c r="B1524" s="105" t="s">
        <v>6740</v>
      </c>
      <c r="C1524" s="72"/>
      <c r="D1524" s="76"/>
      <c r="E1524" s="125">
        <v>0</v>
      </c>
      <c r="F1524" s="125">
        <v>0</v>
      </c>
      <c r="G1524" s="125">
        <v>0</v>
      </c>
      <c r="H1524" s="125">
        <v>0</v>
      </c>
      <c r="I1524" s="125">
        <v>0</v>
      </c>
    </row>
    <row r="1525" spans="1:9" s="145" customFormat="1" ht="31.5">
      <c r="A1525" s="70" t="s">
        <v>2836</v>
      </c>
      <c r="B1525" s="105" t="s">
        <v>6741</v>
      </c>
      <c r="C1525" s="72" t="s">
        <v>745</v>
      </c>
      <c r="D1525" s="76"/>
      <c r="E1525" s="125">
        <v>20000</v>
      </c>
      <c r="F1525" s="125">
        <v>20000</v>
      </c>
      <c r="G1525" s="125">
        <v>20000</v>
      </c>
      <c r="H1525" s="125">
        <v>20000</v>
      </c>
      <c r="I1525" s="125">
        <v>20000</v>
      </c>
    </row>
    <row r="1526" spans="1:9" s="145" customFormat="1" ht="15.75">
      <c r="A1526" s="70" t="s">
        <v>12669</v>
      </c>
      <c r="B1526" s="105" t="s">
        <v>6742</v>
      </c>
      <c r="C1526" s="72" t="s">
        <v>4675</v>
      </c>
      <c r="D1526" s="76"/>
      <c r="E1526" s="125">
        <v>10000</v>
      </c>
      <c r="F1526" s="125">
        <v>10000</v>
      </c>
      <c r="G1526" s="125">
        <v>10000</v>
      </c>
      <c r="H1526" s="125">
        <v>10000</v>
      </c>
      <c r="I1526" s="125">
        <v>10000</v>
      </c>
    </row>
    <row r="1527" spans="1:9" s="145" customFormat="1" ht="15.75">
      <c r="A1527" s="70" t="s">
        <v>2837</v>
      </c>
      <c r="B1527" s="105" t="s">
        <v>6743</v>
      </c>
      <c r="C1527" s="72" t="s">
        <v>4676</v>
      </c>
      <c r="D1527" s="76"/>
      <c r="E1527" s="125">
        <v>75000</v>
      </c>
      <c r="F1527" s="125">
        <v>75000</v>
      </c>
      <c r="G1527" s="125">
        <v>75000</v>
      </c>
      <c r="H1527" s="125">
        <v>75000</v>
      </c>
      <c r="I1527" s="125">
        <v>75000</v>
      </c>
    </row>
    <row r="1528" spans="1:9" s="145" customFormat="1" ht="47.25">
      <c r="A1528" s="70" t="s">
        <v>4301</v>
      </c>
      <c r="B1528" s="105" t="s">
        <v>6744</v>
      </c>
      <c r="C1528" s="72" t="s">
        <v>4677</v>
      </c>
      <c r="D1528" s="76"/>
      <c r="E1528" s="125">
        <v>2537500</v>
      </c>
      <c r="F1528" s="125">
        <v>2537500</v>
      </c>
      <c r="G1528" s="125">
        <v>2030000</v>
      </c>
      <c r="H1528" s="125">
        <v>2537500</v>
      </c>
      <c r="I1528" s="125">
        <v>2537500</v>
      </c>
    </row>
    <row r="1529" spans="1:9" s="145" customFormat="1" ht="15.75">
      <c r="A1529" s="70"/>
      <c r="B1529" s="105"/>
      <c r="C1529" s="72"/>
      <c r="D1529" s="76"/>
      <c r="E1529" s="125">
        <v>0</v>
      </c>
      <c r="F1529" s="125">
        <v>0</v>
      </c>
      <c r="G1529" s="125">
        <v>0</v>
      </c>
      <c r="H1529" s="125">
        <v>0</v>
      </c>
      <c r="I1529" s="125">
        <v>0</v>
      </c>
    </row>
    <row r="1530" spans="1:9" s="145" customFormat="1" ht="15.75">
      <c r="A1530" s="77" t="s">
        <v>2838</v>
      </c>
      <c r="B1530" s="136" t="s">
        <v>6745</v>
      </c>
      <c r="C1530" s="72"/>
      <c r="D1530" s="76"/>
      <c r="E1530" s="125">
        <v>2642500</v>
      </c>
      <c r="F1530" s="125">
        <v>2642500</v>
      </c>
      <c r="G1530" s="125">
        <v>2135000</v>
      </c>
      <c r="H1530" s="125">
        <v>2642500</v>
      </c>
      <c r="I1530" s="125">
        <v>2642500</v>
      </c>
    </row>
    <row r="1531" spans="1:9" s="145" customFormat="1" ht="15.75">
      <c r="A1531" s="70"/>
      <c r="B1531" s="105"/>
      <c r="C1531" s="72"/>
      <c r="D1531" s="76"/>
      <c r="E1531" s="125">
        <v>0</v>
      </c>
      <c r="F1531" s="125">
        <v>0</v>
      </c>
      <c r="G1531" s="125">
        <v>0</v>
      </c>
      <c r="H1531" s="125">
        <v>0</v>
      </c>
      <c r="I1531" s="125">
        <v>0</v>
      </c>
    </row>
    <row r="1532" spans="1:9" s="145" customFormat="1" ht="31.5">
      <c r="A1532" s="77" t="s">
        <v>2839</v>
      </c>
      <c r="B1532" s="136" t="s">
        <v>6746</v>
      </c>
      <c r="C1532" s="72" t="s">
        <v>755</v>
      </c>
      <c r="D1532" s="76"/>
      <c r="E1532" s="125">
        <v>2975000</v>
      </c>
      <c r="F1532" s="125">
        <v>2975000</v>
      </c>
      <c r="G1532" s="125">
        <v>2467500</v>
      </c>
      <c r="H1532" s="125">
        <v>2975000</v>
      </c>
      <c r="I1532" s="125">
        <v>2975000</v>
      </c>
    </row>
    <row r="1533" spans="1:9" s="145" customFormat="1" ht="15.75">
      <c r="A1533" s="70"/>
      <c r="B1533" s="105"/>
      <c r="C1533" s="72"/>
      <c r="D1533" s="76"/>
      <c r="E1533" s="125">
        <v>0</v>
      </c>
      <c r="F1533" s="125">
        <v>0</v>
      </c>
      <c r="G1533" s="125">
        <v>0</v>
      </c>
      <c r="H1533" s="125">
        <v>0</v>
      </c>
      <c r="I1533" s="125">
        <v>0</v>
      </c>
    </row>
    <row r="1534" spans="1:9" s="145" customFormat="1" ht="15.75">
      <c r="A1534" s="70" t="s">
        <v>2840</v>
      </c>
      <c r="B1534" s="105" t="s">
        <v>6747</v>
      </c>
      <c r="C1534" s="72" t="s">
        <v>255</v>
      </c>
      <c r="D1534" s="76"/>
      <c r="E1534" s="125">
        <v>600000000</v>
      </c>
      <c r="F1534" s="125">
        <v>646053000</v>
      </c>
      <c r="G1534" s="125">
        <v>540000000</v>
      </c>
      <c r="H1534" s="125">
        <v>995000000</v>
      </c>
      <c r="I1534" s="125">
        <v>750000000</v>
      </c>
    </row>
    <row r="1535" spans="1:9" s="145" customFormat="1" ht="31.5">
      <c r="A1535" s="70" t="s">
        <v>2841</v>
      </c>
      <c r="B1535" s="105" t="s">
        <v>6748</v>
      </c>
      <c r="C1535" s="72" t="s">
        <v>490</v>
      </c>
      <c r="D1535" s="76"/>
      <c r="E1535" s="125">
        <v>1039302500</v>
      </c>
      <c r="F1535" s="125">
        <v>747617000</v>
      </c>
      <c r="G1535" s="125">
        <v>1008357774</v>
      </c>
      <c r="H1535" s="125">
        <v>1244090000</v>
      </c>
      <c r="I1535" s="125">
        <v>350125000</v>
      </c>
    </row>
    <row r="1536" spans="1:9" s="145" customFormat="1" ht="15.75">
      <c r="A1536" s="70" t="s">
        <v>2842</v>
      </c>
      <c r="B1536" s="105" t="s">
        <v>6749</v>
      </c>
      <c r="C1536" s="72" t="s">
        <v>388</v>
      </c>
      <c r="D1536" s="76"/>
      <c r="E1536" s="125">
        <v>201100000</v>
      </c>
      <c r="F1536" s="125">
        <v>128600000</v>
      </c>
      <c r="G1536" s="125">
        <v>136070000</v>
      </c>
      <c r="H1536" s="125">
        <v>396210000</v>
      </c>
      <c r="I1536" s="125">
        <v>264900000</v>
      </c>
    </row>
    <row r="1537" spans="1:9" s="145" customFormat="1" ht="31.5">
      <c r="A1537" s="70" t="s">
        <v>2843</v>
      </c>
      <c r="B1537" s="105" t="s">
        <v>6750</v>
      </c>
      <c r="C1537" s="72" t="s">
        <v>209</v>
      </c>
      <c r="D1537" s="76"/>
      <c r="E1537" s="125">
        <v>11018306483</v>
      </c>
      <c r="F1537" s="125">
        <v>10187774395</v>
      </c>
      <c r="G1537" s="125">
        <v>11570794893</v>
      </c>
      <c r="H1537" s="125">
        <v>12726940000</v>
      </c>
      <c r="I1537" s="125">
        <v>11114435000</v>
      </c>
    </row>
    <row r="1538" spans="1:9" s="145" customFormat="1" ht="31.5">
      <c r="A1538" s="70" t="s">
        <v>2844</v>
      </c>
      <c r="B1538" s="105" t="s">
        <v>6751</v>
      </c>
      <c r="C1538" s="72" t="s">
        <v>210</v>
      </c>
      <c r="D1538" s="76"/>
      <c r="E1538" s="125">
        <v>56000000</v>
      </c>
      <c r="F1538" s="125">
        <v>55720000</v>
      </c>
      <c r="G1538" s="125">
        <v>70480000</v>
      </c>
      <c r="H1538" s="125">
        <v>42300000</v>
      </c>
      <c r="I1538" s="125">
        <v>75000000</v>
      </c>
    </row>
    <row r="1539" spans="1:9" s="145" customFormat="1" ht="15.75">
      <c r="A1539" s="70" t="s">
        <v>2845</v>
      </c>
      <c r="B1539" s="105" t="s">
        <v>6752</v>
      </c>
      <c r="C1539" s="72" t="s">
        <v>144</v>
      </c>
      <c r="D1539" s="76"/>
      <c r="E1539" s="125">
        <v>201460000</v>
      </c>
      <c r="F1539" s="125">
        <v>84071000</v>
      </c>
      <c r="G1539" s="125">
        <v>181820000</v>
      </c>
      <c r="H1539" s="125">
        <v>305200000</v>
      </c>
      <c r="I1539" s="125">
        <v>333240000</v>
      </c>
    </row>
    <row r="1540" spans="1:9" s="145" customFormat="1" ht="31.5">
      <c r="A1540" s="70" t="s">
        <v>4326</v>
      </c>
      <c r="B1540" s="105" t="s">
        <v>6753</v>
      </c>
      <c r="C1540" s="72" t="s">
        <v>88</v>
      </c>
      <c r="D1540" s="76"/>
      <c r="E1540" s="125">
        <v>53761855</v>
      </c>
      <c r="F1540" s="125">
        <v>83227399</v>
      </c>
      <c r="G1540" s="125">
        <v>62139649</v>
      </c>
      <c r="H1540" s="125">
        <v>56000000</v>
      </c>
      <c r="I1540" s="125">
        <v>75000000</v>
      </c>
    </row>
    <row r="1541" spans="1:9" s="145" customFormat="1" ht="15.75">
      <c r="A1541" s="70" t="s">
        <v>2846</v>
      </c>
      <c r="B1541" s="105" t="s">
        <v>6754</v>
      </c>
      <c r="C1541" s="72" t="s">
        <v>871</v>
      </c>
      <c r="D1541" s="149" t="s">
        <v>1045</v>
      </c>
      <c r="E1541" s="125">
        <v>440655389</v>
      </c>
      <c r="F1541" s="125">
        <v>0</v>
      </c>
      <c r="G1541" s="125">
        <v>0</v>
      </c>
      <c r="H1541" s="125">
        <v>0</v>
      </c>
      <c r="I1541" s="125">
        <v>0</v>
      </c>
    </row>
    <row r="1542" spans="1:9" s="145" customFormat="1" ht="31.5">
      <c r="A1542" s="70" t="s">
        <v>2847</v>
      </c>
      <c r="B1542" s="105" t="s">
        <v>6755</v>
      </c>
      <c r="C1542" s="72" t="s">
        <v>1811</v>
      </c>
      <c r="D1542" s="149" t="s">
        <v>1045</v>
      </c>
      <c r="E1542" s="125">
        <v>0</v>
      </c>
      <c r="F1542" s="125">
        <v>795139339</v>
      </c>
      <c r="G1542" s="125">
        <v>1005600000</v>
      </c>
      <c r="H1542" s="125">
        <v>1080000000</v>
      </c>
      <c r="I1542" s="125">
        <v>1621600000</v>
      </c>
    </row>
    <row r="1543" spans="1:9" s="145" customFormat="1" ht="31.5">
      <c r="A1543" s="70" t="s">
        <v>2934</v>
      </c>
      <c r="B1543" s="105" t="s">
        <v>6756</v>
      </c>
      <c r="C1543" s="72" t="s">
        <v>872</v>
      </c>
      <c r="D1543" s="149" t="s">
        <v>1045</v>
      </c>
      <c r="E1543" s="125">
        <v>0</v>
      </c>
      <c r="F1543" s="125">
        <v>328238093</v>
      </c>
      <c r="G1543" s="125">
        <v>300000000</v>
      </c>
      <c r="H1543" s="125">
        <v>350000000</v>
      </c>
      <c r="I1543" s="125">
        <v>350000000</v>
      </c>
    </row>
    <row r="1544" spans="1:9" s="145" customFormat="1" ht="47.25">
      <c r="A1544" s="70" t="s">
        <v>2935</v>
      </c>
      <c r="B1544" s="105" t="s">
        <v>6757</v>
      </c>
      <c r="C1544" s="72" t="s">
        <v>1929</v>
      </c>
      <c r="D1544" s="149" t="s">
        <v>1045</v>
      </c>
      <c r="E1544" s="125">
        <v>0</v>
      </c>
      <c r="F1544" s="125">
        <v>500000000</v>
      </c>
      <c r="G1544" s="125">
        <v>500000000</v>
      </c>
      <c r="H1544" s="125">
        <v>500000000</v>
      </c>
      <c r="I1544" s="125">
        <v>0</v>
      </c>
    </row>
    <row r="1545" spans="1:9" s="145" customFormat="1" ht="31.5">
      <c r="A1545" s="70" t="s">
        <v>2848</v>
      </c>
      <c r="B1545" s="105" t="s">
        <v>6758</v>
      </c>
      <c r="C1545" s="72" t="s">
        <v>625</v>
      </c>
      <c r="D1545" s="76"/>
      <c r="E1545" s="125">
        <v>116000000</v>
      </c>
      <c r="F1545" s="125">
        <v>154800000</v>
      </c>
      <c r="G1545" s="125">
        <v>173400000</v>
      </c>
      <c r="H1545" s="125">
        <v>138528200</v>
      </c>
      <c r="I1545" s="125">
        <v>155600000</v>
      </c>
    </row>
    <row r="1546" spans="1:9" s="145" customFormat="1" ht="31.5">
      <c r="A1546" s="70" t="s">
        <v>4311</v>
      </c>
      <c r="B1546" s="105" t="s">
        <v>6759</v>
      </c>
      <c r="C1546" s="72" t="s">
        <v>672</v>
      </c>
      <c r="D1546" s="76"/>
      <c r="E1546" s="125">
        <v>668856270</v>
      </c>
      <c r="F1546" s="125">
        <v>46176074</v>
      </c>
      <c r="G1546" s="125">
        <v>668666187</v>
      </c>
      <c r="H1546" s="125">
        <v>1179731700</v>
      </c>
      <c r="I1546" s="125">
        <v>2404000000</v>
      </c>
    </row>
    <row r="1547" spans="1:9" s="145" customFormat="1" ht="47.25">
      <c r="A1547" s="70" t="s">
        <v>4312</v>
      </c>
      <c r="B1547" s="105" t="s">
        <v>6760</v>
      </c>
      <c r="C1547" s="72" t="s">
        <v>673</v>
      </c>
      <c r="D1547" s="76"/>
      <c r="E1547" s="125">
        <v>1666929632</v>
      </c>
      <c r="F1547" s="125">
        <v>184534650</v>
      </c>
      <c r="G1547" s="125">
        <v>0</v>
      </c>
      <c r="H1547" s="125">
        <v>2026943799.9999998</v>
      </c>
      <c r="I1547" s="125">
        <v>0</v>
      </c>
    </row>
    <row r="1548" spans="1:9" s="145" customFormat="1" ht="31.5">
      <c r="A1548" s="70" t="s">
        <v>3141</v>
      </c>
      <c r="B1548" s="105" t="s">
        <v>6761</v>
      </c>
      <c r="C1548" s="72" t="s">
        <v>674</v>
      </c>
      <c r="D1548" s="76"/>
      <c r="E1548" s="125">
        <v>941900000</v>
      </c>
      <c r="F1548" s="125">
        <v>1142800000</v>
      </c>
      <c r="G1548" s="125">
        <v>1299246000</v>
      </c>
      <c r="H1548" s="125">
        <v>2124950000</v>
      </c>
      <c r="I1548" s="125">
        <v>1499000000</v>
      </c>
    </row>
    <row r="1549" spans="1:9" s="145" customFormat="1" ht="15.75">
      <c r="A1549" s="70" t="s">
        <v>2849</v>
      </c>
      <c r="B1549" s="105" t="s">
        <v>6762</v>
      </c>
      <c r="C1549" s="72" t="s">
        <v>1044</v>
      </c>
      <c r="D1549" s="76"/>
      <c r="E1549" s="125">
        <v>51000000</v>
      </c>
      <c r="F1549" s="125">
        <v>75000000</v>
      </c>
      <c r="G1549" s="125">
        <v>62500000</v>
      </c>
      <c r="H1549" s="125">
        <v>132000000</v>
      </c>
      <c r="I1549" s="125">
        <v>124500000</v>
      </c>
    </row>
    <row r="1550" spans="1:9" s="145" customFormat="1" ht="47.25">
      <c r="A1550" s="70" t="s">
        <v>10471</v>
      </c>
      <c r="B1550" s="105"/>
      <c r="C1550" s="72" t="s">
        <v>12667</v>
      </c>
      <c r="D1550" s="76"/>
      <c r="E1550" s="125">
        <v>0</v>
      </c>
      <c r="F1550" s="125">
        <v>0</v>
      </c>
      <c r="G1550" s="125">
        <v>0</v>
      </c>
      <c r="H1550" s="125">
        <v>0</v>
      </c>
      <c r="I1550" s="125">
        <v>50000000</v>
      </c>
    </row>
    <row r="1551" spans="1:9" s="145" customFormat="1" ht="15.75">
      <c r="A1551" s="70" t="s">
        <v>10472</v>
      </c>
      <c r="B1551" s="105" t="s">
        <v>6763</v>
      </c>
      <c r="C1551" s="72" t="s">
        <v>596</v>
      </c>
      <c r="D1551" s="76"/>
      <c r="E1551" s="125">
        <v>3305964246</v>
      </c>
      <c r="F1551" s="125">
        <v>3087694698</v>
      </c>
      <c r="G1551" s="125">
        <v>400282726</v>
      </c>
      <c r="H1551" s="125">
        <v>1630361499</v>
      </c>
      <c r="I1551" s="125">
        <v>-554075727</v>
      </c>
    </row>
    <row r="1552" spans="1:9" s="145" customFormat="1" ht="11.1" customHeight="1">
      <c r="A1552" s="70"/>
      <c r="B1552" s="105"/>
      <c r="C1552" s="72"/>
      <c r="D1552" s="76"/>
      <c r="E1552" s="125">
        <v>0</v>
      </c>
      <c r="F1552" s="125">
        <v>0</v>
      </c>
      <c r="G1552" s="125">
        <v>0</v>
      </c>
      <c r="H1552" s="125">
        <v>0</v>
      </c>
      <c r="I1552" s="125">
        <v>0</v>
      </c>
    </row>
    <row r="1553" spans="1:9" s="145" customFormat="1" ht="31.5">
      <c r="A1553" s="77" t="s">
        <v>10473</v>
      </c>
      <c r="B1553" s="136" t="s">
        <v>6764</v>
      </c>
      <c r="C1553" s="72"/>
      <c r="D1553" s="76"/>
      <c r="E1553" s="125">
        <v>34574776701</v>
      </c>
      <c r="F1553" s="125">
        <v>32716004974</v>
      </c>
      <c r="G1553" s="125">
        <v>33734672206</v>
      </c>
      <c r="H1553" s="125">
        <v>47896409800</v>
      </c>
      <c r="I1553" s="125">
        <v>41759600000</v>
      </c>
    </row>
    <row r="1554" spans="1:9" s="145" customFormat="1" ht="11.1" customHeight="1">
      <c r="A1554" s="70"/>
      <c r="B1554" s="105"/>
      <c r="C1554" s="72"/>
      <c r="D1554" s="76"/>
      <c r="E1554" s="125">
        <v>0</v>
      </c>
      <c r="F1554" s="125">
        <v>0</v>
      </c>
      <c r="G1554" s="125">
        <v>0</v>
      </c>
      <c r="H1554" s="125">
        <v>0</v>
      </c>
      <c r="I1554" s="125">
        <v>0</v>
      </c>
    </row>
    <row r="1555" spans="1:9" s="145" customFormat="1" ht="15.75">
      <c r="A1555" s="70" t="s">
        <v>10467</v>
      </c>
      <c r="B1555" s="160" t="s">
        <v>10468</v>
      </c>
      <c r="C1555" s="72"/>
      <c r="D1555" s="76"/>
      <c r="E1555" s="125">
        <v>8670634651</v>
      </c>
      <c r="F1555" s="125">
        <v>4311478899</v>
      </c>
      <c r="G1555" s="125">
        <v>0</v>
      </c>
      <c r="H1555" s="125">
        <v>0</v>
      </c>
      <c r="I1555" s="125">
        <v>0</v>
      </c>
    </row>
    <row r="1556" spans="1:9" s="145" customFormat="1" ht="15.75">
      <c r="A1556" s="70" t="s">
        <v>10466</v>
      </c>
      <c r="B1556" s="160" t="s">
        <v>899</v>
      </c>
      <c r="C1556" s="72"/>
      <c r="D1556" s="76"/>
      <c r="E1556" s="125">
        <v>0</v>
      </c>
      <c r="F1556" s="125">
        <v>0</v>
      </c>
      <c r="G1556" s="125">
        <v>52587725</v>
      </c>
      <c r="H1556" s="125">
        <v>0</v>
      </c>
      <c r="I1556" s="125">
        <v>0</v>
      </c>
    </row>
    <row r="1557" spans="1:9" s="145" customFormat="1" ht="11.1" customHeight="1">
      <c r="A1557" s="70"/>
      <c r="B1557" s="105"/>
      <c r="C1557" s="72"/>
      <c r="D1557" s="76"/>
      <c r="E1557" s="125">
        <v>0</v>
      </c>
      <c r="F1557" s="125">
        <v>0</v>
      </c>
      <c r="G1557" s="125">
        <v>0</v>
      </c>
      <c r="H1557" s="125">
        <v>0</v>
      </c>
      <c r="I1557" s="125">
        <v>0</v>
      </c>
    </row>
    <row r="1558" spans="1:9" s="145" customFormat="1" ht="47.25">
      <c r="A1558" s="77" t="s">
        <v>2850</v>
      </c>
      <c r="B1558" s="136" t="s">
        <v>6765</v>
      </c>
      <c r="C1558" s="72"/>
      <c r="D1558" s="76"/>
      <c r="E1558" s="125">
        <v>100000</v>
      </c>
      <c r="F1558" s="125">
        <v>100000</v>
      </c>
      <c r="G1558" s="125">
        <v>100000</v>
      </c>
      <c r="H1558" s="125">
        <v>100000</v>
      </c>
      <c r="I1558" s="125">
        <v>100000</v>
      </c>
    </row>
    <row r="1559" spans="1:9" s="145" customFormat="1" ht="11.1" customHeight="1">
      <c r="A1559" s="70"/>
      <c r="B1559" s="105"/>
      <c r="C1559" s="72"/>
      <c r="D1559" s="76"/>
      <c r="E1559" s="125">
        <v>0</v>
      </c>
      <c r="F1559" s="125">
        <v>0</v>
      </c>
      <c r="G1559" s="125">
        <v>0</v>
      </c>
      <c r="H1559" s="125">
        <v>0</v>
      </c>
      <c r="I1559" s="125">
        <v>0</v>
      </c>
    </row>
    <row r="1560" spans="1:9" s="145" customFormat="1" ht="15.75">
      <c r="A1560" s="70" t="s">
        <v>2936</v>
      </c>
      <c r="B1560" s="105" t="s">
        <v>6766</v>
      </c>
      <c r="C1560" s="72"/>
      <c r="D1560" s="76"/>
      <c r="E1560" s="125">
        <v>25904242050</v>
      </c>
      <c r="F1560" s="125">
        <v>28404626075</v>
      </c>
      <c r="G1560" s="125">
        <v>33787359931</v>
      </c>
      <c r="H1560" s="125">
        <v>47896509800</v>
      </c>
      <c r="I1560" s="125">
        <v>41759700000</v>
      </c>
    </row>
    <row r="1561" spans="1:9" s="145" customFormat="1" ht="11.1" customHeight="1">
      <c r="A1561" s="70"/>
      <c r="B1561" s="105"/>
      <c r="C1561" s="72"/>
      <c r="D1561" s="76"/>
      <c r="E1561" s="125">
        <v>0</v>
      </c>
      <c r="F1561" s="125">
        <v>0</v>
      </c>
      <c r="G1561" s="125">
        <v>0</v>
      </c>
      <c r="H1561" s="125">
        <v>0</v>
      </c>
      <c r="I1561" s="125">
        <v>0</v>
      </c>
    </row>
    <row r="1562" spans="1:9" s="145" customFormat="1" ht="15.75">
      <c r="A1562" s="70" t="s">
        <v>2937</v>
      </c>
      <c r="B1562" s="105" t="s">
        <v>6767</v>
      </c>
      <c r="C1562" s="72"/>
      <c r="D1562" s="76"/>
      <c r="E1562" s="125">
        <v>6990250489</v>
      </c>
      <c r="F1562" s="125">
        <v>7498711484</v>
      </c>
      <c r="G1562" s="125">
        <v>6978939428</v>
      </c>
      <c r="H1562" s="125">
        <v>11213761499</v>
      </c>
      <c r="I1562" s="125">
        <v>13686124273</v>
      </c>
    </row>
    <row r="1563" spans="1:9" s="145" customFormat="1" ht="11.1" customHeight="1">
      <c r="A1563" s="70"/>
      <c r="B1563" s="105"/>
      <c r="C1563" s="72"/>
      <c r="D1563" s="76"/>
      <c r="E1563" s="125">
        <v>0</v>
      </c>
      <c r="F1563" s="125">
        <v>0</v>
      </c>
      <c r="G1563" s="125">
        <v>0</v>
      </c>
      <c r="H1563" s="125">
        <v>0</v>
      </c>
      <c r="I1563" s="125">
        <v>0</v>
      </c>
    </row>
    <row r="1564" spans="1:9" s="145" customFormat="1" ht="15.75">
      <c r="A1564" s="77" t="s">
        <v>2938</v>
      </c>
      <c r="B1564" s="136" t="s">
        <v>6768</v>
      </c>
      <c r="C1564" s="72"/>
      <c r="D1564" s="76"/>
      <c r="E1564" s="125">
        <v>41565027190</v>
      </c>
      <c r="F1564" s="125">
        <v>40214716458</v>
      </c>
      <c r="G1564" s="125">
        <v>40713611634</v>
      </c>
      <c r="H1564" s="125">
        <v>59110171299</v>
      </c>
      <c r="I1564" s="125">
        <v>55445724273</v>
      </c>
    </row>
    <row r="1565" spans="1:9" s="145" customFormat="1" ht="11.1" customHeight="1">
      <c r="A1565" s="70"/>
      <c r="B1565" s="105"/>
      <c r="C1565" s="72"/>
      <c r="D1565" s="76"/>
      <c r="E1565" s="125">
        <v>0</v>
      </c>
      <c r="F1565" s="125">
        <v>0</v>
      </c>
      <c r="G1565" s="125">
        <v>0</v>
      </c>
      <c r="H1565" s="125">
        <v>0</v>
      </c>
      <c r="I1565" s="125">
        <v>0</v>
      </c>
    </row>
    <row r="1566" spans="1:9" s="145" customFormat="1" ht="15.75">
      <c r="A1566" s="77" t="s">
        <v>2939</v>
      </c>
      <c r="B1566" s="136" t="s">
        <v>6769</v>
      </c>
      <c r="C1566" s="72"/>
      <c r="D1566" s="76"/>
      <c r="E1566" s="125">
        <v>3305964246</v>
      </c>
      <c r="F1566" s="125">
        <v>3087694698</v>
      </c>
      <c r="G1566" s="125">
        <v>400282726</v>
      </c>
      <c r="H1566" s="125">
        <v>1630361499</v>
      </c>
      <c r="I1566" s="125">
        <v>-554075727</v>
      </c>
    </row>
    <row r="1567" spans="1:9" s="145" customFormat="1" ht="11.1" customHeight="1">
      <c r="A1567" s="70"/>
      <c r="B1567" s="105"/>
      <c r="C1567" s="72"/>
      <c r="D1567" s="76"/>
      <c r="E1567" s="125">
        <v>0</v>
      </c>
      <c r="F1567" s="125">
        <v>0</v>
      </c>
      <c r="G1567" s="125">
        <v>0</v>
      </c>
      <c r="H1567" s="125">
        <v>0</v>
      </c>
      <c r="I1567" s="125">
        <v>0</v>
      </c>
    </row>
    <row r="1568" spans="1:9" s="145" customFormat="1" ht="15.75">
      <c r="A1568" s="77" t="s">
        <v>2938</v>
      </c>
      <c r="B1568" s="136" t="s">
        <v>6768</v>
      </c>
      <c r="C1568" s="72"/>
      <c r="D1568" s="76"/>
      <c r="E1568" s="125">
        <v>38259062944</v>
      </c>
      <c r="F1568" s="125">
        <v>37127021760</v>
      </c>
      <c r="G1568" s="125">
        <v>40313328908</v>
      </c>
      <c r="H1568" s="125">
        <v>57479809800</v>
      </c>
      <c r="I1568" s="125">
        <v>55999800000</v>
      </c>
    </row>
    <row r="1569" spans="1:9" s="145" customFormat="1" ht="11.1" customHeight="1">
      <c r="A1569" s="70"/>
      <c r="B1569" s="160"/>
      <c r="C1569" s="72"/>
      <c r="D1569" s="76"/>
      <c r="E1569" s="125"/>
      <c r="F1569" s="125"/>
      <c r="G1569" s="125"/>
      <c r="H1569" s="125"/>
      <c r="I1569" s="125"/>
    </row>
    <row r="1570" spans="1:9" s="145" customFormat="1">
      <c r="A1570" s="89"/>
      <c r="B1570" s="144"/>
      <c r="D1570" s="76"/>
      <c r="E1570" s="89"/>
      <c r="F1570" s="89"/>
      <c r="G1570" s="89"/>
      <c r="H1570" s="89"/>
      <c r="I1570" s="89"/>
    </row>
    <row r="1571" spans="1:9" s="145" customFormat="1">
      <c r="A1571" s="89"/>
      <c r="B1571" s="144"/>
      <c r="D1571" s="76"/>
      <c r="E1571" s="89"/>
      <c r="F1571" s="89"/>
      <c r="G1571" s="89"/>
      <c r="H1571" s="89"/>
      <c r="I1571" s="89"/>
    </row>
    <row r="1572" spans="1:9" s="145" customFormat="1">
      <c r="A1572" s="89"/>
      <c r="B1572" s="144"/>
      <c r="D1572" s="76"/>
      <c r="E1572" s="89"/>
      <c r="F1572" s="89"/>
      <c r="G1572" s="89"/>
      <c r="H1572" s="89"/>
      <c r="I1572" s="89"/>
    </row>
    <row r="1573" spans="1:9" s="145" customFormat="1">
      <c r="A1573" s="89"/>
      <c r="B1573" s="144"/>
      <c r="D1573" s="76"/>
      <c r="E1573" s="89"/>
      <c r="F1573" s="89"/>
      <c r="G1573" s="89"/>
      <c r="H1573" s="89"/>
      <c r="I1573" s="89"/>
    </row>
    <row r="1574" spans="1:9" s="145" customFormat="1">
      <c r="A1574" s="89"/>
      <c r="B1574" s="144"/>
      <c r="D1574" s="76"/>
      <c r="E1574" s="89"/>
      <c r="F1574" s="89"/>
      <c r="G1574" s="89"/>
      <c r="H1574" s="89"/>
      <c r="I1574" s="89"/>
    </row>
    <row r="1575" spans="1:9" s="145" customFormat="1">
      <c r="A1575" s="89"/>
      <c r="B1575" s="144"/>
      <c r="D1575" s="76"/>
      <c r="E1575" s="89"/>
      <c r="F1575" s="89"/>
      <c r="G1575" s="89"/>
      <c r="H1575" s="89"/>
      <c r="I1575" s="89"/>
    </row>
    <row r="1576" spans="1:9" s="145" customFormat="1">
      <c r="A1576" s="89"/>
      <c r="B1576" s="144"/>
      <c r="D1576" s="76"/>
      <c r="E1576" s="89"/>
      <c r="F1576" s="89"/>
      <c r="G1576" s="89"/>
      <c r="H1576" s="89"/>
      <c r="I1576" s="89"/>
    </row>
    <row r="1577" spans="1:9" s="145" customFormat="1">
      <c r="A1577" s="89"/>
      <c r="B1577" s="144"/>
      <c r="D1577" s="76"/>
      <c r="E1577" s="89"/>
      <c r="F1577" s="89"/>
      <c r="G1577" s="89"/>
      <c r="H1577" s="89"/>
      <c r="I1577" s="89"/>
    </row>
    <row r="1578" spans="1:9" s="145" customFormat="1">
      <c r="A1578" s="89"/>
      <c r="B1578" s="144"/>
      <c r="D1578" s="76"/>
      <c r="E1578" s="89"/>
      <c r="F1578" s="89"/>
      <c r="G1578" s="89"/>
      <c r="H1578" s="89"/>
      <c r="I1578" s="89"/>
    </row>
    <row r="1579" spans="1:9" s="145" customFormat="1">
      <c r="A1579" s="89"/>
      <c r="B1579" s="144"/>
      <c r="D1579" s="76"/>
      <c r="E1579" s="89"/>
      <c r="F1579" s="89"/>
      <c r="G1579" s="89"/>
      <c r="H1579" s="89"/>
      <c r="I1579" s="89"/>
    </row>
    <row r="1580" spans="1:9" s="145" customFormat="1">
      <c r="A1580" s="89"/>
      <c r="B1580" s="144"/>
      <c r="D1580" s="76"/>
      <c r="E1580" s="89"/>
      <c r="F1580" s="89"/>
      <c r="G1580" s="89"/>
      <c r="H1580" s="89"/>
      <c r="I1580" s="89"/>
    </row>
    <row r="1581" spans="1:9" s="145" customFormat="1">
      <c r="A1581" s="89"/>
      <c r="B1581" s="144"/>
      <c r="D1581" s="76"/>
      <c r="E1581" s="89"/>
      <c r="F1581" s="89"/>
      <c r="G1581" s="89"/>
      <c r="H1581" s="89"/>
      <c r="I1581" s="89"/>
    </row>
    <row r="1582" spans="1:9" s="145" customFormat="1">
      <c r="A1582" s="89"/>
      <c r="B1582" s="144"/>
      <c r="D1582" s="76"/>
      <c r="E1582" s="89"/>
      <c r="F1582" s="89"/>
      <c r="G1582" s="89"/>
      <c r="H1582" s="89"/>
      <c r="I1582" s="89"/>
    </row>
    <row r="1583" spans="1:9" s="145" customFormat="1">
      <c r="A1583" s="89"/>
      <c r="B1583" s="144"/>
      <c r="D1583" s="76"/>
      <c r="E1583" s="89"/>
      <c r="F1583" s="89"/>
      <c r="G1583" s="89"/>
      <c r="H1583" s="89"/>
      <c r="I1583" s="89"/>
    </row>
    <row r="1584" spans="1:9" s="145" customFormat="1">
      <c r="A1584" s="89"/>
      <c r="B1584" s="144"/>
      <c r="D1584" s="76"/>
      <c r="E1584" s="89"/>
      <c r="F1584" s="89"/>
      <c r="G1584" s="89"/>
      <c r="H1584" s="89"/>
      <c r="I1584" s="89"/>
    </row>
    <row r="1585" spans="1:9" s="145" customFormat="1">
      <c r="A1585" s="89"/>
      <c r="B1585" s="144"/>
      <c r="D1585" s="76"/>
      <c r="E1585" s="89"/>
      <c r="F1585" s="89"/>
      <c r="G1585" s="89"/>
      <c r="H1585" s="89"/>
      <c r="I1585" s="89"/>
    </row>
    <row r="1586" spans="1:9" s="145" customFormat="1">
      <c r="A1586" s="89"/>
      <c r="B1586" s="144"/>
      <c r="D1586" s="76"/>
      <c r="E1586" s="89"/>
      <c r="F1586" s="89"/>
      <c r="G1586" s="89"/>
      <c r="H1586" s="89"/>
      <c r="I1586" s="89"/>
    </row>
    <row r="1587" spans="1:9" s="145" customFormat="1">
      <c r="A1587" s="89"/>
      <c r="B1587" s="144"/>
      <c r="D1587" s="76"/>
      <c r="E1587" s="89"/>
      <c r="F1587" s="89"/>
      <c r="G1587" s="89"/>
      <c r="H1587" s="89"/>
      <c r="I1587" s="89"/>
    </row>
    <row r="1588" spans="1:9" s="145" customFormat="1">
      <c r="A1588" s="89"/>
      <c r="B1588" s="144"/>
      <c r="D1588" s="76"/>
      <c r="E1588" s="89"/>
      <c r="F1588" s="89"/>
      <c r="G1588" s="89"/>
      <c r="H1588" s="89"/>
      <c r="I1588" s="89"/>
    </row>
    <row r="1589" spans="1:9" s="145" customFormat="1">
      <c r="A1589" s="89"/>
      <c r="B1589" s="144"/>
      <c r="D1589" s="76"/>
      <c r="E1589" s="89"/>
      <c r="F1589" s="89"/>
      <c r="G1589" s="89"/>
      <c r="H1589" s="89"/>
      <c r="I1589" s="89"/>
    </row>
    <row r="1590" spans="1:9" s="145" customFormat="1">
      <c r="A1590" s="89"/>
      <c r="B1590" s="144"/>
      <c r="D1590" s="76"/>
      <c r="E1590" s="89"/>
      <c r="F1590" s="89"/>
      <c r="G1590" s="89"/>
      <c r="H1590" s="89"/>
      <c r="I1590" s="89"/>
    </row>
    <row r="1591" spans="1:9" s="145" customFormat="1">
      <c r="A1591" s="89"/>
      <c r="B1591" s="144"/>
      <c r="D1591" s="76"/>
      <c r="E1591" s="89"/>
      <c r="F1591" s="89"/>
      <c r="G1591" s="89"/>
      <c r="H1591" s="89"/>
      <c r="I1591" s="89"/>
    </row>
    <row r="1592" spans="1:9" s="145" customFormat="1">
      <c r="A1592" s="89"/>
      <c r="B1592" s="144"/>
      <c r="D1592" s="76"/>
      <c r="E1592" s="89"/>
      <c r="F1592" s="89"/>
      <c r="G1592" s="89"/>
      <c r="H1592" s="89"/>
      <c r="I1592" s="89"/>
    </row>
    <row r="1593" spans="1:9" s="145" customFormat="1">
      <c r="A1593" s="89"/>
      <c r="B1593" s="144"/>
      <c r="D1593" s="76"/>
      <c r="E1593" s="89"/>
      <c r="F1593" s="89"/>
      <c r="G1593" s="89"/>
      <c r="H1593" s="89"/>
      <c r="I1593" s="89"/>
    </row>
    <row r="1594" spans="1:9" s="145" customFormat="1">
      <c r="A1594" s="89"/>
      <c r="B1594" s="144"/>
      <c r="D1594" s="76"/>
      <c r="E1594" s="89"/>
      <c r="F1594" s="89"/>
      <c r="G1594" s="89"/>
      <c r="H1594" s="89"/>
      <c r="I1594" s="89"/>
    </row>
    <row r="1595" spans="1:9" s="145" customFormat="1">
      <c r="A1595" s="89"/>
      <c r="B1595" s="144"/>
      <c r="D1595" s="76"/>
      <c r="E1595" s="89"/>
      <c r="F1595" s="89"/>
      <c r="G1595" s="89"/>
      <c r="H1595" s="89"/>
      <c r="I1595" s="89"/>
    </row>
    <row r="1596" spans="1:9" s="145" customFormat="1">
      <c r="A1596" s="89"/>
      <c r="B1596" s="144"/>
      <c r="D1596" s="76"/>
      <c r="E1596" s="89"/>
      <c r="F1596" s="89"/>
      <c r="G1596" s="89"/>
      <c r="H1596" s="89"/>
      <c r="I1596" s="89"/>
    </row>
    <row r="1597" spans="1:9" s="145" customFormat="1">
      <c r="A1597" s="89"/>
      <c r="B1597" s="144"/>
      <c r="D1597" s="76"/>
      <c r="E1597" s="89"/>
      <c r="F1597" s="89"/>
      <c r="G1597" s="89"/>
      <c r="H1597" s="89"/>
      <c r="I1597" s="89"/>
    </row>
    <row r="1598" spans="1:9" s="145" customFormat="1">
      <c r="A1598" s="89"/>
      <c r="B1598" s="144"/>
      <c r="D1598" s="76"/>
      <c r="E1598" s="89"/>
      <c r="F1598" s="89"/>
      <c r="G1598" s="89"/>
      <c r="H1598" s="89"/>
      <c r="I1598" s="89"/>
    </row>
    <row r="1599" spans="1:9" s="145" customFormat="1">
      <c r="A1599" s="89"/>
      <c r="B1599" s="144"/>
      <c r="D1599" s="76"/>
      <c r="E1599" s="89"/>
      <c r="F1599" s="89"/>
      <c r="G1599" s="89"/>
      <c r="H1599" s="89"/>
      <c r="I1599" s="89"/>
    </row>
    <row r="1600" spans="1:9" s="145" customFormat="1">
      <c r="A1600" s="89"/>
      <c r="B1600" s="144"/>
      <c r="D1600" s="76"/>
      <c r="E1600" s="89"/>
      <c r="F1600" s="89"/>
      <c r="G1600" s="89"/>
      <c r="H1600" s="89"/>
      <c r="I1600" s="89"/>
    </row>
    <row r="1601" spans="1:9" s="145" customFormat="1">
      <c r="A1601" s="89"/>
      <c r="B1601" s="144"/>
      <c r="D1601" s="76"/>
      <c r="E1601" s="89"/>
      <c r="F1601" s="89"/>
      <c r="G1601" s="89"/>
      <c r="H1601" s="89"/>
      <c r="I1601" s="89"/>
    </row>
    <row r="1602" spans="1:9" s="145" customFormat="1">
      <c r="A1602" s="89"/>
      <c r="B1602" s="144"/>
      <c r="D1602" s="76"/>
      <c r="E1602" s="89"/>
      <c r="F1602" s="89"/>
      <c r="G1602" s="89"/>
      <c r="H1602" s="89"/>
      <c r="I1602" s="89"/>
    </row>
    <row r="1603" spans="1:9" s="145" customFormat="1">
      <c r="A1603" s="89"/>
      <c r="B1603" s="144"/>
      <c r="D1603" s="76"/>
      <c r="E1603" s="89"/>
      <c r="F1603" s="89"/>
      <c r="G1603" s="89"/>
      <c r="H1603" s="89"/>
      <c r="I1603" s="89"/>
    </row>
    <row r="1604" spans="1:9" s="145" customFormat="1">
      <c r="A1604" s="89"/>
      <c r="B1604" s="144"/>
      <c r="D1604" s="76"/>
      <c r="E1604" s="89"/>
      <c r="F1604" s="89"/>
      <c r="G1604" s="89"/>
      <c r="H1604" s="89"/>
      <c r="I1604" s="89"/>
    </row>
    <row r="1605" spans="1:9" s="145" customFormat="1">
      <c r="A1605" s="89"/>
      <c r="B1605" s="144"/>
      <c r="D1605" s="76"/>
      <c r="E1605" s="89"/>
      <c r="F1605" s="89"/>
      <c r="G1605" s="89"/>
      <c r="H1605" s="89"/>
      <c r="I1605" s="89"/>
    </row>
    <row r="1606" spans="1:9" s="145" customFormat="1">
      <c r="A1606" s="89"/>
      <c r="B1606" s="144"/>
      <c r="D1606" s="76"/>
      <c r="E1606" s="89"/>
      <c r="F1606" s="89"/>
      <c r="G1606" s="89"/>
      <c r="H1606" s="89"/>
      <c r="I1606" s="89"/>
    </row>
    <row r="1607" spans="1:9" s="145" customFormat="1">
      <c r="A1607" s="89"/>
      <c r="B1607" s="144"/>
      <c r="D1607" s="76"/>
      <c r="E1607" s="89"/>
      <c r="F1607" s="89"/>
      <c r="G1607" s="89"/>
      <c r="H1607" s="89"/>
      <c r="I1607" s="89"/>
    </row>
    <row r="1608" spans="1:9" s="145" customFormat="1">
      <c r="A1608" s="89"/>
      <c r="B1608" s="144"/>
      <c r="D1608" s="76"/>
      <c r="E1608" s="89"/>
      <c r="F1608" s="89"/>
      <c r="G1608" s="89"/>
      <c r="H1608" s="89"/>
      <c r="I1608" s="89"/>
    </row>
    <row r="1609" spans="1:9" s="145" customFormat="1">
      <c r="A1609" s="89"/>
      <c r="B1609" s="144"/>
      <c r="D1609" s="76"/>
      <c r="E1609" s="89"/>
      <c r="F1609" s="89"/>
      <c r="G1609" s="89"/>
      <c r="H1609" s="89"/>
      <c r="I1609" s="89"/>
    </row>
    <row r="1610" spans="1:9" s="145" customFormat="1">
      <c r="A1610" s="89"/>
      <c r="B1610" s="144"/>
      <c r="D1610" s="76"/>
      <c r="E1610" s="89"/>
      <c r="F1610" s="89"/>
      <c r="G1610" s="89"/>
      <c r="H1610" s="89"/>
      <c r="I1610" s="89"/>
    </row>
    <row r="1611" spans="1:9" s="145" customFormat="1">
      <c r="A1611" s="89"/>
      <c r="B1611" s="144"/>
      <c r="D1611" s="76"/>
      <c r="E1611" s="89"/>
      <c r="F1611" s="89"/>
      <c r="G1611" s="89"/>
      <c r="H1611" s="89"/>
      <c r="I1611" s="89"/>
    </row>
    <row r="1612" spans="1:9" s="145" customFormat="1">
      <c r="A1612" s="89"/>
      <c r="B1612" s="144"/>
      <c r="D1612" s="76"/>
      <c r="E1612" s="89"/>
      <c r="F1612" s="89"/>
      <c r="G1612" s="89"/>
      <c r="H1612" s="89"/>
      <c r="I1612" s="89"/>
    </row>
    <row r="1613" spans="1:9" s="145" customFormat="1">
      <c r="A1613" s="89"/>
      <c r="B1613" s="144"/>
      <c r="D1613" s="76"/>
      <c r="E1613" s="89"/>
      <c r="F1613" s="89"/>
      <c r="G1613" s="89"/>
      <c r="H1613" s="89"/>
      <c r="I1613" s="89"/>
    </row>
    <row r="1614" spans="1:9" s="145" customFormat="1">
      <c r="A1614" s="89"/>
      <c r="B1614" s="144"/>
      <c r="D1614" s="76"/>
      <c r="E1614" s="89"/>
      <c r="F1614" s="89"/>
      <c r="G1614" s="89"/>
      <c r="H1614" s="89"/>
      <c r="I1614" s="89"/>
    </row>
    <row r="1615" spans="1:9" s="145" customFormat="1">
      <c r="A1615" s="89"/>
      <c r="B1615" s="144"/>
      <c r="D1615" s="76"/>
      <c r="E1615" s="89"/>
      <c r="F1615" s="89"/>
      <c r="G1615" s="89"/>
      <c r="H1615" s="89"/>
      <c r="I1615" s="89"/>
    </row>
    <row r="1616" spans="1:9" s="145" customFormat="1">
      <c r="A1616" s="89"/>
      <c r="B1616" s="144"/>
      <c r="D1616" s="76"/>
      <c r="E1616" s="89"/>
      <c r="F1616" s="89"/>
      <c r="G1616" s="89"/>
      <c r="H1616" s="89"/>
      <c r="I1616" s="89"/>
    </row>
    <row r="1617" spans="1:9" s="145" customFormat="1">
      <c r="A1617" s="89"/>
      <c r="B1617" s="144"/>
      <c r="D1617" s="76"/>
      <c r="E1617" s="89"/>
      <c r="F1617" s="89"/>
      <c r="G1617" s="89"/>
      <c r="H1617" s="89"/>
      <c r="I1617" s="89"/>
    </row>
    <row r="1618" spans="1:9" s="145" customFormat="1">
      <c r="A1618" s="89"/>
      <c r="B1618" s="144"/>
      <c r="D1618" s="76"/>
      <c r="E1618" s="89"/>
      <c r="F1618" s="89"/>
      <c r="G1618" s="89"/>
      <c r="H1618" s="89"/>
      <c r="I1618" s="89"/>
    </row>
    <row r="1619" spans="1:9" s="145" customFormat="1">
      <c r="A1619" s="89"/>
      <c r="B1619" s="144"/>
      <c r="D1619" s="76"/>
      <c r="E1619" s="89"/>
      <c r="F1619" s="89"/>
      <c r="G1619" s="89"/>
      <c r="H1619" s="89"/>
      <c r="I1619" s="89"/>
    </row>
    <row r="1620" spans="1:9" s="145" customFormat="1">
      <c r="A1620" s="89"/>
      <c r="B1620" s="144"/>
      <c r="D1620" s="76"/>
      <c r="E1620" s="89"/>
      <c r="F1620" s="89"/>
      <c r="G1620" s="89"/>
      <c r="H1620" s="89"/>
      <c r="I1620" s="89"/>
    </row>
    <row r="1621" spans="1:9" s="145" customFormat="1">
      <c r="A1621" s="89"/>
      <c r="B1621" s="144"/>
      <c r="D1621" s="76"/>
      <c r="E1621" s="89"/>
      <c r="F1621" s="89"/>
      <c r="G1621" s="89"/>
      <c r="H1621" s="89"/>
      <c r="I1621" s="89"/>
    </row>
    <row r="1622" spans="1:9" s="145" customFormat="1">
      <c r="A1622" s="89"/>
      <c r="B1622" s="144"/>
      <c r="D1622" s="76"/>
      <c r="E1622" s="89"/>
      <c r="F1622" s="89"/>
      <c r="G1622" s="89"/>
      <c r="H1622" s="89"/>
      <c r="I1622" s="89"/>
    </row>
    <row r="1623" spans="1:9" s="145" customFormat="1">
      <c r="A1623" s="89"/>
      <c r="B1623" s="144"/>
      <c r="D1623" s="76"/>
      <c r="E1623" s="89"/>
      <c r="F1623" s="89"/>
      <c r="G1623" s="89"/>
      <c r="H1623" s="89"/>
      <c r="I1623" s="89"/>
    </row>
    <row r="1624" spans="1:9" s="145" customFormat="1">
      <c r="A1624" s="89"/>
      <c r="B1624" s="144"/>
      <c r="D1624" s="76"/>
      <c r="E1624" s="89"/>
      <c r="F1624" s="89"/>
      <c r="G1624" s="89"/>
      <c r="H1624" s="89"/>
      <c r="I1624" s="89"/>
    </row>
    <row r="1625" spans="1:9" s="145" customFormat="1">
      <c r="A1625" s="89"/>
      <c r="B1625" s="144"/>
      <c r="D1625" s="76"/>
      <c r="E1625" s="89"/>
      <c r="F1625" s="89"/>
      <c r="G1625" s="89"/>
      <c r="H1625" s="89"/>
      <c r="I1625" s="89"/>
    </row>
    <row r="1626" spans="1:9" s="145" customFormat="1">
      <c r="A1626" s="89"/>
      <c r="B1626" s="144"/>
      <c r="D1626" s="76"/>
      <c r="E1626" s="89"/>
      <c r="F1626" s="89"/>
      <c r="G1626" s="89"/>
      <c r="H1626" s="89"/>
      <c r="I1626" s="89"/>
    </row>
    <row r="1627" spans="1:9" s="145" customFormat="1">
      <c r="A1627" s="89"/>
      <c r="B1627" s="144"/>
      <c r="D1627" s="76"/>
      <c r="E1627" s="89"/>
      <c r="F1627" s="89"/>
      <c r="G1627" s="89"/>
      <c r="H1627" s="89"/>
      <c r="I1627" s="89"/>
    </row>
    <row r="1628" spans="1:9" s="145" customFormat="1">
      <c r="A1628" s="89"/>
      <c r="B1628" s="144"/>
      <c r="D1628" s="76"/>
      <c r="E1628" s="89"/>
      <c r="F1628" s="89"/>
      <c r="G1628" s="89"/>
      <c r="H1628" s="89"/>
      <c r="I1628" s="89"/>
    </row>
    <row r="1629" spans="1:9" s="145" customFormat="1">
      <c r="A1629" s="89"/>
      <c r="B1629" s="144"/>
      <c r="D1629" s="76"/>
      <c r="E1629" s="89"/>
      <c r="F1629" s="89"/>
      <c r="G1629" s="89"/>
      <c r="H1629" s="89"/>
      <c r="I1629" s="89"/>
    </row>
    <row r="1630" spans="1:9" s="145" customFormat="1">
      <c r="A1630" s="89"/>
      <c r="B1630" s="144"/>
      <c r="D1630" s="76"/>
      <c r="E1630" s="89"/>
      <c r="F1630" s="89"/>
      <c r="G1630" s="89"/>
      <c r="H1630" s="89"/>
      <c r="I1630" s="89"/>
    </row>
    <row r="1631" spans="1:9" s="145" customFormat="1">
      <c r="A1631" s="89"/>
      <c r="B1631" s="144"/>
      <c r="D1631" s="76"/>
      <c r="E1631" s="89"/>
      <c r="F1631" s="89"/>
      <c r="G1631" s="89"/>
      <c r="H1631" s="89"/>
      <c r="I1631" s="89"/>
    </row>
    <row r="1632" spans="1:9" s="145" customFormat="1">
      <c r="A1632" s="89"/>
      <c r="B1632" s="144"/>
      <c r="D1632" s="76"/>
      <c r="E1632" s="89"/>
      <c r="F1632" s="89"/>
      <c r="G1632" s="89"/>
      <c r="H1632" s="89"/>
      <c r="I1632" s="89"/>
    </row>
    <row r="1633" spans="1:9" s="145" customFormat="1">
      <c r="A1633" s="89"/>
      <c r="B1633" s="144"/>
      <c r="D1633" s="76"/>
      <c r="E1633" s="89"/>
      <c r="F1633" s="89"/>
      <c r="G1633" s="89"/>
      <c r="H1633" s="89"/>
      <c r="I1633" s="89"/>
    </row>
    <row r="1634" spans="1:9" s="145" customFormat="1">
      <c r="A1634" s="89"/>
      <c r="B1634" s="144"/>
      <c r="D1634" s="76"/>
      <c r="E1634" s="89"/>
      <c r="F1634" s="89"/>
      <c r="G1634" s="89"/>
      <c r="H1634" s="89"/>
      <c r="I1634" s="89"/>
    </row>
    <row r="1635" spans="1:9" s="145" customFormat="1">
      <c r="A1635" s="89"/>
      <c r="B1635" s="144"/>
      <c r="D1635" s="76"/>
      <c r="E1635" s="89"/>
      <c r="F1635" s="89"/>
      <c r="G1635" s="89"/>
      <c r="H1635" s="89"/>
      <c r="I1635" s="89"/>
    </row>
    <row r="1636" spans="1:9" s="145" customFormat="1">
      <c r="A1636" s="89"/>
      <c r="B1636" s="144"/>
      <c r="D1636" s="76"/>
      <c r="E1636" s="89"/>
      <c r="F1636" s="89"/>
      <c r="G1636" s="89"/>
      <c r="H1636" s="89"/>
      <c r="I1636" s="89"/>
    </row>
    <row r="1637" spans="1:9" s="145" customFormat="1">
      <c r="A1637" s="89"/>
      <c r="B1637" s="144"/>
      <c r="D1637" s="76"/>
      <c r="E1637" s="89"/>
      <c r="F1637" s="89"/>
      <c r="G1637" s="89"/>
      <c r="H1637" s="89"/>
      <c r="I1637" s="89"/>
    </row>
    <row r="1638" spans="1:9" s="145" customFormat="1">
      <c r="A1638" s="89"/>
      <c r="B1638" s="144"/>
      <c r="D1638" s="76"/>
      <c r="E1638" s="89"/>
      <c r="F1638" s="89"/>
      <c r="G1638" s="89"/>
      <c r="H1638" s="89"/>
      <c r="I1638" s="89"/>
    </row>
    <row r="1639" spans="1:9" s="145" customFormat="1">
      <c r="A1639" s="89"/>
      <c r="B1639" s="144"/>
      <c r="D1639" s="76"/>
      <c r="E1639" s="89"/>
      <c r="F1639" s="89"/>
      <c r="G1639" s="89"/>
      <c r="H1639" s="89"/>
      <c r="I1639" s="89"/>
    </row>
    <row r="1640" spans="1:9" s="145" customFormat="1">
      <c r="A1640" s="89"/>
      <c r="B1640" s="144"/>
      <c r="D1640" s="76"/>
      <c r="E1640" s="89"/>
      <c r="F1640" s="89"/>
      <c r="G1640" s="89"/>
      <c r="H1640" s="89"/>
      <c r="I1640" s="89"/>
    </row>
    <row r="1641" spans="1:9" s="145" customFormat="1">
      <c r="A1641" s="89"/>
      <c r="B1641" s="144"/>
      <c r="D1641" s="76"/>
      <c r="E1641" s="89"/>
      <c r="F1641" s="89"/>
      <c r="G1641" s="89"/>
      <c r="H1641" s="89"/>
      <c r="I1641" s="89"/>
    </row>
    <row r="1642" spans="1:9" s="145" customFormat="1">
      <c r="A1642" s="89"/>
      <c r="B1642" s="144"/>
      <c r="D1642" s="76"/>
      <c r="E1642" s="89"/>
      <c r="F1642" s="89"/>
      <c r="G1642" s="89"/>
      <c r="H1642" s="89"/>
      <c r="I1642" s="89"/>
    </row>
    <row r="1643" spans="1:9" s="145" customFormat="1">
      <c r="A1643" s="89"/>
      <c r="B1643" s="144"/>
      <c r="D1643" s="76"/>
      <c r="E1643" s="89"/>
      <c r="F1643" s="89"/>
      <c r="G1643" s="89"/>
      <c r="H1643" s="89"/>
      <c r="I1643" s="89"/>
    </row>
    <row r="1644" spans="1:9" s="145" customFormat="1">
      <c r="A1644" s="89"/>
      <c r="B1644" s="144"/>
      <c r="D1644" s="76"/>
      <c r="E1644" s="89"/>
      <c r="F1644" s="89"/>
      <c r="G1644" s="89"/>
      <c r="H1644" s="89"/>
      <c r="I1644" s="89"/>
    </row>
    <row r="1645" spans="1:9" s="145" customFormat="1">
      <c r="A1645" s="89"/>
      <c r="B1645" s="144"/>
      <c r="D1645" s="76"/>
      <c r="E1645" s="89"/>
      <c r="F1645" s="89"/>
      <c r="G1645" s="89"/>
      <c r="H1645" s="89"/>
      <c r="I1645" s="89"/>
    </row>
    <row r="1646" spans="1:9" s="145" customFormat="1">
      <c r="A1646" s="89"/>
      <c r="B1646" s="144"/>
      <c r="D1646" s="76"/>
      <c r="E1646" s="89"/>
      <c r="F1646" s="89"/>
      <c r="G1646" s="89"/>
      <c r="H1646" s="89"/>
      <c r="I1646" s="89"/>
    </row>
    <row r="1647" spans="1:9" s="145" customFormat="1">
      <c r="A1647" s="89"/>
      <c r="B1647" s="144"/>
      <c r="D1647" s="76"/>
      <c r="E1647" s="89"/>
      <c r="F1647" s="89"/>
      <c r="G1647" s="89"/>
      <c r="H1647" s="89"/>
      <c r="I1647" s="89"/>
    </row>
    <row r="1648" spans="1:9" s="145" customFormat="1">
      <c r="A1648" s="89"/>
      <c r="B1648" s="144"/>
      <c r="D1648" s="76"/>
      <c r="E1648" s="89"/>
      <c r="F1648" s="89"/>
      <c r="G1648" s="89"/>
      <c r="H1648" s="89"/>
      <c r="I1648" s="89"/>
    </row>
    <row r="1649" spans="1:9" s="145" customFormat="1">
      <c r="A1649" s="89"/>
      <c r="B1649" s="144"/>
      <c r="D1649" s="76"/>
      <c r="E1649" s="89"/>
      <c r="F1649" s="89"/>
      <c r="G1649" s="89"/>
      <c r="H1649" s="89"/>
      <c r="I1649" s="89"/>
    </row>
    <row r="1650" spans="1:9" s="145" customFormat="1">
      <c r="A1650" s="89"/>
      <c r="B1650" s="144"/>
      <c r="D1650" s="76"/>
      <c r="E1650" s="89"/>
      <c r="F1650" s="89"/>
      <c r="G1650" s="89"/>
      <c r="H1650" s="89"/>
      <c r="I1650" s="89"/>
    </row>
    <row r="1651" spans="1:9" s="145" customFormat="1">
      <c r="A1651" s="89"/>
      <c r="B1651" s="144"/>
      <c r="D1651" s="76"/>
      <c r="E1651" s="89"/>
      <c r="F1651" s="89"/>
      <c r="G1651" s="89"/>
      <c r="H1651" s="89"/>
      <c r="I1651" s="89"/>
    </row>
    <row r="1652" spans="1:9" s="145" customFormat="1">
      <c r="A1652" s="89"/>
      <c r="B1652" s="144"/>
      <c r="D1652" s="76"/>
      <c r="E1652" s="89"/>
      <c r="F1652" s="89"/>
      <c r="G1652" s="89"/>
      <c r="H1652" s="89"/>
      <c r="I1652" s="89"/>
    </row>
    <row r="1653" spans="1:9" s="145" customFormat="1">
      <c r="A1653" s="89"/>
      <c r="B1653" s="144"/>
      <c r="D1653" s="76"/>
      <c r="E1653" s="89"/>
      <c r="F1653" s="89"/>
      <c r="G1653" s="89"/>
      <c r="H1653" s="89"/>
      <c r="I1653" s="89"/>
    </row>
    <row r="1654" spans="1:9" s="145" customFormat="1">
      <c r="A1654" s="89"/>
      <c r="B1654" s="144"/>
      <c r="D1654" s="76"/>
      <c r="E1654" s="89"/>
      <c r="F1654" s="89"/>
      <c r="G1654" s="89"/>
      <c r="H1654" s="89"/>
      <c r="I1654" s="89"/>
    </row>
    <row r="1655" spans="1:9" s="145" customFormat="1">
      <c r="A1655" s="89"/>
      <c r="B1655" s="144"/>
      <c r="D1655" s="76"/>
      <c r="E1655" s="89"/>
      <c r="F1655" s="89"/>
      <c r="G1655" s="89"/>
      <c r="H1655" s="89"/>
      <c r="I1655" s="89"/>
    </row>
    <row r="1656" spans="1:9" s="145" customFormat="1">
      <c r="A1656" s="89"/>
      <c r="B1656" s="144"/>
      <c r="D1656" s="76"/>
      <c r="E1656" s="89"/>
      <c r="F1656" s="89"/>
      <c r="G1656" s="89"/>
      <c r="H1656" s="89"/>
      <c r="I1656" s="89"/>
    </row>
    <row r="1657" spans="1:9" s="145" customFormat="1">
      <c r="A1657" s="89"/>
      <c r="B1657" s="144"/>
      <c r="D1657" s="76"/>
      <c r="E1657" s="89"/>
      <c r="F1657" s="89"/>
      <c r="G1657" s="89"/>
      <c r="H1657" s="89"/>
      <c r="I1657" s="89"/>
    </row>
    <row r="1658" spans="1:9" s="145" customFormat="1">
      <c r="A1658" s="89"/>
      <c r="B1658" s="144"/>
      <c r="D1658" s="76"/>
      <c r="E1658" s="89"/>
      <c r="F1658" s="89"/>
      <c r="G1658" s="89"/>
      <c r="H1658" s="89"/>
      <c r="I1658" s="89"/>
    </row>
    <row r="1659" spans="1:9" s="145" customFormat="1">
      <c r="A1659" s="89"/>
      <c r="B1659" s="144"/>
      <c r="D1659" s="76"/>
      <c r="E1659" s="89"/>
      <c r="F1659" s="89"/>
      <c r="G1659" s="89"/>
      <c r="H1659" s="89"/>
      <c r="I1659" s="89"/>
    </row>
    <row r="1660" spans="1:9" s="145" customFormat="1">
      <c r="A1660" s="89"/>
      <c r="B1660" s="144"/>
      <c r="D1660" s="76"/>
      <c r="E1660" s="89"/>
      <c r="F1660" s="89"/>
      <c r="G1660" s="89"/>
      <c r="H1660" s="89"/>
      <c r="I1660" s="89"/>
    </row>
    <row r="1661" spans="1:9" s="145" customFormat="1">
      <c r="A1661" s="89"/>
      <c r="B1661" s="144"/>
      <c r="D1661" s="76"/>
      <c r="E1661" s="89"/>
      <c r="F1661" s="89"/>
      <c r="G1661" s="89"/>
      <c r="H1661" s="89"/>
      <c r="I1661" s="89"/>
    </row>
    <row r="1662" spans="1:9" s="145" customFormat="1">
      <c r="A1662" s="89"/>
      <c r="B1662" s="144"/>
      <c r="D1662" s="76"/>
      <c r="E1662" s="89"/>
      <c r="F1662" s="89"/>
      <c r="G1662" s="89"/>
      <c r="H1662" s="89"/>
      <c r="I1662" s="89"/>
    </row>
    <row r="1663" spans="1:9" s="145" customFormat="1">
      <c r="A1663" s="89"/>
      <c r="B1663" s="144"/>
      <c r="D1663" s="76"/>
      <c r="E1663" s="89"/>
      <c r="F1663" s="89"/>
      <c r="G1663" s="89"/>
      <c r="H1663" s="89"/>
      <c r="I1663" s="89"/>
    </row>
    <row r="1664" spans="1:9" s="145" customFormat="1">
      <c r="A1664" s="89"/>
      <c r="B1664" s="144"/>
      <c r="D1664" s="76"/>
      <c r="E1664" s="89"/>
      <c r="F1664" s="89"/>
      <c r="G1664" s="89"/>
      <c r="H1664" s="89"/>
      <c r="I1664" s="89"/>
    </row>
    <row r="1665" spans="1:9" s="145" customFormat="1">
      <c r="A1665" s="89"/>
      <c r="B1665" s="144"/>
      <c r="D1665" s="76"/>
      <c r="E1665" s="89"/>
      <c r="F1665" s="89"/>
      <c r="G1665" s="89"/>
      <c r="H1665" s="89"/>
      <c r="I1665" s="89"/>
    </row>
    <row r="1666" spans="1:9" s="145" customFormat="1">
      <c r="A1666" s="89"/>
      <c r="B1666" s="144"/>
      <c r="D1666" s="76"/>
      <c r="E1666" s="89"/>
      <c r="F1666" s="89"/>
      <c r="G1666" s="89"/>
      <c r="H1666" s="89"/>
      <c r="I1666" s="89"/>
    </row>
    <row r="1667" spans="1:9" s="145" customFormat="1">
      <c r="A1667" s="89"/>
      <c r="B1667" s="144"/>
      <c r="D1667" s="76"/>
      <c r="E1667" s="89"/>
      <c r="F1667" s="89"/>
      <c r="G1667" s="89"/>
      <c r="H1667" s="89"/>
      <c r="I1667" s="89"/>
    </row>
    <row r="1668" spans="1:9" s="145" customFormat="1">
      <c r="A1668" s="89"/>
      <c r="B1668" s="144"/>
      <c r="D1668" s="76"/>
      <c r="E1668" s="89"/>
      <c r="F1668" s="89"/>
      <c r="G1668" s="89"/>
      <c r="H1668" s="89"/>
      <c r="I1668" s="89"/>
    </row>
    <row r="1669" spans="1:9" s="145" customFormat="1">
      <c r="A1669" s="89"/>
      <c r="B1669" s="144"/>
      <c r="D1669" s="76"/>
      <c r="E1669" s="89"/>
      <c r="F1669" s="89"/>
      <c r="G1669" s="89"/>
      <c r="H1669" s="89"/>
      <c r="I1669" s="89"/>
    </row>
    <row r="1670" spans="1:9" s="145" customFormat="1">
      <c r="A1670" s="89"/>
      <c r="B1670" s="144"/>
      <c r="D1670" s="76"/>
      <c r="E1670" s="89"/>
      <c r="F1670" s="89"/>
      <c r="G1670" s="89"/>
      <c r="H1670" s="89"/>
      <c r="I1670" s="89"/>
    </row>
    <row r="1671" spans="1:9" s="145" customFormat="1">
      <c r="A1671" s="89"/>
      <c r="B1671" s="144"/>
      <c r="D1671" s="76"/>
      <c r="E1671" s="89"/>
      <c r="F1671" s="89"/>
      <c r="G1671" s="89"/>
      <c r="H1671" s="89"/>
      <c r="I1671" s="89"/>
    </row>
    <row r="1672" spans="1:9" s="145" customFormat="1">
      <c r="A1672" s="89"/>
      <c r="B1672" s="144"/>
      <c r="D1672" s="76"/>
      <c r="E1672" s="89"/>
      <c r="F1672" s="89"/>
      <c r="G1672" s="89"/>
      <c r="H1672" s="89"/>
      <c r="I1672" s="89"/>
    </row>
    <row r="1673" spans="1:9" s="145" customFormat="1">
      <c r="A1673" s="89"/>
      <c r="B1673" s="144"/>
      <c r="D1673" s="76"/>
      <c r="E1673" s="89"/>
      <c r="F1673" s="89"/>
      <c r="G1673" s="89"/>
      <c r="H1673" s="89"/>
      <c r="I1673" s="89"/>
    </row>
    <row r="1674" spans="1:9" s="145" customFormat="1">
      <c r="A1674" s="89"/>
      <c r="B1674" s="144"/>
      <c r="D1674" s="76"/>
      <c r="E1674" s="89"/>
      <c r="F1674" s="89"/>
      <c r="G1674" s="89"/>
      <c r="H1674" s="89"/>
      <c r="I1674" s="89"/>
    </row>
    <row r="1675" spans="1:9" s="145" customFormat="1">
      <c r="A1675" s="89"/>
      <c r="B1675" s="144"/>
      <c r="D1675" s="76"/>
      <c r="E1675" s="89"/>
      <c r="F1675" s="89"/>
      <c r="G1675" s="89"/>
      <c r="H1675" s="89"/>
      <c r="I1675" s="89"/>
    </row>
    <row r="1676" spans="1:9" s="145" customFormat="1">
      <c r="A1676" s="89"/>
      <c r="B1676" s="144"/>
      <c r="D1676" s="76"/>
      <c r="E1676" s="89"/>
      <c r="F1676" s="89"/>
      <c r="G1676" s="89"/>
      <c r="H1676" s="89"/>
      <c r="I1676" s="89"/>
    </row>
    <row r="1677" spans="1:9" s="145" customFormat="1">
      <c r="A1677" s="89"/>
      <c r="B1677" s="144"/>
      <c r="D1677" s="76"/>
      <c r="E1677" s="89"/>
      <c r="F1677" s="89"/>
      <c r="G1677" s="89"/>
      <c r="H1677" s="89"/>
      <c r="I1677" s="89"/>
    </row>
    <row r="1678" spans="1:9" s="145" customFormat="1">
      <c r="A1678" s="89"/>
      <c r="B1678" s="144"/>
      <c r="D1678" s="76"/>
      <c r="E1678" s="89"/>
      <c r="F1678" s="89"/>
      <c r="G1678" s="89"/>
      <c r="H1678" s="89"/>
      <c r="I1678" s="89"/>
    </row>
    <row r="1679" spans="1:9" s="145" customFormat="1">
      <c r="A1679" s="89"/>
      <c r="B1679" s="144"/>
      <c r="D1679" s="76"/>
      <c r="E1679" s="89"/>
      <c r="F1679" s="89"/>
      <c r="G1679" s="89"/>
      <c r="H1679" s="89"/>
      <c r="I1679" s="89"/>
    </row>
    <row r="1680" spans="1:9" s="145" customFormat="1">
      <c r="A1680" s="89"/>
      <c r="B1680" s="144"/>
      <c r="D1680" s="76"/>
      <c r="E1680" s="89"/>
      <c r="F1680" s="89"/>
      <c r="G1680" s="89"/>
      <c r="H1680" s="89"/>
      <c r="I1680" s="89"/>
    </row>
    <row r="1681" spans="1:9" s="145" customFormat="1">
      <c r="A1681" s="89"/>
      <c r="B1681" s="144"/>
      <c r="D1681" s="76"/>
      <c r="E1681" s="89"/>
      <c r="F1681" s="89"/>
      <c r="G1681" s="89"/>
      <c r="H1681" s="89"/>
      <c r="I1681" s="89"/>
    </row>
    <row r="1682" spans="1:9" s="145" customFormat="1">
      <c r="A1682" s="89"/>
      <c r="B1682" s="144"/>
      <c r="D1682" s="76"/>
      <c r="E1682" s="89"/>
      <c r="F1682" s="89"/>
      <c r="G1682" s="89"/>
      <c r="H1682" s="89"/>
      <c r="I1682" s="89"/>
    </row>
    <row r="1683" spans="1:9" s="145" customFormat="1">
      <c r="A1683" s="89"/>
      <c r="B1683" s="144"/>
      <c r="D1683" s="76"/>
      <c r="E1683" s="89"/>
      <c r="F1683" s="89"/>
      <c r="G1683" s="89"/>
      <c r="H1683" s="89"/>
      <c r="I1683" s="89"/>
    </row>
    <row r="1684" spans="1:9" s="145" customFormat="1">
      <c r="A1684" s="89"/>
      <c r="B1684" s="144"/>
      <c r="D1684" s="76"/>
      <c r="E1684" s="89"/>
      <c r="F1684" s="89"/>
      <c r="G1684" s="89"/>
      <c r="H1684" s="89"/>
      <c r="I1684" s="89"/>
    </row>
    <row r="1685" spans="1:9" s="145" customFormat="1">
      <c r="A1685" s="89"/>
      <c r="B1685" s="144"/>
      <c r="D1685" s="76"/>
      <c r="E1685" s="89"/>
      <c r="F1685" s="89"/>
      <c r="G1685" s="89"/>
      <c r="H1685" s="89"/>
      <c r="I1685" s="89"/>
    </row>
    <row r="1686" spans="1:9" s="145" customFormat="1">
      <c r="A1686" s="89"/>
      <c r="B1686" s="144"/>
      <c r="D1686" s="76"/>
      <c r="E1686" s="89"/>
      <c r="F1686" s="89"/>
      <c r="G1686" s="89"/>
      <c r="H1686" s="89"/>
      <c r="I1686" s="89"/>
    </row>
    <row r="1687" spans="1:9" s="145" customFormat="1">
      <c r="A1687" s="89"/>
      <c r="B1687" s="144"/>
      <c r="D1687" s="76"/>
      <c r="E1687" s="89"/>
      <c r="F1687" s="89"/>
      <c r="G1687" s="89"/>
      <c r="H1687" s="89"/>
      <c r="I1687" s="89"/>
    </row>
    <row r="1688" spans="1:9" s="145" customFormat="1">
      <c r="A1688" s="89"/>
      <c r="B1688" s="144"/>
      <c r="D1688" s="76"/>
      <c r="E1688" s="89"/>
      <c r="F1688" s="89"/>
      <c r="G1688" s="89"/>
      <c r="H1688" s="89"/>
      <c r="I1688" s="89"/>
    </row>
    <row r="1689" spans="1:9" s="145" customFormat="1">
      <c r="A1689" s="89"/>
      <c r="B1689" s="144"/>
      <c r="D1689" s="76"/>
      <c r="E1689" s="89"/>
      <c r="F1689" s="89"/>
      <c r="G1689" s="89"/>
      <c r="H1689" s="89"/>
      <c r="I1689" s="89"/>
    </row>
    <row r="1690" spans="1:9" s="145" customFormat="1">
      <c r="A1690" s="89"/>
      <c r="B1690" s="144"/>
      <c r="D1690" s="76"/>
      <c r="E1690" s="89"/>
      <c r="F1690" s="89"/>
      <c r="G1690" s="89"/>
      <c r="H1690" s="89"/>
      <c r="I1690" s="89"/>
    </row>
    <row r="1691" spans="1:9" s="145" customFormat="1">
      <c r="A1691" s="89"/>
      <c r="B1691" s="144"/>
      <c r="D1691" s="76"/>
      <c r="E1691" s="89"/>
      <c r="F1691" s="89"/>
      <c r="G1691" s="89"/>
      <c r="H1691" s="89"/>
      <c r="I1691" s="89"/>
    </row>
    <row r="1692" spans="1:9" s="145" customFormat="1">
      <c r="A1692" s="89"/>
      <c r="B1692" s="144"/>
      <c r="D1692" s="76"/>
      <c r="E1692" s="89"/>
      <c r="F1692" s="89"/>
      <c r="G1692" s="89"/>
      <c r="H1692" s="89"/>
      <c r="I1692" s="89"/>
    </row>
    <row r="1693" spans="1:9" s="145" customFormat="1">
      <c r="A1693" s="89"/>
      <c r="B1693" s="144"/>
      <c r="D1693" s="76"/>
      <c r="E1693" s="89"/>
      <c r="F1693" s="89"/>
      <c r="G1693" s="89"/>
      <c r="H1693" s="89"/>
      <c r="I1693" s="89"/>
    </row>
    <row r="1694" spans="1:9" s="145" customFormat="1">
      <c r="A1694" s="89"/>
      <c r="B1694" s="144"/>
      <c r="D1694" s="76"/>
      <c r="E1694" s="89"/>
      <c r="F1694" s="89"/>
      <c r="G1694" s="89"/>
      <c r="H1694" s="89"/>
      <c r="I1694" s="89"/>
    </row>
    <row r="1695" spans="1:9" s="145" customFormat="1">
      <c r="A1695" s="89"/>
      <c r="B1695" s="144"/>
      <c r="D1695" s="76"/>
      <c r="E1695" s="89"/>
      <c r="F1695" s="89"/>
      <c r="G1695" s="89"/>
      <c r="H1695" s="89"/>
      <c r="I1695" s="89"/>
    </row>
    <row r="1696" spans="1:9" s="145" customFormat="1">
      <c r="A1696" s="89"/>
      <c r="B1696" s="144"/>
      <c r="D1696" s="76"/>
      <c r="E1696" s="89"/>
      <c r="F1696" s="89"/>
      <c r="G1696" s="89"/>
      <c r="H1696" s="89"/>
      <c r="I1696" s="89"/>
    </row>
    <row r="1697" spans="1:9" s="145" customFormat="1">
      <c r="A1697" s="89"/>
      <c r="B1697" s="144"/>
      <c r="D1697" s="76"/>
      <c r="E1697" s="89"/>
      <c r="F1697" s="89"/>
      <c r="G1697" s="89"/>
      <c r="H1697" s="89"/>
      <c r="I1697" s="89"/>
    </row>
    <row r="1698" spans="1:9" s="145" customFormat="1">
      <c r="A1698" s="89"/>
      <c r="B1698" s="144"/>
      <c r="D1698" s="76"/>
      <c r="E1698" s="89"/>
      <c r="F1698" s="89"/>
      <c r="G1698" s="89"/>
      <c r="H1698" s="89"/>
      <c r="I1698" s="89"/>
    </row>
    <row r="1699" spans="1:9" s="145" customFormat="1">
      <c r="A1699" s="89"/>
      <c r="B1699" s="144"/>
      <c r="D1699" s="76"/>
      <c r="E1699" s="89"/>
      <c r="F1699" s="89"/>
      <c r="G1699" s="89"/>
      <c r="H1699" s="89"/>
      <c r="I1699" s="89"/>
    </row>
    <row r="1700" spans="1:9" s="145" customFormat="1">
      <c r="A1700" s="89"/>
      <c r="B1700" s="144"/>
      <c r="D1700" s="76"/>
      <c r="E1700" s="89"/>
      <c r="F1700" s="89"/>
      <c r="G1700" s="89"/>
      <c r="H1700" s="89"/>
      <c r="I1700" s="89"/>
    </row>
    <row r="1701" spans="1:9" s="145" customFormat="1">
      <c r="A1701" s="89"/>
      <c r="B1701" s="144"/>
      <c r="D1701" s="76"/>
      <c r="E1701" s="89"/>
      <c r="F1701" s="89"/>
      <c r="G1701" s="89"/>
      <c r="H1701" s="89"/>
      <c r="I1701" s="89"/>
    </row>
    <row r="1702" spans="1:9" s="145" customFormat="1">
      <c r="A1702" s="89"/>
      <c r="B1702" s="144"/>
      <c r="D1702" s="76"/>
      <c r="E1702" s="89"/>
      <c r="F1702" s="89"/>
      <c r="G1702" s="89"/>
      <c r="H1702" s="89"/>
      <c r="I1702" s="89"/>
    </row>
    <row r="1703" spans="1:9" s="145" customFormat="1">
      <c r="A1703" s="89"/>
      <c r="B1703" s="144"/>
      <c r="D1703" s="76"/>
      <c r="E1703" s="89"/>
      <c r="F1703" s="89"/>
      <c r="G1703" s="89"/>
      <c r="H1703" s="89"/>
      <c r="I1703" s="89"/>
    </row>
    <row r="1704" spans="1:9" s="145" customFormat="1">
      <c r="A1704" s="89"/>
      <c r="B1704" s="144"/>
      <c r="D1704" s="76"/>
      <c r="E1704" s="89"/>
      <c r="F1704" s="89"/>
      <c r="G1704" s="89"/>
      <c r="H1704" s="89"/>
      <c r="I1704" s="89"/>
    </row>
    <row r="1705" spans="1:9" s="145" customFormat="1">
      <c r="A1705" s="89"/>
      <c r="B1705" s="144"/>
      <c r="D1705" s="76"/>
      <c r="E1705" s="89"/>
      <c r="F1705" s="89"/>
      <c r="G1705" s="89"/>
      <c r="H1705" s="89"/>
      <c r="I1705" s="89"/>
    </row>
    <row r="1706" spans="1:9" s="145" customFormat="1">
      <c r="A1706" s="89"/>
      <c r="B1706" s="144"/>
      <c r="D1706" s="76"/>
      <c r="E1706" s="89"/>
      <c r="F1706" s="89"/>
      <c r="G1706" s="89"/>
      <c r="H1706" s="89"/>
      <c r="I1706" s="89"/>
    </row>
    <row r="1707" spans="1:9" s="145" customFormat="1">
      <c r="A1707" s="89"/>
      <c r="B1707" s="144"/>
      <c r="D1707" s="76"/>
      <c r="E1707" s="89"/>
      <c r="F1707" s="89"/>
      <c r="G1707" s="89"/>
      <c r="H1707" s="89"/>
      <c r="I1707" s="89"/>
    </row>
    <row r="1708" spans="1:9" s="145" customFormat="1">
      <c r="A1708" s="89"/>
      <c r="B1708" s="144"/>
      <c r="D1708" s="76"/>
      <c r="E1708" s="89"/>
      <c r="F1708" s="89"/>
      <c r="G1708" s="89"/>
      <c r="H1708" s="89"/>
      <c r="I1708" s="89"/>
    </row>
    <row r="1709" spans="1:9" s="145" customFormat="1">
      <c r="A1709" s="89"/>
      <c r="B1709" s="144"/>
      <c r="D1709" s="76"/>
      <c r="E1709" s="89"/>
      <c r="F1709" s="89"/>
      <c r="G1709" s="89"/>
      <c r="H1709" s="89"/>
      <c r="I1709" s="89"/>
    </row>
    <row r="1710" spans="1:9" s="145" customFormat="1">
      <c r="A1710" s="89"/>
      <c r="B1710" s="144"/>
      <c r="D1710" s="76"/>
      <c r="E1710" s="89"/>
      <c r="F1710" s="89"/>
      <c r="G1710" s="89"/>
      <c r="H1710" s="89"/>
      <c r="I1710" s="89"/>
    </row>
    <row r="1711" spans="1:9" s="145" customFormat="1">
      <c r="A1711" s="89"/>
      <c r="B1711" s="144"/>
      <c r="D1711" s="76"/>
      <c r="E1711" s="89"/>
      <c r="F1711" s="89"/>
      <c r="G1711" s="89"/>
      <c r="H1711" s="89"/>
      <c r="I1711" s="89"/>
    </row>
    <row r="1712" spans="1:9" s="145" customFormat="1">
      <c r="A1712" s="89"/>
      <c r="B1712" s="144"/>
      <c r="D1712" s="76"/>
      <c r="E1712" s="89"/>
      <c r="F1712" s="89"/>
      <c r="G1712" s="89"/>
      <c r="H1712" s="89"/>
      <c r="I1712" s="89"/>
    </row>
    <row r="1713" spans="1:9" s="145" customFormat="1">
      <c r="A1713" s="89"/>
      <c r="B1713" s="144"/>
      <c r="D1713" s="76"/>
      <c r="E1713" s="89"/>
      <c r="F1713" s="89"/>
      <c r="G1713" s="89"/>
      <c r="H1713" s="89"/>
      <c r="I1713" s="89"/>
    </row>
    <row r="1714" spans="1:9" s="145" customFormat="1">
      <c r="A1714" s="89"/>
      <c r="B1714" s="144"/>
      <c r="D1714" s="76"/>
      <c r="E1714" s="89"/>
      <c r="F1714" s="89"/>
      <c r="G1714" s="89"/>
      <c r="H1714" s="89"/>
      <c r="I1714" s="89"/>
    </row>
    <row r="1715" spans="1:9" s="145" customFormat="1">
      <c r="A1715" s="89"/>
      <c r="B1715" s="144"/>
      <c r="D1715" s="76"/>
      <c r="E1715" s="89"/>
      <c r="F1715" s="89"/>
      <c r="G1715" s="89"/>
      <c r="H1715" s="89"/>
      <c r="I1715" s="89"/>
    </row>
    <row r="1716" spans="1:9" s="145" customFormat="1">
      <c r="A1716" s="89"/>
      <c r="B1716" s="144"/>
      <c r="D1716" s="76"/>
      <c r="E1716" s="89"/>
      <c r="F1716" s="89"/>
      <c r="G1716" s="89"/>
      <c r="H1716" s="89"/>
      <c r="I1716" s="89"/>
    </row>
    <row r="1717" spans="1:9" s="145" customFormat="1">
      <c r="A1717" s="89"/>
      <c r="B1717" s="144"/>
      <c r="D1717" s="76"/>
      <c r="E1717" s="89"/>
      <c r="F1717" s="89"/>
      <c r="G1717" s="89"/>
      <c r="H1717" s="89"/>
      <c r="I1717" s="89"/>
    </row>
    <row r="1718" spans="1:9" s="145" customFormat="1">
      <c r="A1718" s="89"/>
      <c r="B1718" s="144"/>
      <c r="D1718" s="76"/>
      <c r="E1718" s="89"/>
      <c r="F1718" s="89"/>
      <c r="G1718" s="89"/>
      <c r="H1718" s="89"/>
      <c r="I1718" s="89"/>
    </row>
    <row r="1719" spans="1:9" s="145" customFormat="1">
      <c r="A1719" s="89"/>
      <c r="B1719" s="144"/>
      <c r="D1719" s="76"/>
      <c r="E1719" s="89"/>
      <c r="F1719" s="89"/>
      <c r="G1719" s="89"/>
      <c r="H1719" s="89"/>
      <c r="I1719" s="89"/>
    </row>
    <row r="1720" spans="1:9" s="145" customFormat="1">
      <c r="A1720" s="89"/>
      <c r="B1720" s="144"/>
      <c r="D1720" s="76"/>
      <c r="E1720" s="89"/>
      <c r="F1720" s="89"/>
      <c r="G1720" s="89"/>
      <c r="H1720" s="89"/>
      <c r="I1720" s="89"/>
    </row>
    <row r="1721" spans="1:9" s="145" customFormat="1">
      <c r="A1721" s="89"/>
      <c r="B1721" s="144"/>
      <c r="D1721" s="76"/>
      <c r="E1721" s="89"/>
      <c r="F1721" s="89"/>
      <c r="G1721" s="89"/>
      <c r="H1721" s="89"/>
      <c r="I1721" s="89"/>
    </row>
    <row r="1722" spans="1:9" s="145" customFormat="1">
      <c r="A1722" s="89"/>
      <c r="B1722" s="144"/>
      <c r="D1722" s="76"/>
      <c r="E1722" s="89"/>
      <c r="F1722" s="89"/>
      <c r="G1722" s="89"/>
      <c r="H1722" s="89"/>
      <c r="I1722" s="89"/>
    </row>
    <row r="1723" spans="1:9" s="145" customFormat="1">
      <c r="A1723" s="89"/>
      <c r="B1723" s="144"/>
      <c r="D1723" s="76"/>
      <c r="E1723" s="89"/>
      <c r="F1723" s="89"/>
      <c r="G1723" s="89"/>
      <c r="H1723" s="89"/>
      <c r="I1723" s="89"/>
    </row>
    <row r="1724" spans="1:9" s="145" customFormat="1">
      <c r="A1724" s="89"/>
      <c r="B1724" s="144"/>
      <c r="D1724" s="76"/>
      <c r="E1724" s="89"/>
      <c r="F1724" s="89"/>
      <c r="G1724" s="89"/>
      <c r="H1724" s="89"/>
      <c r="I1724" s="89"/>
    </row>
    <row r="1725" spans="1:9" s="145" customFormat="1">
      <c r="A1725" s="89"/>
      <c r="B1725" s="144"/>
      <c r="D1725" s="76"/>
      <c r="E1725" s="89"/>
      <c r="F1725" s="89"/>
      <c r="G1725" s="89"/>
      <c r="H1725" s="89"/>
      <c r="I1725" s="89"/>
    </row>
    <row r="1726" spans="1:9" s="145" customFormat="1">
      <c r="A1726" s="89"/>
      <c r="B1726" s="144"/>
      <c r="D1726" s="76"/>
      <c r="E1726" s="89"/>
      <c r="F1726" s="89"/>
      <c r="G1726" s="89"/>
      <c r="H1726" s="89"/>
      <c r="I1726" s="89"/>
    </row>
    <row r="1727" spans="1:9" s="145" customFormat="1">
      <c r="A1727" s="89"/>
      <c r="B1727" s="144"/>
      <c r="D1727" s="76"/>
      <c r="E1727" s="89"/>
      <c r="F1727" s="89"/>
      <c r="G1727" s="89"/>
      <c r="H1727" s="89"/>
      <c r="I1727" s="89"/>
    </row>
    <row r="1728" spans="1:9" s="145" customFormat="1">
      <c r="A1728" s="89"/>
      <c r="B1728" s="144"/>
      <c r="D1728" s="76"/>
      <c r="E1728" s="89"/>
      <c r="F1728" s="89"/>
      <c r="G1728" s="89"/>
      <c r="H1728" s="89"/>
      <c r="I1728" s="89"/>
    </row>
    <row r="1729" spans="1:9" s="145" customFormat="1">
      <c r="A1729" s="89"/>
      <c r="B1729" s="144"/>
      <c r="D1729" s="76"/>
      <c r="E1729" s="89"/>
      <c r="F1729" s="89"/>
      <c r="G1729" s="89"/>
      <c r="H1729" s="89"/>
      <c r="I1729" s="89"/>
    </row>
    <row r="1730" spans="1:9" s="145" customFormat="1">
      <c r="A1730" s="89"/>
      <c r="B1730" s="144"/>
      <c r="D1730" s="76"/>
      <c r="E1730" s="89"/>
      <c r="F1730" s="89"/>
      <c r="G1730" s="89"/>
      <c r="H1730" s="89"/>
      <c r="I1730" s="89"/>
    </row>
    <row r="1731" spans="1:9" s="145" customFormat="1">
      <c r="A1731" s="89"/>
      <c r="B1731" s="144"/>
      <c r="D1731" s="76"/>
      <c r="E1731" s="89"/>
      <c r="F1731" s="89"/>
      <c r="G1731" s="89"/>
      <c r="H1731" s="89"/>
      <c r="I1731" s="89"/>
    </row>
    <row r="1732" spans="1:9" s="145" customFormat="1">
      <c r="A1732" s="89"/>
      <c r="B1732" s="144"/>
      <c r="D1732" s="76"/>
      <c r="E1732" s="89"/>
      <c r="F1732" s="89"/>
      <c r="G1732" s="89"/>
      <c r="H1732" s="89"/>
      <c r="I1732" s="89"/>
    </row>
    <row r="1733" spans="1:9" s="145" customFormat="1">
      <c r="A1733" s="89"/>
      <c r="B1733" s="144"/>
      <c r="D1733" s="76"/>
      <c r="E1733" s="89"/>
      <c r="F1733" s="89"/>
      <c r="G1733" s="89"/>
      <c r="H1733" s="89"/>
      <c r="I1733" s="89"/>
    </row>
    <row r="1734" spans="1:9" s="145" customFormat="1">
      <c r="A1734" s="89"/>
      <c r="B1734" s="144"/>
      <c r="D1734" s="76"/>
      <c r="E1734" s="89"/>
      <c r="F1734" s="89"/>
      <c r="G1734" s="89"/>
      <c r="H1734" s="89"/>
      <c r="I1734" s="89"/>
    </row>
    <row r="1735" spans="1:9" s="145" customFormat="1">
      <c r="A1735" s="89"/>
      <c r="B1735" s="144"/>
      <c r="D1735" s="76"/>
      <c r="E1735" s="89"/>
      <c r="F1735" s="89"/>
      <c r="G1735" s="89"/>
      <c r="H1735" s="89"/>
      <c r="I1735" s="89"/>
    </row>
    <row r="1736" spans="1:9" s="145" customFormat="1">
      <c r="A1736" s="89"/>
      <c r="B1736" s="144"/>
      <c r="D1736" s="76"/>
      <c r="E1736" s="89"/>
      <c r="F1736" s="89"/>
      <c r="G1736" s="89"/>
      <c r="H1736" s="89"/>
      <c r="I1736" s="89"/>
    </row>
    <row r="1737" spans="1:9" s="145" customFormat="1">
      <c r="A1737" s="89"/>
      <c r="B1737" s="144"/>
      <c r="D1737" s="76"/>
      <c r="E1737" s="89"/>
      <c r="F1737" s="89"/>
      <c r="G1737" s="89"/>
      <c r="H1737" s="89"/>
      <c r="I1737" s="89"/>
    </row>
    <row r="1738" spans="1:9" s="145" customFormat="1">
      <c r="A1738" s="89"/>
      <c r="B1738" s="144"/>
      <c r="D1738" s="76"/>
      <c r="E1738" s="89"/>
      <c r="F1738" s="89"/>
      <c r="G1738" s="89"/>
      <c r="H1738" s="89"/>
      <c r="I1738" s="89"/>
    </row>
    <row r="1739" spans="1:9" s="145" customFormat="1">
      <c r="A1739" s="89"/>
      <c r="B1739" s="144"/>
      <c r="D1739" s="76"/>
      <c r="E1739" s="89"/>
      <c r="F1739" s="89"/>
      <c r="G1739" s="89"/>
      <c r="H1739" s="89"/>
      <c r="I1739" s="89"/>
    </row>
    <row r="1740" spans="1:9" s="145" customFormat="1">
      <c r="A1740" s="89"/>
      <c r="B1740" s="144"/>
      <c r="D1740" s="76"/>
      <c r="E1740" s="89"/>
      <c r="F1740" s="89"/>
      <c r="G1740" s="89"/>
      <c r="H1740" s="89"/>
      <c r="I1740" s="89"/>
    </row>
    <row r="1741" spans="1:9" s="145" customFormat="1">
      <c r="A1741" s="89"/>
      <c r="B1741" s="144"/>
      <c r="D1741" s="76"/>
      <c r="E1741" s="89"/>
      <c r="F1741" s="89"/>
      <c r="G1741" s="89"/>
      <c r="H1741" s="89"/>
      <c r="I1741" s="89"/>
    </row>
    <row r="1742" spans="1:9" s="145" customFormat="1">
      <c r="A1742" s="89"/>
      <c r="B1742" s="144"/>
      <c r="D1742" s="76"/>
      <c r="E1742" s="89"/>
      <c r="F1742" s="89"/>
      <c r="G1742" s="89"/>
      <c r="H1742" s="89"/>
      <c r="I1742" s="89"/>
    </row>
    <row r="1743" spans="1:9" s="145" customFormat="1">
      <c r="A1743" s="89"/>
      <c r="B1743" s="144"/>
      <c r="D1743" s="76"/>
      <c r="E1743" s="89"/>
      <c r="F1743" s="89"/>
      <c r="G1743" s="89"/>
      <c r="H1743" s="89"/>
      <c r="I1743" s="89"/>
    </row>
    <row r="1744" spans="1:9" s="145" customFormat="1">
      <c r="A1744" s="89"/>
      <c r="B1744" s="144"/>
      <c r="D1744" s="76"/>
      <c r="E1744" s="89"/>
      <c r="F1744" s="89"/>
      <c r="G1744" s="89"/>
      <c r="H1744" s="89"/>
      <c r="I1744" s="89"/>
    </row>
    <row r="1745" spans="1:9" s="145" customFormat="1">
      <c r="A1745" s="89"/>
      <c r="B1745" s="144"/>
      <c r="D1745" s="76"/>
      <c r="E1745" s="89"/>
      <c r="F1745" s="89"/>
      <c r="G1745" s="89"/>
      <c r="H1745" s="89"/>
      <c r="I1745" s="89"/>
    </row>
    <row r="1746" spans="1:9" s="145" customFormat="1">
      <c r="A1746" s="89"/>
      <c r="B1746" s="144"/>
      <c r="D1746" s="76"/>
      <c r="E1746" s="89"/>
      <c r="F1746" s="89"/>
      <c r="G1746" s="89"/>
      <c r="H1746" s="89"/>
      <c r="I1746" s="89"/>
    </row>
    <row r="1747" spans="1:9" s="145" customFormat="1">
      <c r="A1747" s="89"/>
      <c r="B1747" s="144"/>
      <c r="D1747" s="76"/>
      <c r="E1747" s="89"/>
      <c r="F1747" s="89"/>
      <c r="G1747" s="89"/>
      <c r="H1747" s="89"/>
      <c r="I1747" s="89"/>
    </row>
    <row r="1748" spans="1:9" s="145" customFormat="1">
      <c r="A1748" s="89"/>
      <c r="B1748" s="144"/>
      <c r="D1748" s="76"/>
      <c r="E1748" s="89"/>
      <c r="F1748" s="89"/>
      <c r="G1748" s="89"/>
      <c r="H1748" s="89"/>
      <c r="I1748" s="89"/>
    </row>
    <row r="1749" spans="1:9" s="145" customFormat="1">
      <c r="A1749" s="89"/>
      <c r="B1749" s="144"/>
      <c r="D1749" s="76"/>
      <c r="E1749" s="89"/>
      <c r="F1749" s="89"/>
      <c r="G1749" s="89"/>
      <c r="H1749" s="89"/>
      <c r="I1749" s="89"/>
    </row>
    <row r="1750" spans="1:9" s="145" customFormat="1">
      <c r="A1750" s="89"/>
      <c r="B1750" s="144"/>
      <c r="D1750" s="76"/>
      <c r="E1750" s="89"/>
      <c r="F1750" s="89"/>
      <c r="G1750" s="89"/>
      <c r="H1750" s="89"/>
      <c r="I1750" s="89"/>
    </row>
    <row r="1751" spans="1:9" s="145" customFormat="1">
      <c r="A1751" s="89"/>
      <c r="B1751" s="144"/>
      <c r="D1751" s="76"/>
      <c r="E1751" s="89"/>
      <c r="F1751" s="89"/>
      <c r="G1751" s="89"/>
      <c r="H1751" s="89"/>
      <c r="I1751" s="89"/>
    </row>
    <row r="1752" spans="1:9" s="145" customFormat="1">
      <c r="A1752" s="89"/>
      <c r="B1752" s="144"/>
      <c r="D1752" s="76"/>
      <c r="E1752" s="89"/>
      <c r="F1752" s="89"/>
      <c r="G1752" s="89"/>
      <c r="H1752" s="89"/>
      <c r="I1752" s="89"/>
    </row>
    <row r="1753" spans="1:9" s="145" customFormat="1">
      <c r="A1753" s="89"/>
      <c r="B1753" s="144"/>
      <c r="D1753" s="76"/>
      <c r="E1753" s="89"/>
      <c r="F1753" s="89"/>
      <c r="G1753" s="89"/>
      <c r="H1753" s="89"/>
      <c r="I1753" s="89"/>
    </row>
    <row r="1754" spans="1:9" s="145" customFormat="1">
      <c r="A1754" s="89"/>
      <c r="B1754" s="144"/>
      <c r="D1754" s="76"/>
      <c r="E1754" s="89"/>
      <c r="F1754" s="89"/>
      <c r="G1754" s="89"/>
      <c r="H1754" s="89"/>
      <c r="I1754" s="89"/>
    </row>
    <row r="1755" spans="1:9" s="145" customFormat="1">
      <c r="A1755" s="89"/>
      <c r="B1755" s="144"/>
      <c r="D1755" s="76"/>
      <c r="E1755" s="89"/>
      <c r="F1755" s="89"/>
      <c r="G1755" s="89"/>
      <c r="H1755" s="89"/>
      <c r="I1755" s="89"/>
    </row>
    <row r="1756" spans="1:9" s="145" customFormat="1">
      <c r="A1756" s="89"/>
      <c r="B1756" s="144"/>
      <c r="D1756" s="76"/>
      <c r="E1756" s="89"/>
      <c r="F1756" s="89"/>
      <c r="G1756" s="89"/>
      <c r="H1756" s="89"/>
      <c r="I1756" s="89"/>
    </row>
    <row r="1757" spans="1:9" s="145" customFormat="1">
      <c r="A1757" s="89"/>
      <c r="B1757" s="144"/>
      <c r="D1757" s="76"/>
      <c r="E1757" s="89"/>
      <c r="F1757" s="89"/>
      <c r="G1757" s="89"/>
      <c r="H1757" s="89"/>
      <c r="I1757" s="89"/>
    </row>
    <row r="1758" spans="1:9" s="145" customFormat="1">
      <c r="A1758" s="89"/>
      <c r="B1758" s="144"/>
      <c r="D1758" s="76"/>
      <c r="E1758" s="89"/>
      <c r="F1758" s="89"/>
      <c r="G1758" s="89"/>
      <c r="H1758" s="89"/>
      <c r="I1758" s="89"/>
    </row>
    <row r="1759" spans="1:9" s="145" customFormat="1">
      <c r="A1759" s="89"/>
      <c r="B1759" s="144"/>
      <c r="D1759" s="76"/>
      <c r="E1759" s="89"/>
      <c r="F1759" s="89"/>
      <c r="G1759" s="89"/>
      <c r="H1759" s="89"/>
      <c r="I1759" s="89"/>
    </row>
    <row r="1760" spans="1:9" s="145" customFormat="1">
      <c r="A1760" s="89"/>
      <c r="B1760" s="144"/>
      <c r="D1760" s="76"/>
      <c r="E1760" s="89"/>
      <c r="F1760" s="89"/>
      <c r="G1760" s="89"/>
      <c r="H1760" s="89"/>
      <c r="I1760" s="89"/>
    </row>
    <row r="1761" spans="1:9" s="145" customFormat="1">
      <c r="A1761" s="89"/>
      <c r="B1761" s="144"/>
      <c r="D1761" s="76"/>
      <c r="E1761" s="89"/>
      <c r="F1761" s="89"/>
      <c r="G1761" s="89"/>
      <c r="H1761" s="89"/>
      <c r="I1761" s="89"/>
    </row>
    <row r="1762" spans="1:9" s="145" customFormat="1">
      <c r="A1762" s="89"/>
      <c r="B1762" s="144"/>
      <c r="D1762" s="76"/>
      <c r="E1762" s="89"/>
      <c r="F1762" s="89"/>
      <c r="G1762" s="89"/>
      <c r="H1762" s="89"/>
      <c r="I1762" s="89"/>
    </row>
    <row r="1763" spans="1:9" s="145" customFormat="1">
      <c r="A1763" s="89"/>
      <c r="B1763" s="144"/>
      <c r="D1763" s="76"/>
      <c r="E1763" s="89"/>
      <c r="F1763" s="89"/>
      <c r="G1763" s="89"/>
      <c r="H1763" s="89"/>
      <c r="I1763" s="89"/>
    </row>
    <row r="1764" spans="1:9" s="145" customFormat="1">
      <c r="A1764" s="89"/>
      <c r="B1764" s="144"/>
      <c r="D1764" s="76"/>
      <c r="E1764" s="89"/>
      <c r="F1764" s="89"/>
      <c r="G1764" s="89"/>
      <c r="H1764" s="89"/>
      <c r="I1764" s="89"/>
    </row>
    <row r="1765" spans="1:9" s="145" customFormat="1">
      <c r="A1765" s="89"/>
      <c r="B1765" s="144"/>
      <c r="D1765" s="76"/>
      <c r="E1765" s="89"/>
      <c r="F1765" s="89"/>
      <c r="G1765" s="89"/>
      <c r="H1765" s="89"/>
      <c r="I1765" s="89"/>
    </row>
    <row r="1766" spans="1:9" s="145" customFormat="1">
      <c r="A1766" s="89"/>
      <c r="B1766" s="144"/>
      <c r="D1766" s="76"/>
      <c r="E1766" s="89"/>
      <c r="F1766" s="89"/>
      <c r="G1766" s="89"/>
      <c r="H1766" s="89"/>
      <c r="I1766" s="89"/>
    </row>
    <row r="1767" spans="1:9" s="145" customFormat="1">
      <c r="A1767" s="89"/>
      <c r="B1767" s="144"/>
      <c r="D1767" s="76"/>
      <c r="E1767" s="89"/>
      <c r="F1767" s="89"/>
      <c r="G1767" s="89"/>
      <c r="H1767" s="89"/>
      <c r="I1767" s="89"/>
    </row>
    <row r="1768" spans="1:9" s="145" customFormat="1">
      <c r="A1768" s="89"/>
      <c r="B1768" s="144"/>
      <c r="D1768" s="76"/>
      <c r="E1768" s="89"/>
      <c r="F1768" s="89"/>
      <c r="G1768" s="89"/>
      <c r="H1768" s="89"/>
      <c r="I1768" s="89"/>
    </row>
    <row r="1769" spans="1:9" s="145" customFormat="1">
      <c r="A1769" s="89"/>
      <c r="B1769" s="144"/>
      <c r="D1769" s="76"/>
      <c r="E1769" s="89"/>
      <c r="F1769" s="89"/>
      <c r="G1769" s="89"/>
      <c r="H1769" s="89"/>
      <c r="I1769" s="89"/>
    </row>
    <row r="1770" spans="1:9" s="145" customFormat="1">
      <c r="A1770" s="89"/>
      <c r="B1770" s="144"/>
      <c r="D1770" s="76"/>
      <c r="E1770" s="89"/>
      <c r="F1770" s="89"/>
      <c r="G1770" s="89"/>
      <c r="H1770" s="89"/>
      <c r="I1770" s="89"/>
    </row>
    <row r="1771" spans="1:9" s="145" customFormat="1">
      <c r="A1771" s="89"/>
      <c r="B1771" s="144"/>
      <c r="D1771" s="76"/>
      <c r="E1771" s="89"/>
      <c r="F1771" s="89"/>
      <c r="G1771" s="89"/>
      <c r="H1771" s="89"/>
      <c r="I1771" s="89"/>
    </row>
    <row r="1772" spans="1:9" s="145" customFormat="1">
      <c r="A1772" s="89"/>
      <c r="B1772" s="144"/>
      <c r="D1772" s="76"/>
      <c r="E1772" s="89"/>
      <c r="F1772" s="89"/>
      <c r="G1772" s="89"/>
      <c r="H1772" s="89"/>
      <c r="I1772" s="89"/>
    </row>
    <row r="1773" spans="1:9" s="145" customFormat="1">
      <c r="A1773" s="89"/>
      <c r="B1773" s="144"/>
      <c r="D1773" s="76"/>
      <c r="E1773" s="89"/>
      <c r="F1773" s="89"/>
      <c r="G1773" s="89"/>
      <c r="H1773" s="89"/>
      <c r="I1773" s="89"/>
    </row>
    <row r="1774" spans="1:9" s="145" customFormat="1">
      <c r="A1774" s="89"/>
      <c r="B1774" s="144"/>
      <c r="D1774" s="76"/>
      <c r="E1774" s="89"/>
      <c r="F1774" s="89"/>
      <c r="G1774" s="89"/>
      <c r="H1774" s="89"/>
      <c r="I1774" s="89"/>
    </row>
    <row r="1775" spans="1:9" s="145" customFormat="1">
      <c r="A1775" s="89"/>
      <c r="B1775" s="144"/>
      <c r="D1775" s="76"/>
      <c r="E1775" s="89"/>
      <c r="F1775" s="89"/>
      <c r="G1775" s="89"/>
      <c r="H1775" s="89"/>
      <c r="I1775" s="89"/>
    </row>
    <row r="1776" spans="1:9" s="145" customFormat="1">
      <c r="A1776" s="89"/>
      <c r="B1776" s="144"/>
      <c r="D1776" s="76"/>
      <c r="E1776" s="89"/>
      <c r="F1776" s="89"/>
      <c r="G1776" s="89"/>
      <c r="H1776" s="89"/>
      <c r="I1776" s="89"/>
    </row>
    <row r="1777" spans="1:9" s="145" customFormat="1">
      <c r="A1777" s="89"/>
      <c r="B1777" s="144"/>
      <c r="D1777" s="76"/>
      <c r="E1777" s="89"/>
      <c r="F1777" s="89"/>
      <c r="G1777" s="89"/>
      <c r="H1777" s="89"/>
      <c r="I1777" s="89"/>
    </row>
    <row r="1778" spans="1:9" s="145" customFormat="1">
      <c r="A1778" s="89"/>
      <c r="B1778" s="144"/>
      <c r="D1778" s="76"/>
      <c r="E1778" s="89"/>
      <c r="F1778" s="89"/>
      <c r="G1778" s="89"/>
      <c r="H1778" s="89"/>
      <c r="I1778" s="89"/>
    </row>
    <row r="1779" spans="1:9" s="145" customFormat="1">
      <c r="A1779" s="89"/>
      <c r="B1779" s="144"/>
      <c r="D1779" s="76"/>
      <c r="E1779" s="89"/>
      <c r="F1779" s="89"/>
      <c r="G1779" s="89"/>
      <c r="H1779" s="89"/>
      <c r="I1779" s="89"/>
    </row>
    <row r="1780" spans="1:9" s="145" customFormat="1">
      <c r="A1780" s="89"/>
      <c r="B1780" s="144"/>
      <c r="D1780" s="76"/>
      <c r="E1780" s="89"/>
      <c r="F1780" s="89"/>
      <c r="G1780" s="89"/>
      <c r="H1780" s="89"/>
      <c r="I1780" s="89"/>
    </row>
    <row r="1781" spans="1:9" s="145" customFormat="1">
      <c r="A1781" s="89"/>
      <c r="B1781" s="144"/>
      <c r="D1781" s="76"/>
      <c r="E1781" s="89"/>
      <c r="F1781" s="89"/>
      <c r="G1781" s="89"/>
      <c r="H1781" s="89"/>
      <c r="I1781" s="89"/>
    </row>
    <row r="1782" spans="1:9" s="145" customFormat="1">
      <c r="A1782" s="89"/>
      <c r="B1782" s="144"/>
      <c r="D1782" s="76"/>
      <c r="E1782" s="89"/>
      <c r="F1782" s="89"/>
      <c r="G1782" s="89"/>
      <c r="H1782" s="89"/>
      <c r="I1782" s="89"/>
    </row>
    <row r="1783" spans="1:9" s="145" customFormat="1">
      <c r="A1783" s="89"/>
      <c r="B1783" s="144"/>
      <c r="D1783" s="76"/>
      <c r="E1783" s="89"/>
      <c r="F1783" s="89"/>
      <c r="G1783" s="89"/>
      <c r="H1783" s="89"/>
      <c r="I1783" s="89"/>
    </row>
    <row r="1784" spans="1:9" s="145" customFormat="1">
      <c r="A1784" s="89"/>
      <c r="B1784" s="144"/>
      <c r="D1784" s="76"/>
      <c r="E1784" s="89"/>
      <c r="F1784" s="89"/>
      <c r="G1784" s="89"/>
      <c r="H1784" s="89"/>
      <c r="I1784" s="89"/>
    </row>
    <row r="1785" spans="1:9" s="145" customFormat="1">
      <c r="A1785" s="89"/>
      <c r="B1785" s="144"/>
      <c r="D1785" s="76"/>
      <c r="E1785" s="89"/>
      <c r="F1785" s="89"/>
      <c r="G1785" s="89"/>
      <c r="H1785" s="89"/>
      <c r="I1785" s="89"/>
    </row>
    <row r="1786" spans="1:9" s="145" customFormat="1">
      <c r="A1786" s="89"/>
      <c r="B1786" s="144"/>
      <c r="D1786" s="76"/>
      <c r="E1786" s="89"/>
      <c r="F1786" s="89"/>
      <c r="G1786" s="89"/>
      <c r="H1786" s="89"/>
      <c r="I1786" s="89"/>
    </row>
    <row r="1787" spans="1:9" s="145" customFormat="1">
      <c r="A1787" s="89"/>
      <c r="B1787" s="144"/>
      <c r="D1787" s="76"/>
      <c r="E1787" s="89"/>
      <c r="F1787" s="89"/>
      <c r="G1787" s="89"/>
      <c r="H1787" s="89"/>
      <c r="I1787" s="89"/>
    </row>
    <row r="1788" spans="1:9" s="145" customFormat="1">
      <c r="A1788" s="89"/>
      <c r="B1788" s="144"/>
      <c r="D1788" s="76"/>
      <c r="E1788" s="89"/>
      <c r="F1788" s="89"/>
      <c r="G1788" s="89"/>
      <c r="H1788" s="89"/>
      <c r="I1788" s="89"/>
    </row>
    <row r="1789" spans="1:9" s="145" customFormat="1">
      <c r="A1789" s="89"/>
      <c r="B1789" s="144"/>
      <c r="D1789" s="76"/>
      <c r="E1789" s="89"/>
      <c r="F1789" s="89"/>
      <c r="G1789" s="89"/>
      <c r="H1789" s="89"/>
      <c r="I1789" s="89"/>
    </row>
    <row r="1790" spans="1:9" s="145" customFormat="1">
      <c r="A1790" s="89"/>
      <c r="B1790" s="144"/>
      <c r="D1790" s="76"/>
      <c r="E1790" s="89"/>
      <c r="F1790" s="89"/>
      <c r="G1790" s="89"/>
      <c r="H1790" s="89"/>
      <c r="I1790" s="89"/>
    </row>
    <row r="1791" spans="1:9" s="145" customFormat="1">
      <c r="A1791" s="89"/>
      <c r="B1791" s="144"/>
      <c r="D1791" s="76"/>
      <c r="E1791" s="89"/>
      <c r="F1791" s="89"/>
      <c r="G1791" s="89"/>
      <c r="H1791" s="89"/>
      <c r="I1791" s="89"/>
    </row>
    <row r="1792" spans="1:9" s="145" customFormat="1">
      <c r="A1792" s="89"/>
      <c r="B1792" s="144"/>
      <c r="D1792" s="76"/>
      <c r="E1792" s="89"/>
      <c r="F1792" s="89"/>
      <c r="G1792" s="89"/>
      <c r="H1792" s="89"/>
      <c r="I1792" s="89"/>
    </row>
    <row r="1793" spans="1:9" s="145" customFormat="1">
      <c r="A1793" s="89"/>
      <c r="B1793" s="144"/>
      <c r="D1793" s="76"/>
      <c r="E1793" s="89"/>
      <c r="F1793" s="89"/>
      <c r="G1793" s="89"/>
      <c r="H1793" s="89"/>
      <c r="I1793" s="89"/>
    </row>
    <row r="1794" spans="1:9" s="145" customFormat="1">
      <c r="A1794" s="89"/>
      <c r="B1794" s="144"/>
      <c r="D1794" s="76"/>
      <c r="E1794" s="89"/>
      <c r="F1794" s="89"/>
      <c r="G1794" s="89"/>
      <c r="H1794" s="89"/>
      <c r="I1794" s="89"/>
    </row>
    <row r="1795" spans="1:9" s="145" customFormat="1">
      <c r="A1795" s="89"/>
      <c r="B1795" s="144"/>
      <c r="D1795" s="76"/>
      <c r="E1795" s="89"/>
      <c r="F1795" s="89"/>
      <c r="G1795" s="89"/>
      <c r="H1795" s="89"/>
      <c r="I1795" s="89"/>
    </row>
    <row r="1796" spans="1:9" s="145" customFormat="1">
      <c r="A1796" s="89"/>
      <c r="B1796" s="144"/>
      <c r="D1796" s="76"/>
      <c r="E1796" s="89"/>
      <c r="F1796" s="89"/>
      <c r="G1796" s="89"/>
      <c r="H1796" s="89"/>
      <c r="I1796" s="89"/>
    </row>
    <row r="1797" spans="1:9" s="145" customFormat="1">
      <c r="A1797" s="89"/>
      <c r="B1797" s="144"/>
      <c r="D1797" s="76"/>
      <c r="E1797" s="89"/>
      <c r="F1797" s="89"/>
      <c r="G1797" s="89"/>
      <c r="H1797" s="89"/>
      <c r="I1797" s="89"/>
    </row>
    <row r="1798" spans="1:9" s="145" customFormat="1">
      <c r="A1798" s="89"/>
      <c r="B1798" s="144"/>
      <c r="D1798" s="76"/>
      <c r="E1798" s="89"/>
      <c r="F1798" s="89"/>
      <c r="G1798" s="89"/>
      <c r="H1798" s="89"/>
      <c r="I1798" s="89"/>
    </row>
    <row r="1799" spans="1:9" s="145" customFormat="1">
      <c r="A1799" s="89"/>
      <c r="B1799" s="144"/>
      <c r="D1799" s="76"/>
      <c r="E1799" s="89"/>
      <c r="F1799" s="89"/>
      <c r="G1799" s="89"/>
      <c r="H1799" s="89"/>
      <c r="I1799" s="89"/>
    </row>
    <row r="1800" spans="1:9" s="145" customFormat="1">
      <c r="A1800" s="89"/>
      <c r="B1800" s="144"/>
      <c r="D1800" s="76"/>
      <c r="E1800" s="89"/>
      <c r="F1800" s="89"/>
      <c r="G1800" s="89"/>
      <c r="H1800" s="89"/>
      <c r="I1800" s="89"/>
    </row>
    <row r="1801" spans="1:9" s="145" customFormat="1">
      <c r="A1801" s="89"/>
      <c r="B1801" s="144"/>
      <c r="D1801" s="76"/>
      <c r="E1801" s="89"/>
      <c r="F1801" s="89"/>
      <c r="G1801" s="89"/>
      <c r="H1801" s="89"/>
      <c r="I1801" s="89"/>
    </row>
    <row r="1802" spans="1:9" s="145" customFormat="1">
      <c r="A1802" s="89"/>
      <c r="B1802" s="144"/>
      <c r="D1802" s="76"/>
      <c r="E1802" s="89"/>
      <c r="F1802" s="89"/>
      <c r="G1802" s="89"/>
      <c r="H1802" s="89"/>
      <c r="I1802" s="89"/>
    </row>
    <row r="1803" spans="1:9" s="145" customFormat="1">
      <c r="A1803" s="89"/>
      <c r="B1803" s="144"/>
      <c r="D1803" s="76"/>
      <c r="E1803" s="89"/>
      <c r="F1803" s="89"/>
      <c r="G1803" s="89"/>
      <c r="H1803" s="89"/>
      <c r="I1803" s="89"/>
    </row>
    <row r="1804" spans="1:9" s="145" customFormat="1">
      <c r="A1804" s="89"/>
      <c r="B1804" s="144"/>
      <c r="D1804" s="76"/>
      <c r="E1804" s="89"/>
      <c r="F1804" s="89"/>
      <c r="G1804" s="89"/>
      <c r="H1804" s="89"/>
      <c r="I1804" s="89"/>
    </row>
    <row r="1805" spans="1:9" s="145" customFormat="1">
      <c r="A1805" s="89"/>
      <c r="B1805" s="144"/>
      <c r="D1805" s="76"/>
      <c r="E1805" s="89"/>
      <c r="F1805" s="89"/>
      <c r="G1805" s="89"/>
      <c r="H1805" s="89"/>
      <c r="I1805" s="89"/>
    </row>
    <row r="1806" spans="1:9" s="145" customFormat="1">
      <c r="A1806" s="89"/>
      <c r="B1806" s="144"/>
      <c r="D1806" s="76"/>
      <c r="E1806" s="89"/>
      <c r="F1806" s="89"/>
      <c r="G1806" s="89"/>
      <c r="H1806" s="89"/>
      <c r="I1806" s="89"/>
    </row>
    <row r="1807" spans="1:9" s="145" customFormat="1">
      <c r="A1807" s="89"/>
      <c r="B1807" s="144"/>
      <c r="D1807" s="76"/>
      <c r="E1807" s="89"/>
      <c r="F1807" s="89"/>
      <c r="G1807" s="89"/>
      <c r="H1807" s="89"/>
      <c r="I1807" s="89"/>
    </row>
    <row r="1808" spans="1:9" s="145" customFormat="1">
      <c r="A1808" s="89"/>
      <c r="B1808" s="144"/>
      <c r="D1808" s="76"/>
      <c r="E1808" s="89"/>
      <c r="F1808" s="89"/>
      <c r="G1808" s="89"/>
      <c r="H1808" s="89"/>
      <c r="I1808" s="89"/>
    </row>
    <row r="1809" spans="1:9" s="145" customFormat="1">
      <c r="A1809" s="89"/>
      <c r="B1809" s="144"/>
      <c r="D1809" s="76"/>
      <c r="E1809" s="89"/>
      <c r="F1809" s="89"/>
      <c r="G1809" s="89"/>
      <c r="H1809" s="89"/>
      <c r="I1809" s="89"/>
    </row>
    <row r="1810" spans="1:9" s="145" customFormat="1">
      <c r="A1810" s="89"/>
      <c r="B1810" s="144"/>
      <c r="D1810" s="76"/>
      <c r="E1810" s="89"/>
      <c r="F1810" s="89"/>
      <c r="G1810" s="89"/>
      <c r="H1810" s="89"/>
      <c r="I1810" s="89"/>
    </row>
    <row r="1811" spans="1:9" s="145" customFormat="1">
      <c r="A1811" s="89"/>
      <c r="B1811" s="144"/>
      <c r="D1811" s="76"/>
      <c r="E1811" s="89"/>
      <c r="F1811" s="89"/>
      <c r="G1811" s="89"/>
      <c r="H1811" s="89"/>
      <c r="I1811" s="89"/>
    </row>
    <row r="1812" spans="1:9" s="145" customFormat="1">
      <c r="A1812" s="89"/>
      <c r="B1812" s="144"/>
      <c r="D1812" s="76"/>
      <c r="E1812" s="89"/>
      <c r="F1812" s="89"/>
      <c r="G1812" s="89"/>
      <c r="H1812" s="89"/>
      <c r="I1812" s="89"/>
    </row>
    <row r="1813" spans="1:9" s="145" customFormat="1">
      <c r="A1813" s="89"/>
      <c r="B1813" s="144"/>
      <c r="D1813" s="76"/>
      <c r="E1813" s="89"/>
      <c r="F1813" s="89"/>
      <c r="G1813" s="89"/>
      <c r="H1813" s="89"/>
      <c r="I1813" s="89"/>
    </row>
    <row r="1814" spans="1:9" s="145" customFormat="1">
      <c r="A1814" s="89"/>
      <c r="B1814" s="144"/>
      <c r="D1814" s="76"/>
      <c r="E1814" s="89"/>
      <c r="F1814" s="89"/>
      <c r="G1814" s="89"/>
      <c r="H1814" s="89"/>
      <c r="I1814" s="89"/>
    </row>
    <row r="1815" spans="1:9" s="145" customFormat="1">
      <c r="A1815" s="89"/>
      <c r="B1815" s="144"/>
      <c r="D1815" s="76"/>
      <c r="E1815" s="89"/>
      <c r="F1815" s="89"/>
      <c r="G1815" s="89"/>
      <c r="H1815" s="89"/>
      <c r="I1815" s="89"/>
    </row>
    <row r="1816" spans="1:9" s="145" customFormat="1">
      <c r="A1816" s="89"/>
      <c r="B1816" s="144"/>
      <c r="D1816" s="76"/>
      <c r="E1816" s="89"/>
      <c r="F1816" s="89"/>
      <c r="G1816" s="89"/>
      <c r="H1816" s="89"/>
      <c r="I1816" s="89"/>
    </row>
    <row r="1817" spans="1:9" s="145" customFormat="1">
      <c r="A1817" s="89"/>
      <c r="B1817" s="144"/>
      <c r="D1817" s="76"/>
      <c r="E1817" s="89"/>
      <c r="F1817" s="89"/>
      <c r="G1817" s="89"/>
      <c r="H1817" s="89"/>
      <c r="I1817" s="89"/>
    </row>
    <row r="1818" spans="1:9" s="145" customFormat="1">
      <c r="A1818" s="89"/>
      <c r="B1818" s="144"/>
      <c r="D1818" s="76"/>
      <c r="E1818" s="89"/>
      <c r="F1818" s="89"/>
      <c r="G1818" s="89"/>
      <c r="H1818" s="89"/>
      <c r="I1818" s="89"/>
    </row>
    <row r="1819" spans="1:9" s="145" customFormat="1">
      <c r="A1819" s="89"/>
      <c r="B1819" s="144"/>
      <c r="D1819" s="76"/>
      <c r="E1819" s="89"/>
      <c r="F1819" s="89"/>
      <c r="G1819" s="89"/>
      <c r="H1819" s="89"/>
      <c r="I1819" s="89"/>
    </row>
    <row r="1820" spans="1:9" s="145" customFormat="1">
      <c r="A1820" s="89"/>
      <c r="B1820" s="144"/>
      <c r="D1820" s="76"/>
      <c r="E1820" s="89"/>
      <c r="F1820" s="89"/>
      <c r="G1820" s="89"/>
      <c r="H1820" s="89"/>
      <c r="I1820" s="89"/>
    </row>
    <row r="1821" spans="1:9" s="145" customFormat="1">
      <c r="A1821" s="89"/>
      <c r="B1821" s="144"/>
      <c r="D1821" s="76"/>
      <c r="E1821" s="89"/>
      <c r="F1821" s="89"/>
      <c r="G1821" s="89"/>
      <c r="H1821" s="89"/>
      <c r="I1821" s="89"/>
    </row>
    <row r="1822" spans="1:9" s="145" customFormat="1">
      <c r="A1822" s="89"/>
      <c r="B1822" s="144"/>
      <c r="D1822" s="76"/>
      <c r="E1822" s="89"/>
      <c r="F1822" s="89"/>
      <c r="G1822" s="89"/>
      <c r="H1822" s="89"/>
      <c r="I1822" s="89"/>
    </row>
    <row r="1823" spans="1:9" s="145" customFormat="1">
      <c r="A1823" s="89"/>
      <c r="B1823" s="144"/>
      <c r="D1823" s="76"/>
      <c r="E1823" s="89"/>
      <c r="F1823" s="89"/>
      <c r="G1823" s="89"/>
      <c r="H1823" s="89"/>
      <c r="I1823" s="89"/>
    </row>
    <row r="1824" spans="1:9" s="145" customFormat="1">
      <c r="A1824" s="89"/>
      <c r="B1824" s="144"/>
      <c r="D1824" s="76"/>
      <c r="E1824" s="89"/>
      <c r="F1824" s="89"/>
      <c r="G1824" s="89"/>
      <c r="H1824" s="89"/>
      <c r="I1824" s="89"/>
    </row>
    <row r="1825" spans="1:9" s="145" customFormat="1">
      <c r="A1825" s="89"/>
      <c r="B1825" s="144"/>
      <c r="D1825" s="76"/>
      <c r="E1825" s="89"/>
      <c r="F1825" s="89"/>
      <c r="G1825" s="89"/>
      <c r="H1825" s="89"/>
      <c r="I1825" s="89"/>
    </row>
    <row r="1826" spans="1:9" s="145" customFormat="1">
      <c r="A1826" s="89"/>
      <c r="B1826" s="144"/>
      <c r="D1826" s="76"/>
      <c r="E1826" s="89"/>
      <c r="F1826" s="89"/>
      <c r="G1826" s="89"/>
      <c r="H1826" s="89"/>
      <c r="I1826" s="89"/>
    </row>
    <row r="1827" spans="1:9" s="145" customFormat="1">
      <c r="A1827" s="89"/>
      <c r="B1827" s="144"/>
      <c r="D1827" s="76"/>
      <c r="E1827" s="89"/>
      <c r="F1827" s="89"/>
      <c r="G1827" s="89"/>
      <c r="H1827" s="89"/>
      <c r="I1827" s="89"/>
    </row>
    <row r="1828" spans="1:9" s="145" customFormat="1">
      <c r="A1828" s="89"/>
      <c r="B1828" s="144"/>
      <c r="D1828" s="76"/>
      <c r="E1828" s="89"/>
      <c r="F1828" s="89"/>
      <c r="G1828" s="89"/>
      <c r="H1828" s="89"/>
      <c r="I1828" s="89"/>
    </row>
    <row r="1829" spans="1:9" s="145" customFormat="1">
      <c r="A1829" s="89"/>
      <c r="B1829" s="144"/>
      <c r="D1829" s="76"/>
      <c r="E1829" s="89"/>
      <c r="F1829" s="89"/>
      <c r="G1829" s="89"/>
      <c r="H1829" s="89"/>
      <c r="I1829" s="89"/>
    </row>
    <row r="1830" spans="1:9" s="145" customFormat="1">
      <c r="A1830" s="89"/>
      <c r="B1830" s="144"/>
      <c r="D1830" s="76"/>
      <c r="E1830" s="89"/>
      <c r="F1830" s="89"/>
      <c r="G1830" s="89"/>
      <c r="H1830" s="89"/>
      <c r="I1830" s="89"/>
    </row>
    <row r="1831" spans="1:9" s="145" customFormat="1">
      <c r="A1831" s="89"/>
      <c r="B1831" s="144"/>
      <c r="D1831" s="76"/>
      <c r="E1831" s="89"/>
      <c r="F1831" s="89"/>
      <c r="G1831" s="89"/>
      <c r="H1831" s="89"/>
      <c r="I1831" s="89"/>
    </row>
    <row r="1832" spans="1:9" s="145" customFormat="1">
      <c r="A1832" s="89"/>
      <c r="B1832" s="144"/>
      <c r="D1832" s="76"/>
      <c r="E1832" s="89"/>
      <c r="F1832" s="89"/>
      <c r="G1832" s="89"/>
      <c r="H1832" s="89"/>
      <c r="I1832" s="89"/>
    </row>
    <row r="1833" spans="1:9" s="145" customFormat="1">
      <c r="A1833" s="89"/>
      <c r="B1833" s="144"/>
      <c r="D1833" s="76"/>
      <c r="E1833" s="89"/>
      <c r="F1833" s="89"/>
      <c r="G1833" s="89"/>
      <c r="H1833" s="89"/>
      <c r="I1833" s="89"/>
    </row>
    <row r="1834" spans="1:9" s="145" customFormat="1">
      <c r="A1834" s="89"/>
      <c r="B1834" s="144"/>
      <c r="D1834" s="76"/>
      <c r="E1834" s="89"/>
      <c r="F1834" s="89"/>
      <c r="G1834" s="89"/>
      <c r="H1834" s="89"/>
      <c r="I1834" s="89"/>
    </row>
    <row r="1835" spans="1:9" s="145" customFormat="1">
      <c r="A1835" s="89"/>
      <c r="B1835" s="144"/>
      <c r="D1835" s="76"/>
      <c r="E1835" s="89"/>
      <c r="F1835" s="89"/>
      <c r="G1835" s="89"/>
      <c r="H1835" s="89"/>
      <c r="I1835" s="89"/>
    </row>
    <row r="1836" spans="1:9" s="145" customFormat="1">
      <c r="A1836" s="89"/>
      <c r="B1836" s="144"/>
      <c r="D1836" s="76"/>
      <c r="E1836" s="89"/>
      <c r="F1836" s="89"/>
      <c r="G1836" s="89"/>
      <c r="H1836" s="89"/>
      <c r="I1836" s="89"/>
    </row>
    <row r="1837" spans="1:9" s="145" customFormat="1">
      <c r="A1837" s="89"/>
      <c r="B1837" s="144"/>
      <c r="D1837" s="76"/>
      <c r="E1837" s="89"/>
      <c r="F1837" s="89"/>
      <c r="G1837" s="89"/>
      <c r="H1837" s="89"/>
      <c r="I1837" s="89"/>
    </row>
    <row r="1838" spans="1:9" s="145" customFormat="1">
      <c r="A1838" s="89"/>
      <c r="B1838" s="144"/>
      <c r="D1838" s="76"/>
      <c r="E1838" s="89"/>
      <c r="F1838" s="89"/>
      <c r="G1838" s="89"/>
      <c r="H1838" s="89"/>
      <c r="I1838" s="89"/>
    </row>
    <row r="1839" spans="1:9" s="145" customFormat="1">
      <c r="A1839" s="89"/>
      <c r="B1839" s="144"/>
      <c r="D1839" s="76"/>
      <c r="E1839" s="89"/>
      <c r="F1839" s="89"/>
      <c r="G1839" s="89"/>
      <c r="H1839" s="89"/>
      <c r="I1839" s="89"/>
    </row>
    <row r="1840" spans="1:9" s="145" customFormat="1">
      <c r="A1840" s="89"/>
      <c r="B1840" s="144"/>
      <c r="D1840" s="76"/>
      <c r="E1840" s="89"/>
      <c r="F1840" s="89"/>
      <c r="G1840" s="89"/>
      <c r="H1840" s="89"/>
      <c r="I1840" s="89"/>
    </row>
    <row r="1841" spans="1:9" s="145" customFormat="1">
      <c r="A1841" s="89"/>
      <c r="B1841" s="144"/>
      <c r="D1841" s="76"/>
      <c r="E1841" s="89"/>
      <c r="F1841" s="89"/>
      <c r="G1841" s="89"/>
      <c r="H1841" s="89"/>
      <c r="I1841" s="89"/>
    </row>
    <row r="1842" spans="1:9" s="145" customFormat="1">
      <c r="A1842" s="89"/>
      <c r="B1842" s="144"/>
      <c r="D1842" s="76"/>
      <c r="E1842" s="89"/>
      <c r="F1842" s="89"/>
      <c r="G1842" s="89"/>
      <c r="H1842" s="89"/>
      <c r="I1842" s="89"/>
    </row>
    <row r="1843" spans="1:9" s="145" customFormat="1">
      <c r="A1843" s="89"/>
      <c r="B1843" s="144"/>
      <c r="D1843" s="76"/>
      <c r="E1843" s="89"/>
      <c r="F1843" s="89"/>
      <c r="G1843" s="89"/>
      <c r="H1843" s="89"/>
      <c r="I1843" s="89"/>
    </row>
    <row r="1844" spans="1:9" s="145" customFormat="1">
      <c r="A1844" s="89"/>
      <c r="B1844" s="144"/>
      <c r="D1844" s="76"/>
      <c r="E1844" s="89"/>
      <c r="F1844" s="89"/>
      <c r="G1844" s="89"/>
      <c r="H1844" s="89"/>
      <c r="I1844" s="89"/>
    </row>
    <row r="1845" spans="1:9" s="145" customFormat="1">
      <c r="A1845" s="89"/>
      <c r="B1845" s="144"/>
      <c r="D1845" s="76"/>
      <c r="E1845" s="89"/>
      <c r="F1845" s="89"/>
      <c r="G1845" s="89"/>
      <c r="H1845" s="89"/>
      <c r="I1845" s="89"/>
    </row>
    <row r="1846" spans="1:9" s="145" customFormat="1">
      <c r="A1846" s="89"/>
      <c r="B1846" s="144"/>
      <c r="D1846" s="76"/>
      <c r="E1846" s="89"/>
      <c r="F1846" s="89"/>
      <c r="G1846" s="89"/>
      <c r="H1846" s="89"/>
      <c r="I1846" s="89"/>
    </row>
    <row r="1847" spans="1:9" s="145" customFormat="1">
      <c r="A1847" s="89"/>
      <c r="B1847" s="144"/>
      <c r="D1847" s="76"/>
      <c r="E1847" s="89"/>
      <c r="F1847" s="89"/>
      <c r="G1847" s="89"/>
      <c r="H1847" s="89"/>
      <c r="I1847" s="89"/>
    </row>
    <row r="1848" spans="1:9" s="145" customFormat="1">
      <c r="A1848" s="89"/>
      <c r="B1848" s="144"/>
      <c r="D1848" s="76"/>
      <c r="E1848" s="89"/>
      <c r="F1848" s="89"/>
      <c r="G1848" s="89"/>
      <c r="H1848" s="89"/>
      <c r="I1848" s="89"/>
    </row>
    <row r="1849" spans="1:9" s="145" customFormat="1">
      <c r="A1849" s="89"/>
      <c r="B1849" s="144"/>
      <c r="D1849" s="76"/>
      <c r="E1849" s="89"/>
      <c r="F1849" s="89"/>
      <c r="G1849" s="89"/>
      <c r="H1849" s="89"/>
      <c r="I1849" s="89"/>
    </row>
    <row r="1850" spans="1:9" s="145" customFormat="1">
      <c r="A1850" s="89"/>
      <c r="B1850" s="144"/>
      <c r="D1850" s="76"/>
      <c r="E1850" s="89"/>
      <c r="F1850" s="89"/>
      <c r="G1850" s="89"/>
      <c r="H1850" s="89"/>
      <c r="I1850" s="89"/>
    </row>
    <row r="1851" spans="1:9" s="145" customFormat="1">
      <c r="A1851" s="89"/>
      <c r="B1851" s="144"/>
      <c r="D1851" s="76"/>
      <c r="E1851" s="89"/>
      <c r="F1851" s="89"/>
      <c r="G1851" s="89"/>
      <c r="H1851" s="89"/>
      <c r="I1851" s="89"/>
    </row>
    <row r="1852" spans="1:9" s="145" customFormat="1">
      <c r="A1852" s="89"/>
      <c r="B1852" s="144"/>
      <c r="D1852" s="76"/>
      <c r="E1852" s="89"/>
      <c r="F1852" s="89"/>
      <c r="G1852" s="89"/>
      <c r="H1852" s="89"/>
      <c r="I1852" s="89"/>
    </row>
    <row r="1853" spans="1:9" s="145" customFormat="1">
      <c r="A1853" s="89"/>
      <c r="B1853" s="144"/>
      <c r="D1853" s="76"/>
      <c r="E1853" s="89"/>
      <c r="F1853" s="89"/>
      <c r="G1853" s="89"/>
      <c r="H1853" s="89"/>
      <c r="I1853" s="89"/>
    </row>
    <row r="1854" spans="1:9" s="145" customFormat="1">
      <c r="A1854" s="89"/>
      <c r="B1854" s="144"/>
      <c r="D1854" s="76"/>
      <c r="E1854" s="89"/>
      <c r="F1854" s="89"/>
      <c r="G1854" s="89"/>
      <c r="H1854" s="89"/>
      <c r="I1854" s="89"/>
    </row>
    <row r="1855" spans="1:9" s="145" customFormat="1">
      <c r="A1855" s="89"/>
      <c r="B1855" s="144"/>
      <c r="D1855" s="76"/>
      <c r="E1855" s="89"/>
      <c r="F1855" s="89"/>
      <c r="G1855" s="89"/>
      <c r="H1855" s="89"/>
      <c r="I1855" s="89"/>
    </row>
    <row r="1856" spans="1:9" s="145" customFormat="1">
      <c r="A1856" s="89"/>
      <c r="B1856" s="144"/>
      <c r="D1856" s="76"/>
      <c r="E1856" s="89"/>
      <c r="F1856" s="89"/>
      <c r="G1856" s="89"/>
      <c r="H1856" s="89"/>
      <c r="I1856" s="89"/>
    </row>
    <row r="1857" spans="1:9" s="145" customFormat="1">
      <c r="A1857" s="89"/>
      <c r="B1857" s="144"/>
      <c r="D1857" s="76"/>
      <c r="E1857" s="89"/>
      <c r="F1857" s="89"/>
      <c r="G1857" s="89"/>
      <c r="H1857" s="89"/>
      <c r="I1857" s="89"/>
    </row>
    <row r="1858" spans="1:9" s="145" customFormat="1">
      <c r="A1858" s="89"/>
      <c r="B1858" s="144"/>
      <c r="D1858" s="76"/>
      <c r="E1858" s="89"/>
      <c r="F1858" s="89"/>
      <c r="G1858" s="89"/>
      <c r="H1858" s="89"/>
      <c r="I1858" s="89"/>
    </row>
    <row r="1859" spans="1:9" s="145" customFormat="1">
      <c r="A1859" s="89"/>
      <c r="B1859" s="144"/>
      <c r="D1859" s="76"/>
      <c r="E1859" s="89"/>
      <c r="F1859" s="89"/>
      <c r="G1859" s="89"/>
      <c r="H1859" s="89"/>
      <c r="I1859" s="89"/>
    </row>
    <row r="1860" spans="1:9" s="145" customFormat="1">
      <c r="A1860" s="89"/>
      <c r="B1860" s="144"/>
      <c r="D1860" s="76"/>
      <c r="E1860" s="89"/>
      <c r="F1860" s="89"/>
      <c r="G1860" s="89"/>
      <c r="H1860" s="89"/>
      <c r="I1860" s="89"/>
    </row>
    <row r="1861" spans="1:9" s="145" customFormat="1">
      <c r="A1861" s="89"/>
      <c r="B1861" s="144"/>
      <c r="D1861" s="76"/>
      <c r="E1861" s="89"/>
      <c r="F1861" s="89"/>
      <c r="G1861" s="89"/>
      <c r="H1861" s="89"/>
      <c r="I1861" s="89"/>
    </row>
    <row r="1862" spans="1:9" s="145" customFormat="1">
      <c r="A1862" s="89"/>
      <c r="B1862" s="144"/>
      <c r="D1862" s="76"/>
      <c r="E1862" s="89"/>
      <c r="F1862" s="89"/>
      <c r="G1862" s="89"/>
      <c r="H1862" s="89"/>
      <c r="I1862" s="89"/>
    </row>
    <row r="1863" spans="1:9" s="145" customFormat="1">
      <c r="A1863" s="89"/>
      <c r="B1863" s="144"/>
      <c r="D1863" s="76"/>
      <c r="E1863" s="89"/>
      <c r="F1863" s="89"/>
      <c r="G1863" s="89"/>
      <c r="H1863" s="89"/>
      <c r="I1863" s="89"/>
    </row>
    <row r="1864" spans="1:9" s="145" customFormat="1">
      <c r="A1864" s="89"/>
      <c r="B1864" s="144"/>
      <c r="D1864" s="76"/>
      <c r="E1864" s="89"/>
      <c r="F1864" s="89"/>
      <c r="G1864" s="89"/>
      <c r="H1864" s="89"/>
      <c r="I1864" s="89"/>
    </row>
    <row r="1865" spans="1:9" s="145" customFormat="1">
      <c r="A1865" s="89"/>
      <c r="B1865" s="144"/>
      <c r="D1865" s="76"/>
      <c r="E1865" s="89"/>
      <c r="F1865" s="89"/>
      <c r="G1865" s="89"/>
      <c r="H1865" s="89"/>
      <c r="I1865" s="89"/>
    </row>
    <row r="1866" spans="1:9" s="145" customFormat="1">
      <c r="A1866" s="89"/>
      <c r="B1866" s="144"/>
      <c r="D1866" s="76"/>
      <c r="E1866" s="89"/>
      <c r="F1866" s="89"/>
      <c r="G1866" s="89"/>
      <c r="H1866" s="89"/>
      <c r="I1866" s="89"/>
    </row>
    <row r="1867" spans="1:9" s="145" customFormat="1">
      <c r="A1867" s="89"/>
      <c r="B1867" s="144"/>
      <c r="D1867" s="76"/>
      <c r="E1867" s="89"/>
      <c r="F1867" s="89"/>
      <c r="G1867" s="89"/>
      <c r="H1867" s="89"/>
      <c r="I1867" s="89"/>
    </row>
    <row r="1868" spans="1:9" s="145" customFormat="1">
      <c r="A1868" s="89"/>
      <c r="B1868" s="144"/>
      <c r="D1868" s="76"/>
      <c r="E1868" s="89"/>
      <c r="F1868" s="89"/>
      <c r="G1868" s="89"/>
      <c r="H1868" s="89"/>
      <c r="I1868" s="89"/>
    </row>
    <row r="1869" spans="1:9" s="145" customFormat="1">
      <c r="A1869" s="89"/>
      <c r="B1869" s="144"/>
      <c r="D1869" s="76"/>
      <c r="E1869" s="89"/>
      <c r="F1869" s="89"/>
      <c r="G1869" s="89"/>
      <c r="H1869" s="89"/>
      <c r="I1869" s="89"/>
    </row>
    <row r="1870" spans="1:9" s="145" customFormat="1">
      <c r="A1870" s="89"/>
      <c r="B1870" s="144"/>
      <c r="D1870" s="76"/>
      <c r="E1870" s="89"/>
      <c r="F1870" s="89"/>
      <c r="G1870" s="89"/>
      <c r="H1870" s="89"/>
      <c r="I1870" s="89"/>
    </row>
    <row r="1871" spans="1:9" s="145" customFormat="1">
      <c r="A1871" s="89"/>
      <c r="B1871" s="144"/>
      <c r="D1871" s="76"/>
      <c r="E1871" s="89"/>
      <c r="F1871" s="89"/>
      <c r="G1871" s="89"/>
      <c r="H1871" s="89"/>
      <c r="I1871" s="89"/>
    </row>
    <row r="1872" spans="1:9" s="145" customFormat="1">
      <c r="A1872" s="89"/>
      <c r="B1872" s="144"/>
      <c r="D1872" s="76"/>
      <c r="E1872" s="89"/>
      <c r="F1872" s="89"/>
      <c r="G1872" s="89"/>
      <c r="H1872" s="89"/>
      <c r="I1872" s="89"/>
    </row>
    <row r="1873" spans="1:9" s="145" customFormat="1">
      <c r="A1873" s="89"/>
      <c r="B1873" s="144"/>
      <c r="D1873" s="76"/>
      <c r="E1873" s="89"/>
      <c r="F1873" s="89"/>
      <c r="G1873" s="89"/>
      <c r="H1873" s="89"/>
      <c r="I1873" s="89"/>
    </row>
    <row r="1874" spans="1:9" s="145" customFormat="1">
      <c r="A1874" s="89"/>
      <c r="B1874" s="144"/>
      <c r="D1874" s="76"/>
      <c r="E1874" s="89"/>
      <c r="F1874" s="89"/>
      <c r="G1874" s="89"/>
      <c r="H1874" s="89"/>
      <c r="I1874" s="89"/>
    </row>
    <row r="1875" spans="1:9" s="145" customFormat="1">
      <c r="A1875" s="89"/>
      <c r="B1875" s="144"/>
      <c r="D1875" s="76"/>
      <c r="E1875" s="89"/>
      <c r="F1875" s="89"/>
      <c r="G1875" s="89"/>
      <c r="H1875" s="89"/>
      <c r="I1875" s="89"/>
    </row>
    <row r="1876" spans="1:9" s="145" customFormat="1">
      <c r="A1876" s="89"/>
      <c r="B1876" s="144"/>
      <c r="D1876" s="76"/>
      <c r="E1876" s="89"/>
      <c r="F1876" s="89"/>
      <c r="G1876" s="89"/>
      <c r="H1876" s="89"/>
      <c r="I1876" s="89"/>
    </row>
    <row r="1877" spans="1:9" s="145" customFormat="1">
      <c r="A1877" s="89"/>
      <c r="B1877" s="144"/>
      <c r="D1877" s="76"/>
      <c r="E1877" s="89"/>
      <c r="F1877" s="89"/>
      <c r="G1877" s="89"/>
      <c r="H1877" s="89"/>
      <c r="I1877" s="89"/>
    </row>
    <row r="1878" spans="1:9" s="145" customFormat="1">
      <c r="A1878" s="89"/>
      <c r="B1878" s="144"/>
      <c r="D1878" s="76"/>
      <c r="E1878" s="89"/>
      <c r="F1878" s="89"/>
      <c r="G1878" s="89"/>
      <c r="H1878" s="89"/>
      <c r="I1878" s="89"/>
    </row>
    <row r="1879" spans="1:9" s="145" customFormat="1">
      <c r="A1879" s="89"/>
      <c r="B1879" s="144"/>
      <c r="D1879" s="76"/>
      <c r="E1879" s="89"/>
      <c r="F1879" s="89"/>
      <c r="G1879" s="89"/>
      <c r="H1879" s="89"/>
      <c r="I1879" s="89"/>
    </row>
    <row r="1880" spans="1:9" s="145" customFormat="1">
      <c r="A1880" s="89"/>
      <c r="B1880" s="144"/>
      <c r="D1880" s="76"/>
      <c r="E1880" s="89"/>
      <c r="F1880" s="89"/>
      <c r="G1880" s="89"/>
      <c r="H1880" s="89"/>
      <c r="I1880" s="89"/>
    </row>
    <row r="1881" spans="1:9" s="145" customFormat="1">
      <c r="A1881" s="89"/>
      <c r="B1881" s="144"/>
      <c r="D1881" s="76"/>
      <c r="E1881" s="89"/>
      <c r="F1881" s="89"/>
      <c r="G1881" s="89"/>
      <c r="H1881" s="89"/>
      <c r="I1881" s="89"/>
    </row>
    <row r="1882" spans="1:9" s="145" customFormat="1">
      <c r="A1882" s="89"/>
      <c r="B1882" s="144"/>
      <c r="D1882" s="76"/>
      <c r="E1882" s="89"/>
      <c r="F1882" s="89"/>
      <c r="G1882" s="89"/>
      <c r="H1882" s="89"/>
      <c r="I1882" s="89"/>
    </row>
    <row r="1883" spans="1:9" s="145" customFormat="1">
      <c r="A1883" s="89"/>
      <c r="B1883" s="144"/>
      <c r="D1883" s="76"/>
      <c r="E1883" s="89"/>
      <c r="F1883" s="89"/>
      <c r="G1883" s="89"/>
      <c r="H1883" s="89"/>
      <c r="I1883" s="89"/>
    </row>
    <row r="1884" spans="1:9" s="145" customFormat="1">
      <c r="A1884" s="89"/>
      <c r="B1884" s="144"/>
      <c r="D1884" s="76"/>
      <c r="E1884" s="89"/>
      <c r="F1884" s="89"/>
      <c r="G1884" s="89"/>
      <c r="H1884" s="89"/>
      <c r="I1884" s="89"/>
    </row>
    <row r="1885" spans="1:9" s="145" customFormat="1">
      <c r="A1885" s="89"/>
      <c r="B1885" s="144"/>
      <c r="D1885" s="76"/>
      <c r="E1885" s="89"/>
      <c r="F1885" s="89"/>
      <c r="G1885" s="89"/>
      <c r="H1885" s="89"/>
      <c r="I1885" s="89"/>
    </row>
    <row r="1886" spans="1:9" s="145" customFormat="1">
      <c r="A1886" s="89"/>
      <c r="B1886" s="144"/>
      <c r="D1886" s="76"/>
      <c r="E1886" s="89"/>
      <c r="F1886" s="89"/>
      <c r="G1886" s="89"/>
      <c r="H1886" s="89"/>
      <c r="I1886" s="89"/>
    </row>
    <row r="1887" spans="1:9" s="145" customFormat="1">
      <c r="A1887" s="89"/>
      <c r="B1887" s="144"/>
      <c r="D1887" s="76"/>
      <c r="E1887" s="89"/>
      <c r="F1887" s="89"/>
      <c r="G1887" s="89"/>
      <c r="H1887" s="89"/>
      <c r="I1887" s="89"/>
    </row>
    <row r="1888" spans="1:9" s="145" customFormat="1">
      <c r="A1888" s="89"/>
      <c r="B1888" s="144"/>
      <c r="D1888" s="76"/>
      <c r="E1888" s="89"/>
      <c r="F1888" s="89"/>
      <c r="G1888" s="89"/>
      <c r="H1888" s="89"/>
      <c r="I1888" s="89"/>
    </row>
    <row r="1889" spans="1:9" s="145" customFormat="1">
      <c r="A1889" s="89"/>
      <c r="B1889" s="144"/>
      <c r="D1889" s="76"/>
      <c r="E1889" s="89"/>
      <c r="F1889" s="89"/>
      <c r="G1889" s="89"/>
      <c r="H1889" s="89"/>
      <c r="I1889" s="89"/>
    </row>
    <row r="1890" spans="1:9" s="145" customFormat="1">
      <c r="A1890" s="89"/>
      <c r="B1890" s="144"/>
      <c r="D1890" s="76"/>
      <c r="E1890" s="89"/>
      <c r="F1890" s="89"/>
      <c r="G1890" s="89"/>
      <c r="H1890" s="89"/>
      <c r="I1890" s="89"/>
    </row>
    <row r="1891" spans="1:9" s="145" customFormat="1">
      <c r="A1891" s="89"/>
      <c r="B1891" s="144"/>
      <c r="D1891" s="76"/>
      <c r="E1891" s="89"/>
      <c r="F1891" s="89"/>
      <c r="G1891" s="89"/>
      <c r="H1891" s="89"/>
      <c r="I1891" s="89"/>
    </row>
    <row r="1892" spans="1:9" s="145" customFormat="1">
      <c r="A1892" s="89"/>
      <c r="B1892" s="144"/>
      <c r="D1892" s="76"/>
      <c r="E1892" s="89"/>
      <c r="F1892" s="89"/>
      <c r="G1892" s="89"/>
      <c r="H1892" s="89"/>
      <c r="I1892" s="89"/>
    </row>
    <row r="1893" spans="1:9" s="145" customFormat="1">
      <c r="A1893" s="89"/>
      <c r="B1893" s="144"/>
      <c r="D1893" s="76"/>
      <c r="E1893" s="89"/>
      <c r="F1893" s="89"/>
      <c r="G1893" s="89"/>
      <c r="H1893" s="89"/>
      <c r="I1893" s="89"/>
    </row>
    <row r="1894" spans="1:9" s="145" customFormat="1">
      <c r="A1894" s="89"/>
      <c r="B1894" s="144"/>
      <c r="D1894" s="76"/>
      <c r="E1894" s="89"/>
      <c r="F1894" s="89"/>
      <c r="G1894" s="89"/>
      <c r="H1894" s="89"/>
      <c r="I1894" s="89"/>
    </row>
    <row r="1895" spans="1:9" s="145" customFormat="1">
      <c r="A1895" s="89"/>
      <c r="B1895" s="144"/>
      <c r="D1895" s="76"/>
      <c r="E1895" s="89"/>
      <c r="F1895" s="89"/>
      <c r="G1895" s="89"/>
      <c r="H1895" s="89"/>
      <c r="I1895" s="89"/>
    </row>
    <row r="1896" spans="1:9" s="145" customFormat="1">
      <c r="A1896" s="89"/>
      <c r="B1896" s="144"/>
      <c r="D1896" s="76"/>
      <c r="E1896" s="89"/>
      <c r="F1896" s="89"/>
      <c r="G1896" s="89"/>
      <c r="H1896" s="89"/>
      <c r="I1896" s="89"/>
    </row>
    <row r="1897" spans="1:9" s="145" customFormat="1">
      <c r="A1897" s="89"/>
      <c r="B1897" s="144"/>
      <c r="D1897" s="76"/>
      <c r="E1897" s="89"/>
      <c r="F1897" s="89"/>
      <c r="G1897" s="89"/>
      <c r="H1897" s="89"/>
      <c r="I1897" s="89"/>
    </row>
    <row r="1898" spans="1:9" s="145" customFormat="1">
      <c r="A1898" s="89"/>
      <c r="B1898" s="144"/>
      <c r="D1898" s="76"/>
      <c r="E1898" s="89"/>
      <c r="F1898" s="89"/>
      <c r="G1898" s="89"/>
      <c r="H1898" s="89"/>
      <c r="I1898" s="89"/>
    </row>
    <row r="1899" spans="1:9" s="145" customFormat="1">
      <c r="A1899" s="89"/>
      <c r="B1899" s="144"/>
      <c r="D1899" s="76"/>
      <c r="E1899" s="89"/>
      <c r="F1899" s="89"/>
      <c r="G1899" s="89"/>
      <c r="H1899" s="89"/>
      <c r="I1899" s="89"/>
    </row>
    <row r="1900" spans="1:9" s="145" customFormat="1">
      <c r="A1900" s="89"/>
      <c r="B1900" s="144"/>
      <c r="D1900" s="76"/>
      <c r="E1900" s="89"/>
      <c r="F1900" s="89"/>
      <c r="G1900" s="89"/>
      <c r="H1900" s="89"/>
      <c r="I1900" s="89"/>
    </row>
    <row r="1901" spans="1:9" s="145" customFormat="1">
      <c r="A1901" s="89"/>
      <c r="B1901" s="144"/>
      <c r="D1901" s="76"/>
      <c r="E1901" s="89"/>
      <c r="F1901" s="89"/>
      <c r="G1901" s="89"/>
      <c r="H1901" s="89"/>
      <c r="I1901" s="89"/>
    </row>
    <row r="1902" spans="1:9" s="145" customFormat="1">
      <c r="A1902" s="89"/>
      <c r="B1902" s="144"/>
      <c r="D1902" s="76"/>
      <c r="E1902" s="89"/>
      <c r="F1902" s="89"/>
      <c r="G1902" s="89"/>
      <c r="H1902" s="89"/>
      <c r="I1902" s="89"/>
    </row>
    <row r="1903" spans="1:9" s="145" customFormat="1">
      <c r="A1903" s="89"/>
      <c r="B1903" s="144"/>
      <c r="D1903" s="76"/>
      <c r="E1903" s="89"/>
      <c r="F1903" s="89"/>
      <c r="G1903" s="89"/>
      <c r="H1903" s="89"/>
      <c r="I1903" s="89"/>
    </row>
    <row r="1904" spans="1:9" s="145" customFormat="1">
      <c r="A1904" s="89"/>
      <c r="B1904" s="144"/>
      <c r="D1904" s="76"/>
      <c r="E1904" s="89"/>
      <c r="F1904" s="89"/>
      <c r="G1904" s="89"/>
      <c r="H1904" s="89"/>
      <c r="I1904" s="89"/>
    </row>
    <row r="1905" spans="1:9" s="145" customFormat="1">
      <c r="A1905" s="89"/>
      <c r="B1905" s="144"/>
      <c r="D1905" s="76"/>
      <c r="E1905" s="89"/>
      <c r="F1905" s="89"/>
      <c r="G1905" s="89"/>
      <c r="H1905" s="89"/>
      <c r="I1905" s="89"/>
    </row>
    <row r="1906" spans="1:9" s="145" customFormat="1">
      <c r="A1906" s="89"/>
      <c r="B1906" s="144"/>
      <c r="D1906" s="76"/>
      <c r="E1906" s="89"/>
      <c r="F1906" s="89"/>
      <c r="G1906" s="89"/>
      <c r="H1906" s="89"/>
      <c r="I1906" s="89"/>
    </row>
    <row r="1907" spans="1:9" s="145" customFormat="1">
      <c r="A1907" s="89"/>
      <c r="B1907" s="144"/>
      <c r="D1907" s="76"/>
      <c r="E1907" s="89"/>
      <c r="F1907" s="89"/>
      <c r="G1907" s="89"/>
      <c r="H1907" s="89"/>
      <c r="I1907" s="89"/>
    </row>
    <row r="1908" spans="1:9" s="145" customFormat="1">
      <c r="A1908" s="89"/>
      <c r="B1908" s="144"/>
      <c r="D1908" s="76"/>
      <c r="E1908" s="89"/>
      <c r="F1908" s="89"/>
      <c r="G1908" s="89"/>
      <c r="H1908" s="89"/>
      <c r="I1908" s="89"/>
    </row>
    <row r="1909" spans="1:9" s="145" customFormat="1">
      <c r="A1909" s="89"/>
      <c r="B1909" s="144"/>
      <c r="D1909" s="76"/>
      <c r="E1909" s="89"/>
      <c r="F1909" s="89"/>
      <c r="G1909" s="89"/>
      <c r="H1909" s="89"/>
      <c r="I1909" s="89"/>
    </row>
    <row r="1910" spans="1:9" s="145" customFormat="1">
      <c r="A1910" s="89"/>
      <c r="B1910" s="144"/>
      <c r="D1910" s="76"/>
      <c r="E1910" s="89"/>
      <c r="F1910" s="89"/>
      <c r="G1910" s="89"/>
      <c r="H1910" s="89"/>
      <c r="I1910" s="89"/>
    </row>
    <row r="1911" spans="1:9" s="145" customFormat="1">
      <c r="A1911" s="89"/>
      <c r="B1911" s="144"/>
      <c r="D1911" s="76"/>
      <c r="E1911" s="89"/>
      <c r="F1911" s="89"/>
      <c r="G1911" s="89"/>
      <c r="H1911" s="89"/>
      <c r="I1911" s="89"/>
    </row>
    <row r="1912" spans="1:9" s="145" customFormat="1">
      <c r="A1912" s="89"/>
      <c r="B1912" s="144"/>
      <c r="D1912" s="76"/>
      <c r="E1912" s="89"/>
      <c r="F1912" s="89"/>
      <c r="G1912" s="89"/>
      <c r="H1912" s="89"/>
      <c r="I1912" s="89"/>
    </row>
    <row r="1913" spans="1:9" s="145" customFormat="1">
      <c r="A1913" s="89"/>
      <c r="B1913" s="144"/>
      <c r="D1913" s="76"/>
      <c r="E1913" s="89"/>
      <c r="F1913" s="89"/>
      <c r="G1913" s="89"/>
      <c r="H1913" s="89"/>
      <c r="I1913" s="89"/>
    </row>
    <row r="1914" spans="1:9" s="145" customFormat="1">
      <c r="A1914" s="89"/>
      <c r="B1914" s="144"/>
      <c r="D1914" s="76"/>
      <c r="E1914" s="89"/>
      <c r="F1914" s="89"/>
      <c r="G1914" s="89"/>
      <c r="H1914" s="89"/>
      <c r="I1914" s="89"/>
    </row>
    <row r="1915" spans="1:9" s="145" customFormat="1">
      <c r="A1915" s="89"/>
      <c r="B1915" s="144"/>
      <c r="D1915" s="76"/>
      <c r="E1915" s="89"/>
      <c r="F1915" s="89"/>
      <c r="G1915" s="89"/>
      <c r="H1915" s="89"/>
      <c r="I1915" s="89"/>
    </row>
    <row r="1916" spans="1:9" s="145" customFormat="1">
      <c r="A1916" s="89"/>
      <c r="B1916" s="144"/>
      <c r="D1916" s="76"/>
      <c r="E1916" s="89"/>
      <c r="F1916" s="89"/>
      <c r="G1916" s="89"/>
      <c r="H1916" s="89"/>
      <c r="I1916" s="89"/>
    </row>
    <row r="1917" spans="1:9" s="145" customFormat="1">
      <c r="A1917" s="89"/>
      <c r="B1917" s="144"/>
      <c r="D1917" s="76"/>
      <c r="E1917" s="89"/>
      <c r="F1917" s="89"/>
      <c r="G1917" s="89"/>
      <c r="H1917" s="89"/>
      <c r="I1917" s="89"/>
    </row>
    <row r="1918" spans="1:9" s="145" customFormat="1">
      <c r="A1918" s="89"/>
      <c r="B1918" s="144"/>
      <c r="D1918" s="76"/>
      <c r="E1918" s="89"/>
      <c r="F1918" s="89"/>
      <c r="G1918" s="89"/>
      <c r="H1918" s="89"/>
      <c r="I1918" s="89"/>
    </row>
    <row r="1919" spans="1:9" s="145" customFormat="1">
      <c r="A1919" s="89"/>
      <c r="B1919" s="144"/>
      <c r="D1919" s="76"/>
      <c r="E1919" s="89"/>
      <c r="F1919" s="89"/>
      <c r="G1919" s="89"/>
      <c r="H1919" s="89"/>
      <c r="I1919" s="89"/>
    </row>
    <row r="1920" spans="1:9" s="145" customFormat="1">
      <c r="A1920" s="89"/>
      <c r="B1920" s="144"/>
      <c r="D1920" s="76"/>
      <c r="E1920" s="89"/>
      <c r="F1920" s="89"/>
      <c r="G1920" s="89"/>
      <c r="H1920" s="89"/>
      <c r="I1920" s="89"/>
    </row>
    <row r="1921" spans="1:9" s="145" customFormat="1">
      <c r="A1921" s="89"/>
      <c r="B1921" s="144"/>
      <c r="D1921" s="76"/>
      <c r="E1921" s="89"/>
      <c r="F1921" s="89"/>
      <c r="G1921" s="89"/>
      <c r="H1921" s="89"/>
      <c r="I1921" s="89"/>
    </row>
    <row r="1922" spans="1:9" s="145" customFormat="1">
      <c r="A1922" s="89"/>
      <c r="B1922" s="144"/>
      <c r="D1922" s="76"/>
      <c r="E1922" s="89"/>
      <c r="F1922" s="89"/>
      <c r="G1922" s="89"/>
      <c r="H1922" s="89"/>
      <c r="I1922" s="89"/>
    </row>
    <row r="1923" spans="1:9" s="145" customFormat="1">
      <c r="A1923" s="89"/>
      <c r="B1923" s="144"/>
      <c r="D1923" s="76"/>
      <c r="E1923" s="89"/>
      <c r="F1923" s="89"/>
      <c r="G1923" s="89"/>
      <c r="H1923" s="89"/>
      <c r="I1923" s="89"/>
    </row>
    <row r="1924" spans="1:9" s="145" customFormat="1">
      <c r="A1924" s="89"/>
      <c r="B1924" s="144"/>
      <c r="D1924" s="76"/>
      <c r="E1924" s="89"/>
      <c r="F1924" s="89"/>
      <c r="G1924" s="89"/>
      <c r="H1924" s="89"/>
      <c r="I1924" s="89"/>
    </row>
    <row r="1925" spans="1:9" s="145" customFormat="1">
      <c r="A1925" s="89"/>
      <c r="B1925" s="144"/>
      <c r="D1925" s="76"/>
      <c r="E1925" s="89"/>
      <c r="F1925" s="89"/>
      <c r="G1925" s="89"/>
      <c r="H1925" s="89"/>
      <c r="I1925" s="89"/>
    </row>
    <row r="1926" spans="1:9" s="145" customFormat="1">
      <c r="A1926" s="89"/>
      <c r="B1926" s="144"/>
      <c r="D1926" s="76"/>
      <c r="E1926" s="89"/>
      <c r="F1926" s="89"/>
      <c r="G1926" s="89"/>
      <c r="H1926" s="89"/>
      <c r="I1926" s="89"/>
    </row>
    <row r="1927" spans="1:9" s="145" customFormat="1">
      <c r="A1927" s="89"/>
      <c r="B1927" s="144"/>
      <c r="D1927" s="76"/>
      <c r="E1927" s="89"/>
      <c r="F1927" s="89"/>
      <c r="G1927" s="89"/>
      <c r="H1927" s="89"/>
      <c r="I1927" s="89"/>
    </row>
    <row r="1928" spans="1:9" s="145" customFormat="1">
      <c r="A1928" s="89"/>
      <c r="B1928" s="144"/>
      <c r="D1928" s="76"/>
      <c r="E1928" s="89"/>
      <c r="F1928" s="89"/>
      <c r="G1928" s="89"/>
      <c r="H1928" s="89"/>
      <c r="I1928" s="89"/>
    </row>
    <row r="1929" spans="1:9" s="145" customFormat="1">
      <c r="A1929" s="89"/>
      <c r="B1929" s="144"/>
      <c r="D1929" s="76"/>
      <c r="E1929" s="89"/>
      <c r="F1929" s="89"/>
      <c r="G1929" s="89"/>
      <c r="H1929" s="89"/>
      <c r="I1929" s="89"/>
    </row>
    <row r="1930" spans="1:9" s="145" customFormat="1">
      <c r="A1930" s="89"/>
      <c r="B1930" s="144"/>
      <c r="D1930" s="76"/>
      <c r="E1930" s="89"/>
      <c r="F1930" s="89"/>
      <c r="G1930" s="89"/>
      <c r="H1930" s="89"/>
      <c r="I1930" s="89"/>
    </row>
    <row r="1931" spans="1:9" s="145" customFormat="1">
      <c r="A1931" s="89"/>
      <c r="B1931" s="144"/>
      <c r="D1931" s="76"/>
      <c r="E1931" s="89"/>
      <c r="F1931" s="89"/>
      <c r="G1931" s="89"/>
      <c r="H1931" s="89"/>
      <c r="I1931" s="89"/>
    </row>
    <row r="1932" spans="1:9" s="145" customFormat="1">
      <c r="A1932" s="89"/>
      <c r="B1932" s="144"/>
      <c r="D1932" s="76"/>
      <c r="E1932" s="89"/>
      <c r="F1932" s="89"/>
      <c r="G1932" s="89"/>
      <c r="H1932" s="89"/>
      <c r="I1932" s="89"/>
    </row>
    <row r="1933" spans="1:9" s="145" customFormat="1">
      <c r="A1933" s="89"/>
      <c r="B1933" s="144"/>
      <c r="D1933" s="76"/>
      <c r="E1933" s="89"/>
      <c r="F1933" s="89"/>
      <c r="G1933" s="89"/>
      <c r="H1933" s="89"/>
      <c r="I1933" s="89"/>
    </row>
    <row r="1934" spans="1:9" s="145" customFormat="1">
      <c r="A1934" s="89"/>
      <c r="B1934" s="144"/>
      <c r="D1934" s="76"/>
      <c r="E1934" s="89"/>
      <c r="F1934" s="89"/>
      <c r="G1934" s="89"/>
      <c r="H1934" s="89"/>
      <c r="I1934" s="89"/>
    </row>
    <row r="1935" spans="1:9" s="145" customFormat="1">
      <c r="A1935" s="89"/>
      <c r="B1935" s="144"/>
      <c r="D1935" s="76"/>
      <c r="E1935" s="89"/>
      <c r="F1935" s="89"/>
      <c r="G1935" s="89"/>
      <c r="H1935" s="89"/>
      <c r="I1935" s="89"/>
    </row>
    <row r="1936" spans="1:9" s="145" customFormat="1">
      <c r="A1936" s="89"/>
      <c r="B1936" s="144"/>
      <c r="D1936" s="76"/>
      <c r="E1936" s="89"/>
      <c r="F1936" s="89"/>
      <c r="G1936" s="89"/>
      <c r="H1936" s="89"/>
      <c r="I1936" s="89"/>
    </row>
    <row r="1937" spans="1:9" s="145" customFormat="1">
      <c r="A1937" s="89"/>
      <c r="B1937" s="144"/>
      <c r="D1937" s="76"/>
      <c r="E1937" s="89"/>
      <c r="F1937" s="89"/>
      <c r="G1937" s="89"/>
      <c r="H1937" s="89"/>
      <c r="I1937" s="89"/>
    </row>
    <row r="1938" spans="1:9" s="145" customFormat="1">
      <c r="A1938" s="89"/>
      <c r="B1938" s="144"/>
      <c r="D1938" s="76"/>
      <c r="E1938" s="89"/>
      <c r="F1938" s="89"/>
      <c r="G1938" s="89"/>
      <c r="H1938" s="89"/>
      <c r="I1938" s="89"/>
    </row>
    <row r="1939" spans="1:9" s="145" customFormat="1">
      <c r="A1939" s="89"/>
      <c r="B1939" s="144"/>
      <c r="D1939" s="76"/>
      <c r="E1939" s="89"/>
      <c r="F1939" s="89"/>
      <c r="G1939" s="89"/>
      <c r="H1939" s="89"/>
      <c r="I1939" s="89"/>
    </row>
    <row r="1940" spans="1:9" s="145" customFormat="1">
      <c r="A1940" s="89"/>
      <c r="B1940" s="144"/>
      <c r="D1940" s="76"/>
      <c r="E1940" s="89"/>
      <c r="F1940" s="89"/>
      <c r="G1940" s="89"/>
      <c r="H1940" s="89"/>
      <c r="I1940" s="89"/>
    </row>
    <row r="1941" spans="1:9" s="145" customFormat="1">
      <c r="A1941" s="89"/>
      <c r="B1941" s="144"/>
      <c r="D1941" s="76"/>
      <c r="E1941" s="89"/>
      <c r="F1941" s="89"/>
      <c r="G1941" s="89"/>
      <c r="H1941" s="89"/>
      <c r="I1941" s="89"/>
    </row>
    <row r="1942" spans="1:9" s="145" customFormat="1">
      <c r="A1942" s="89"/>
      <c r="B1942" s="144"/>
      <c r="D1942" s="76"/>
      <c r="E1942" s="89"/>
      <c r="F1942" s="89"/>
      <c r="G1942" s="89"/>
      <c r="H1942" s="89"/>
      <c r="I1942" s="89"/>
    </row>
    <row r="1943" spans="1:9" s="145" customFormat="1">
      <c r="A1943" s="89"/>
      <c r="B1943" s="144"/>
      <c r="D1943" s="76"/>
      <c r="E1943" s="89"/>
      <c r="F1943" s="89"/>
      <c r="G1943" s="89"/>
      <c r="H1943" s="89"/>
      <c r="I1943" s="89"/>
    </row>
    <row r="1944" spans="1:9" s="145" customFormat="1">
      <c r="A1944" s="89"/>
      <c r="B1944" s="144"/>
      <c r="D1944" s="76"/>
      <c r="E1944" s="89"/>
      <c r="F1944" s="89"/>
      <c r="G1944" s="89"/>
      <c r="H1944" s="89"/>
      <c r="I1944" s="89"/>
    </row>
    <row r="1945" spans="1:9" s="145" customFormat="1">
      <c r="A1945" s="89"/>
      <c r="B1945" s="144"/>
      <c r="D1945" s="76"/>
      <c r="E1945" s="89"/>
      <c r="F1945" s="89"/>
      <c r="G1945" s="89"/>
      <c r="H1945" s="89"/>
      <c r="I1945" s="89"/>
    </row>
    <row r="1946" spans="1:9" s="145" customFormat="1">
      <c r="A1946" s="89"/>
      <c r="B1946" s="144"/>
      <c r="D1946" s="76"/>
      <c r="E1946" s="89"/>
      <c r="F1946" s="89"/>
      <c r="G1946" s="89"/>
      <c r="H1946" s="89"/>
      <c r="I1946" s="89"/>
    </row>
    <row r="1947" spans="1:9" s="145" customFormat="1">
      <c r="A1947" s="89"/>
      <c r="B1947" s="144"/>
      <c r="D1947" s="76"/>
      <c r="E1947" s="89"/>
      <c r="F1947" s="89"/>
      <c r="G1947" s="89"/>
      <c r="H1947" s="89"/>
      <c r="I1947" s="89"/>
    </row>
    <row r="1948" spans="1:9" s="145" customFormat="1">
      <c r="A1948" s="89"/>
      <c r="B1948" s="144"/>
      <c r="D1948" s="76"/>
      <c r="E1948" s="89"/>
      <c r="F1948" s="89"/>
      <c r="G1948" s="89"/>
      <c r="H1948" s="89"/>
      <c r="I1948" s="89"/>
    </row>
    <row r="1949" spans="1:9" s="145" customFormat="1">
      <c r="A1949" s="89"/>
      <c r="B1949" s="144"/>
      <c r="D1949" s="76"/>
      <c r="E1949" s="89"/>
      <c r="F1949" s="89"/>
      <c r="G1949" s="89"/>
      <c r="H1949" s="89"/>
      <c r="I1949" s="89"/>
    </row>
    <row r="1950" spans="1:9" s="145" customFormat="1">
      <c r="A1950" s="89"/>
      <c r="B1950" s="144"/>
      <c r="D1950" s="76"/>
      <c r="E1950" s="89"/>
      <c r="F1950" s="89"/>
      <c r="G1950" s="89"/>
      <c r="H1950" s="89"/>
      <c r="I1950" s="89"/>
    </row>
    <row r="1951" spans="1:9" s="145" customFormat="1">
      <c r="A1951" s="89"/>
      <c r="B1951" s="144"/>
      <c r="D1951" s="76"/>
      <c r="E1951" s="89"/>
      <c r="F1951" s="89"/>
      <c r="G1951" s="89"/>
      <c r="H1951" s="89"/>
      <c r="I1951" s="89"/>
    </row>
    <row r="1952" spans="1:9" s="145" customFormat="1">
      <c r="A1952" s="89"/>
      <c r="B1952" s="144"/>
      <c r="D1952" s="76"/>
      <c r="E1952" s="89"/>
      <c r="F1952" s="89"/>
      <c r="G1952" s="89"/>
      <c r="H1952" s="89"/>
      <c r="I1952" s="89"/>
    </row>
    <row r="1953" spans="1:9" s="145" customFormat="1">
      <c r="A1953" s="89"/>
      <c r="B1953" s="144"/>
      <c r="D1953" s="76"/>
      <c r="E1953" s="89"/>
      <c r="F1953" s="89"/>
      <c r="G1953" s="89"/>
      <c r="H1953" s="89"/>
      <c r="I1953" s="89"/>
    </row>
    <row r="1954" spans="1:9" s="145" customFormat="1">
      <c r="A1954" s="89"/>
      <c r="B1954" s="144"/>
      <c r="D1954" s="76"/>
      <c r="E1954" s="89"/>
      <c r="F1954" s="89"/>
      <c r="G1954" s="89"/>
      <c r="H1954" s="89"/>
      <c r="I1954" s="89"/>
    </row>
    <row r="1955" spans="1:9" s="145" customFormat="1">
      <c r="A1955" s="89"/>
      <c r="B1955" s="144"/>
      <c r="D1955" s="76"/>
      <c r="E1955" s="89"/>
      <c r="F1955" s="89"/>
      <c r="G1955" s="89"/>
      <c r="H1955" s="89"/>
      <c r="I1955" s="89"/>
    </row>
    <row r="1956" spans="1:9" s="145" customFormat="1">
      <c r="A1956" s="89"/>
      <c r="B1956" s="144"/>
      <c r="D1956" s="76"/>
      <c r="E1956" s="89"/>
      <c r="F1956" s="89"/>
      <c r="G1956" s="89"/>
      <c r="H1956" s="89"/>
      <c r="I1956" s="89"/>
    </row>
    <row r="1957" spans="1:9" s="145" customFormat="1">
      <c r="A1957" s="89"/>
      <c r="B1957" s="144"/>
      <c r="D1957" s="76"/>
      <c r="E1957" s="89"/>
      <c r="F1957" s="89"/>
      <c r="G1957" s="89"/>
      <c r="H1957" s="89"/>
      <c r="I1957" s="89"/>
    </row>
    <row r="1958" spans="1:9" s="145" customFormat="1">
      <c r="A1958" s="89"/>
      <c r="B1958" s="144"/>
      <c r="D1958" s="76"/>
      <c r="E1958" s="89"/>
      <c r="F1958" s="89"/>
      <c r="G1958" s="89"/>
      <c r="H1958" s="89"/>
      <c r="I1958" s="89"/>
    </row>
    <row r="1959" spans="1:9" s="145" customFormat="1">
      <c r="A1959" s="89"/>
      <c r="B1959" s="144"/>
      <c r="D1959" s="76"/>
      <c r="E1959" s="89"/>
      <c r="F1959" s="89"/>
      <c r="G1959" s="89"/>
      <c r="H1959" s="89"/>
      <c r="I1959" s="89"/>
    </row>
    <row r="1960" spans="1:9" s="145" customFormat="1">
      <c r="A1960" s="89"/>
      <c r="B1960" s="144"/>
      <c r="D1960" s="76"/>
      <c r="E1960" s="89"/>
      <c r="F1960" s="89"/>
      <c r="G1960" s="89"/>
      <c r="H1960" s="89"/>
      <c r="I1960" s="89"/>
    </row>
    <row r="1961" spans="1:9" s="145" customFormat="1">
      <c r="A1961" s="89"/>
      <c r="B1961" s="144"/>
      <c r="D1961" s="76"/>
      <c r="E1961" s="89"/>
      <c r="F1961" s="89"/>
      <c r="G1961" s="89"/>
      <c r="H1961" s="89"/>
      <c r="I1961" s="89"/>
    </row>
    <row r="1962" spans="1:9" s="145" customFormat="1">
      <c r="A1962" s="89"/>
      <c r="B1962" s="144"/>
      <c r="D1962" s="76"/>
      <c r="E1962" s="89"/>
      <c r="F1962" s="89"/>
      <c r="G1962" s="89"/>
      <c r="H1962" s="89"/>
      <c r="I1962" s="89"/>
    </row>
    <row r="1963" spans="1:9" s="145" customFormat="1">
      <c r="A1963" s="89"/>
      <c r="B1963" s="144"/>
      <c r="D1963" s="76"/>
      <c r="E1963" s="89"/>
      <c r="F1963" s="89"/>
      <c r="G1963" s="89"/>
      <c r="H1963" s="89"/>
      <c r="I1963" s="89"/>
    </row>
    <row r="1964" spans="1:9" s="145" customFormat="1">
      <c r="A1964" s="89"/>
      <c r="B1964" s="144"/>
      <c r="D1964" s="76"/>
      <c r="E1964" s="89"/>
      <c r="F1964" s="89"/>
      <c r="G1964" s="89"/>
      <c r="H1964" s="89"/>
      <c r="I1964" s="89"/>
    </row>
    <row r="1965" spans="1:9" s="145" customFormat="1">
      <c r="A1965" s="89"/>
      <c r="B1965" s="144"/>
      <c r="D1965" s="76"/>
      <c r="E1965" s="89"/>
      <c r="F1965" s="89"/>
      <c r="G1965" s="89"/>
      <c r="H1965" s="89"/>
      <c r="I1965" s="89"/>
    </row>
    <row r="1966" spans="1:9" s="145" customFormat="1">
      <c r="A1966" s="89"/>
      <c r="B1966" s="144"/>
      <c r="D1966" s="76"/>
      <c r="E1966" s="89"/>
      <c r="F1966" s="89"/>
      <c r="G1966" s="89"/>
      <c r="H1966" s="89"/>
      <c r="I1966" s="89"/>
    </row>
    <row r="1967" spans="1:9" s="145" customFormat="1">
      <c r="A1967" s="89"/>
      <c r="B1967" s="144"/>
      <c r="D1967" s="76"/>
      <c r="E1967" s="89"/>
      <c r="F1967" s="89"/>
      <c r="G1967" s="89"/>
      <c r="H1967" s="89"/>
      <c r="I1967" s="89"/>
    </row>
    <row r="1968" spans="1:9" s="145" customFormat="1">
      <c r="A1968" s="89"/>
      <c r="B1968" s="144"/>
      <c r="D1968" s="76"/>
      <c r="E1968" s="89"/>
      <c r="F1968" s="89"/>
      <c r="G1968" s="89"/>
      <c r="H1968" s="89"/>
      <c r="I1968" s="89"/>
    </row>
    <row r="1969" spans="1:9" s="145" customFormat="1">
      <c r="A1969" s="89"/>
      <c r="B1969" s="144"/>
      <c r="D1969" s="76"/>
      <c r="E1969" s="89"/>
      <c r="F1969" s="89"/>
      <c r="G1969" s="89"/>
      <c r="H1969" s="89"/>
      <c r="I1969" s="89"/>
    </row>
    <row r="1970" spans="1:9" s="145" customFormat="1">
      <c r="A1970" s="89"/>
      <c r="B1970" s="144"/>
      <c r="D1970" s="76"/>
      <c r="E1970" s="89"/>
      <c r="F1970" s="89"/>
      <c r="G1970" s="89"/>
      <c r="H1970" s="89"/>
      <c r="I1970" s="89"/>
    </row>
    <row r="1971" spans="1:9" s="145" customFormat="1">
      <c r="A1971" s="89"/>
      <c r="B1971" s="144"/>
      <c r="D1971" s="76"/>
      <c r="E1971" s="89"/>
      <c r="F1971" s="89"/>
      <c r="G1971" s="89"/>
      <c r="H1971" s="89"/>
      <c r="I1971" s="89"/>
    </row>
    <row r="1972" spans="1:9" s="145" customFormat="1">
      <c r="A1972" s="89"/>
      <c r="B1972" s="144"/>
      <c r="D1972" s="76"/>
      <c r="E1972" s="89"/>
      <c r="F1972" s="89"/>
      <c r="G1972" s="89"/>
      <c r="H1972" s="89"/>
      <c r="I1972" s="89"/>
    </row>
    <row r="1973" spans="1:9" s="145" customFormat="1">
      <c r="A1973" s="89"/>
      <c r="B1973" s="144"/>
      <c r="D1973" s="76"/>
      <c r="E1973" s="89"/>
      <c r="F1973" s="89"/>
      <c r="G1973" s="89"/>
      <c r="H1973" s="89"/>
      <c r="I1973" s="89"/>
    </row>
    <row r="1974" spans="1:9" s="145" customFormat="1">
      <c r="A1974" s="89"/>
      <c r="B1974" s="144"/>
      <c r="D1974" s="76"/>
      <c r="E1974" s="89"/>
      <c r="F1974" s="89"/>
      <c r="G1974" s="89"/>
      <c r="H1974" s="89"/>
      <c r="I1974" s="89"/>
    </row>
    <row r="1975" spans="1:9" s="145" customFormat="1">
      <c r="A1975" s="89"/>
      <c r="B1975" s="144"/>
      <c r="D1975" s="76"/>
      <c r="E1975" s="89"/>
      <c r="F1975" s="89"/>
      <c r="G1975" s="89"/>
      <c r="H1975" s="89"/>
      <c r="I1975" s="89"/>
    </row>
    <row r="1976" spans="1:9" s="145" customFormat="1">
      <c r="A1976" s="89"/>
      <c r="B1976" s="144"/>
      <c r="D1976" s="76"/>
      <c r="E1976" s="89"/>
      <c r="F1976" s="89"/>
      <c r="G1976" s="89"/>
      <c r="H1976" s="89"/>
      <c r="I1976" s="89"/>
    </row>
    <row r="1977" spans="1:9" s="145" customFormat="1">
      <c r="A1977" s="89"/>
      <c r="B1977" s="144"/>
      <c r="D1977" s="76"/>
      <c r="E1977" s="89"/>
      <c r="F1977" s="89"/>
      <c r="G1977" s="89"/>
      <c r="H1977" s="89"/>
      <c r="I1977" s="89"/>
    </row>
    <row r="1978" spans="1:9" s="145" customFormat="1">
      <c r="A1978" s="89"/>
      <c r="B1978" s="144"/>
      <c r="D1978" s="76"/>
      <c r="E1978" s="89"/>
      <c r="F1978" s="89"/>
      <c r="G1978" s="89"/>
      <c r="H1978" s="89"/>
      <c r="I1978" s="89"/>
    </row>
    <row r="1979" spans="1:9" s="145" customFormat="1">
      <c r="A1979" s="89"/>
      <c r="B1979" s="144"/>
      <c r="D1979" s="76"/>
      <c r="E1979" s="89"/>
      <c r="F1979" s="89"/>
      <c r="G1979" s="89"/>
      <c r="H1979" s="89"/>
      <c r="I1979" s="89"/>
    </row>
    <row r="1980" spans="1:9" s="145" customFormat="1">
      <c r="A1980" s="89"/>
      <c r="B1980" s="144"/>
      <c r="D1980" s="76"/>
      <c r="E1980" s="89"/>
      <c r="F1980" s="89"/>
      <c r="G1980" s="89"/>
      <c r="H1980" s="89"/>
      <c r="I1980" s="89"/>
    </row>
    <row r="1981" spans="1:9" s="145" customFormat="1">
      <c r="A1981" s="89"/>
      <c r="B1981" s="144"/>
      <c r="D1981" s="76"/>
      <c r="E1981" s="89"/>
      <c r="F1981" s="89"/>
      <c r="G1981" s="89"/>
      <c r="H1981" s="89"/>
      <c r="I1981" s="89"/>
    </row>
    <row r="1982" spans="1:9" s="145" customFormat="1">
      <c r="A1982" s="89"/>
      <c r="B1982" s="144"/>
      <c r="D1982" s="76"/>
      <c r="E1982" s="89"/>
      <c r="F1982" s="89"/>
      <c r="G1982" s="89"/>
      <c r="H1982" s="89"/>
      <c r="I1982" s="89"/>
    </row>
    <row r="1983" spans="1:9" s="145" customFormat="1">
      <c r="A1983" s="89"/>
      <c r="B1983" s="144"/>
      <c r="D1983" s="76"/>
      <c r="E1983" s="89"/>
      <c r="F1983" s="89"/>
      <c r="G1983" s="89"/>
      <c r="H1983" s="89"/>
      <c r="I1983" s="89"/>
    </row>
    <row r="1984" spans="1:9" s="145" customFormat="1">
      <c r="A1984" s="89"/>
      <c r="B1984" s="144"/>
      <c r="D1984" s="76"/>
      <c r="E1984" s="89"/>
      <c r="F1984" s="89"/>
      <c r="G1984" s="89"/>
      <c r="H1984" s="89"/>
      <c r="I1984" s="89"/>
    </row>
    <row r="1985" spans="1:9" s="145" customFormat="1">
      <c r="A1985" s="89"/>
      <c r="B1985" s="144"/>
      <c r="D1985" s="76"/>
      <c r="E1985" s="89"/>
      <c r="F1985" s="89"/>
      <c r="G1985" s="89"/>
      <c r="H1985" s="89"/>
      <c r="I1985" s="89"/>
    </row>
    <row r="1986" spans="1:9" s="145" customFormat="1">
      <c r="A1986" s="89"/>
      <c r="B1986" s="144"/>
      <c r="D1986" s="76"/>
      <c r="E1986" s="89"/>
      <c r="F1986" s="89"/>
      <c r="G1986" s="89"/>
      <c r="H1986" s="89"/>
      <c r="I1986" s="89"/>
    </row>
    <row r="1987" spans="1:9" s="145" customFormat="1">
      <c r="A1987" s="89"/>
      <c r="B1987" s="144"/>
      <c r="D1987" s="76"/>
      <c r="E1987" s="89"/>
      <c r="F1987" s="89"/>
      <c r="G1987" s="89"/>
      <c r="H1987" s="89"/>
      <c r="I1987" s="89"/>
    </row>
    <row r="1988" spans="1:9" s="145" customFormat="1">
      <c r="A1988" s="89"/>
      <c r="B1988" s="144"/>
      <c r="D1988" s="76"/>
      <c r="E1988" s="89"/>
      <c r="F1988" s="89"/>
      <c r="G1988" s="89"/>
      <c r="H1988" s="89"/>
      <c r="I1988" s="89"/>
    </row>
    <row r="1989" spans="1:9" s="145" customFormat="1">
      <c r="A1989" s="89"/>
      <c r="B1989" s="144"/>
      <c r="D1989" s="76"/>
      <c r="E1989" s="89"/>
      <c r="F1989" s="89"/>
      <c r="G1989" s="89"/>
      <c r="H1989" s="89"/>
      <c r="I1989" s="89"/>
    </row>
    <row r="1990" spans="1:9" s="145" customFormat="1">
      <c r="A1990" s="89"/>
      <c r="B1990" s="144"/>
      <c r="D1990" s="76"/>
      <c r="E1990" s="89"/>
      <c r="F1990" s="89"/>
      <c r="G1990" s="89"/>
      <c r="H1990" s="89"/>
      <c r="I1990" s="89"/>
    </row>
    <row r="1991" spans="1:9" s="145" customFormat="1">
      <c r="A1991" s="89"/>
      <c r="B1991" s="144"/>
      <c r="D1991" s="76"/>
      <c r="E1991" s="89"/>
      <c r="F1991" s="89"/>
      <c r="G1991" s="89"/>
      <c r="H1991" s="89"/>
      <c r="I1991" s="89"/>
    </row>
    <row r="1992" spans="1:9" s="145" customFormat="1">
      <c r="A1992" s="89"/>
      <c r="B1992" s="144"/>
      <c r="D1992" s="76"/>
      <c r="E1992" s="89"/>
      <c r="F1992" s="89"/>
      <c r="G1992" s="89"/>
      <c r="H1992" s="89"/>
      <c r="I1992" s="89"/>
    </row>
    <row r="1993" spans="1:9" s="145" customFormat="1">
      <c r="A1993" s="89"/>
      <c r="B1993" s="144"/>
      <c r="D1993" s="76"/>
      <c r="E1993" s="89"/>
      <c r="F1993" s="89"/>
      <c r="G1993" s="89"/>
      <c r="H1993" s="89"/>
      <c r="I1993" s="89"/>
    </row>
    <row r="1994" spans="1:9" s="145" customFormat="1">
      <c r="A1994" s="89"/>
      <c r="B1994" s="144"/>
      <c r="D1994" s="76"/>
      <c r="E1994" s="89"/>
      <c r="F1994" s="89"/>
      <c r="G1994" s="89"/>
      <c r="H1994" s="89"/>
      <c r="I1994" s="89"/>
    </row>
    <row r="1995" spans="1:9" s="145" customFormat="1">
      <c r="A1995" s="89"/>
      <c r="B1995" s="144"/>
      <c r="D1995" s="76"/>
      <c r="E1995" s="89"/>
      <c r="F1995" s="89"/>
      <c r="G1995" s="89"/>
      <c r="H1995" s="89"/>
      <c r="I1995" s="89"/>
    </row>
    <row r="1996" spans="1:9" s="145" customFormat="1">
      <c r="A1996" s="89"/>
      <c r="B1996" s="144"/>
      <c r="D1996" s="76"/>
      <c r="E1996" s="89"/>
      <c r="F1996" s="89"/>
      <c r="G1996" s="89"/>
      <c r="H1996" s="89"/>
      <c r="I1996" s="89"/>
    </row>
    <row r="1997" spans="1:9" s="145" customFormat="1">
      <c r="A1997" s="89"/>
      <c r="B1997" s="144"/>
      <c r="D1997" s="76"/>
      <c r="E1997" s="89"/>
      <c r="F1997" s="89"/>
      <c r="G1997" s="89"/>
      <c r="H1997" s="89"/>
      <c r="I1997" s="89"/>
    </row>
    <row r="1998" spans="1:9" s="145" customFormat="1">
      <c r="A1998" s="89"/>
      <c r="B1998" s="144"/>
      <c r="D1998" s="76"/>
      <c r="E1998" s="89"/>
      <c r="F1998" s="89"/>
      <c r="G1998" s="89"/>
      <c r="H1998" s="89"/>
      <c r="I1998" s="89"/>
    </row>
    <row r="1999" spans="1:9" s="145" customFormat="1">
      <c r="A1999" s="89"/>
      <c r="B1999" s="144"/>
      <c r="D1999" s="76"/>
      <c r="E1999" s="89"/>
      <c r="F1999" s="89"/>
      <c r="G1999" s="89"/>
      <c r="H1999" s="89"/>
      <c r="I1999" s="89"/>
    </row>
    <row r="2000" spans="1:9" s="145" customFormat="1">
      <c r="A2000" s="89"/>
      <c r="B2000" s="144"/>
      <c r="D2000" s="76"/>
      <c r="E2000" s="89"/>
      <c r="F2000" s="89"/>
      <c r="G2000" s="89"/>
      <c r="H2000" s="89"/>
      <c r="I2000" s="89"/>
    </row>
    <row r="2001" spans="1:9" s="145" customFormat="1">
      <c r="A2001" s="89"/>
      <c r="B2001" s="144"/>
      <c r="D2001" s="76"/>
      <c r="E2001" s="89"/>
      <c r="F2001" s="89"/>
      <c r="G2001" s="89"/>
      <c r="H2001" s="89"/>
      <c r="I2001" s="89"/>
    </row>
    <row r="2002" spans="1:9" s="145" customFormat="1">
      <c r="A2002" s="89"/>
      <c r="B2002" s="144"/>
      <c r="D2002" s="76"/>
      <c r="E2002" s="89"/>
      <c r="F2002" s="89"/>
      <c r="G2002" s="89"/>
      <c r="H2002" s="89"/>
      <c r="I2002" s="89"/>
    </row>
    <row r="2003" spans="1:9" s="145" customFormat="1">
      <c r="A2003" s="89"/>
      <c r="B2003" s="144"/>
      <c r="D2003" s="76"/>
      <c r="E2003" s="89"/>
      <c r="F2003" s="89"/>
      <c r="G2003" s="89"/>
      <c r="H2003" s="89"/>
      <c r="I2003" s="89"/>
    </row>
    <row r="2004" spans="1:9" s="145" customFormat="1">
      <c r="A2004" s="89"/>
      <c r="B2004" s="144"/>
      <c r="D2004" s="76"/>
      <c r="E2004" s="89"/>
      <c r="F2004" s="89"/>
      <c r="G2004" s="89"/>
      <c r="H2004" s="89"/>
      <c r="I2004" s="89"/>
    </row>
    <row r="2005" spans="1:9" s="145" customFormat="1">
      <c r="A2005" s="89"/>
      <c r="B2005" s="144"/>
      <c r="D2005" s="76"/>
      <c r="E2005" s="89"/>
      <c r="F2005" s="89"/>
      <c r="G2005" s="89"/>
      <c r="H2005" s="89"/>
      <c r="I2005" s="89"/>
    </row>
    <row r="2006" spans="1:9" s="145" customFormat="1">
      <c r="A2006" s="89"/>
      <c r="B2006" s="144"/>
      <c r="D2006" s="76"/>
      <c r="E2006" s="89"/>
      <c r="F2006" s="89"/>
      <c r="G2006" s="89"/>
      <c r="H2006" s="89"/>
      <c r="I2006" s="89"/>
    </row>
    <row r="2007" spans="1:9" s="145" customFormat="1">
      <c r="A2007" s="89"/>
      <c r="B2007" s="144"/>
      <c r="D2007" s="76"/>
      <c r="E2007" s="89"/>
      <c r="F2007" s="89"/>
      <c r="G2007" s="89"/>
      <c r="H2007" s="89"/>
      <c r="I2007" s="89"/>
    </row>
    <row r="2008" spans="1:9" s="145" customFormat="1">
      <c r="A2008" s="89"/>
      <c r="B2008" s="144"/>
      <c r="D2008" s="76"/>
      <c r="E2008" s="89"/>
      <c r="F2008" s="89"/>
      <c r="G2008" s="89"/>
      <c r="H2008" s="89"/>
      <c r="I2008" s="89"/>
    </row>
    <row r="2009" spans="1:9" s="145" customFormat="1">
      <c r="A2009" s="89"/>
      <c r="B2009" s="144"/>
      <c r="D2009" s="76"/>
      <c r="E2009" s="89"/>
      <c r="F2009" s="89"/>
      <c r="G2009" s="89"/>
      <c r="H2009" s="89"/>
      <c r="I2009" s="89"/>
    </row>
    <row r="2010" spans="1:9" s="145" customFormat="1">
      <c r="A2010" s="89"/>
      <c r="B2010" s="144"/>
      <c r="D2010" s="76"/>
      <c r="E2010" s="89"/>
      <c r="F2010" s="89"/>
      <c r="G2010" s="89"/>
      <c r="H2010" s="89"/>
      <c r="I2010" s="89"/>
    </row>
    <row r="2011" spans="1:9" s="145" customFormat="1">
      <c r="A2011" s="89"/>
      <c r="B2011" s="144"/>
      <c r="D2011" s="76"/>
      <c r="E2011" s="89"/>
      <c r="F2011" s="89"/>
      <c r="G2011" s="89"/>
      <c r="H2011" s="89"/>
      <c r="I2011" s="89"/>
    </row>
    <row r="2012" spans="1:9" s="145" customFormat="1">
      <c r="A2012" s="89"/>
      <c r="B2012" s="144"/>
      <c r="D2012" s="76"/>
      <c r="E2012" s="89"/>
      <c r="F2012" s="89"/>
      <c r="G2012" s="89"/>
      <c r="H2012" s="89"/>
      <c r="I2012" s="89"/>
    </row>
    <row r="2013" spans="1:9" s="145" customFormat="1">
      <c r="A2013" s="89"/>
      <c r="B2013" s="144"/>
      <c r="D2013" s="76"/>
      <c r="E2013" s="89"/>
      <c r="F2013" s="89"/>
      <c r="G2013" s="89"/>
      <c r="H2013" s="89"/>
      <c r="I2013" s="89"/>
    </row>
    <row r="2014" spans="1:9" s="145" customFormat="1">
      <c r="A2014" s="89"/>
      <c r="B2014" s="144"/>
      <c r="D2014" s="76"/>
      <c r="E2014" s="89"/>
      <c r="F2014" s="89"/>
      <c r="G2014" s="89"/>
      <c r="H2014" s="89"/>
      <c r="I2014" s="89"/>
    </row>
    <row r="2015" spans="1:9" s="145" customFormat="1">
      <c r="A2015" s="89"/>
      <c r="B2015" s="144"/>
      <c r="D2015" s="76"/>
      <c r="E2015" s="89"/>
      <c r="F2015" s="89"/>
      <c r="G2015" s="89"/>
      <c r="H2015" s="89"/>
      <c r="I2015" s="89"/>
    </row>
    <row r="2016" spans="1:9" s="145" customFormat="1">
      <c r="A2016" s="89"/>
      <c r="B2016" s="144"/>
      <c r="D2016" s="76"/>
      <c r="E2016" s="89"/>
      <c r="F2016" s="89"/>
      <c r="G2016" s="89"/>
      <c r="H2016" s="89"/>
      <c r="I2016" s="89"/>
    </row>
    <row r="2017" spans="1:9" s="145" customFormat="1">
      <c r="A2017" s="89"/>
      <c r="B2017" s="144"/>
      <c r="D2017" s="76"/>
      <c r="E2017" s="89"/>
      <c r="F2017" s="89"/>
      <c r="G2017" s="89"/>
      <c r="H2017" s="89"/>
      <c r="I2017" s="89"/>
    </row>
    <row r="2018" spans="1:9" s="145" customFormat="1">
      <c r="A2018" s="89"/>
      <c r="B2018" s="144"/>
      <c r="D2018" s="76"/>
      <c r="E2018" s="89"/>
      <c r="F2018" s="89"/>
      <c r="G2018" s="89"/>
      <c r="H2018" s="89"/>
      <c r="I2018" s="89"/>
    </row>
    <row r="2019" spans="1:9" s="145" customFormat="1">
      <c r="A2019" s="89"/>
      <c r="B2019" s="144"/>
      <c r="D2019" s="76"/>
      <c r="E2019" s="89"/>
      <c r="F2019" s="89"/>
      <c r="G2019" s="89"/>
      <c r="H2019" s="89"/>
      <c r="I2019" s="89"/>
    </row>
    <row r="2020" spans="1:9" s="145" customFormat="1">
      <c r="A2020" s="89"/>
      <c r="B2020" s="144"/>
      <c r="D2020" s="76"/>
      <c r="E2020" s="89"/>
      <c r="F2020" s="89"/>
      <c r="G2020" s="89"/>
      <c r="H2020" s="89"/>
      <c r="I2020" s="89"/>
    </row>
    <row r="2021" spans="1:9" s="145" customFormat="1">
      <c r="A2021" s="89"/>
      <c r="B2021" s="144"/>
      <c r="D2021" s="76"/>
      <c r="E2021" s="89"/>
      <c r="F2021" s="89"/>
      <c r="G2021" s="89"/>
      <c r="H2021" s="89"/>
      <c r="I2021" s="89"/>
    </row>
    <row r="2022" spans="1:9" s="145" customFormat="1">
      <c r="A2022" s="89"/>
      <c r="B2022" s="144"/>
      <c r="D2022" s="76"/>
      <c r="E2022" s="89"/>
      <c r="F2022" s="89"/>
      <c r="G2022" s="89"/>
      <c r="H2022" s="89"/>
      <c r="I2022" s="89"/>
    </row>
    <row r="2023" spans="1:9" s="145" customFormat="1">
      <c r="A2023" s="89"/>
      <c r="B2023" s="144"/>
      <c r="D2023" s="76"/>
      <c r="E2023" s="89"/>
      <c r="F2023" s="89"/>
      <c r="G2023" s="89"/>
      <c r="H2023" s="89"/>
      <c r="I2023" s="89"/>
    </row>
    <row r="2024" spans="1:9" s="145" customFormat="1">
      <c r="A2024" s="89"/>
      <c r="B2024" s="144"/>
      <c r="D2024" s="76"/>
      <c r="E2024" s="89"/>
      <c r="F2024" s="89"/>
      <c r="G2024" s="89"/>
      <c r="H2024" s="89"/>
      <c r="I2024" s="89"/>
    </row>
    <row r="2025" spans="1:9" s="145" customFormat="1">
      <c r="A2025" s="89"/>
      <c r="B2025" s="144"/>
      <c r="D2025" s="76"/>
      <c r="E2025" s="89"/>
      <c r="F2025" s="89"/>
      <c r="G2025" s="89"/>
      <c r="H2025" s="89"/>
      <c r="I2025" s="89"/>
    </row>
    <row r="2026" spans="1:9" s="145" customFormat="1">
      <c r="A2026" s="89"/>
      <c r="B2026" s="144"/>
      <c r="D2026" s="76"/>
      <c r="E2026" s="89"/>
      <c r="F2026" s="89"/>
      <c r="G2026" s="89"/>
      <c r="H2026" s="89"/>
      <c r="I2026" s="89"/>
    </row>
    <row r="2027" spans="1:9" s="145" customFormat="1">
      <c r="A2027" s="89"/>
      <c r="B2027" s="144"/>
      <c r="D2027" s="76"/>
      <c r="E2027" s="89"/>
      <c r="F2027" s="89"/>
      <c r="G2027" s="89"/>
      <c r="H2027" s="89"/>
      <c r="I2027" s="89"/>
    </row>
    <row r="2028" spans="1:9" s="145" customFormat="1">
      <c r="A2028" s="89"/>
      <c r="B2028" s="144"/>
      <c r="D2028" s="76"/>
      <c r="E2028" s="89"/>
      <c r="F2028" s="89"/>
      <c r="G2028" s="89"/>
      <c r="H2028" s="89"/>
      <c r="I2028" s="89"/>
    </row>
    <row r="2029" spans="1:9" s="145" customFormat="1">
      <c r="A2029" s="89"/>
      <c r="B2029" s="144"/>
      <c r="D2029" s="76"/>
      <c r="E2029" s="89"/>
      <c r="F2029" s="89"/>
      <c r="G2029" s="89"/>
      <c r="H2029" s="89"/>
      <c r="I2029" s="89"/>
    </row>
    <row r="2030" spans="1:9" s="145" customFormat="1">
      <c r="A2030" s="89"/>
      <c r="B2030" s="144"/>
      <c r="D2030" s="76"/>
      <c r="E2030" s="89"/>
      <c r="F2030" s="89"/>
      <c r="G2030" s="89"/>
      <c r="H2030" s="89"/>
      <c r="I2030" s="89"/>
    </row>
    <row r="2031" spans="1:9" s="145" customFormat="1">
      <c r="A2031" s="89"/>
      <c r="B2031" s="144"/>
      <c r="D2031" s="76"/>
      <c r="E2031" s="89"/>
      <c r="F2031" s="89"/>
      <c r="G2031" s="89"/>
      <c r="H2031" s="89"/>
      <c r="I2031" s="89"/>
    </row>
    <row r="2032" spans="1:9" s="145" customFormat="1">
      <c r="A2032" s="89"/>
      <c r="B2032" s="144"/>
      <c r="D2032" s="76"/>
      <c r="E2032" s="89"/>
      <c r="F2032" s="89"/>
      <c r="G2032" s="89"/>
      <c r="H2032" s="89"/>
      <c r="I2032" s="89"/>
    </row>
    <row r="2033" spans="1:9" s="145" customFormat="1">
      <c r="A2033" s="89"/>
      <c r="B2033" s="144"/>
      <c r="D2033" s="76"/>
      <c r="E2033" s="89"/>
      <c r="F2033" s="89"/>
      <c r="G2033" s="89"/>
      <c r="H2033" s="89"/>
      <c r="I2033" s="89"/>
    </row>
    <row r="2034" spans="1:9" s="145" customFormat="1">
      <c r="A2034" s="89"/>
      <c r="B2034" s="144"/>
      <c r="D2034" s="76"/>
      <c r="E2034" s="89"/>
      <c r="F2034" s="89"/>
      <c r="G2034" s="89"/>
      <c r="H2034" s="89"/>
      <c r="I2034" s="89"/>
    </row>
    <row r="2035" spans="1:9" s="145" customFormat="1">
      <c r="A2035" s="89"/>
      <c r="B2035" s="144"/>
      <c r="D2035" s="76"/>
      <c r="E2035" s="89"/>
      <c r="F2035" s="89"/>
      <c r="G2035" s="89"/>
      <c r="H2035" s="89"/>
      <c r="I2035" s="89"/>
    </row>
    <row r="2036" spans="1:9" s="145" customFormat="1">
      <c r="A2036" s="89"/>
      <c r="B2036" s="144"/>
      <c r="D2036" s="76"/>
      <c r="E2036" s="89"/>
      <c r="F2036" s="89"/>
      <c r="G2036" s="89"/>
      <c r="H2036" s="89"/>
      <c r="I2036" s="89"/>
    </row>
    <row r="2037" spans="1:9" s="145" customFormat="1">
      <c r="A2037" s="89"/>
      <c r="B2037" s="144"/>
      <c r="D2037" s="76"/>
      <c r="E2037" s="89"/>
      <c r="F2037" s="89"/>
      <c r="G2037" s="89"/>
      <c r="H2037" s="89"/>
      <c r="I2037" s="89"/>
    </row>
    <row r="2038" spans="1:9" s="145" customFormat="1">
      <c r="A2038" s="89"/>
      <c r="B2038" s="144"/>
      <c r="D2038" s="76"/>
      <c r="E2038" s="89"/>
      <c r="F2038" s="89"/>
      <c r="G2038" s="89"/>
      <c r="H2038" s="89"/>
      <c r="I2038" s="89"/>
    </row>
    <row r="2039" spans="1:9" s="145" customFormat="1">
      <c r="A2039" s="89"/>
      <c r="B2039" s="144"/>
      <c r="D2039" s="76"/>
      <c r="E2039" s="89"/>
      <c r="F2039" s="89"/>
      <c r="G2039" s="89"/>
      <c r="H2039" s="89"/>
      <c r="I2039" s="89"/>
    </row>
    <row r="2040" spans="1:9" s="145" customFormat="1">
      <c r="A2040" s="89"/>
      <c r="B2040" s="144"/>
      <c r="D2040" s="76"/>
      <c r="E2040" s="89"/>
      <c r="F2040" s="89"/>
      <c r="G2040" s="89"/>
      <c r="H2040" s="89"/>
      <c r="I2040" s="89"/>
    </row>
    <row r="2041" spans="1:9" s="145" customFormat="1">
      <c r="A2041" s="89"/>
      <c r="B2041" s="144"/>
      <c r="D2041" s="76"/>
      <c r="E2041" s="89"/>
      <c r="F2041" s="89"/>
      <c r="G2041" s="89"/>
      <c r="H2041" s="89"/>
      <c r="I2041" s="89"/>
    </row>
    <row r="2042" spans="1:9" s="145" customFormat="1">
      <c r="A2042" s="89"/>
      <c r="B2042" s="144"/>
      <c r="D2042" s="76"/>
      <c r="E2042" s="89"/>
      <c r="F2042" s="89"/>
      <c r="G2042" s="89"/>
      <c r="H2042" s="89"/>
      <c r="I2042" s="89"/>
    </row>
    <row r="2043" spans="1:9" s="145" customFormat="1">
      <c r="A2043" s="89"/>
      <c r="B2043" s="144"/>
      <c r="D2043" s="76"/>
      <c r="E2043" s="89"/>
      <c r="F2043" s="89"/>
      <c r="G2043" s="89"/>
      <c r="H2043" s="89"/>
      <c r="I2043" s="89"/>
    </row>
    <row r="2044" spans="1:9" s="145" customFormat="1">
      <c r="A2044" s="89"/>
      <c r="B2044" s="144"/>
      <c r="D2044" s="76"/>
      <c r="E2044" s="89"/>
      <c r="F2044" s="89"/>
      <c r="G2044" s="89"/>
      <c r="H2044" s="89"/>
      <c r="I2044" s="89"/>
    </row>
    <row r="2045" spans="1:9" s="145" customFormat="1">
      <c r="A2045" s="89"/>
      <c r="B2045" s="144"/>
      <c r="D2045" s="76"/>
      <c r="E2045" s="89"/>
      <c r="F2045" s="89"/>
      <c r="G2045" s="89"/>
      <c r="H2045" s="89"/>
      <c r="I2045" s="89"/>
    </row>
    <row r="2046" spans="1:9" s="145" customFormat="1">
      <c r="A2046" s="89"/>
      <c r="B2046" s="144"/>
      <c r="D2046" s="76"/>
      <c r="E2046" s="89"/>
      <c r="F2046" s="89"/>
      <c r="G2046" s="89"/>
      <c r="H2046" s="89"/>
      <c r="I2046" s="89"/>
    </row>
    <row r="2047" spans="1:9" s="145" customFormat="1">
      <c r="A2047" s="89"/>
      <c r="B2047" s="144"/>
      <c r="D2047" s="76"/>
      <c r="E2047" s="89"/>
      <c r="F2047" s="89"/>
      <c r="G2047" s="89"/>
      <c r="H2047" s="89"/>
      <c r="I2047" s="89"/>
    </row>
    <row r="2048" spans="1:9" s="145" customFormat="1">
      <c r="A2048" s="89"/>
      <c r="B2048" s="144"/>
      <c r="D2048" s="76"/>
      <c r="E2048" s="89"/>
      <c r="F2048" s="89"/>
      <c r="G2048" s="89"/>
      <c r="H2048" s="89"/>
      <c r="I2048" s="89"/>
    </row>
    <row r="2049" spans="1:9" s="145" customFormat="1">
      <c r="A2049" s="89"/>
      <c r="B2049" s="144"/>
      <c r="D2049" s="76"/>
      <c r="E2049" s="89"/>
      <c r="F2049" s="89"/>
      <c r="G2049" s="89"/>
      <c r="H2049" s="89"/>
      <c r="I2049" s="89"/>
    </row>
    <row r="2050" spans="1:9" s="145" customFormat="1">
      <c r="A2050" s="89"/>
      <c r="B2050" s="144"/>
      <c r="D2050" s="76"/>
      <c r="E2050" s="89"/>
      <c r="F2050" s="89"/>
      <c r="G2050" s="89"/>
      <c r="H2050" s="89"/>
      <c r="I2050" s="89"/>
    </row>
    <row r="2051" spans="1:9" s="145" customFormat="1">
      <c r="A2051" s="89"/>
      <c r="B2051" s="144"/>
      <c r="D2051" s="76"/>
      <c r="E2051" s="89"/>
      <c r="F2051" s="89"/>
      <c r="G2051" s="89"/>
      <c r="H2051" s="89"/>
      <c r="I2051" s="89"/>
    </row>
    <row r="2052" spans="1:9" s="145" customFormat="1">
      <c r="A2052" s="89"/>
      <c r="B2052" s="144"/>
      <c r="D2052" s="76"/>
      <c r="E2052" s="89"/>
      <c r="F2052" s="89"/>
      <c r="G2052" s="89"/>
      <c r="H2052" s="89"/>
      <c r="I2052" s="89"/>
    </row>
    <row r="2053" spans="1:9" s="145" customFormat="1">
      <c r="A2053" s="89"/>
      <c r="B2053" s="144"/>
      <c r="D2053" s="76"/>
      <c r="E2053" s="89"/>
      <c r="F2053" s="89"/>
      <c r="G2053" s="89"/>
      <c r="H2053" s="89"/>
      <c r="I2053" s="89"/>
    </row>
    <row r="2054" spans="1:9" s="145" customFormat="1">
      <c r="A2054" s="89"/>
      <c r="B2054" s="144"/>
      <c r="D2054" s="76"/>
      <c r="E2054" s="89"/>
      <c r="F2054" s="89"/>
      <c r="G2054" s="89"/>
      <c r="H2054" s="89"/>
      <c r="I2054" s="89"/>
    </row>
    <row r="2055" spans="1:9" s="145" customFormat="1">
      <c r="A2055" s="89"/>
      <c r="B2055" s="144"/>
      <c r="D2055" s="76"/>
      <c r="E2055" s="89"/>
      <c r="F2055" s="89"/>
      <c r="G2055" s="89"/>
      <c r="H2055" s="89"/>
      <c r="I2055" s="89"/>
    </row>
    <row r="2056" spans="1:9" s="145" customFormat="1">
      <c r="A2056" s="89"/>
      <c r="B2056" s="144"/>
      <c r="D2056" s="76"/>
      <c r="E2056" s="89"/>
      <c r="F2056" s="89"/>
      <c r="G2056" s="89"/>
      <c r="H2056" s="89"/>
      <c r="I2056" s="89"/>
    </row>
    <row r="2057" spans="1:9" s="145" customFormat="1">
      <c r="A2057" s="89"/>
      <c r="B2057" s="144"/>
      <c r="D2057" s="76"/>
      <c r="E2057" s="89"/>
      <c r="F2057" s="89"/>
      <c r="G2057" s="89"/>
      <c r="H2057" s="89"/>
      <c r="I2057" s="89"/>
    </row>
    <row r="2058" spans="1:9" s="145" customFormat="1">
      <c r="A2058" s="89"/>
      <c r="B2058" s="144"/>
      <c r="D2058" s="76"/>
      <c r="E2058" s="89"/>
      <c r="F2058" s="89"/>
      <c r="G2058" s="89"/>
      <c r="H2058" s="89"/>
      <c r="I2058" s="89"/>
    </row>
    <row r="2059" spans="1:9" s="145" customFormat="1">
      <c r="A2059" s="89"/>
      <c r="B2059" s="144"/>
      <c r="D2059" s="76"/>
      <c r="E2059" s="89"/>
      <c r="F2059" s="89"/>
      <c r="G2059" s="89"/>
      <c r="H2059" s="89"/>
      <c r="I2059" s="89"/>
    </row>
    <row r="2060" spans="1:9" s="145" customFormat="1">
      <c r="A2060" s="89"/>
      <c r="B2060" s="144"/>
      <c r="D2060" s="76"/>
      <c r="E2060" s="89"/>
      <c r="F2060" s="89"/>
      <c r="G2060" s="89"/>
      <c r="H2060" s="89"/>
      <c r="I2060" s="89"/>
    </row>
    <row r="2061" spans="1:9" s="145" customFormat="1">
      <c r="A2061" s="89"/>
      <c r="B2061" s="144"/>
      <c r="D2061" s="76"/>
      <c r="E2061" s="89"/>
      <c r="F2061" s="89"/>
      <c r="G2061" s="89"/>
      <c r="H2061" s="89"/>
      <c r="I2061" s="89"/>
    </row>
    <row r="2062" spans="1:9" s="145" customFormat="1">
      <c r="A2062" s="89"/>
      <c r="B2062" s="144"/>
      <c r="D2062" s="76"/>
      <c r="E2062" s="89"/>
      <c r="F2062" s="89"/>
      <c r="G2062" s="89"/>
      <c r="H2062" s="89"/>
      <c r="I2062" s="89"/>
    </row>
    <row r="2063" spans="1:9" s="145" customFormat="1">
      <c r="A2063" s="89"/>
      <c r="B2063" s="144"/>
      <c r="D2063" s="76"/>
      <c r="E2063" s="89"/>
      <c r="F2063" s="89"/>
      <c r="G2063" s="89"/>
      <c r="H2063" s="89"/>
      <c r="I2063" s="89"/>
    </row>
    <row r="2064" spans="1:9" s="145" customFormat="1">
      <c r="A2064" s="89"/>
      <c r="B2064" s="144"/>
      <c r="D2064" s="76"/>
      <c r="E2064" s="89"/>
      <c r="F2064" s="89"/>
      <c r="G2064" s="89"/>
      <c r="H2064" s="89"/>
      <c r="I2064" s="89"/>
    </row>
    <row r="2065" spans="1:9" s="145" customFormat="1">
      <c r="A2065" s="89"/>
      <c r="B2065" s="144"/>
      <c r="D2065" s="76"/>
      <c r="E2065" s="89"/>
      <c r="F2065" s="89"/>
      <c r="G2065" s="89"/>
      <c r="H2065" s="89"/>
      <c r="I2065" s="89"/>
    </row>
    <row r="2066" spans="1:9" s="145" customFormat="1">
      <c r="A2066" s="89"/>
      <c r="B2066" s="144"/>
      <c r="D2066" s="76"/>
      <c r="E2066" s="89"/>
      <c r="F2066" s="89"/>
      <c r="G2066" s="89"/>
      <c r="H2066" s="89"/>
      <c r="I2066" s="89"/>
    </row>
    <row r="2067" spans="1:9" s="145" customFormat="1">
      <c r="A2067" s="89"/>
      <c r="B2067" s="144"/>
      <c r="D2067" s="76"/>
      <c r="E2067" s="89"/>
      <c r="F2067" s="89"/>
      <c r="G2067" s="89"/>
      <c r="H2067" s="89"/>
      <c r="I2067" s="89"/>
    </row>
    <row r="2068" spans="1:9" s="145" customFormat="1">
      <c r="A2068" s="89"/>
      <c r="B2068" s="144"/>
      <c r="D2068" s="76"/>
      <c r="E2068" s="89"/>
      <c r="F2068" s="89"/>
      <c r="G2068" s="89"/>
      <c r="H2068" s="89"/>
      <c r="I2068" s="89"/>
    </row>
    <row r="2069" spans="1:9" s="145" customFormat="1">
      <c r="A2069" s="89"/>
      <c r="B2069" s="144"/>
      <c r="D2069" s="76"/>
      <c r="E2069" s="89"/>
      <c r="F2069" s="89"/>
      <c r="G2069" s="89"/>
      <c r="H2069" s="89"/>
      <c r="I2069" s="89"/>
    </row>
    <row r="2070" spans="1:9" s="145" customFormat="1">
      <c r="A2070" s="89"/>
      <c r="B2070" s="144"/>
      <c r="D2070" s="76"/>
      <c r="E2070" s="89"/>
      <c r="F2070" s="89"/>
      <c r="G2070" s="89"/>
      <c r="H2070" s="89"/>
      <c r="I2070" s="89"/>
    </row>
    <row r="2071" spans="1:9" s="145" customFormat="1">
      <c r="A2071" s="89"/>
      <c r="B2071" s="144"/>
      <c r="D2071" s="76"/>
      <c r="E2071" s="89"/>
      <c r="F2071" s="89"/>
      <c r="G2071" s="89"/>
      <c r="H2071" s="89"/>
      <c r="I2071" s="89"/>
    </row>
    <row r="2072" spans="1:9" s="145" customFormat="1">
      <c r="A2072" s="89"/>
      <c r="B2072" s="144"/>
      <c r="D2072" s="76"/>
      <c r="E2072" s="89"/>
      <c r="F2072" s="89"/>
      <c r="G2072" s="89"/>
      <c r="H2072" s="89"/>
      <c r="I2072" s="89"/>
    </row>
    <row r="2073" spans="1:9" s="145" customFormat="1">
      <c r="A2073" s="89"/>
      <c r="B2073" s="144"/>
      <c r="D2073" s="76"/>
      <c r="E2073" s="89"/>
      <c r="F2073" s="89"/>
      <c r="G2073" s="89"/>
      <c r="H2073" s="89"/>
      <c r="I2073" s="89"/>
    </row>
    <row r="2074" spans="1:9" s="145" customFormat="1">
      <c r="A2074" s="89"/>
      <c r="B2074" s="144"/>
      <c r="D2074" s="76"/>
      <c r="E2074" s="89"/>
      <c r="F2074" s="89"/>
      <c r="G2074" s="89"/>
      <c r="H2074" s="89"/>
      <c r="I2074" s="89"/>
    </row>
    <row r="2075" spans="1:9" s="145" customFormat="1">
      <c r="A2075" s="89"/>
      <c r="B2075" s="144"/>
      <c r="D2075" s="76"/>
      <c r="E2075" s="89"/>
      <c r="F2075" s="89"/>
      <c r="G2075" s="89"/>
      <c r="H2075" s="89"/>
      <c r="I2075" s="89"/>
    </row>
    <row r="2076" spans="1:9" s="145" customFormat="1">
      <c r="A2076" s="89"/>
      <c r="B2076" s="144"/>
      <c r="D2076" s="76"/>
      <c r="E2076" s="89"/>
      <c r="F2076" s="89"/>
      <c r="G2076" s="89"/>
      <c r="H2076" s="89"/>
      <c r="I2076" s="89"/>
    </row>
    <row r="2077" spans="1:9" s="145" customFormat="1">
      <c r="A2077" s="89"/>
      <c r="B2077" s="144"/>
      <c r="D2077" s="76"/>
      <c r="E2077" s="89"/>
      <c r="F2077" s="89"/>
      <c r="G2077" s="89"/>
      <c r="H2077" s="89"/>
      <c r="I2077" s="89"/>
    </row>
    <row r="2078" spans="1:9" s="145" customFormat="1">
      <c r="A2078" s="89"/>
      <c r="B2078" s="144"/>
      <c r="D2078" s="76"/>
      <c r="E2078" s="89"/>
      <c r="F2078" s="89"/>
      <c r="G2078" s="89"/>
      <c r="H2078" s="89"/>
      <c r="I2078" s="89"/>
    </row>
    <row r="2079" spans="1:9" s="145" customFormat="1">
      <c r="A2079" s="89"/>
      <c r="B2079" s="144"/>
      <c r="D2079" s="76"/>
      <c r="E2079" s="89"/>
      <c r="F2079" s="89"/>
      <c r="G2079" s="89"/>
      <c r="H2079" s="89"/>
      <c r="I2079" s="89"/>
    </row>
    <row r="2080" spans="1:9" s="145" customFormat="1">
      <c r="A2080" s="89"/>
      <c r="B2080" s="144"/>
      <c r="D2080" s="76"/>
      <c r="E2080" s="89"/>
      <c r="F2080" s="89"/>
      <c r="G2080" s="89"/>
      <c r="H2080" s="89"/>
      <c r="I2080" s="89"/>
    </row>
    <row r="2081" spans="1:9" s="145" customFormat="1">
      <c r="A2081" s="89"/>
      <c r="B2081" s="144"/>
      <c r="D2081" s="76"/>
      <c r="E2081" s="89"/>
      <c r="F2081" s="89"/>
      <c r="G2081" s="89"/>
      <c r="H2081" s="89"/>
      <c r="I2081" s="89"/>
    </row>
    <row r="2082" spans="1:9" s="145" customFormat="1">
      <c r="A2082" s="89"/>
      <c r="B2082" s="144"/>
      <c r="D2082" s="76"/>
      <c r="E2082" s="89"/>
      <c r="F2082" s="89"/>
      <c r="G2082" s="89"/>
      <c r="H2082" s="89"/>
      <c r="I2082" s="89"/>
    </row>
    <row r="2083" spans="1:9" s="145" customFormat="1">
      <c r="A2083" s="89"/>
      <c r="B2083" s="144"/>
      <c r="D2083" s="76"/>
      <c r="E2083" s="89"/>
      <c r="F2083" s="89"/>
      <c r="G2083" s="89"/>
      <c r="H2083" s="89"/>
      <c r="I2083" s="89"/>
    </row>
    <row r="2084" spans="1:9" s="145" customFormat="1">
      <c r="A2084" s="89"/>
      <c r="B2084" s="144"/>
      <c r="D2084" s="76"/>
      <c r="E2084" s="89"/>
      <c r="F2084" s="89"/>
      <c r="G2084" s="89"/>
      <c r="H2084" s="89"/>
      <c r="I2084" s="89"/>
    </row>
    <row r="2085" spans="1:9" s="145" customFormat="1">
      <c r="A2085" s="89"/>
      <c r="B2085" s="144"/>
      <c r="D2085" s="76"/>
      <c r="E2085" s="89"/>
      <c r="F2085" s="89"/>
      <c r="G2085" s="89"/>
      <c r="H2085" s="89"/>
      <c r="I2085" s="89"/>
    </row>
    <row r="2086" spans="1:9" s="145" customFormat="1">
      <c r="A2086" s="89"/>
      <c r="B2086" s="144"/>
      <c r="D2086" s="76"/>
      <c r="E2086" s="89"/>
      <c r="F2086" s="89"/>
      <c r="G2086" s="89"/>
      <c r="H2086" s="89"/>
      <c r="I2086" s="89"/>
    </row>
    <row r="2087" spans="1:9" s="145" customFormat="1">
      <c r="A2087" s="89"/>
      <c r="B2087" s="144"/>
      <c r="D2087" s="76"/>
      <c r="E2087" s="89"/>
      <c r="F2087" s="89"/>
      <c r="G2087" s="89"/>
      <c r="H2087" s="89"/>
      <c r="I2087" s="89"/>
    </row>
    <row r="2088" spans="1:9" s="145" customFormat="1">
      <c r="A2088" s="89"/>
      <c r="B2088" s="144"/>
      <c r="D2088" s="76"/>
      <c r="E2088" s="89"/>
      <c r="F2088" s="89"/>
      <c r="G2088" s="89"/>
      <c r="H2088" s="89"/>
      <c r="I2088" s="89"/>
    </row>
    <row r="2089" spans="1:9" s="145" customFormat="1">
      <c r="A2089" s="89"/>
      <c r="B2089" s="144"/>
      <c r="D2089" s="76"/>
      <c r="E2089" s="89"/>
      <c r="F2089" s="89"/>
      <c r="G2089" s="89"/>
      <c r="H2089" s="89"/>
      <c r="I2089" s="89"/>
    </row>
    <row r="2090" spans="1:9" s="145" customFormat="1">
      <c r="A2090" s="89"/>
      <c r="B2090" s="144"/>
      <c r="D2090" s="76"/>
      <c r="E2090" s="89"/>
      <c r="F2090" s="89"/>
      <c r="G2090" s="89"/>
      <c r="H2090" s="89"/>
      <c r="I2090" s="89"/>
    </row>
    <row r="2091" spans="1:9" s="145" customFormat="1">
      <c r="A2091" s="89"/>
      <c r="B2091" s="144"/>
      <c r="D2091" s="76"/>
      <c r="E2091" s="89"/>
      <c r="F2091" s="89"/>
      <c r="G2091" s="89"/>
      <c r="H2091" s="89"/>
      <c r="I2091" s="89"/>
    </row>
    <row r="2092" spans="1:9" s="145" customFormat="1">
      <c r="A2092" s="89"/>
      <c r="B2092" s="144"/>
      <c r="D2092" s="76"/>
      <c r="E2092" s="89"/>
      <c r="F2092" s="89"/>
      <c r="G2092" s="89"/>
      <c r="H2092" s="89"/>
      <c r="I2092" s="89"/>
    </row>
    <row r="2093" spans="1:9" s="145" customFormat="1">
      <c r="A2093" s="89"/>
      <c r="B2093" s="144"/>
      <c r="D2093" s="76"/>
      <c r="E2093" s="89"/>
      <c r="F2093" s="89"/>
      <c r="G2093" s="89"/>
      <c r="H2093" s="89"/>
      <c r="I2093" s="89"/>
    </row>
    <row r="2094" spans="1:9" s="145" customFormat="1">
      <c r="A2094" s="89"/>
      <c r="B2094" s="144"/>
      <c r="D2094" s="76"/>
      <c r="E2094" s="89"/>
      <c r="F2094" s="89"/>
      <c r="G2094" s="89"/>
      <c r="H2094" s="89"/>
      <c r="I2094" s="89"/>
    </row>
    <row r="2095" spans="1:9" s="145" customFormat="1">
      <c r="A2095" s="89"/>
      <c r="B2095" s="144"/>
      <c r="D2095" s="76"/>
      <c r="E2095" s="89"/>
      <c r="F2095" s="89"/>
      <c r="G2095" s="89"/>
      <c r="H2095" s="89"/>
      <c r="I2095" s="89"/>
    </row>
    <row r="2096" spans="1:9" s="145" customFormat="1">
      <c r="A2096" s="89"/>
      <c r="B2096" s="144"/>
      <c r="D2096" s="76"/>
      <c r="E2096" s="89"/>
      <c r="F2096" s="89"/>
      <c r="G2096" s="89"/>
      <c r="H2096" s="89"/>
      <c r="I2096" s="89"/>
    </row>
    <row r="2097" spans="1:9" s="145" customFormat="1">
      <c r="A2097" s="89"/>
      <c r="B2097" s="144"/>
      <c r="D2097" s="76"/>
      <c r="E2097" s="89"/>
      <c r="F2097" s="89"/>
      <c r="G2097" s="89"/>
      <c r="H2097" s="89"/>
      <c r="I2097" s="89"/>
    </row>
    <row r="2098" spans="1:9" s="145" customFormat="1">
      <c r="A2098" s="89"/>
      <c r="B2098" s="144"/>
      <c r="D2098" s="76"/>
      <c r="E2098" s="89"/>
      <c r="F2098" s="89"/>
      <c r="G2098" s="89"/>
      <c r="H2098" s="89"/>
      <c r="I2098" s="89"/>
    </row>
    <row r="2099" spans="1:9" s="145" customFormat="1">
      <c r="A2099" s="89"/>
      <c r="B2099" s="144"/>
      <c r="D2099" s="76"/>
      <c r="E2099" s="89"/>
      <c r="F2099" s="89"/>
      <c r="G2099" s="89"/>
      <c r="H2099" s="89"/>
      <c r="I2099" s="89"/>
    </row>
    <row r="2100" spans="1:9" s="145" customFormat="1">
      <c r="A2100" s="89"/>
      <c r="B2100" s="144"/>
      <c r="D2100" s="76"/>
      <c r="E2100" s="89"/>
      <c r="F2100" s="89"/>
      <c r="G2100" s="89"/>
      <c r="H2100" s="89"/>
      <c r="I2100" s="89"/>
    </row>
    <row r="2101" spans="1:9" s="145" customFormat="1">
      <c r="A2101" s="89"/>
      <c r="B2101" s="144"/>
      <c r="D2101" s="76"/>
      <c r="E2101" s="89"/>
      <c r="F2101" s="89"/>
      <c r="G2101" s="89"/>
      <c r="H2101" s="89"/>
      <c r="I2101" s="89"/>
    </row>
    <row r="2102" spans="1:9" s="145" customFormat="1">
      <c r="A2102" s="89"/>
      <c r="B2102" s="144"/>
      <c r="D2102" s="76"/>
      <c r="E2102" s="89"/>
      <c r="F2102" s="89"/>
      <c r="G2102" s="89"/>
      <c r="H2102" s="89"/>
      <c r="I2102" s="89"/>
    </row>
    <row r="2103" spans="1:9" s="145" customFormat="1">
      <c r="A2103" s="89"/>
      <c r="B2103" s="144"/>
      <c r="D2103" s="76"/>
      <c r="E2103" s="89"/>
      <c r="F2103" s="89"/>
      <c r="G2103" s="89"/>
      <c r="H2103" s="89"/>
      <c r="I2103" s="89"/>
    </row>
    <row r="2104" spans="1:9" s="145" customFormat="1">
      <c r="A2104" s="89"/>
      <c r="B2104" s="144"/>
      <c r="D2104" s="76"/>
      <c r="E2104" s="89"/>
      <c r="F2104" s="89"/>
      <c r="G2104" s="89"/>
      <c r="H2104" s="89"/>
      <c r="I2104" s="89"/>
    </row>
    <row r="2105" spans="1:9" s="145" customFormat="1">
      <c r="A2105" s="89"/>
      <c r="B2105" s="144"/>
      <c r="D2105" s="76"/>
      <c r="E2105" s="89"/>
      <c r="F2105" s="89"/>
      <c r="G2105" s="89"/>
      <c r="H2105" s="89"/>
      <c r="I2105" s="89"/>
    </row>
    <row r="2106" spans="1:9" s="145" customFormat="1">
      <c r="A2106" s="89"/>
      <c r="B2106" s="144"/>
      <c r="D2106" s="76"/>
      <c r="E2106" s="89"/>
      <c r="F2106" s="89"/>
      <c r="G2106" s="89"/>
      <c r="H2106" s="89"/>
      <c r="I2106" s="89"/>
    </row>
    <row r="2107" spans="1:9" s="145" customFormat="1">
      <c r="A2107" s="89"/>
      <c r="B2107" s="144"/>
      <c r="D2107" s="76"/>
      <c r="E2107" s="89"/>
      <c r="F2107" s="89"/>
      <c r="G2107" s="89"/>
      <c r="H2107" s="89"/>
      <c r="I2107" s="89"/>
    </row>
    <row r="2108" spans="1:9" s="145" customFormat="1">
      <c r="A2108" s="89"/>
      <c r="B2108" s="144"/>
      <c r="D2108" s="76"/>
      <c r="E2108" s="89"/>
      <c r="F2108" s="89"/>
      <c r="G2108" s="89"/>
      <c r="H2108" s="89"/>
      <c r="I2108" s="89"/>
    </row>
    <row r="2109" spans="1:9" s="145" customFormat="1">
      <c r="A2109" s="89"/>
      <c r="B2109" s="144"/>
      <c r="D2109" s="76"/>
      <c r="E2109" s="89"/>
      <c r="F2109" s="89"/>
      <c r="G2109" s="89"/>
      <c r="H2109" s="89"/>
      <c r="I2109" s="89"/>
    </row>
    <row r="2110" spans="1:9" s="145" customFormat="1">
      <c r="A2110" s="89"/>
      <c r="B2110" s="144"/>
      <c r="D2110" s="76"/>
      <c r="E2110" s="89"/>
      <c r="F2110" s="89"/>
      <c r="G2110" s="89"/>
      <c r="H2110" s="89"/>
      <c r="I2110" s="89"/>
    </row>
    <row r="2111" spans="1:9" s="145" customFormat="1">
      <c r="A2111" s="89"/>
      <c r="B2111" s="144"/>
      <c r="D2111" s="76"/>
      <c r="E2111" s="89"/>
      <c r="F2111" s="89"/>
      <c r="G2111" s="89"/>
      <c r="H2111" s="89"/>
      <c r="I2111" s="89"/>
    </row>
    <row r="2112" spans="1:9" s="145" customFormat="1">
      <c r="A2112" s="89"/>
      <c r="B2112" s="144"/>
      <c r="D2112" s="76"/>
      <c r="E2112" s="89"/>
      <c r="F2112" s="89"/>
      <c r="G2112" s="89"/>
      <c r="H2112" s="89"/>
      <c r="I2112" s="89"/>
    </row>
    <row r="2113" spans="1:9" s="145" customFormat="1">
      <c r="A2113" s="89"/>
      <c r="B2113" s="144"/>
      <c r="D2113" s="76"/>
      <c r="E2113" s="89"/>
      <c r="F2113" s="89"/>
      <c r="G2113" s="89"/>
      <c r="H2113" s="89"/>
      <c r="I2113" s="89"/>
    </row>
    <row r="2114" spans="1:9" s="145" customFormat="1">
      <c r="A2114" s="89"/>
      <c r="B2114" s="144"/>
      <c r="D2114" s="76"/>
      <c r="E2114" s="89"/>
      <c r="F2114" s="89"/>
      <c r="G2114" s="89"/>
      <c r="H2114" s="89"/>
      <c r="I2114" s="89"/>
    </row>
    <row r="2115" spans="1:9" s="145" customFormat="1">
      <c r="A2115" s="89"/>
      <c r="B2115" s="144"/>
      <c r="D2115" s="76"/>
      <c r="E2115" s="89"/>
      <c r="F2115" s="89"/>
      <c r="G2115" s="89"/>
      <c r="H2115" s="89"/>
      <c r="I2115" s="89"/>
    </row>
    <row r="2116" spans="1:9" s="145" customFormat="1">
      <c r="A2116" s="89"/>
      <c r="B2116" s="144"/>
      <c r="D2116" s="76"/>
      <c r="E2116" s="89"/>
      <c r="F2116" s="89"/>
      <c r="G2116" s="89"/>
      <c r="H2116" s="89"/>
      <c r="I2116" s="89"/>
    </row>
    <row r="2117" spans="1:9" s="145" customFormat="1">
      <c r="A2117" s="89"/>
      <c r="B2117" s="144"/>
      <c r="D2117" s="76"/>
      <c r="E2117" s="89"/>
      <c r="F2117" s="89"/>
      <c r="G2117" s="89"/>
      <c r="H2117" s="89"/>
      <c r="I2117" s="89"/>
    </row>
    <row r="2118" spans="1:9" s="145" customFormat="1">
      <c r="A2118" s="89"/>
      <c r="B2118" s="144"/>
      <c r="D2118" s="76"/>
      <c r="E2118" s="89"/>
      <c r="F2118" s="89"/>
      <c r="G2118" s="89"/>
      <c r="H2118" s="89"/>
      <c r="I2118" s="89"/>
    </row>
    <row r="2119" spans="1:9" s="145" customFormat="1">
      <c r="A2119" s="89"/>
      <c r="B2119" s="144"/>
      <c r="D2119" s="76"/>
      <c r="E2119" s="89"/>
      <c r="F2119" s="89"/>
      <c r="G2119" s="89"/>
      <c r="H2119" s="89"/>
      <c r="I2119" s="89"/>
    </row>
    <row r="2120" spans="1:9" s="145" customFormat="1">
      <c r="A2120" s="89"/>
      <c r="B2120" s="144"/>
      <c r="D2120" s="76"/>
      <c r="E2120" s="89"/>
      <c r="F2120" s="89"/>
      <c r="G2120" s="89"/>
      <c r="H2120" s="89"/>
      <c r="I2120" s="89"/>
    </row>
    <row r="2121" spans="1:9" s="145" customFormat="1">
      <c r="A2121" s="89"/>
      <c r="B2121" s="144"/>
      <c r="D2121" s="76"/>
      <c r="E2121" s="89"/>
      <c r="F2121" s="89"/>
      <c r="G2121" s="89"/>
      <c r="H2121" s="89"/>
      <c r="I2121" s="89"/>
    </row>
    <row r="2122" spans="1:9" s="145" customFormat="1">
      <c r="A2122" s="89"/>
      <c r="B2122" s="144"/>
      <c r="D2122" s="76"/>
      <c r="E2122" s="89"/>
      <c r="F2122" s="89"/>
      <c r="G2122" s="89"/>
      <c r="H2122" s="89"/>
      <c r="I2122" s="89"/>
    </row>
    <row r="2123" spans="1:9" s="145" customFormat="1">
      <c r="A2123" s="89"/>
      <c r="B2123" s="144"/>
      <c r="D2123" s="76"/>
      <c r="E2123" s="89"/>
      <c r="F2123" s="89"/>
      <c r="G2123" s="89"/>
      <c r="H2123" s="89"/>
      <c r="I2123" s="89"/>
    </row>
    <row r="2124" spans="1:9" s="145" customFormat="1">
      <c r="A2124" s="89"/>
      <c r="B2124" s="144"/>
      <c r="D2124" s="76"/>
      <c r="E2124" s="89"/>
      <c r="F2124" s="89"/>
      <c r="G2124" s="89"/>
      <c r="H2124" s="89"/>
      <c r="I2124" s="89"/>
    </row>
    <row r="2125" spans="1:9" s="145" customFormat="1">
      <c r="A2125" s="89"/>
      <c r="B2125" s="144"/>
      <c r="D2125" s="76"/>
      <c r="E2125" s="89"/>
      <c r="F2125" s="89"/>
      <c r="G2125" s="89"/>
      <c r="H2125" s="89"/>
      <c r="I2125" s="89"/>
    </row>
    <row r="2126" spans="1:9" s="145" customFormat="1">
      <c r="A2126" s="89"/>
      <c r="B2126" s="144"/>
      <c r="D2126" s="76"/>
      <c r="E2126" s="89"/>
      <c r="F2126" s="89"/>
      <c r="G2126" s="89"/>
      <c r="H2126" s="89"/>
      <c r="I2126" s="89"/>
    </row>
    <row r="2127" spans="1:9" s="145" customFormat="1">
      <c r="A2127" s="89"/>
      <c r="B2127" s="144"/>
      <c r="D2127" s="76"/>
      <c r="E2127" s="89"/>
      <c r="F2127" s="89"/>
      <c r="G2127" s="89"/>
      <c r="H2127" s="89"/>
      <c r="I2127" s="89"/>
    </row>
    <row r="2128" spans="1:9" s="145" customFormat="1">
      <c r="A2128" s="89"/>
      <c r="B2128" s="144"/>
      <c r="D2128" s="76"/>
      <c r="E2128" s="89"/>
      <c r="F2128" s="89"/>
      <c r="G2128" s="89"/>
      <c r="H2128" s="89"/>
      <c r="I2128" s="89"/>
    </row>
    <row r="2129" spans="1:9" s="145" customFormat="1">
      <c r="A2129" s="89"/>
      <c r="B2129" s="144"/>
      <c r="D2129" s="76"/>
      <c r="E2129" s="89"/>
      <c r="F2129" s="89"/>
      <c r="G2129" s="89"/>
      <c r="H2129" s="89"/>
      <c r="I2129" s="89"/>
    </row>
    <row r="2130" spans="1:9" s="145" customFormat="1">
      <c r="A2130" s="89"/>
      <c r="B2130" s="144"/>
      <c r="D2130" s="76"/>
      <c r="E2130" s="89"/>
      <c r="F2130" s="89"/>
      <c r="G2130" s="89"/>
      <c r="H2130" s="89"/>
      <c r="I2130" s="89"/>
    </row>
    <row r="2131" spans="1:9" s="145" customFormat="1">
      <c r="A2131" s="89"/>
      <c r="B2131" s="144"/>
      <c r="D2131" s="76"/>
      <c r="E2131" s="89"/>
      <c r="F2131" s="89"/>
      <c r="G2131" s="89"/>
      <c r="H2131" s="89"/>
      <c r="I2131" s="89"/>
    </row>
    <row r="2132" spans="1:9" s="145" customFormat="1">
      <c r="A2132" s="89"/>
      <c r="B2132" s="144"/>
      <c r="D2132" s="76"/>
      <c r="E2132" s="89"/>
      <c r="F2132" s="89"/>
      <c r="G2132" s="89"/>
      <c r="H2132" s="89"/>
      <c r="I2132" s="89"/>
    </row>
    <row r="2133" spans="1:9" s="145" customFormat="1">
      <c r="A2133" s="89"/>
      <c r="B2133" s="144"/>
      <c r="D2133" s="76"/>
      <c r="E2133" s="89"/>
      <c r="F2133" s="89"/>
      <c r="G2133" s="89"/>
      <c r="H2133" s="89"/>
      <c r="I2133" s="89"/>
    </row>
    <row r="2134" spans="1:9" s="145" customFormat="1">
      <c r="A2134" s="89"/>
      <c r="B2134" s="144"/>
      <c r="D2134" s="76"/>
      <c r="E2134" s="89"/>
      <c r="F2134" s="89"/>
      <c r="G2134" s="89"/>
      <c r="H2134" s="89"/>
      <c r="I2134" s="89"/>
    </row>
    <row r="2135" spans="1:9" s="145" customFormat="1">
      <c r="A2135" s="89"/>
      <c r="B2135" s="144"/>
      <c r="D2135" s="76"/>
      <c r="E2135" s="89"/>
      <c r="F2135" s="89"/>
      <c r="G2135" s="89"/>
      <c r="H2135" s="89"/>
      <c r="I2135" s="89"/>
    </row>
    <row r="2136" spans="1:9" s="145" customFormat="1">
      <c r="A2136" s="89"/>
      <c r="B2136" s="144"/>
      <c r="D2136" s="76"/>
      <c r="E2136" s="89"/>
      <c r="F2136" s="89"/>
      <c r="G2136" s="89"/>
      <c r="H2136" s="89"/>
      <c r="I2136" s="89"/>
    </row>
    <row r="2137" spans="1:9" s="145" customFormat="1">
      <c r="A2137" s="89"/>
      <c r="B2137" s="144"/>
      <c r="D2137" s="76"/>
      <c r="E2137" s="89"/>
      <c r="F2137" s="89"/>
      <c r="G2137" s="89"/>
      <c r="H2137" s="89"/>
      <c r="I2137" s="89"/>
    </row>
    <row r="2138" spans="1:9" s="145" customFormat="1">
      <c r="A2138" s="89"/>
      <c r="B2138" s="144"/>
      <c r="D2138" s="76"/>
      <c r="E2138" s="89"/>
      <c r="F2138" s="89"/>
      <c r="G2138" s="89"/>
      <c r="H2138" s="89"/>
      <c r="I2138" s="89"/>
    </row>
    <row r="2139" spans="1:9" s="145" customFormat="1">
      <c r="A2139" s="89"/>
      <c r="B2139" s="144"/>
      <c r="D2139" s="76"/>
      <c r="E2139" s="89"/>
      <c r="F2139" s="89"/>
      <c r="G2139" s="89"/>
      <c r="H2139" s="89"/>
      <c r="I2139" s="89"/>
    </row>
    <row r="2140" spans="1:9" s="145" customFormat="1">
      <c r="A2140" s="89"/>
      <c r="B2140" s="144"/>
      <c r="D2140" s="76"/>
      <c r="E2140" s="89"/>
      <c r="F2140" s="89"/>
      <c r="G2140" s="89"/>
      <c r="H2140" s="89"/>
      <c r="I2140" s="89"/>
    </row>
    <row r="2141" spans="1:9" s="145" customFormat="1">
      <c r="A2141" s="89"/>
      <c r="B2141" s="144"/>
      <c r="D2141" s="76"/>
      <c r="E2141" s="89"/>
      <c r="F2141" s="89"/>
      <c r="G2141" s="89"/>
      <c r="H2141" s="89"/>
      <c r="I2141" s="89"/>
    </row>
    <row r="2142" spans="1:9" s="145" customFormat="1">
      <c r="A2142" s="89"/>
      <c r="B2142" s="144"/>
      <c r="D2142" s="76"/>
      <c r="E2142" s="89"/>
      <c r="F2142" s="89"/>
      <c r="G2142" s="89"/>
      <c r="H2142" s="89"/>
      <c r="I2142" s="89"/>
    </row>
    <row r="2143" spans="1:9" s="145" customFormat="1">
      <c r="A2143" s="89"/>
      <c r="B2143" s="144"/>
      <c r="D2143" s="76"/>
      <c r="E2143" s="89"/>
      <c r="F2143" s="89"/>
      <c r="G2143" s="89"/>
      <c r="H2143" s="89"/>
      <c r="I2143" s="89"/>
    </row>
    <row r="2144" spans="1:9" s="145" customFormat="1">
      <c r="A2144" s="89"/>
      <c r="B2144" s="144"/>
      <c r="D2144" s="76"/>
      <c r="E2144" s="89"/>
      <c r="F2144" s="89"/>
      <c r="G2144" s="89"/>
      <c r="H2144" s="89"/>
      <c r="I2144" s="89"/>
    </row>
    <row r="2145" spans="1:9" s="145" customFormat="1">
      <c r="A2145" s="89"/>
      <c r="B2145" s="144"/>
      <c r="D2145" s="76"/>
      <c r="E2145" s="89"/>
      <c r="F2145" s="89"/>
      <c r="G2145" s="89"/>
      <c r="H2145" s="89"/>
      <c r="I2145" s="89"/>
    </row>
    <row r="2146" spans="1:9" s="145" customFormat="1">
      <c r="A2146" s="89"/>
      <c r="B2146" s="144"/>
      <c r="D2146" s="76"/>
      <c r="E2146" s="89"/>
      <c r="F2146" s="89"/>
      <c r="G2146" s="89"/>
      <c r="H2146" s="89"/>
      <c r="I2146" s="89"/>
    </row>
    <row r="2147" spans="1:9" s="145" customFormat="1">
      <c r="A2147" s="89"/>
      <c r="B2147" s="144"/>
      <c r="D2147" s="76"/>
      <c r="E2147" s="89"/>
      <c r="F2147" s="89"/>
      <c r="G2147" s="89"/>
      <c r="H2147" s="89"/>
      <c r="I2147" s="89"/>
    </row>
    <row r="2148" spans="1:9" s="145" customFormat="1">
      <c r="A2148" s="89"/>
      <c r="B2148" s="144"/>
      <c r="D2148" s="76"/>
      <c r="E2148" s="89"/>
      <c r="F2148" s="89"/>
      <c r="G2148" s="89"/>
      <c r="H2148" s="89"/>
      <c r="I2148" s="89"/>
    </row>
    <row r="2149" spans="1:9" s="145" customFormat="1">
      <c r="A2149" s="89"/>
      <c r="B2149" s="144"/>
      <c r="D2149" s="76"/>
      <c r="E2149" s="89"/>
      <c r="F2149" s="89"/>
      <c r="G2149" s="89"/>
      <c r="H2149" s="89"/>
      <c r="I2149" s="89"/>
    </row>
    <row r="2150" spans="1:9" s="145" customFormat="1">
      <c r="A2150" s="89"/>
      <c r="B2150" s="144"/>
      <c r="D2150" s="76"/>
      <c r="E2150" s="89"/>
      <c r="F2150" s="89"/>
      <c r="G2150" s="89"/>
      <c r="H2150" s="89"/>
      <c r="I2150" s="89"/>
    </row>
    <row r="2151" spans="1:9" s="145" customFormat="1">
      <c r="A2151" s="89"/>
      <c r="B2151" s="144"/>
      <c r="D2151" s="76"/>
      <c r="E2151" s="89"/>
      <c r="F2151" s="89"/>
      <c r="G2151" s="89"/>
      <c r="H2151" s="89"/>
      <c r="I2151" s="89"/>
    </row>
    <row r="2152" spans="1:9" s="145" customFormat="1">
      <c r="A2152" s="89"/>
      <c r="B2152" s="144"/>
      <c r="D2152" s="76"/>
      <c r="E2152" s="89"/>
      <c r="F2152" s="89"/>
      <c r="G2152" s="89"/>
      <c r="H2152" s="89"/>
      <c r="I2152" s="89"/>
    </row>
    <row r="2153" spans="1:9" s="145" customFormat="1">
      <c r="A2153" s="89"/>
      <c r="B2153" s="144"/>
      <c r="D2153" s="76"/>
      <c r="E2153" s="89"/>
      <c r="F2153" s="89"/>
      <c r="G2153" s="89"/>
      <c r="H2153" s="89"/>
      <c r="I2153" s="89"/>
    </row>
    <row r="2154" spans="1:9" s="145" customFormat="1">
      <c r="A2154" s="89"/>
      <c r="B2154" s="144"/>
      <c r="D2154" s="76"/>
      <c r="E2154" s="89"/>
      <c r="F2154" s="89"/>
      <c r="G2154" s="89"/>
      <c r="H2154" s="89"/>
      <c r="I2154" s="89"/>
    </row>
    <row r="2155" spans="1:9" s="145" customFormat="1">
      <c r="A2155" s="89"/>
      <c r="B2155" s="144"/>
      <c r="D2155" s="76"/>
      <c r="E2155" s="89"/>
      <c r="F2155" s="89"/>
      <c r="G2155" s="89"/>
      <c r="H2155" s="89"/>
      <c r="I2155" s="89"/>
    </row>
    <row r="2156" spans="1:9" s="145" customFormat="1">
      <c r="A2156" s="89"/>
      <c r="B2156" s="144"/>
      <c r="D2156" s="76"/>
      <c r="E2156" s="89"/>
      <c r="F2156" s="89"/>
      <c r="G2156" s="89"/>
      <c r="H2156" s="89"/>
      <c r="I2156" s="89"/>
    </row>
    <row r="2157" spans="1:9" s="145" customFormat="1">
      <c r="A2157" s="89"/>
      <c r="B2157" s="144"/>
      <c r="D2157" s="76"/>
      <c r="E2157" s="89"/>
      <c r="F2157" s="89"/>
      <c r="G2157" s="89"/>
      <c r="H2157" s="89"/>
      <c r="I2157" s="89"/>
    </row>
    <row r="2158" spans="1:9" s="145" customFormat="1">
      <c r="A2158" s="89"/>
      <c r="B2158" s="144"/>
      <c r="D2158" s="76"/>
      <c r="E2158" s="89"/>
      <c r="F2158" s="89"/>
      <c r="G2158" s="89"/>
      <c r="H2158" s="89"/>
      <c r="I2158" s="89"/>
    </row>
    <row r="2159" spans="1:9" s="145" customFormat="1">
      <c r="A2159" s="89"/>
      <c r="B2159" s="144"/>
      <c r="D2159" s="76"/>
      <c r="E2159" s="89"/>
      <c r="F2159" s="89"/>
      <c r="G2159" s="89"/>
      <c r="H2159" s="89"/>
      <c r="I2159" s="89"/>
    </row>
    <row r="2160" spans="1:9" s="145" customFormat="1">
      <c r="A2160" s="89"/>
      <c r="B2160" s="144"/>
      <c r="D2160" s="76"/>
      <c r="E2160" s="89"/>
      <c r="F2160" s="89"/>
      <c r="G2160" s="89"/>
      <c r="H2160" s="89"/>
      <c r="I2160" s="89"/>
    </row>
    <row r="2161" spans="1:9" s="145" customFormat="1">
      <c r="A2161" s="89"/>
      <c r="B2161" s="144"/>
      <c r="D2161" s="76"/>
      <c r="E2161" s="89"/>
      <c r="F2161" s="89"/>
      <c r="G2161" s="89"/>
      <c r="H2161" s="89"/>
      <c r="I2161" s="89"/>
    </row>
    <row r="2162" spans="1:9" s="145" customFormat="1">
      <c r="A2162" s="89"/>
      <c r="B2162" s="144"/>
      <c r="D2162" s="76"/>
      <c r="E2162" s="89"/>
      <c r="F2162" s="89"/>
      <c r="G2162" s="89"/>
      <c r="H2162" s="89"/>
      <c r="I2162" s="89"/>
    </row>
    <row r="2163" spans="1:9" s="145" customFormat="1">
      <c r="A2163" s="89"/>
      <c r="B2163" s="144"/>
      <c r="D2163" s="76"/>
      <c r="E2163" s="89"/>
      <c r="F2163" s="89"/>
      <c r="G2163" s="89"/>
      <c r="H2163" s="89"/>
      <c r="I2163" s="89"/>
    </row>
    <row r="2164" spans="1:9" s="145" customFormat="1">
      <c r="A2164" s="89"/>
      <c r="B2164" s="144"/>
      <c r="D2164" s="76"/>
      <c r="E2164" s="89"/>
      <c r="F2164" s="89"/>
      <c r="G2164" s="89"/>
      <c r="H2164" s="89"/>
      <c r="I2164" s="89"/>
    </row>
    <row r="2165" spans="1:9" s="145" customFormat="1">
      <c r="A2165" s="89"/>
      <c r="B2165" s="144"/>
      <c r="D2165" s="76"/>
      <c r="E2165" s="89"/>
      <c r="F2165" s="89"/>
      <c r="G2165" s="89"/>
      <c r="H2165" s="89"/>
      <c r="I2165" s="89"/>
    </row>
    <row r="2166" spans="1:9" s="145" customFormat="1">
      <c r="A2166" s="89"/>
      <c r="B2166" s="144"/>
      <c r="D2166" s="76"/>
      <c r="E2166" s="89"/>
      <c r="F2166" s="89"/>
      <c r="G2166" s="89"/>
      <c r="H2166" s="89"/>
      <c r="I2166" s="89"/>
    </row>
    <row r="2167" spans="1:9" s="145" customFormat="1">
      <c r="A2167" s="89"/>
      <c r="B2167" s="144"/>
      <c r="D2167" s="76"/>
      <c r="E2167" s="89"/>
      <c r="F2167" s="89"/>
      <c r="G2167" s="89"/>
      <c r="H2167" s="89"/>
      <c r="I2167" s="89"/>
    </row>
    <row r="2168" spans="1:9" s="145" customFormat="1">
      <c r="A2168" s="89"/>
      <c r="B2168" s="144"/>
      <c r="D2168" s="76"/>
      <c r="E2168" s="89"/>
      <c r="F2168" s="89"/>
      <c r="G2168" s="89"/>
      <c r="H2168" s="89"/>
      <c r="I2168" s="89"/>
    </row>
    <row r="2169" spans="1:9" s="145" customFormat="1">
      <c r="A2169" s="89"/>
      <c r="B2169" s="144"/>
      <c r="D2169" s="76"/>
      <c r="E2169" s="89"/>
      <c r="F2169" s="89"/>
      <c r="G2169" s="89"/>
      <c r="H2169" s="89"/>
      <c r="I2169" s="89"/>
    </row>
    <row r="2170" spans="1:9" s="145" customFormat="1">
      <c r="A2170" s="89"/>
      <c r="B2170" s="144"/>
      <c r="D2170" s="76"/>
      <c r="E2170" s="89"/>
      <c r="F2170" s="89"/>
      <c r="G2170" s="89"/>
      <c r="H2170" s="89"/>
      <c r="I2170" s="89"/>
    </row>
    <row r="2171" spans="1:9" s="145" customFormat="1">
      <c r="A2171" s="89"/>
      <c r="B2171" s="144"/>
      <c r="D2171" s="76"/>
      <c r="E2171" s="89"/>
      <c r="F2171" s="89"/>
      <c r="G2171" s="89"/>
      <c r="H2171" s="89"/>
      <c r="I2171" s="89"/>
    </row>
    <row r="2172" spans="1:9" s="145" customFormat="1">
      <c r="A2172" s="89"/>
      <c r="B2172" s="144"/>
      <c r="D2172" s="76"/>
      <c r="E2172" s="89"/>
      <c r="F2172" s="89"/>
      <c r="G2172" s="89"/>
      <c r="H2172" s="89"/>
      <c r="I2172" s="89"/>
    </row>
    <row r="2173" spans="1:9" s="145" customFormat="1">
      <c r="A2173" s="89"/>
      <c r="B2173" s="144"/>
      <c r="D2173" s="76"/>
      <c r="E2173" s="89"/>
      <c r="F2173" s="89"/>
      <c r="G2173" s="89"/>
      <c r="H2173" s="89"/>
      <c r="I2173" s="89"/>
    </row>
    <row r="2174" spans="1:9" s="145" customFormat="1">
      <c r="A2174" s="89"/>
      <c r="B2174" s="144"/>
      <c r="D2174" s="76"/>
      <c r="E2174" s="89"/>
      <c r="F2174" s="89"/>
      <c r="G2174" s="89"/>
      <c r="H2174" s="89"/>
      <c r="I2174" s="89"/>
    </row>
    <row r="2175" spans="1:9" s="145" customFormat="1">
      <c r="A2175" s="89"/>
      <c r="B2175" s="144"/>
      <c r="D2175" s="76"/>
      <c r="E2175" s="89"/>
      <c r="F2175" s="89"/>
      <c r="G2175" s="89"/>
      <c r="H2175" s="89"/>
      <c r="I2175" s="89"/>
    </row>
    <row r="2176" spans="1:9" s="145" customFormat="1">
      <c r="A2176" s="89"/>
      <c r="B2176" s="144"/>
      <c r="D2176" s="76"/>
      <c r="E2176" s="89"/>
      <c r="F2176" s="89"/>
      <c r="G2176" s="89"/>
      <c r="H2176" s="89"/>
      <c r="I2176" s="89"/>
    </row>
    <row r="2177" spans="1:9" s="145" customFormat="1">
      <c r="A2177" s="89"/>
      <c r="B2177" s="144"/>
      <c r="D2177" s="76"/>
      <c r="E2177" s="89"/>
      <c r="F2177" s="89"/>
      <c r="G2177" s="89"/>
      <c r="H2177" s="89"/>
      <c r="I2177" s="89"/>
    </row>
    <row r="2178" spans="1:9" s="145" customFormat="1">
      <c r="A2178" s="89"/>
      <c r="B2178" s="144"/>
      <c r="D2178" s="76"/>
      <c r="E2178" s="89"/>
      <c r="F2178" s="89"/>
      <c r="G2178" s="89"/>
      <c r="H2178" s="89"/>
      <c r="I2178" s="89"/>
    </row>
    <row r="2179" spans="1:9" s="145" customFormat="1">
      <c r="A2179" s="89"/>
      <c r="B2179" s="144"/>
      <c r="D2179" s="76"/>
      <c r="E2179" s="89"/>
      <c r="F2179" s="89"/>
      <c r="G2179" s="89"/>
      <c r="H2179" s="89"/>
      <c r="I2179" s="89"/>
    </row>
    <row r="2180" spans="1:9" s="145" customFormat="1">
      <c r="A2180" s="89"/>
      <c r="B2180" s="144"/>
      <c r="D2180" s="76"/>
      <c r="E2180" s="89"/>
      <c r="F2180" s="89"/>
      <c r="G2180" s="89"/>
      <c r="H2180" s="89"/>
      <c r="I2180" s="89"/>
    </row>
    <row r="2181" spans="1:9" s="145" customFormat="1">
      <c r="A2181" s="89"/>
      <c r="B2181" s="144"/>
      <c r="D2181" s="76"/>
      <c r="E2181" s="89"/>
      <c r="F2181" s="89"/>
      <c r="G2181" s="89"/>
      <c r="H2181" s="89"/>
      <c r="I2181" s="89"/>
    </row>
    <row r="2182" spans="1:9" s="145" customFormat="1">
      <c r="A2182" s="89"/>
      <c r="B2182" s="144"/>
      <c r="D2182" s="76"/>
      <c r="E2182" s="89"/>
      <c r="F2182" s="89"/>
      <c r="G2182" s="89"/>
      <c r="H2182" s="89"/>
      <c r="I2182" s="89"/>
    </row>
    <row r="2183" spans="1:9" s="145" customFormat="1">
      <c r="A2183" s="89"/>
      <c r="B2183" s="144"/>
      <c r="D2183" s="76"/>
      <c r="E2183" s="89"/>
      <c r="F2183" s="89"/>
      <c r="G2183" s="89"/>
      <c r="H2183" s="89"/>
      <c r="I2183" s="89"/>
    </row>
    <row r="2184" spans="1:9" s="145" customFormat="1">
      <c r="A2184" s="89"/>
      <c r="B2184" s="144"/>
      <c r="D2184" s="76"/>
      <c r="E2184" s="89"/>
      <c r="F2184" s="89"/>
      <c r="G2184" s="89"/>
      <c r="H2184" s="89"/>
      <c r="I2184" s="89"/>
    </row>
    <row r="2185" spans="1:9" s="145" customFormat="1">
      <c r="A2185" s="89"/>
      <c r="B2185" s="144"/>
      <c r="D2185" s="76"/>
      <c r="E2185" s="89"/>
      <c r="F2185" s="89"/>
      <c r="G2185" s="89"/>
      <c r="H2185" s="89"/>
      <c r="I2185" s="89"/>
    </row>
    <row r="2186" spans="1:9" s="145" customFormat="1">
      <c r="A2186" s="89"/>
      <c r="B2186" s="144"/>
      <c r="D2186" s="76"/>
      <c r="E2186" s="89"/>
      <c r="F2186" s="89"/>
      <c r="G2186" s="89"/>
      <c r="H2186" s="89"/>
      <c r="I2186" s="89"/>
    </row>
    <row r="2187" spans="1:9" s="145" customFormat="1">
      <c r="A2187" s="89"/>
      <c r="B2187" s="144"/>
      <c r="D2187" s="76"/>
      <c r="E2187" s="89"/>
      <c r="F2187" s="89"/>
      <c r="G2187" s="89"/>
      <c r="H2187" s="89"/>
      <c r="I2187" s="89"/>
    </row>
    <row r="2188" spans="1:9" s="145" customFormat="1">
      <c r="A2188" s="89"/>
      <c r="B2188" s="144"/>
      <c r="D2188" s="76"/>
      <c r="E2188" s="89"/>
      <c r="F2188" s="89"/>
      <c r="G2188" s="89"/>
      <c r="H2188" s="89"/>
      <c r="I2188" s="89"/>
    </row>
    <row r="2189" spans="1:9" s="145" customFormat="1">
      <c r="A2189" s="89"/>
      <c r="B2189" s="144"/>
      <c r="D2189" s="76"/>
      <c r="E2189" s="89"/>
      <c r="F2189" s="89"/>
      <c r="G2189" s="89"/>
      <c r="H2189" s="89"/>
      <c r="I2189" s="89"/>
    </row>
    <row r="2190" spans="1:9" s="145" customFormat="1">
      <c r="A2190" s="89"/>
      <c r="B2190" s="144"/>
      <c r="D2190" s="76"/>
      <c r="E2190" s="89"/>
      <c r="F2190" s="89"/>
      <c r="G2190" s="89"/>
      <c r="H2190" s="89"/>
      <c r="I2190" s="89"/>
    </row>
    <row r="2191" spans="1:9" s="145" customFormat="1">
      <c r="A2191" s="89"/>
      <c r="B2191" s="144"/>
      <c r="D2191" s="76"/>
      <c r="E2191" s="89"/>
      <c r="F2191" s="89"/>
      <c r="G2191" s="89"/>
      <c r="H2191" s="89"/>
      <c r="I2191" s="89"/>
    </row>
    <row r="2192" spans="1:9" s="145" customFormat="1">
      <c r="A2192" s="89"/>
      <c r="B2192" s="144"/>
      <c r="D2192" s="76"/>
      <c r="E2192" s="89"/>
      <c r="F2192" s="89"/>
      <c r="G2192" s="89"/>
      <c r="H2192" s="89"/>
      <c r="I2192" s="89"/>
    </row>
    <row r="2193" spans="1:9" s="145" customFormat="1">
      <c r="A2193" s="89"/>
      <c r="B2193" s="144"/>
      <c r="D2193" s="76"/>
      <c r="E2193" s="89"/>
      <c r="F2193" s="89"/>
      <c r="G2193" s="89"/>
      <c r="H2193" s="89"/>
      <c r="I2193" s="89"/>
    </row>
    <row r="2194" spans="1:9" s="145" customFormat="1">
      <c r="A2194" s="89"/>
      <c r="B2194" s="144"/>
      <c r="D2194" s="76"/>
      <c r="E2194" s="89"/>
      <c r="F2194" s="89"/>
      <c r="G2194" s="89"/>
      <c r="H2194" s="89"/>
      <c r="I2194" s="89"/>
    </row>
    <row r="2195" spans="1:9" s="145" customFormat="1">
      <c r="A2195" s="89"/>
      <c r="B2195" s="144"/>
      <c r="D2195" s="76"/>
      <c r="E2195" s="89"/>
      <c r="F2195" s="89"/>
      <c r="G2195" s="89"/>
      <c r="H2195" s="89"/>
      <c r="I2195" s="89"/>
    </row>
    <row r="2196" spans="1:9" s="145" customFormat="1">
      <c r="A2196" s="89"/>
      <c r="B2196" s="144"/>
      <c r="D2196" s="76"/>
      <c r="E2196" s="89"/>
      <c r="F2196" s="89"/>
      <c r="G2196" s="89"/>
      <c r="H2196" s="89"/>
      <c r="I2196" s="89"/>
    </row>
    <row r="2197" spans="1:9" s="145" customFormat="1">
      <c r="A2197" s="89"/>
      <c r="B2197" s="144"/>
      <c r="D2197" s="76"/>
      <c r="E2197" s="89"/>
      <c r="F2197" s="89"/>
      <c r="G2197" s="89"/>
      <c r="H2197" s="89"/>
      <c r="I2197" s="89"/>
    </row>
    <row r="2198" spans="1:9" s="145" customFormat="1">
      <c r="A2198" s="89"/>
      <c r="B2198" s="144"/>
      <c r="D2198" s="76"/>
      <c r="E2198" s="89"/>
      <c r="F2198" s="89"/>
      <c r="G2198" s="89"/>
      <c r="H2198" s="89"/>
      <c r="I2198" s="89"/>
    </row>
    <row r="2199" spans="1:9" s="145" customFormat="1">
      <c r="A2199" s="89"/>
      <c r="B2199" s="144"/>
      <c r="D2199" s="76"/>
      <c r="E2199" s="89"/>
      <c r="F2199" s="89"/>
      <c r="G2199" s="89"/>
      <c r="H2199" s="89"/>
      <c r="I2199" s="89"/>
    </row>
    <row r="2200" spans="1:9" s="145" customFormat="1">
      <c r="A2200" s="89"/>
      <c r="B2200" s="144"/>
      <c r="D2200" s="76"/>
      <c r="E2200" s="89"/>
      <c r="F2200" s="89"/>
      <c r="G2200" s="89"/>
      <c r="H2200" s="89"/>
      <c r="I2200" s="89"/>
    </row>
    <row r="2201" spans="1:9" s="145" customFormat="1">
      <c r="A2201" s="89"/>
      <c r="B2201" s="144"/>
      <c r="D2201" s="76"/>
      <c r="E2201" s="89"/>
      <c r="F2201" s="89"/>
      <c r="G2201" s="89"/>
      <c r="H2201" s="89"/>
      <c r="I2201" s="89"/>
    </row>
    <row r="2202" spans="1:9" s="145" customFormat="1">
      <c r="A2202" s="89"/>
      <c r="B2202" s="144"/>
      <c r="D2202" s="76"/>
      <c r="E2202" s="89"/>
      <c r="F2202" s="89"/>
      <c r="G2202" s="89"/>
      <c r="H2202" s="89"/>
      <c r="I2202" s="89"/>
    </row>
    <row r="2203" spans="1:9" s="145" customFormat="1">
      <c r="A2203" s="89"/>
      <c r="B2203" s="144"/>
      <c r="D2203" s="76"/>
      <c r="E2203" s="89"/>
      <c r="F2203" s="89"/>
      <c r="G2203" s="89"/>
      <c r="H2203" s="89"/>
      <c r="I2203" s="89"/>
    </row>
    <row r="2204" spans="1:9" s="145" customFormat="1">
      <c r="A2204" s="89"/>
      <c r="B2204" s="144"/>
      <c r="D2204" s="76"/>
      <c r="E2204" s="89"/>
      <c r="F2204" s="89"/>
      <c r="G2204" s="89"/>
      <c r="H2204" s="89"/>
      <c r="I2204" s="89"/>
    </row>
    <row r="2205" spans="1:9" s="145" customFormat="1">
      <c r="A2205" s="89"/>
      <c r="B2205" s="144"/>
      <c r="D2205" s="76"/>
      <c r="E2205" s="89"/>
      <c r="F2205" s="89"/>
      <c r="G2205" s="89"/>
      <c r="H2205" s="89"/>
      <c r="I2205" s="89"/>
    </row>
    <row r="2206" spans="1:9" s="145" customFormat="1">
      <c r="A2206" s="89"/>
      <c r="B2206" s="144"/>
      <c r="D2206" s="76"/>
      <c r="E2206" s="89"/>
      <c r="F2206" s="89"/>
      <c r="G2206" s="89"/>
      <c r="H2206" s="89"/>
      <c r="I2206" s="89"/>
    </row>
    <row r="2207" spans="1:9" s="145" customFormat="1">
      <c r="A2207" s="89"/>
      <c r="B2207" s="144"/>
      <c r="D2207" s="76"/>
      <c r="E2207" s="89"/>
      <c r="F2207" s="89"/>
      <c r="G2207" s="89"/>
      <c r="H2207" s="89"/>
      <c r="I2207" s="89"/>
    </row>
    <row r="2208" spans="1:9" s="145" customFormat="1">
      <c r="A2208" s="89"/>
      <c r="B2208" s="144"/>
      <c r="D2208" s="76"/>
      <c r="E2208" s="89"/>
      <c r="F2208" s="89"/>
      <c r="G2208" s="89"/>
      <c r="H2208" s="89"/>
      <c r="I2208" s="89"/>
    </row>
    <row r="2209" spans="1:9" s="145" customFormat="1">
      <c r="A2209" s="89"/>
      <c r="B2209" s="144"/>
      <c r="D2209" s="76"/>
      <c r="E2209" s="89"/>
      <c r="F2209" s="89"/>
      <c r="G2209" s="89"/>
      <c r="H2209" s="89"/>
      <c r="I2209" s="89"/>
    </row>
    <row r="2210" spans="1:9" s="145" customFormat="1">
      <c r="A2210" s="89"/>
      <c r="B2210" s="144"/>
      <c r="D2210" s="76"/>
      <c r="E2210" s="89"/>
      <c r="F2210" s="89"/>
      <c r="G2210" s="89"/>
      <c r="H2210" s="89"/>
      <c r="I2210" s="89"/>
    </row>
    <row r="2211" spans="1:9" s="145" customFormat="1">
      <c r="A2211" s="89"/>
      <c r="B2211" s="144"/>
      <c r="D2211" s="76"/>
      <c r="E2211" s="89"/>
      <c r="F2211" s="89"/>
      <c r="G2211" s="89"/>
      <c r="H2211" s="89"/>
      <c r="I2211" s="89"/>
    </row>
    <row r="2212" spans="1:9" s="145" customFormat="1">
      <c r="A2212" s="89"/>
      <c r="B2212" s="144"/>
      <c r="D2212" s="76"/>
      <c r="E2212" s="89"/>
      <c r="F2212" s="89"/>
      <c r="G2212" s="89"/>
      <c r="H2212" s="89"/>
      <c r="I2212" s="89"/>
    </row>
    <row r="2213" spans="1:9" s="145" customFormat="1">
      <c r="A2213" s="89"/>
      <c r="B2213" s="144"/>
      <c r="D2213" s="76"/>
      <c r="E2213" s="89"/>
      <c r="F2213" s="89"/>
      <c r="G2213" s="89"/>
      <c r="H2213" s="89"/>
      <c r="I2213" s="89"/>
    </row>
    <row r="2214" spans="1:9" s="145" customFormat="1">
      <c r="A2214" s="89"/>
      <c r="B2214" s="144"/>
      <c r="D2214" s="76"/>
      <c r="E2214" s="89"/>
      <c r="F2214" s="89"/>
      <c r="G2214" s="89"/>
      <c r="H2214" s="89"/>
      <c r="I2214" s="89"/>
    </row>
    <row r="2215" spans="1:9" s="145" customFormat="1">
      <c r="A2215" s="89"/>
      <c r="B2215" s="144"/>
      <c r="D2215" s="76"/>
      <c r="E2215" s="89"/>
      <c r="F2215" s="89"/>
      <c r="G2215" s="89"/>
      <c r="H2215" s="89"/>
      <c r="I2215" s="89"/>
    </row>
    <row r="2216" spans="1:9" s="145" customFormat="1">
      <c r="A2216" s="89"/>
      <c r="B2216" s="144"/>
      <c r="D2216" s="76"/>
      <c r="E2216" s="89"/>
      <c r="F2216" s="89"/>
      <c r="G2216" s="89"/>
      <c r="H2216" s="89"/>
      <c r="I2216" s="89"/>
    </row>
    <row r="2217" spans="1:9" s="145" customFormat="1">
      <c r="A2217" s="89"/>
      <c r="B2217" s="144"/>
      <c r="D2217" s="76"/>
      <c r="E2217" s="89"/>
      <c r="F2217" s="89"/>
      <c r="G2217" s="89"/>
      <c r="H2217" s="89"/>
      <c r="I2217" s="89"/>
    </row>
    <row r="2218" spans="1:9" s="145" customFormat="1">
      <c r="A2218" s="89"/>
      <c r="B2218" s="144"/>
      <c r="D2218" s="76"/>
      <c r="E2218" s="89"/>
      <c r="F2218" s="89"/>
      <c r="G2218" s="89"/>
      <c r="H2218" s="89"/>
      <c r="I2218" s="89"/>
    </row>
    <row r="2219" spans="1:9" s="145" customFormat="1">
      <c r="A2219" s="89"/>
      <c r="B2219" s="144"/>
      <c r="D2219" s="76"/>
      <c r="E2219" s="89"/>
      <c r="F2219" s="89"/>
      <c r="G2219" s="89"/>
      <c r="H2219" s="89"/>
      <c r="I2219" s="89"/>
    </row>
    <row r="2220" spans="1:9" s="145" customFormat="1">
      <c r="A2220" s="89"/>
      <c r="B2220" s="144"/>
      <c r="D2220" s="76"/>
      <c r="E2220" s="89"/>
      <c r="F2220" s="89"/>
      <c r="G2220" s="89"/>
      <c r="H2220" s="89"/>
      <c r="I2220" s="89"/>
    </row>
    <row r="2221" spans="1:9" s="145" customFormat="1">
      <c r="A2221" s="89"/>
      <c r="B2221" s="144"/>
      <c r="D2221" s="76"/>
      <c r="E2221" s="89"/>
      <c r="F2221" s="89"/>
      <c r="G2221" s="89"/>
      <c r="H2221" s="89"/>
      <c r="I2221" s="89"/>
    </row>
    <row r="2222" spans="1:9" s="145" customFormat="1">
      <c r="A2222" s="89"/>
      <c r="B2222" s="144"/>
      <c r="D2222" s="76"/>
      <c r="E2222" s="89"/>
      <c r="F2222" s="89"/>
      <c r="G2222" s="89"/>
      <c r="H2222" s="89"/>
      <c r="I2222" s="89"/>
    </row>
    <row r="2223" spans="1:9" s="145" customFormat="1">
      <c r="A2223" s="89"/>
      <c r="B2223" s="144"/>
      <c r="D2223" s="76"/>
      <c r="E2223" s="89"/>
      <c r="F2223" s="89"/>
      <c r="G2223" s="89"/>
      <c r="H2223" s="89"/>
      <c r="I2223" s="89"/>
    </row>
    <row r="2224" spans="1:9" s="145" customFormat="1">
      <c r="A2224" s="89"/>
      <c r="B2224" s="144"/>
      <c r="D2224" s="76"/>
      <c r="E2224" s="89"/>
      <c r="F2224" s="89"/>
      <c r="G2224" s="89"/>
      <c r="H2224" s="89"/>
      <c r="I2224" s="89"/>
    </row>
    <row r="2225" spans="1:9" s="145" customFormat="1">
      <c r="A2225" s="89"/>
      <c r="B2225" s="144"/>
      <c r="D2225" s="76"/>
      <c r="E2225" s="89"/>
      <c r="F2225" s="89"/>
      <c r="G2225" s="89"/>
      <c r="H2225" s="89"/>
      <c r="I2225" s="89"/>
    </row>
    <row r="2226" spans="1:9" s="145" customFormat="1">
      <c r="A2226" s="89"/>
      <c r="B2226" s="144"/>
      <c r="D2226" s="76"/>
      <c r="E2226" s="89"/>
      <c r="F2226" s="89"/>
      <c r="G2226" s="89"/>
      <c r="H2226" s="89"/>
      <c r="I2226" s="89"/>
    </row>
    <row r="2227" spans="1:9" s="145" customFormat="1">
      <c r="A2227" s="89"/>
      <c r="B2227" s="144"/>
      <c r="D2227" s="76"/>
      <c r="E2227" s="89"/>
      <c r="F2227" s="89"/>
      <c r="G2227" s="89"/>
      <c r="H2227" s="89"/>
      <c r="I2227" s="89"/>
    </row>
    <row r="2228" spans="1:9" s="145" customFormat="1">
      <c r="A2228" s="89"/>
      <c r="B2228" s="144"/>
      <c r="D2228" s="76"/>
      <c r="E2228" s="89"/>
      <c r="F2228" s="89"/>
      <c r="G2228" s="89"/>
      <c r="H2228" s="89"/>
      <c r="I2228" s="89"/>
    </row>
    <row r="2229" spans="1:9" s="145" customFormat="1">
      <c r="A2229" s="89"/>
      <c r="B2229" s="144"/>
      <c r="D2229" s="76"/>
      <c r="E2229" s="89"/>
      <c r="F2229" s="89"/>
      <c r="G2229" s="89"/>
      <c r="H2229" s="89"/>
      <c r="I2229" s="89"/>
    </row>
    <row r="2230" spans="1:9" s="145" customFormat="1">
      <c r="A2230" s="89"/>
      <c r="B2230" s="144"/>
      <c r="D2230" s="76"/>
      <c r="E2230" s="89"/>
      <c r="F2230" s="89"/>
      <c r="G2230" s="89"/>
      <c r="H2230" s="89"/>
      <c r="I2230" s="89"/>
    </row>
    <row r="2231" spans="1:9" s="145" customFormat="1">
      <c r="A2231" s="89"/>
      <c r="B2231" s="144"/>
      <c r="D2231" s="76"/>
      <c r="E2231" s="89"/>
      <c r="F2231" s="89"/>
      <c r="G2231" s="89"/>
      <c r="H2231" s="89"/>
      <c r="I2231" s="89"/>
    </row>
    <row r="2232" spans="1:9" s="145" customFormat="1">
      <c r="A2232" s="89"/>
      <c r="B2232" s="144"/>
      <c r="D2232" s="76"/>
      <c r="E2232" s="89"/>
      <c r="F2232" s="89"/>
      <c r="G2232" s="89"/>
      <c r="H2232" s="89"/>
      <c r="I2232" s="89"/>
    </row>
    <row r="2233" spans="1:9" s="145" customFormat="1">
      <c r="A2233" s="89"/>
      <c r="B2233" s="144"/>
      <c r="D2233" s="76"/>
      <c r="E2233" s="89"/>
      <c r="F2233" s="89"/>
      <c r="G2233" s="89"/>
      <c r="H2233" s="89"/>
      <c r="I2233" s="89"/>
    </row>
    <row r="2234" spans="1:9" s="145" customFormat="1">
      <c r="A2234" s="89"/>
      <c r="B2234" s="144"/>
      <c r="D2234" s="76"/>
      <c r="E2234" s="89"/>
      <c r="F2234" s="89"/>
      <c r="G2234" s="89"/>
      <c r="H2234" s="89"/>
      <c r="I2234" s="89"/>
    </row>
    <row r="2235" spans="1:9" s="145" customFormat="1">
      <c r="A2235" s="89"/>
      <c r="B2235" s="144"/>
      <c r="D2235" s="76"/>
      <c r="E2235" s="89"/>
      <c r="F2235" s="89"/>
      <c r="G2235" s="89"/>
      <c r="H2235" s="89"/>
      <c r="I2235" s="89"/>
    </row>
    <row r="2236" spans="1:9" s="145" customFormat="1">
      <c r="A2236" s="89"/>
      <c r="B2236" s="144"/>
      <c r="D2236" s="76"/>
      <c r="E2236" s="89"/>
      <c r="F2236" s="89"/>
      <c r="G2236" s="89"/>
      <c r="H2236" s="89"/>
      <c r="I2236" s="89"/>
    </row>
    <row r="2237" spans="1:9" s="145" customFormat="1">
      <c r="A2237" s="89"/>
      <c r="B2237" s="144"/>
      <c r="D2237" s="76"/>
      <c r="E2237" s="89"/>
      <c r="F2237" s="89"/>
      <c r="G2237" s="89"/>
      <c r="H2237" s="89"/>
      <c r="I2237" s="89"/>
    </row>
    <row r="2238" spans="1:9" s="145" customFormat="1">
      <c r="A2238" s="89"/>
      <c r="B2238" s="144"/>
      <c r="D2238" s="76"/>
      <c r="E2238" s="89"/>
      <c r="F2238" s="89"/>
      <c r="G2238" s="89"/>
      <c r="H2238" s="89"/>
      <c r="I2238" s="89"/>
    </row>
    <row r="2239" spans="1:9" s="145" customFormat="1">
      <c r="A2239" s="89"/>
      <c r="B2239" s="144"/>
      <c r="D2239" s="76"/>
      <c r="E2239" s="89"/>
      <c r="F2239" s="89"/>
      <c r="G2239" s="89"/>
      <c r="H2239" s="89"/>
      <c r="I2239" s="89"/>
    </row>
    <row r="2240" spans="1:9" s="145" customFormat="1">
      <c r="A2240" s="89"/>
      <c r="B2240" s="144"/>
      <c r="D2240" s="76"/>
      <c r="E2240" s="89"/>
      <c r="F2240" s="89"/>
      <c r="G2240" s="89"/>
      <c r="H2240" s="89"/>
      <c r="I2240" s="89"/>
    </row>
    <row r="2241" spans="1:9" s="145" customFormat="1">
      <c r="A2241" s="89"/>
      <c r="B2241" s="144"/>
      <c r="D2241" s="76"/>
      <c r="E2241" s="89"/>
      <c r="F2241" s="89"/>
      <c r="G2241" s="89"/>
      <c r="H2241" s="89"/>
      <c r="I2241" s="89"/>
    </row>
    <row r="2242" spans="1:9" s="145" customFormat="1">
      <c r="A2242" s="89"/>
      <c r="B2242" s="144"/>
      <c r="D2242" s="76"/>
      <c r="E2242" s="89"/>
      <c r="F2242" s="89"/>
      <c r="G2242" s="89"/>
      <c r="H2242" s="89"/>
      <c r="I2242" s="89"/>
    </row>
    <row r="2243" spans="1:9" s="145" customFormat="1">
      <c r="A2243" s="89"/>
      <c r="B2243" s="144"/>
      <c r="D2243" s="76"/>
      <c r="E2243" s="89"/>
      <c r="F2243" s="89"/>
      <c r="G2243" s="89"/>
      <c r="H2243" s="89"/>
      <c r="I2243" s="89"/>
    </row>
    <row r="2244" spans="1:9" s="145" customFormat="1">
      <c r="A2244" s="89"/>
      <c r="B2244" s="144"/>
      <c r="D2244" s="76"/>
      <c r="E2244" s="89"/>
      <c r="F2244" s="89"/>
      <c r="G2244" s="89"/>
      <c r="H2244" s="89"/>
      <c r="I2244" s="89"/>
    </row>
    <row r="2245" spans="1:9" s="145" customFormat="1">
      <c r="A2245" s="89"/>
      <c r="B2245" s="144"/>
      <c r="D2245" s="76"/>
      <c r="E2245" s="89"/>
      <c r="F2245" s="89"/>
      <c r="G2245" s="89"/>
      <c r="H2245" s="89"/>
      <c r="I2245" s="89"/>
    </row>
    <row r="2246" spans="1:9" s="145" customFormat="1">
      <c r="A2246" s="89"/>
      <c r="B2246" s="144"/>
      <c r="D2246" s="76"/>
      <c r="E2246" s="89"/>
      <c r="F2246" s="89"/>
      <c r="G2246" s="89"/>
      <c r="H2246" s="89"/>
      <c r="I2246" s="89"/>
    </row>
    <row r="2247" spans="1:9" s="145" customFormat="1">
      <c r="A2247" s="89"/>
      <c r="B2247" s="144"/>
      <c r="D2247" s="76"/>
      <c r="E2247" s="89"/>
      <c r="F2247" s="89"/>
      <c r="G2247" s="89"/>
      <c r="H2247" s="89"/>
      <c r="I2247" s="89"/>
    </row>
    <row r="2248" spans="1:9" s="145" customFormat="1">
      <c r="A2248" s="89"/>
      <c r="B2248" s="144"/>
      <c r="D2248" s="76"/>
      <c r="E2248" s="89"/>
      <c r="F2248" s="89"/>
      <c r="G2248" s="89"/>
      <c r="H2248" s="89"/>
      <c r="I2248" s="89"/>
    </row>
    <row r="2249" spans="1:9" s="145" customFormat="1">
      <c r="A2249" s="89"/>
      <c r="B2249" s="144"/>
      <c r="D2249" s="76"/>
      <c r="E2249" s="89"/>
      <c r="F2249" s="89"/>
      <c r="G2249" s="89"/>
      <c r="H2249" s="89"/>
      <c r="I2249" s="89"/>
    </row>
    <row r="2250" spans="1:9" s="145" customFormat="1">
      <c r="A2250" s="89"/>
      <c r="B2250" s="144"/>
      <c r="D2250" s="76"/>
      <c r="E2250" s="89"/>
      <c r="F2250" s="89"/>
      <c r="G2250" s="89"/>
      <c r="H2250" s="89"/>
      <c r="I2250" s="89"/>
    </row>
    <row r="2251" spans="1:9" s="145" customFormat="1">
      <c r="A2251" s="89"/>
      <c r="B2251" s="144"/>
      <c r="D2251" s="76"/>
      <c r="E2251" s="89"/>
      <c r="F2251" s="89"/>
      <c r="G2251" s="89"/>
      <c r="H2251" s="89"/>
      <c r="I2251" s="89"/>
    </row>
    <row r="2252" spans="1:9" s="145" customFormat="1">
      <c r="A2252" s="89"/>
      <c r="B2252" s="144"/>
      <c r="D2252" s="76"/>
      <c r="E2252" s="89"/>
      <c r="F2252" s="89"/>
      <c r="G2252" s="89"/>
      <c r="H2252" s="89"/>
      <c r="I2252" s="89"/>
    </row>
    <row r="2253" spans="1:9" s="145" customFormat="1">
      <c r="A2253" s="89"/>
      <c r="B2253" s="144"/>
      <c r="D2253" s="76"/>
      <c r="E2253" s="89"/>
      <c r="F2253" s="89"/>
      <c r="G2253" s="89"/>
      <c r="H2253" s="89"/>
      <c r="I2253" s="89"/>
    </row>
    <row r="2254" spans="1:9" s="145" customFormat="1">
      <c r="A2254" s="89"/>
      <c r="B2254" s="144"/>
      <c r="D2254" s="76"/>
      <c r="E2254" s="89"/>
      <c r="F2254" s="89"/>
      <c r="G2254" s="89"/>
      <c r="H2254" s="89"/>
      <c r="I2254" s="89"/>
    </row>
    <row r="2255" spans="1:9" s="145" customFormat="1">
      <c r="A2255" s="89"/>
      <c r="B2255" s="144"/>
      <c r="D2255" s="76"/>
      <c r="E2255" s="89"/>
      <c r="F2255" s="89"/>
      <c r="G2255" s="89"/>
      <c r="H2255" s="89"/>
      <c r="I2255" s="89"/>
    </row>
    <row r="2256" spans="1:9" s="145" customFormat="1">
      <c r="A2256" s="89"/>
      <c r="B2256" s="144"/>
      <c r="D2256" s="76"/>
      <c r="E2256" s="89"/>
      <c r="F2256" s="89"/>
      <c r="G2256" s="89"/>
      <c r="H2256" s="89"/>
      <c r="I2256" s="89"/>
    </row>
    <row r="2257" spans="1:9" s="145" customFormat="1">
      <c r="A2257" s="89"/>
      <c r="B2257" s="144"/>
      <c r="D2257" s="76"/>
      <c r="E2257" s="89"/>
      <c r="F2257" s="89"/>
      <c r="G2257" s="89"/>
      <c r="H2257" s="89"/>
      <c r="I2257" s="89"/>
    </row>
    <row r="2258" spans="1:9" s="145" customFormat="1">
      <c r="A2258" s="89"/>
      <c r="B2258" s="144"/>
      <c r="D2258" s="76"/>
      <c r="E2258" s="89"/>
      <c r="F2258" s="89"/>
      <c r="G2258" s="89"/>
      <c r="H2258" s="89"/>
      <c r="I2258" s="89"/>
    </row>
    <row r="2259" spans="1:9" s="145" customFormat="1">
      <c r="A2259" s="89"/>
      <c r="B2259" s="144"/>
      <c r="D2259" s="76"/>
      <c r="E2259" s="89"/>
      <c r="F2259" s="89"/>
      <c r="G2259" s="89"/>
      <c r="H2259" s="89"/>
      <c r="I2259" s="89"/>
    </row>
    <row r="2260" spans="1:9" s="145" customFormat="1">
      <c r="A2260" s="89"/>
      <c r="B2260" s="144"/>
      <c r="D2260" s="76"/>
      <c r="E2260" s="89"/>
      <c r="F2260" s="89"/>
      <c r="G2260" s="89"/>
      <c r="H2260" s="89"/>
      <c r="I2260" s="89"/>
    </row>
    <row r="2261" spans="1:9" s="145" customFormat="1">
      <c r="A2261" s="89"/>
      <c r="B2261" s="144"/>
      <c r="D2261" s="76"/>
      <c r="E2261" s="89"/>
      <c r="F2261" s="89"/>
      <c r="G2261" s="89"/>
      <c r="H2261" s="89"/>
      <c r="I2261" s="89"/>
    </row>
    <row r="2262" spans="1:9" s="145" customFormat="1">
      <c r="A2262" s="89"/>
      <c r="B2262" s="144"/>
      <c r="D2262" s="76"/>
      <c r="E2262" s="89"/>
      <c r="F2262" s="89"/>
      <c r="G2262" s="89"/>
      <c r="H2262" s="89"/>
      <c r="I2262" s="89"/>
    </row>
    <row r="2263" spans="1:9" s="145" customFormat="1">
      <c r="A2263" s="89"/>
      <c r="B2263" s="144"/>
      <c r="D2263" s="76"/>
      <c r="E2263" s="89"/>
      <c r="F2263" s="89"/>
      <c r="G2263" s="89"/>
      <c r="H2263" s="89"/>
      <c r="I2263" s="89"/>
    </row>
    <row r="2264" spans="1:9" s="145" customFormat="1">
      <c r="A2264" s="89"/>
      <c r="B2264" s="144"/>
      <c r="D2264" s="76"/>
      <c r="E2264" s="89"/>
      <c r="F2264" s="89"/>
      <c r="G2264" s="89"/>
      <c r="H2264" s="89"/>
      <c r="I2264" s="89"/>
    </row>
    <row r="2265" spans="1:9" s="145" customFormat="1">
      <c r="A2265" s="89"/>
      <c r="B2265" s="144"/>
      <c r="D2265" s="76"/>
      <c r="E2265" s="89"/>
      <c r="F2265" s="89"/>
      <c r="G2265" s="89"/>
      <c r="H2265" s="89"/>
      <c r="I2265" s="89"/>
    </row>
    <row r="2266" spans="1:9" s="145" customFormat="1">
      <c r="A2266" s="89"/>
      <c r="B2266" s="144"/>
      <c r="D2266" s="76"/>
      <c r="E2266" s="89"/>
      <c r="F2266" s="89"/>
      <c r="G2266" s="89"/>
      <c r="H2266" s="89"/>
      <c r="I2266" s="89"/>
    </row>
    <row r="2267" spans="1:9" s="145" customFormat="1">
      <c r="A2267" s="89"/>
      <c r="B2267" s="144"/>
      <c r="D2267" s="76"/>
      <c r="E2267" s="89"/>
      <c r="F2267" s="89"/>
      <c r="G2267" s="89"/>
      <c r="H2267" s="89"/>
      <c r="I2267" s="89"/>
    </row>
    <row r="2268" spans="1:9" s="145" customFormat="1">
      <c r="A2268" s="89"/>
      <c r="B2268" s="144"/>
      <c r="D2268" s="76"/>
      <c r="E2268" s="89"/>
      <c r="F2268" s="89"/>
      <c r="G2268" s="89"/>
      <c r="H2268" s="89"/>
      <c r="I2268" s="89"/>
    </row>
    <row r="2269" spans="1:9" s="145" customFormat="1">
      <c r="A2269" s="89"/>
      <c r="B2269" s="144"/>
      <c r="D2269" s="76"/>
      <c r="E2269" s="89"/>
      <c r="F2269" s="89"/>
      <c r="G2269" s="89"/>
      <c r="H2269" s="89"/>
      <c r="I2269" s="89"/>
    </row>
    <row r="2270" spans="1:9" s="145" customFormat="1">
      <c r="A2270" s="89"/>
      <c r="B2270" s="144"/>
      <c r="D2270" s="76"/>
      <c r="E2270" s="89"/>
      <c r="F2270" s="89"/>
      <c r="G2270" s="89"/>
      <c r="H2270" s="89"/>
      <c r="I2270" s="89"/>
    </row>
    <row r="2271" spans="1:9" s="145" customFormat="1">
      <c r="A2271" s="89"/>
      <c r="B2271" s="144"/>
      <c r="D2271" s="76"/>
      <c r="E2271" s="89"/>
      <c r="F2271" s="89"/>
      <c r="G2271" s="89"/>
      <c r="H2271" s="89"/>
      <c r="I2271" s="89"/>
    </row>
    <row r="2272" spans="1:9" s="145" customFormat="1">
      <c r="A2272" s="89"/>
      <c r="B2272" s="144"/>
      <c r="D2272" s="76"/>
      <c r="E2272" s="89"/>
      <c r="F2272" s="89"/>
      <c r="G2272" s="89"/>
      <c r="H2272" s="89"/>
      <c r="I2272" s="89"/>
    </row>
    <row r="2273" spans="1:9" s="145" customFormat="1">
      <c r="A2273" s="89"/>
      <c r="B2273" s="144"/>
      <c r="D2273" s="76"/>
      <c r="E2273" s="89"/>
      <c r="F2273" s="89"/>
      <c r="G2273" s="89"/>
      <c r="H2273" s="89"/>
      <c r="I2273" s="89"/>
    </row>
    <row r="2274" spans="1:9" s="145" customFormat="1">
      <c r="A2274" s="89"/>
      <c r="B2274" s="144"/>
      <c r="D2274" s="76"/>
      <c r="E2274" s="89"/>
      <c r="F2274" s="89"/>
      <c r="G2274" s="89"/>
      <c r="H2274" s="89"/>
      <c r="I2274" s="89"/>
    </row>
    <row r="2275" spans="1:9" s="145" customFormat="1">
      <c r="A2275" s="89"/>
      <c r="B2275" s="144"/>
      <c r="D2275" s="76"/>
      <c r="E2275" s="89"/>
      <c r="F2275" s="89"/>
      <c r="G2275" s="89"/>
      <c r="H2275" s="89"/>
      <c r="I2275" s="89"/>
    </row>
    <row r="2276" spans="1:9" s="145" customFormat="1">
      <c r="A2276" s="89"/>
      <c r="B2276" s="144"/>
      <c r="D2276" s="76"/>
      <c r="E2276" s="89"/>
      <c r="F2276" s="89"/>
      <c r="G2276" s="89"/>
      <c r="H2276" s="89"/>
      <c r="I2276" s="89"/>
    </row>
    <row r="2277" spans="1:9" s="145" customFormat="1">
      <c r="A2277" s="89"/>
      <c r="B2277" s="144"/>
      <c r="D2277" s="76"/>
      <c r="E2277" s="89"/>
      <c r="F2277" s="89"/>
      <c r="G2277" s="89"/>
      <c r="H2277" s="89"/>
      <c r="I2277" s="89"/>
    </row>
    <row r="2278" spans="1:9" s="145" customFormat="1">
      <c r="A2278" s="89"/>
      <c r="B2278" s="144"/>
      <c r="D2278" s="76"/>
      <c r="E2278" s="89"/>
      <c r="F2278" s="89"/>
      <c r="G2278" s="89"/>
      <c r="H2278" s="89"/>
      <c r="I2278" s="89"/>
    </row>
    <row r="2279" spans="1:9" s="145" customFormat="1">
      <c r="A2279" s="89"/>
      <c r="B2279" s="144"/>
      <c r="D2279" s="76"/>
      <c r="E2279" s="89"/>
      <c r="F2279" s="89"/>
      <c r="G2279" s="89"/>
      <c r="H2279" s="89"/>
      <c r="I2279" s="89"/>
    </row>
    <row r="2280" spans="1:9" s="145" customFormat="1">
      <c r="A2280" s="89"/>
      <c r="B2280" s="144"/>
      <c r="D2280" s="76"/>
      <c r="E2280" s="89"/>
      <c r="F2280" s="89"/>
      <c r="G2280" s="89"/>
      <c r="H2280" s="89"/>
      <c r="I2280" s="89"/>
    </row>
    <row r="2281" spans="1:9" s="145" customFormat="1">
      <c r="A2281" s="89"/>
      <c r="B2281" s="144"/>
      <c r="D2281" s="76"/>
      <c r="E2281" s="89"/>
      <c r="F2281" s="89"/>
      <c r="G2281" s="89"/>
      <c r="H2281" s="89"/>
      <c r="I2281" s="89"/>
    </row>
    <row r="2282" spans="1:9" s="145" customFormat="1">
      <c r="A2282" s="89"/>
      <c r="B2282" s="144"/>
      <c r="D2282" s="76"/>
      <c r="E2282" s="89"/>
      <c r="F2282" s="89"/>
      <c r="G2282" s="89"/>
      <c r="H2282" s="89"/>
      <c r="I2282" s="89"/>
    </row>
    <row r="2283" spans="1:9" s="145" customFormat="1">
      <c r="A2283" s="89"/>
      <c r="B2283" s="144"/>
      <c r="D2283" s="76"/>
      <c r="E2283" s="89"/>
      <c r="F2283" s="89"/>
      <c r="G2283" s="89"/>
      <c r="H2283" s="89"/>
      <c r="I2283" s="89"/>
    </row>
    <row r="2284" spans="1:9" s="145" customFormat="1">
      <c r="A2284" s="89"/>
      <c r="B2284" s="144"/>
      <c r="D2284" s="76"/>
      <c r="E2284" s="89"/>
      <c r="F2284" s="89"/>
      <c r="G2284" s="89"/>
      <c r="H2284" s="89"/>
      <c r="I2284" s="89"/>
    </row>
    <row r="2285" spans="1:9" s="145" customFormat="1">
      <c r="A2285" s="89"/>
      <c r="B2285" s="144"/>
      <c r="D2285" s="76"/>
      <c r="E2285" s="89"/>
      <c r="F2285" s="89"/>
      <c r="G2285" s="89"/>
      <c r="H2285" s="89"/>
      <c r="I2285" s="89"/>
    </row>
    <row r="2286" spans="1:9" s="145" customFormat="1">
      <c r="A2286" s="89"/>
      <c r="B2286" s="144"/>
      <c r="D2286" s="76"/>
      <c r="E2286" s="89"/>
      <c r="F2286" s="89"/>
      <c r="G2286" s="89"/>
      <c r="H2286" s="89"/>
      <c r="I2286" s="89"/>
    </row>
    <row r="2287" spans="1:9" s="145" customFormat="1">
      <c r="A2287" s="89"/>
      <c r="B2287" s="144"/>
      <c r="D2287" s="76"/>
      <c r="E2287" s="89"/>
      <c r="F2287" s="89"/>
      <c r="G2287" s="89"/>
      <c r="H2287" s="89"/>
      <c r="I2287" s="89"/>
    </row>
    <row r="2288" spans="1:9" s="145" customFormat="1">
      <c r="A2288" s="89"/>
      <c r="B2288" s="144"/>
      <c r="D2288" s="76"/>
      <c r="E2288" s="89"/>
      <c r="F2288" s="89"/>
      <c r="G2288" s="89"/>
      <c r="H2288" s="89"/>
      <c r="I2288" s="89"/>
    </row>
    <row r="2289" spans="1:9" s="145" customFormat="1">
      <c r="A2289" s="89"/>
      <c r="B2289" s="144"/>
      <c r="D2289" s="76"/>
      <c r="E2289" s="89"/>
      <c r="F2289" s="89"/>
      <c r="G2289" s="89"/>
      <c r="H2289" s="89"/>
      <c r="I2289" s="89"/>
    </row>
    <row r="2290" spans="1:9" s="145" customFormat="1">
      <c r="A2290" s="89"/>
      <c r="B2290" s="144"/>
      <c r="D2290" s="76"/>
      <c r="E2290" s="89"/>
      <c r="F2290" s="89"/>
      <c r="G2290" s="89"/>
      <c r="H2290" s="89"/>
      <c r="I2290" s="89"/>
    </row>
    <row r="2291" spans="1:9" s="145" customFormat="1">
      <c r="A2291" s="89"/>
      <c r="B2291" s="144"/>
      <c r="D2291" s="76"/>
      <c r="E2291" s="89"/>
      <c r="F2291" s="89"/>
      <c r="G2291" s="89"/>
      <c r="H2291" s="89"/>
      <c r="I2291" s="89"/>
    </row>
    <row r="2292" spans="1:9" s="145" customFormat="1">
      <c r="A2292" s="89"/>
      <c r="B2292" s="144"/>
      <c r="D2292" s="76"/>
      <c r="E2292" s="89"/>
      <c r="F2292" s="89"/>
      <c r="G2292" s="89"/>
      <c r="H2292" s="89"/>
      <c r="I2292" s="89"/>
    </row>
    <row r="2293" spans="1:9" s="145" customFormat="1">
      <c r="A2293" s="89"/>
      <c r="B2293" s="144"/>
      <c r="D2293" s="76"/>
      <c r="E2293" s="89"/>
      <c r="F2293" s="89"/>
      <c r="G2293" s="89"/>
      <c r="H2293" s="89"/>
      <c r="I2293" s="89"/>
    </row>
    <row r="2294" spans="1:9" s="145" customFormat="1">
      <c r="A2294" s="89"/>
      <c r="B2294" s="144"/>
      <c r="D2294" s="76"/>
      <c r="E2294" s="89"/>
      <c r="F2294" s="89"/>
      <c r="G2294" s="89"/>
      <c r="H2294" s="89"/>
      <c r="I2294" s="89"/>
    </row>
    <row r="2295" spans="1:9" s="145" customFormat="1">
      <c r="A2295" s="89"/>
      <c r="B2295" s="144"/>
      <c r="D2295" s="76"/>
      <c r="E2295" s="89"/>
      <c r="F2295" s="89"/>
      <c r="G2295" s="89"/>
      <c r="H2295" s="89"/>
      <c r="I2295" s="89"/>
    </row>
    <row r="2296" spans="1:9" s="145" customFormat="1">
      <c r="A2296" s="89"/>
      <c r="B2296" s="144"/>
      <c r="D2296" s="76"/>
      <c r="E2296" s="89"/>
      <c r="F2296" s="89"/>
      <c r="G2296" s="89"/>
      <c r="H2296" s="89"/>
      <c r="I2296" s="89"/>
    </row>
    <row r="2297" spans="1:9" s="145" customFormat="1">
      <c r="A2297" s="89"/>
      <c r="B2297" s="144"/>
      <c r="D2297" s="76"/>
      <c r="E2297" s="89"/>
      <c r="F2297" s="89"/>
      <c r="G2297" s="89"/>
      <c r="H2297" s="89"/>
      <c r="I2297" s="89"/>
    </row>
    <row r="2298" spans="1:9" s="145" customFormat="1">
      <c r="A2298" s="89"/>
      <c r="B2298" s="144"/>
      <c r="D2298" s="76"/>
      <c r="E2298" s="89"/>
      <c r="F2298" s="89"/>
      <c r="G2298" s="89"/>
      <c r="H2298" s="89"/>
      <c r="I2298" s="89"/>
    </row>
    <row r="2299" spans="1:9" s="145" customFormat="1">
      <c r="A2299" s="89"/>
      <c r="B2299" s="144"/>
      <c r="D2299" s="76"/>
      <c r="E2299" s="89"/>
      <c r="F2299" s="89"/>
      <c r="G2299" s="89"/>
      <c r="H2299" s="89"/>
      <c r="I2299" s="89"/>
    </row>
    <row r="2300" spans="1:9" s="145" customFormat="1">
      <c r="A2300" s="89"/>
      <c r="B2300" s="144"/>
      <c r="D2300" s="76"/>
      <c r="E2300" s="89"/>
      <c r="F2300" s="89"/>
      <c r="G2300" s="89"/>
      <c r="H2300" s="89"/>
      <c r="I2300" s="89"/>
    </row>
    <row r="2301" spans="1:9" s="145" customFormat="1">
      <c r="A2301" s="89"/>
      <c r="B2301" s="144"/>
      <c r="D2301" s="76"/>
      <c r="E2301" s="89"/>
      <c r="F2301" s="89"/>
      <c r="G2301" s="89"/>
      <c r="H2301" s="89"/>
      <c r="I2301" s="89"/>
    </row>
    <row r="2302" spans="1:9" s="145" customFormat="1">
      <c r="A2302" s="89"/>
      <c r="B2302" s="144"/>
      <c r="D2302" s="76"/>
      <c r="E2302" s="89"/>
      <c r="F2302" s="89"/>
      <c r="G2302" s="89"/>
      <c r="H2302" s="89"/>
      <c r="I2302" s="89"/>
    </row>
    <row r="2303" spans="1:9" s="145" customFormat="1">
      <c r="A2303" s="89"/>
      <c r="B2303" s="144"/>
      <c r="D2303" s="76"/>
      <c r="E2303" s="89"/>
      <c r="F2303" s="89"/>
      <c r="G2303" s="89"/>
      <c r="H2303" s="89"/>
      <c r="I2303" s="89"/>
    </row>
    <row r="2304" spans="1:9" s="145" customFormat="1">
      <c r="A2304" s="89"/>
      <c r="B2304" s="144"/>
      <c r="D2304" s="76"/>
      <c r="E2304" s="89"/>
      <c r="F2304" s="89"/>
      <c r="G2304" s="89"/>
      <c r="H2304" s="89"/>
      <c r="I2304" s="89"/>
    </row>
    <row r="2305" spans="1:9" s="145" customFormat="1">
      <c r="A2305" s="89"/>
      <c r="B2305" s="144"/>
      <c r="D2305" s="76"/>
      <c r="E2305" s="89"/>
      <c r="F2305" s="89"/>
      <c r="G2305" s="89"/>
      <c r="H2305" s="89"/>
      <c r="I2305" s="89"/>
    </row>
    <row r="2306" spans="1:9" s="145" customFormat="1">
      <c r="A2306" s="89"/>
      <c r="B2306" s="144"/>
      <c r="D2306" s="76"/>
      <c r="E2306" s="89"/>
      <c r="F2306" s="89"/>
      <c r="G2306" s="89"/>
      <c r="H2306" s="89"/>
      <c r="I2306" s="89"/>
    </row>
    <row r="2307" spans="1:9" s="145" customFormat="1">
      <c r="A2307" s="89"/>
      <c r="B2307" s="144"/>
      <c r="D2307" s="76"/>
      <c r="E2307" s="89"/>
      <c r="F2307" s="89"/>
      <c r="G2307" s="89"/>
      <c r="H2307" s="89"/>
      <c r="I2307" s="89"/>
    </row>
    <row r="2308" spans="1:9" s="145" customFormat="1">
      <c r="A2308" s="89"/>
      <c r="B2308" s="144"/>
      <c r="D2308" s="76"/>
      <c r="E2308" s="89"/>
      <c r="F2308" s="89"/>
      <c r="G2308" s="89"/>
      <c r="H2308" s="89"/>
      <c r="I2308" s="89"/>
    </row>
    <row r="2309" spans="1:9" s="145" customFormat="1">
      <c r="A2309" s="89"/>
      <c r="B2309" s="144"/>
      <c r="D2309" s="76"/>
      <c r="E2309" s="89"/>
      <c r="F2309" s="89"/>
      <c r="G2309" s="89"/>
      <c r="H2309" s="89"/>
      <c r="I2309" s="89"/>
    </row>
    <row r="2310" spans="1:9" s="145" customFormat="1">
      <c r="A2310" s="89"/>
      <c r="B2310" s="144"/>
      <c r="D2310" s="76"/>
      <c r="E2310" s="89"/>
      <c r="F2310" s="89"/>
      <c r="G2310" s="89"/>
      <c r="H2310" s="89"/>
      <c r="I2310" s="89"/>
    </row>
    <row r="2311" spans="1:9" s="145" customFormat="1">
      <c r="A2311" s="89"/>
      <c r="B2311" s="144"/>
      <c r="D2311" s="76"/>
      <c r="E2311" s="89"/>
      <c r="F2311" s="89"/>
      <c r="G2311" s="89"/>
      <c r="H2311" s="89"/>
      <c r="I2311" s="89"/>
    </row>
    <row r="2312" spans="1:9" s="145" customFormat="1">
      <c r="A2312" s="89"/>
      <c r="B2312" s="144"/>
      <c r="D2312" s="76"/>
      <c r="E2312" s="89"/>
      <c r="F2312" s="89"/>
      <c r="G2312" s="89"/>
      <c r="H2312" s="89"/>
      <c r="I2312" s="89"/>
    </row>
    <row r="2313" spans="1:9" s="145" customFormat="1">
      <c r="A2313" s="89"/>
      <c r="B2313" s="144"/>
      <c r="D2313" s="76"/>
      <c r="E2313" s="89"/>
      <c r="F2313" s="89"/>
      <c r="G2313" s="89"/>
      <c r="H2313" s="89"/>
      <c r="I2313" s="89"/>
    </row>
    <row r="2314" spans="1:9" s="145" customFormat="1">
      <c r="A2314" s="89"/>
      <c r="B2314" s="144"/>
      <c r="D2314" s="76"/>
      <c r="E2314" s="89"/>
      <c r="F2314" s="89"/>
      <c r="G2314" s="89"/>
      <c r="H2314" s="89"/>
      <c r="I2314" s="89"/>
    </row>
    <row r="2315" spans="1:9" s="145" customFormat="1">
      <c r="A2315" s="89"/>
      <c r="B2315" s="144"/>
      <c r="D2315" s="76"/>
      <c r="E2315" s="89"/>
      <c r="F2315" s="89"/>
      <c r="G2315" s="89"/>
      <c r="H2315" s="89"/>
      <c r="I2315" s="89"/>
    </row>
    <row r="2316" spans="1:9" s="145" customFormat="1">
      <c r="A2316" s="89"/>
      <c r="B2316" s="144"/>
      <c r="D2316" s="76"/>
      <c r="E2316" s="89"/>
      <c r="F2316" s="89"/>
      <c r="G2316" s="89"/>
      <c r="H2316" s="89"/>
      <c r="I2316" s="89"/>
    </row>
    <row r="2317" spans="1:9" s="145" customFormat="1">
      <c r="A2317" s="89"/>
      <c r="B2317" s="144"/>
      <c r="D2317" s="76"/>
      <c r="E2317" s="89"/>
      <c r="F2317" s="89"/>
      <c r="G2317" s="89"/>
      <c r="H2317" s="89"/>
      <c r="I2317" s="89"/>
    </row>
    <row r="2318" spans="1:9" s="145" customFormat="1">
      <c r="A2318" s="89"/>
      <c r="B2318" s="144"/>
      <c r="D2318" s="76"/>
      <c r="E2318" s="89"/>
      <c r="F2318" s="89"/>
      <c r="G2318" s="89"/>
      <c r="H2318" s="89"/>
      <c r="I2318" s="89"/>
    </row>
    <row r="2319" spans="1:9" s="145" customFormat="1">
      <c r="A2319" s="89"/>
      <c r="B2319" s="144"/>
      <c r="D2319" s="76"/>
      <c r="E2319" s="89"/>
      <c r="F2319" s="89"/>
      <c r="G2319" s="89"/>
      <c r="H2319" s="89"/>
      <c r="I2319" s="89"/>
    </row>
    <row r="2320" spans="1:9" s="145" customFormat="1">
      <c r="A2320" s="89"/>
      <c r="B2320" s="144"/>
      <c r="D2320" s="76"/>
      <c r="E2320" s="89"/>
      <c r="F2320" s="89"/>
      <c r="G2320" s="89"/>
      <c r="H2320" s="89"/>
      <c r="I2320" s="89"/>
    </row>
    <row r="2321" spans="1:9" s="145" customFormat="1">
      <c r="A2321" s="89"/>
      <c r="B2321" s="144"/>
      <c r="D2321" s="76"/>
      <c r="E2321" s="89"/>
      <c r="F2321" s="89"/>
      <c r="G2321" s="89"/>
      <c r="H2321" s="89"/>
      <c r="I2321" s="89"/>
    </row>
    <row r="2322" spans="1:9" s="145" customFormat="1">
      <c r="A2322" s="89"/>
      <c r="B2322" s="144"/>
      <c r="D2322" s="76"/>
      <c r="E2322" s="89"/>
      <c r="F2322" s="89"/>
      <c r="G2322" s="89"/>
      <c r="H2322" s="89"/>
      <c r="I2322" s="89"/>
    </row>
    <row r="2323" spans="1:9" s="145" customFormat="1">
      <c r="A2323" s="89"/>
      <c r="B2323" s="144"/>
      <c r="D2323" s="76"/>
      <c r="E2323" s="89"/>
      <c r="F2323" s="89"/>
      <c r="G2323" s="89"/>
      <c r="H2323" s="89"/>
      <c r="I2323" s="89"/>
    </row>
    <row r="2324" spans="1:9" s="145" customFormat="1">
      <c r="A2324" s="89"/>
      <c r="B2324" s="144"/>
      <c r="D2324" s="76"/>
      <c r="E2324" s="89"/>
      <c r="F2324" s="89"/>
      <c r="G2324" s="89"/>
      <c r="H2324" s="89"/>
      <c r="I2324" s="89"/>
    </row>
    <row r="2325" spans="1:9" s="145" customFormat="1">
      <c r="A2325" s="89"/>
      <c r="B2325" s="144"/>
      <c r="D2325" s="76"/>
      <c r="E2325" s="89"/>
      <c r="F2325" s="89"/>
      <c r="G2325" s="89"/>
      <c r="H2325" s="89"/>
      <c r="I2325" s="89"/>
    </row>
    <row r="2326" spans="1:9" s="145" customFormat="1">
      <c r="A2326" s="89"/>
      <c r="B2326" s="144"/>
      <c r="D2326" s="76"/>
      <c r="E2326" s="89"/>
      <c r="F2326" s="89"/>
      <c r="G2326" s="89"/>
      <c r="H2326" s="89"/>
      <c r="I2326" s="89"/>
    </row>
    <row r="2327" spans="1:9" s="145" customFormat="1">
      <c r="A2327" s="89"/>
      <c r="B2327" s="144"/>
      <c r="D2327" s="76"/>
      <c r="E2327" s="89"/>
      <c r="F2327" s="89"/>
      <c r="G2327" s="89"/>
      <c r="H2327" s="89"/>
      <c r="I2327" s="89"/>
    </row>
    <row r="2328" spans="1:9" s="145" customFormat="1">
      <c r="A2328" s="89"/>
      <c r="B2328" s="144"/>
      <c r="D2328" s="76"/>
      <c r="E2328" s="89"/>
      <c r="F2328" s="89"/>
      <c r="G2328" s="89"/>
      <c r="H2328" s="89"/>
      <c r="I2328" s="89"/>
    </row>
    <row r="2329" spans="1:9" s="145" customFormat="1">
      <c r="A2329" s="89"/>
      <c r="B2329" s="144"/>
      <c r="D2329" s="76"/>
      <c r="E2329" s="89"/>
      <c r="F2329" s="89"/>
      <c r="G2329" s="89"/>
      <c r="H2329" s="89"/>
      <c r="I2329" s="89"/>
    </row>
    <row r="2330" spans="1:9" s="145" customFormat="1">
      <c r="A2330" s="89"/>
      <c r="B2330" s="144"/>
      <c r="D2330" s="76"/>
      <c r="E2330" s="89"/>
      <c r="F2330" s="89"/>
      <c r="G2330" s="89"/>
      <c r="H2330" s="89"/>
      <c r="I2330" s="89"/>
    </row>
    <row r="2331" spans="1:9" s="145" customFormat="1">
      <c r="A2331" s="89"/>
      <c r="B2331" s="144"/>
      <c r="D2331" s="76"/>
      <c r="E2331" s="89"/>
      <c r="F2331" s="89"/>
      <c r="G2331" s="89"/>
      <c r="H2331" s="89"/>
      <c r="I2331" s="89"/>
    </row>
    <row r="2332" spans="1:9" s="145" customFormat="1">
      <c r="A2332" s="89"/>
      <c r="B2332" s="144"/>
      <c r="D2332" s="76"/>
      <c r="E2332" s="89"/>
      <c r="F2332" s="89"/>
      <c r="G2332" s="89"/>
      <c r="H2332" s="89"/>
      <c r="I2332" s="89"/>
    </row>
    <row r="2333" spans="1:9" s="145" customFormat="1">
      <c r="A2333" s="89"/>
      <c r="B2333" s="144"/>
      <c r="D2333" s="76"/>
      <c r="E2333" s="89"/>
      <c r="F2333" s="89"/>
      <c r="G2333" s="89"/>
      <c r="H2333" s="89"/>
      <c r="I2333" s="89"/>
    </row>
    <row r="2334" spans="1:9" s="145" customFormat="1">
      <c r="A2334" s="89"/>
      <c r="B2334" s="144"/>
      <c r="D2334" s="76"/>
      <c r="E2334" s="89"/>
      <c r="F2334" s="89"/>
      <c r="G2334" s="89"/>
      <c r="H2334" s="89"/>
      <c r="I2334" s="89"/>
    </row>
    <row r="2335" spans="1:9" s="145" customFormat="1">
      <c r="A2335" s="89"/>
      <c r="B2335" s="144"/>
      <c r="D2335" s="76"/>
      <c r="E2335" s="89"/>
      <c r="F2335" s="89"/>
      <c r="G2335" s="89"/>
      <c r="H2335" s="89"/>
      <c r="I2335" s="89"/>
    </row>
    <row r="2336" spans="1:9" s="145" customFormat="1">
      <c r="A2336" s="89"/>
      <c r="B2336" s="144"/>
      <c r="D2336" s="76"/>
      <c r="E2336" s="89"/>
      <c r="F2336" s="89"/>
      <c r="G2336" s="89"/>
      <c r="H2336" s="89"/>
      <c r="I2336" s="89"/>
    </row>
    <row r="2337" spans="1:9" s="145" customFormat="1">
      <c r="A2337" s="89"/>
      <c r="B2337" s="144"/>
      <c r="D2337" s="76"/>
      <c r="E2337" s="89"/>
      <c r="F2337" s="89"/>
      <c r="G2337" s="89"/>
      <c r="H2337" s="89"/>
      <c r="I2337" s="89"/>
    </row>
    <row r="2338" spans="1:9" s="145" customFormat="1">
      <c r="A2338" s="89"/>
      <c r="B2338" s="144"/>
      <c r="D2338" s="76"/>
      <c r="E2338" s="89"/>
      <c r="F2338" s="89"/>
      <c r="G2338" s="89"/>
      <c r="H2338" s="89"/>
      <c r="I2338" s="89"/>
    </row>
    <row r="2339" spans="1:9" s="145" customFormat="1">
      <c r="A2339" s="89"/>
      <c r="B2339" s="144"/>
      <c r="D2339" s="76"/>
      <c r="E2339" s="89"/>
      <c r="F2339" s="89"/>
      <c r="G2339" s="89"/>
      <c r="H2339" s="89"/>
      <c r="I2339" s="89"/>
    </row>
    <row r="2340" spans="1:9" s="145" customFormat="1">
      <c r="A2340" s="89"/>
      <c r="B2340" s="144"/>
      <c r="D2340" s="76"/>
      <c r="E2340" s="89"/>
      <c r="F2340" s="89"/>
      <c r="G2340" s="89"/>
      <c r="H2340" s="89"/>
      <c r="I2340" s="89"/>
    </row>
    <row r="2341" spans="1:9" s="145" customFormat="1">
      <c r="A2341" s="89"/>
      <c r="B2341" s="144"/>
      <c r="D2341" s="76"/>
      <c r="E2341" s="89"/>
      <c r="F2341" s="89"/>
      <c r="G2341" s="89"/>
      <c r="H2341" s="89"/>
      <c r="I2341" s="89"/>
    </row>
    <row r="2342" spans="1:9" s="145" customFormat="1">
      <c r="A2342" s="89"/>
      <c r="B2342" s="144"/>
      <c r="D2342" s="76"/>
      <c r="E2342" s="89"/>
      <c r="F2342" s="89"/>
      <c r="G2342" s="89"/>
      <c r="H2342" s="89"/>
      <c r="I2342" s="89"/>
    </row>
    <row r="2343" spans="1:9" s="145" customFormat="1">
      <c r="A2343" s="89"/>
      <c r="B2343" s="144"/>
      <c r="D2343" s="76"/>
      <c r="E2343" s="89"/>
      <c r="F2343" s="89"/>
      <c r="G2343" s="89"/>
      <c r="H2343" s="89"/>
      <c r="I2343" s="89"/>
    </row>
    <row r="2344" spans="1:9" s="145" customFormat="1">
      <c r="A2344" s="89"/>
      <c r="B2344" s="144"/>
      <c r="D2344" s="76"/>
      <c r="E2344" s="89"/>
      <c r="F2344" s="89"/>
      <c r="G2344" s="89"/>
      <c r="H2344" s="89"/>
      <c r="I2344" s="89"/>
    </row>
    <row r="2345" spans="1:9" s="145" customFormat="1">
      <c r="A2345" s="89"/>
      <c r="B2345" s="144"/>
      <c r="D2345" s="76"/>
      <c r="E2345" s="89"/>
      <c r="F2345" s="89"/>
      <c r="G2345" s="89"/>
      <c r="H2345" s="89"/>
      <c r="I2345" s="89"/>
    </row>
    <row r="2346" spans="1:9" s="145" customFormat="1">
      <c r="A2346" s="89"/>
      <c r="B2346" s="144"/>
      <c r="D2346" s="76"/>
      <c r="E2346" s="89"/>
      <c r="F2346" s="89"/>
      <c r="G2346" s="89"/>
      <c r="H2346" s="89"/>
      <c r="I2346" s="89"/>
    </row>
    <row r="2347" spans="1:9" s="145" customFormat="1">
      <c r="A2347" s="89"/>
      <c r="B2347" s="144"/>
      <c r="D2347" s="76"/>
      <c r="E2347" s="89"/>
      <c r="F2347" s="89"/>
      <c r="G2347" s="89"/>
      <c r="H2347" s="89"/>
      <c r="I2347" s="89"/>
    </row>
    <row r="2348" spans="1:9" s="145" customFormat="1">
      <c r="A2348" s="89"/>
      <c r="B2348" s="144"/>
      <c r="D2348" s="76"/>
      <c r="E2348" s="89"/>
      <c r="F2348" s="89"/>
      <c r="G2348" s="89"/>
      <c r="H2348" s="89"/>
      <c r="I2348" s="89"/>
    </row>
    <row r="2349" spans="1:9" s="145" customFormat="1">
      <c r="A2349" s="89"/>
      <c r="B2349" s="144"/>
      <c r="D2349" s="76"/>
      <c r="E2349" s="89"/>
      <c r="F2349" s="89"/>
      <c r="G2349" s="89"/>
      <c r="H2349" s="89"/>
      <c r="I2349" s="89"/>
    </row>
    <row r="2350" spans="1:9" s="145" customFormat="1">
      <c r="A2350" s="89"/>
      <c r="B2350" s="144"/>
      <c r="D2350" s="76"/>
      <c r="E2350" s="89"/>
      <c r="F2350" s="89"/>
      <c r="G2350" s="89"/>
      <c r="H2350" s="89"/>
      <c r="I2350" s="89"/>
    </row>
    <row r="2351" spans="1:9" s="145" customFormat="1">
      <c r="A2351" s="89"/>
      <c r="B2351" s="144"/>
      <c r="D2351" s="76"/>
      <c r="E2351" s="89"/>
      <c r="F2351" s="89"/>
      <c r="G2351" s="89"/>
      <c r="H2351" s="89"/>
      <c r="I2351" s="89"/>
    </row>
    <row r="2352" spans="1:9" s="145" customFormat="1">
      <c r="A2352" s="89"/>
      <c r="B2352" s="144"/>
      <c r="D2352" s="76"/>
      <c r="E2352" s="89"/>
      <c r="F2352" s="89"/>
      <c r="G2352" s="89"/>
      <c r="H2352" s="89"/>
      <c r="I2352" s="89"/>
    </row>
    <row r="2353" spans="1:9" s="145" customFormat="1">
      <c r="A2353" s="89"/>
      <c r="B2353" s="144"/>
      <c r="D2353" s="76"/>
      <c r="E2353" s="89"/>
      <c r="F2353" s="89"/>
      <c r="G2353" s="89"/>
      <c r="H2353" s="89"/>
      <c r="I2353" s="89"/>
    </row>
    <row r="2354" spans="1:9" s="145" customFormat="1">
      <c r="A2354" s="89"/>
      <c r="B2354" s="144"/>
      <c r="D2354" s="76"/>
      <c r="E2354" s="89"/>
      <c r="F2354" s="89"/>
      <c r="G2354" s="89"/>
      <c r="H2354" s="89"/>
      <c r="I2354" s="89"/>
    </row>
    <row r="2355" spans="1:9" s="145" customFormat="1">
      <c r="A2355" s="89"/>
      <c r="B2355" s="144"/>
      <c r="D2355" s="76"/>
      <c r="E2355" s="89"/>
      <c r="F2355" s="89"/>
      <c r="G2355" s="89"/>
      <c r="H2355" s="89"/>
      <c r="I2355" s="89"/>
    </row>
    <row r="2356" spans="1:9" s="145" customFormat="1">
      <c r="A2356" s="89"/>
      <c r="B2356" s="144"/>
      <c r="D2356" s="76"/>
      <c r="E2356" s="89"/>
      <c r="F2356" s="89"/>
      <c r="G2356" s="89"/>
      <c r="H2356" s="89"/>
      <c r="I2356" s="89"/>
    </row>
    <row r="2357" spans="1:9" s="145" customFormat="1">
      <c r="A2357" s="89"/>
      <c r="B2357" s="144"/>
      <c r="D2357" s="76"/>
      <c r="E2357" s="89"/>
      <c r="F2357" s="89"/>
      <c r="G2357" s="89"/>
      <c r="H2357" s="89"/>
      <c r="I2357" s="89"/>
    </row>
    <row r="2358" spans="1:9" s="145" customFormat="1">
      <c r="A2358" s="89"/>
      <c r="B2358" s="144"/>
      <c r="D2358" s="76"/>
      <c r="E2358" s="89"/>
      <c r="F2358" s="89"/>
      <c r="G2358" s="89"/>
      <c r="H2358" s="89"/>
      <c r="I2358" s="89"/>
    </row>
    <row r="2359" spans="1:9" s="145" customFormat="1">
      <c r="A2359" s="89"/>
      <c r="B2359" s="144"/>
      <c r="D2359" s="76"/>
      <c r="E2359" s="89"/>
      <c r="F2359" s="89"/>
      <c r="G2359" s="89"/>
      <c r="H2359" s="89"/>
      <c r="I2359" s="89"/>
    </row>
    <row r="2360" spans="1:9" s="145" customFormat="1">
      <c r="A2360" s="89"/>
      <c r="B2360" s="144"/>
      <c r="D2360" s="76"/>
      <c r="E2360" s="89"/>
      <c r="F2360" s="89"/>
      <c r="G2360" s="89"/>
      <c r="H2360" s="89"/>
      <c r="I2360" s="89"/>
    </row>
    <row r="2361" spans="1:9" s="145" customFormat="1">
      <c r="A2361" s="89"/>
      <c r="B2361" s="144"/>
      <c r="D2361" s="76"/>
      <c r="E2361" s="89"/>
      <c r="F2361" s="89"/>
      <c r="G2361" s="89"/>
      <c r="H2361" s="89"/>
      <c r="I2361" s="89"/>
    </row>
    <row r="2362" spans="1:9" s="145" customFormat="1">
      <c r="A2362" s="89"/>
      <c r="B2362" s="144"/>
      <c r="D2362" s="76"/>
      <c r="E2362" s="89"/>
      <c r="F2362" s="89"/>
      <c r="G2362" s="89"/>
      <c r="H2362" s="89"/>
      <c r="I2362" s="89"/>
    </row>
    <row r="2363" spans="1:9" s="145" customFormat="1">
      <c r="A2363" s="89"/>
      <c r="B2363" s="144"/>
      <c r="D2363" s="76"/>
      <c r="E2363" s="89"/>
      <c r="F2363" s="89"/>
      <c r="G2363" s="89"/>
      <c r="H2363" s="89"/>
      <c r="I2363" s="89"/>
    </row>
    <row r="2364" spans="1:9" s="145" customFormat="1">
      <c r="A2364" s="89"/>
      <c r="B2364" s="144"/>
      <c r="D2364" s="76"/>
      <c r="E2364" s="89"/>
      <c r="F2364" s="89"/>
      <c r="G2364" s="89"/>
      <c r="H2364" s="89"/>
      <c r="I2364" s="89"/>
    </row>
    <row r="2365" spans="1:9" s="145" customFormat="1">
      <c r="A2365" s="89"/>
      <c r="B2365" s="144"/>
      <c r="D2365" s="76"/>
      <c r="E2365" s="89"/>
      <c r="F2365" s="89"/>
      <c r="G2365" s="89"/>
      <c r="H2365" s="89"/>
      <c r="I2365" s="89"/>
    </row>
    <row r="2366" spans="1:9" s="145" customFormat="1">
      <c r="A2366" s="89"/>
      <c r="B2366" s="144"/>
      <c r="D2366" s="76"/>
      <c r="E2366" s="89"/>
      <c r="F2366" s="89"/>
      <c r="G2366" s="89"/>
      <c r="H2366" s="89"/>
      <c r="I2366" s="89"/>
    </row>
    <row r="2367" spans="1:9" s="145" customFormat="1">
      <c r="A2367" s="89"/>
      <c r="B2367" s="144"/>
      <c r="D2367" s="76"/>
      <c r="E2367" s="89"/>
      <c r="F2367" s="89"/>
      <c r="G2367" s="89"/>
      <c r="H2367" s="89"/>
      <c r="I2367" s="89"/>
    </row>
    <row r="2368" spans="1:9" s="145" customFormat="1">
      <c r="A2368" s="89"/>
      <c r="B2368" s="144"/>
      <c r="D2368" s="76"/>
      <c r="E2368" s="89"/>
      <c r="F2368" s="89"/>
      <c r="G2368" s="89"/>
      <c r="H2368" s="89"/>
      <c r="I2368" s="89"/>
    </row>
    <row r="2369" spans="1:9" s="145" customFormat="1">
      <c r="A2369" s="89"/>
      <c r="B2369" s="144"/>
      <c r="D2369" s="76"/>
      <c r="E2369" s="89"/>
      <c r="F2369" s="89"/>
      <c r="G2369" s="89"/>
      <c r="H2369" s="89"/>
      <c r="I2369" s="89"/>
    </row>
    <row r="2370" spans="1:9" s="145" customFormat="1">
      <c r="A2370" s="89"/>
      <c r="B2370" s="144"/>
      <c r="D2370" s="76"/>
      <c r="E2370" s="89"/>
      <c r="F2370" s="89"/>
      <c r="G2370" s="89"/>
      <c r="H2370" s="89"/>
      <c r="I2370" s="89"/>
    </row>
    <row r="2371" spans="1:9" s="145" customFormat="1">
      <c r="A2371" s="89"/>
      <c r="B2371" s="144"/>
      <c r="D2371" s="76"/>
      <c r="E2371" s="89"/>
      <c r="F2371" s="89"/>
      <c r="G2371" s="89"/>
      <c r="H2371" s="89"/>
      <c r="I2371" s="89"/>
    </row>
    <row r="2372" spans="1:9" s="145" customFormat="1">
      <c r="A2372" s="89"/>
      <c r="B2372" s="144"/>
      <c r="D2372" s="76"/>
      <c r="E2372" s="89"/>
      <c r="F2372" s="89"/>
      <c r="G2372" s="89"/>
      <c r="H2372" s="89"/>
      <c r="I2372" s="89"/>
    </row>
    <row r="2373" spans="1:9" s="145" customFormat="1">
      <c r="A2373" s="89"/>
      <c r="B2373" s="144"/>
      <c r="D2373" s="76"/>
      <c r="E2373" s="89"/>
      <c r="F2373" s="89"/>
      <c r="G2373" s="89"/>
      <c r="H2373" s="89"/>
      <c r="I2373" s="89"/>
    </row>
    <row r="2374" spans="1:9" s="145" customFormat="1">
      <c r="A2374" s="89"/>
      <c r="B2374" s="144"/>
      <c r="D2374" s="76"/>
      <c r="E2374" s="89"/>
      <c r="F2374" s="89"/>
      <c r="G2374" s="89"/>
      <c r="H2374" s="89"/>
      <c r="I2374" s="89"/>
    </row>
    <row r="2375" spans="1:9" s="145" customFormat="1">
      <c r="A2375" s="89"/>
      <c r="B2375" s="144"/>
      <c r="D2375" s="76"/>
      <c r="E2375" s="89"/>
      <c r="F2375" s="89"/>
      <c r="G2375" s="89"/>
      <c r="H2375" s="89"/>
      <c r="I2375" s="89"/>
    </row>
    <row r="2376" spans="1:9" s="145" customFormat="1">
      <c r="A2376" s="89"/>
      <c r="B2376" s="144"/>
      <c r="D2376" s="76"/>
      <c r="E2376" s="89"/>
      <c r="F2376" s="89"/>
      <c r="G2376" s="89"/>
      <c r="H2376" s="89"/>
      <c r="I2376" s="89"/>
    </row>
    <row r="2377" spans="1:9" s="145" customFormat="1">
      <c r="A2377" s="89"/>
      <c r="B2377" s="144"/>
      <c r="D2377" s="76"/>
      <c r="E2377" s="89"/>
      <c r="F2377" s="89"/>
      <c r="G2377" s="89"/>
      <c r="H2377" s="89"/>
      <c r="I2377" s="89"/>
    </row>
    <row r="2378" spans="1:9" s="145" customFormat="1">
      <c r="A2378" s="89"/>
      <c r="B2378" s="144"/>
      <c r="D2378" s="76"/>
      <c r="E2378" s="89"/>
      <c r="F2378" s="89"/>
      <c r="G2378" s="89"/>
      <c r="H2378" s="89"/>
      <c r="I2378" s="89"/>
    </row>
    <row r="2379" spans="1:9" s="145" customFormat="1">
      <c r="A2379" s="89"/>
      <c r="B2379" s="144"/>
      <c r="D2379" s="76"/>
      <c r="E2379" s="89"/>
      <c r="F2379" s="89"/>
      <c r="G2379" s="89"/>
      <c r="H2379" s="89"/>
      <c r="I2379" s="89"/>
    </row>
    <row r="2380" spans="1:9" s="145" customFormat="1">
      <c r="A2380" s="89"/>
      <c r="B2380" s="144"/>
      <c r="D2380" s="76"/>
      <c r="E2380" s="89"/>
      <c r="F2380" s="89"/>
      <c r="G2380" s="89"/>
      <c r="H2380" s="89"/>
      <c r="I2380" s="89"/>
    </row>
    <row r="2381" spans="1:9" s="145" customFormat="1">
      <c r="A2381" s="89"/>
      <c r="B2381" s="144"/>
      <c r="D2381" s="76"/>
      <c r="E2381" s="89"/>
      <c r="F2381" s="89"/>
      <c r="G2381" s="89"/>
      <c r="H2381" s="89"/>
      <c r="I2381" s="89"/>
    </row>
    <row r="2382" spans="1:9" s="145" customFormat="1">
      <c r="A2382" s="89"/>
      <c r="B2382" s="144"/>
      <c r="D2382" s="76"/>
      <c r="E2382" s="89"/>
      <c r="F2382" s="89"/>
      <c r="G2382" s="89"/>
      <c r="H2382" s="89"/>
      <c r="I2382" s="89"/>
    </row>
    <row r="2383" spans="1:9" s="145" customFormat="1">
      <c r="A2383" s="89"/>
      <c r="B2383" s="144"/>
      <c r="D2383" s="76"/>
      <c r="E2383" s="89"/>
      <c r="F2383" s="89"/>
      <c r="G2383" s="89"/>
      <c r="H2383" s="89"/>
      <c r="I2383" s="89"/>
    </row>
    <row r="2384" spans="1:9" s="145" customFormat="1">
      <c r="A2384" s="89"/>
      <c r="B2384" s="144"/>
      <c r="D2384" s="76"/>
      <c r="E2384" s="89"/>
      <c r="F2384" s="89"/>
      <c r="G2384" s="89"/>
      <c r="H2384" s="89"/>
      <c r="I2384" s="89"/>
    </row>
    <row r="2385" spans="1:9" s="145" customFormat="1">
      <c r="A2385" s="89"/>
      <c r="B2385" s="144"/>
      <c r="D2385" s="76"/>
      <c r="E2385" s="89"/>
      <c r="F2385" s="89"/>
      <c r="G2385" s="89"/>
      <c r="H2385" s="89"/>
      <c r="I2385" s="89"/>
    </row>
    <row r="2386" spans="1:9" s="145" customFormat="1">
      <c r="A2386" s="89"/>
      <c r="B2386" s="144"/>
      <c r="D2386" s="76"/>
      <c r="E2386" s="89"/>
      <c r="F2386" s="89"/>
      <c r="G2386" s="89"/>
      <c r="H2386" s="89"/>
      <c r="I2386" s="89"/>
    </row>
    <row r="2387" spans="1:9" s="145" customFormat="1">
      <c r="A2387" s="89"/>
      <c r="B2387" s="144"/>
      <c r="D2387" s="76"/>
      <c r="E2387" s="89"/>
      <c r="F2387" s="89"/>
      <c r="G2387" s="89"/>
      <c r="H2387" s="89"/>
      <c r="I2387" s="89"/>
    </row>
    <row r="2388" spans="1:9" s="145" customFormat="1">
      <c r="A2388" s="89"/>
      <c r="B2388" s="144"/>
      <c r="D2388" s="76"/>
      <c r="E2388" s="89"/>
      <c r="F2388" s="89"/>
      <c r="G2388" s="89"/>
      <c r="H2388" s="89"/>
      <c r="I2388" s="89"/>
    </row>
    <row r="2389" spans="1:9" s="145" customFormat="1">
      <c r="A2389" s="89"/>
      <c r="B2389" s="144"/>
      <c r="D2389" s="76"/>
      <c r="E2389" s="89"/>
      <c r="F2389" s="89"/>
      <c r="G2389" s="89"/>
      <c r="H2389" s="89"/>
      <c r="I2389" s="89"/>
    </row>
    <row r="2390" spans="1:9" s="145" customFormat="1">
      <c r="A2390" s="89"/>
      <c r="B2390" s="144"/>
      <c r="D2390" s="76"/>
      <c r="E2390" s="89"/>
      <c r="F2390" s="89"/>
      <c r="G2390" s="89"/>
      <c r="H2390" s="89"/>
      <c r="I2390" s="89"/>
    </row>
    <row r="2391" spans="1:9" s="145" customFormat="1">
      <c r="A2391" s="89"/>
      <c r="B2391" s="144"/>
      <c r="D2391" s="76"/>
      <c r="E2391" s="89"/>
      <c r="F2391" s="89"/>
      <c r="G2391" s="89"/>
      <c r="H2391" s="89"/>
      <c r="I2391" s="89"/>
    </row>
    <row r="2392" spans="1:9" s="145" customFormat="1">
      <c r="A2392" s="89"/>
      <c r="B2392" s="144"/>
      <c r="D2392" s="76"/>
      <c r="E2392" s="89"/>
      <c r="F2392" s="89"/>
      <c r="G2392" s="89"/>
      <c r="H2392" s="89"/>
      <c r="I2392" s="89"/>
    </row>
    <row r="2393" spans="1:9" s="145" customFormat="1">
      <c r="A2393" s="89"/>
      <c r="B2393" s="144"/>
      <c r="D2393" s="76"/>
      <c r="E2393" s="89"/>
      <c r="F2393" s="89"/>
      <c r="G2393" s="89"/>
      <c r="H2393" s="89"/>
      <c r="I2393" s="89"/>
    </row>
    <row r="2394" spans="1:9" s="145" customFormat="1">
      <c r="A2394" s="89"/>
      <c r="B2394" s="144"/>
      <c r="D2394" s="76"/>
      <c r="E2394" s="89"/>
      <c r="F2394" s="89"/>
      <c r="G2394" s="89"/>
      <c r="H2394" s="89"/>
      <c r="I2394" s="89"/>
    </row>
    <row r="2395" spans="1:9" s="145" customFormat="1">
      <c r="A2395" s="89"/>
      <c r="B2395" s="144"/>
      <c r="D2395" s="76"/>
      <c r="E2395" s="89"/>
      <c r="F2395" s="89"/>
      <c r="G2395" s="89"/>
      <c r="H2395" s="89"/>
      <c r="I2395" s="89"/>
    </row>
    <row r="2396" spans="1:9" s="145" customFormat="1">
      <c r="A2396" s="89"/>
      <c r="B2396" s="144"/>
      <c r="D2396" s="76"/>
      <c r="E2396" s="89"/>
      <c r="F2396" s="89"/>
      <c r="G2396" s="89"/>
      <c r="H2396" s="89"/>
      <c r="I2396" s="89"/>
    </row>
    <row r="2397" spans="1:9" s="145" customFormat="1">
      <c r="A2397" s="89"/>
      <c r="B2397" s="144"/>
      <c r="D2397" s="76"/>
      <c r="E2397" s="89"/>
      <c r="F2397" s="89"/>
      <c r="G2397" s="89"/>
      <c r="H2397" s="89"/>
      <c r="I2397" s="89"/>
    </row>
    <row r="2398" spans="1:9" s="145" customFormat="1">
      <c r="A2398" s="89"/>
      <c r="B2398" s="144"/>
      <c r="D2398" s="76"/>
      <c r="E2398" s="89"/>
      <c r="F2398" s="89"/>
      <c r="G2398" s="89"/>
      <c r="H2398" s="89"/>
      <c r="I2398" s="89"/>
    </row>
    <row r="2399" spans="1:9" s="145" customFormat="1">
      <c r="A2399" s="89"/>
      <c r="B2399" s="144"/>
      <c r="D2399" s="76"/>
      <c r="E2399" s="89"/>
      <c r="F2399" s="89"/>
      <c r="G2399" s="89"/>
      <c r="H2399" s="89"/>
      <c r="I2399" s="89"/>
    </row>
    <row r="2400" spans="1:9" s="145" customFormat="1">
      <c r="A2400" s="89"/>
      <c r="B2400" s="144"/>
      <c r="D2400" s="76"/>
      <c r="E2400" s="89"/>
      <c r="F2400" s="89"/>
      <c r="G2400" s="89"/>
      <c r="H2400" s="89"/>
      <c r="I2400" s="89"/>
    </row>
    <row r="2401" spans="1:9" s="145" customFormat="1">
      <c r="A2401" s="89"/>
      <c r="B2401" s="144"/>
      <c r="D2401" s="76"/>
      <c r="E2401" s="89"/>
      <c r="F2401" s="89"/>
      <c r="G2401" s="89"/>
      <c r="H2401" s="89"/>
      <c r="I2401" s="89"/>
    </row>
    <row r="2402" spans="1:9" s="145" customFormat="1">
      <c r="A2402" s="89"/>
      <c r="B2402" s="144"/>
      <c r="D2402" s="76"/>
      <c r="E2402" s="89"/>
      <c r="F2402" s="89"/>
      <c r="G2402" s="89"/>
      <c r="H2402" s="89"/>
      <c r="I2402" s="89"/>
    </row>
    <row r="2403" spans="1:9" s="145" customFormat="1">
      <c r="A2403" s="89"/>
      <c r="B2403" s="144"/>
      <c r="D2403" s="76"/>
      <c r="E2403" s="89"/>
      <c r="F2403" s="89"/>
      <c r="G2403" s="89"/>
      <c r="H2403" s="89"/>
      <c r="I2403" s="89"/>
    </row>
    <row r="2404" spans="1:9" s="145" customFormat="1">
      <c r="A2404" s="89"/>
      <c r="B2404" s="144"/>
      <c r="D2404" s="76"/>
      <c r="E2404" s="89"/>
      <c r="F2404" s="89"/>
      <c r="G2404" s="89"/>
      <c r="H2404" s="89"/>
      <c r="I2404" s="89"/>
    </row>
    <row r="2405" spans="1:9" s="145" customFormat="1">
      <c r="A2405" s="89"/>
      <c r="B2405" s="144"/>
      <c r="D2405" s="76"/>
      <c r="E2405" s="89"/>
      <c r="F2405" s="89"/>
      <c r="G2405" s="89"/>
      <c r="H2405" s="89"/>
      <c r="I2405" s="89"/>
    </row>
    <row r="2406" spans="1:9" s="145" customFormat="1">
      <c r="A2406" s="89"/>
      <c r="B2406" s="144"/>
      <c r="D2406" s="76"/>
      <c r="E2406" s="89"/>
      <c r="F2406" s="89"/>
      <c r="G2406" s="89"/>
      <c r="H2406" s="89"/>
      <c r="I2406" s="89"/>
    </row>
    <row r="2407" spans="1:9" s="145" customFormat="1">
      <c r="A2407" s="89"/>
      <c r="B2407" s="144"/>
      <c r="D2407" s="76"/>
      <c r="E2407" s="89"/>
      <c r="F2407" s="89"/>
      <c r="G2407" s="89"/>
      <c r="H2407" s="89"/>
      <c r="I2407" s="89"/>
    </row>
    <row r="2408" spans="1:9" s="145" customFormat="1">
      <c r="A2408" s="89"/>
      <c r="B2408" s="144"/>
      <c r="D2408" s="76"/>
      <c r="E2408" s="89"/>
      <c r="F2408" s="89"/>
      <c r="G2408" s="89"/>
      <c r="H2408" s="89"/>
      <c r="I2408" s="89"/>
    </row>
    <row r="2409" spans="1:9" s="145" customFormat="1">
      <c r="A2409" s="89"/>
      <c r="B2409" s="144"/>
      <c r="D2409" s="76"/>
      <c r="E2409" s="89"/>
      <c r="F2409" s="89"/>
      <c r="G2409" s="89"/>
      <c r="H2409" s="89"/>
      <c r="I2409" s="89"/>
    </row>
    <row r="2410" spans="1:9" s="145" customFormat="1">
      <c r="A2410" s="89"/>
      <c r="B2410" s="144"/>
      <c r="D2410" s="76"/>
      <c r="E2410" s="89"/>
      <c r="F2410" s="89"/>
      <c r="G2410" s="89"/>
      <c r="H2410" s="89"/>
      <c r="I2410" s="89"/>
    </row>
    <row r="2411" spans="1:9" s="145" customFormat="1">
      <c r="A2411" s="89"/>
      <c r="B2411" s="144"/>
      <c r="D2411" s="76"/>
      <c r="E2411" s="89"/>
      <c r="F2411" s="89"/>
      <c r="G2411" s="89"/>
      <c r="H2411" s="89"/>
      <c r="I2411" s="89"/>
    </row>
    <row r="2412" spans="1:9" s="145" customFormat="1">
      <c r="A2412" s="89"/>
      <c r="B2412" s="144"/>
      <c r="D2412" s="76"/>
      <c r="E2412" s="89"/>
      <c r="F2412" s="89"/>
      <c r="G2412" s="89"/>
      <c r="H2412" s="89"/>
      <c r="I2412" s="89"/>
    </row>
    <row r="2413" spans="1:9" s="145" customFormat="1">
      <c r="A2413" s="89"/>
      <c r="B2413" s="144"/>
      <c r="D2413" s="76"/>
      <c r="E2413" s="89"/>
      <c r="F2413" s="89"/>
      <c r="G2413" s="89"/>
      <c r="H2413" s="89"/>
      <c r="I2413" s="89"/>
    </row>
    <row r="2414" spans="1:9" s="145" customFormat="1">
      <c r="A2414" s="89"/>
      <c r="B2414" s="144"/>
      <c r="D2414" s="76"/>
      <c r="E2414" s="89"/>
      <c r="F2414" s="89"/>
      <c r="G2414" s="89"/>
      <c r="H2414" s="89"/>
      <c r="I2414" s="89"/>
    </row>
    <row r="2415" spans="1:9" s="145" customFormat="1">
      <c r="A2415" s="89"/>
      <c r="B2415" s="144"/>
      <c r="D2415" s="76"/>
      <c r="E2415" s="89"/>
      <c r="F2415" s="89"/>
      <c r="G2415" s="89"/>
      <c r="H2415" s="89"/>
      <c r="I2415" s="89"/>
    </row>
    <row r="2416" spans="1:9" s="145" customFormat="1">
      <c r="A2416" s="89"/>
      <c r="B2416" s="144"/>
      <c r="D2416" s="76"/>
      <c r="E2416" s="89"/>
      <c r="F2416" s="89"/>
      <c r="G2416" s="89"/>
      <c r="H2416" s="89"/>
      <c r="I2416" s="89"/>
    </row>
    <row r="2417" spans="1:9" s="145" customFormat="1">
      <c r="A2417" s="89"/>
      <c r="B2417" s="144"/>
      <c r="D2417" s="76"/>
      <c r="E2417" s="89"/>
      <c r="F2417" s="89"/>
      <c r="G2417" s="89"/>
      <c r="H2417" s="89"/>
      <c r="I2417" s="89"/>
    </row>
    <row r="2418" spans="1:9" s="145" customFormat="1">
      <c r="A2418" s="89"/>
      <c r="B2418" s="144"/>
      <c r="D2418" s="76"/>
      <c r="E2418" s="89"/>
      <c r="F2418" s="89"/>
      <c r="G2418" s="89"/>
      <c r="H2418" s="89"/>
      <c r="I2418" s="89"/>
    </row>
    <row r="2419" spans="1:9" s="145" customFormat="1">
      <c r="A2419" s="89"/>
      <c r="B2419" s="144"/>
      <c r="D2419" s="76"/>
      <c r="E2419" s="89"/>
      <c r="F2419" s="89"/>
      <c r="G2419" s="89"/>
      <c r="H2419" s="89"/>
      <c r="I2419" s="89"/>
    </row>
    <row r="2420" spans="1:9" s="145" customFormat="1">
      <c r="A2420" s="89"/>
      <c r="B2420" s="144"/>
      <c r="D2420" s="76"/>
      <c r="E2420" s="89"/>
      <c r="F2420" s="89"/>
      <c r="G2420" s="89"/>
      <c r="H2420" s="89"/>
      <c r="I2420" s="89"/>
    </row>
    <row r="2421" spans="1:9" s="145" customFormat="1">
      <c r="A2421" s="89"/>
      <c r="B2421" s="144"/>
      <c r="D2421" s="76"/>
      <c r="E2421" s="89"/>
      <c r="F2421" s="89"/>
      <c r="G2421" s="89"/>
      <c r="H2421" s="89"/>
      <c r="I2421" s="89"/>
    </row>
    <row r="2422" spans="1:9" s="145" customFormat="1">
      <c r="A2422" s="89"/>
      <c r="B2422" s="144"/>
      <c r="D2422" s="76"/>
      <c r="E2422" s="89"/>
      <c r="F2422" s="89"/>
      <c r="G2422" s="89"/>
      <c r="H2422" s="89"/>
      <c r="I2422" s="89"/>
    </row>
    <row r="2423" spans="1:9" s="145" customFormat="1">
      <c r="A2423" s="89"/>
      <c r="B2423" s="144"/>
      <c r="D2423" s="76"/>
      <c r="E2423" s="89"/>
      <c r="F2423" s="89"/>
      <c r="G2423" s="89"/>
      <c r="H2423" s="89"/>
      <c r="I2423" s="89"/>
    </row>
    <row r="2424" spans="1:9" s="145" customFormat="1">
      <c r="A2424" s="89"/>
      <c r="B2424" s="144"/>
      <c r="D2424" s="76"/>
      <c r="E2424" s="89"/>
      <c r="F2424" s="89"/>
      <c r="G2424" s="89"/>
      <c r="H2424" s="89"/>
      <c r="I2424" s="89"/>
    </row>
    <row r="2425" spans="1:9" s="145" customFormat="1">
      <c r="A2425" s="89"/>
      <c r="B2425" s="144"/>
      <c r="D2425" s="76"/>
      <c r="E2425" s="89"/>
      <c r="F2425" s="89"/>
      <c r="G2425" s="89"/>
      <c r="H2425" s="89"/>
      <c r="I2425" s="89"/>
    </row>
    <row r="2426" spans="1:9" s="145" customFormat="1">
      <c r="A2426" s="89"/>
      <c r="B2426" s="144"/>
      <c r="D2426" s="76"/>
      <c r="E2426" s="89"/>
      <c r="F2426" s="89"/>
      <c r="G2426" s="89"/>
      <c r="H2426" s="89"/>
      <c r="I2426" s="89"/>
    </row>
    <row r="2427" spans="1:9" s="145" customFormat="1">
      <c r="A2427" s="89"/>
      <c r="B2427" s="144"/>
      <c r="D2427" s="76"/>
      <c r="E2427" s="89"/>
      <c r="F2427" s="89"/>
      <c r="G2427" s="89"/>
      <c r="H2427" s="89"/>
      <c r="I2427" s="89"/>
    </row>
    <row r="2428" spans="1:9" s="145" customFormat="1">
      <c r="A2428" s="89"/>
      <c r="B2428" s="144"/>
      <c r="D2428" s="76"/>
      <c r="E2428" s="89"/>
      <c r="F2428" s="89"/>
      <c r="G2428" s="89"/>
      <c r="H2428" s="89"/>
      <c r="I2428" s="89"/>
    </row>
    <row r="2429" spans="1:9" s="145" customFormat="1">
      <c r="A2429" s="89"/>
      <c r="B2429" s="144"/>
      <c r="D2429" s="76"/>
      <c r="E2429" s="89"/>
      <c r="F2429" s="89"/>
      <c r="G2429" s="89"/>
      <c r="H2429" s="89"/>
      <c r="I2429" s="89"/>
    </row>
    <row r="2430" spans="1:9" s="145" customFormat="1">
      <c r="A2430" s="89"/>
      <c r="B2430" s="144"/>
      <c r="D2430" s="76"/>
      <c r="E2430" s="89"/>
      <c r="F2430" s="89"/>
      <c r="G2430" s="89"/>
      <c r="H2430" s="89"/>
      <c r="I2430" s="89"/>
    </row>
    <row r="2431" spans="1:9" s="145" customFormat="1">
      <c r="A2431" s="89"/>
      <c r="B2431" s="144"/>
      <c r="D2431" s="76"/>
      <c r="E2431" s="89"/>
      <c r="F2431" s="89"/>
      <c r="G2431" s="89"/>
      <c r="H2431" s="89"/>
      <c r="I2431" s="89"/>
    </row>
    <row r="2432" spans="1:9" s="145" customFormat="1">
      <c r="A2432" s="89"/>
      <c r="B2432" s="144"/>
      <c r="D2432" s="76"/>
      <c r="E2432" s="89"/>
      <c r="F2432" s="89"/>
      <c r="G2432" s="89"/>
      <c r="H2432" s="89"/>
      <c r="I2432" s="89"/>
    </row>
    <row r="2433" spans="1:9" s="145" customFormat="1">
      <c r="A2433" s="89"/>
      <c r="B2433" s="144"/>
      <c r="D2433" s="76"/>
      <c r="E2433" s="89"/>
      <c r="F2433" s="89"/>
      <c r="G2433" s="89"/>
      <c r="H2433" s="89"/>
      <c r="I2433" s="89"/>
    </row>
    <row r="2434" spans="1:9" s="145" customFormat="1">
      <c r="A2434" s="89"/>
      <c r="B2434" s="144"/>
      <c r="D2434" s="76"/>
      <c r="E2434" s="89"/>
      <c r="F2434" s="89"/>
      <c r="G2434" s="89"/>
      <c r="H2434" s="89"/>
      <c r="I2434" s="89"/>
    </row>
    <row r="2435" spans="1:9" s="145" customFormat="1">
      <c r="A2435" s="89"/>
      <c r="B2435" s="144"/>
      <c r="D2435" s="76"/>
      <c r="E2435" s="89"/>
      <c r="F2435" s="89"/>
      <c r="G2435" s="89"/>
      <c r="H2435" s="89"/>
      <c r="I2435" s="89"/>
    </row>
    <row r="2436" spans="1:9" s="145" customFormat="1">
      <c r="A2436" s="89"/>
      <c r="B2436" s="144"/>
      <c r="D2436" s="76"/>
      <c r="E2436" s="89"/>
      <c r="F2436" s="89"/>
      <c r="G2436" s="89"/>
      <c r="H2436" s="89"/>
      <c r="I2436" s="89"/>
    </row>
    <row r="2437" spans="1:9" s="145" customFormat="1">
      <c r="A2437" s="89"/>
      <c r="B2437" s="144"/>
      <c r="D2437" s="76"/>
      <c r="E2437" s="89"/>
      <c r="F2437" s="89"/>
      <c r="G2437" s="89"/>
      <c r="H2437" s="89"/>
      <c r="I2437" s="89"/>
    </row>
    <row r="2438" spans="1:9" s="145" customFormat="1">
      <c r="A2438" s="89"/>
      <c r="B2438" s="144"/>
      <c r="D2438" s="76"/>
      <c r="E2438" s="89"/>
      <c r="F2438" s="89"/>
      <c r="G2438" s="89"/>
      <c r="H2438" s="89"/>
      <c r="I2438" s="89"/>
    </row>
    <row r="2439" spans="1:9" s="145" customFormat="1">
      <c r="A2439" s="89"/>
      <c r="B2439" s="144"/>
      <c r="D2439" s="76"/>
      <c r="E2439" s="89"/>
      <c r="F2439" s="89"/>
      <c r="G2439" s="89"/>
      <c r="H2439" s="89"/>
      <c r="I2439" s="89"/>
    </row>
    <row r="2440" spans="1:9" s="145" customFormat="1">
      <c r="A2440" s="89"/>
      <c r="B2440" s="144"/>
      <c r="D2440" s="76"/>
      <c r="E2440" s="89"/>
      <c r="F2440" s="89"/>
      <c r="G2440" s="89"/>
      <c r="H2440" s="89"/>
      <c r="I2440" s="89"/>
    </row>
    <row r="2441" spans="1:9" s="145" customFormat="1">
      <c r="A2441" s="89"/>
      <c r="B2441" s="144"/>
      <c r="D2441" s="76"/>
      <c r="E2441" s="89"/>
      <c r="F2441" s="89"/>
      <c r="G2441" s="89"/>
      <c r="H2441" s="89"/>
      <c r="I2441" s="89"/>
    </row>
    <row r="2442" spans="1:9" s="145" customFormat="1">
      <c r="A2442" s="89"/>
      <c r="B2442" s="144"/>
      <c r="D2442" s="76"/>
      <c r="E2442" s="89"/>
      <c r="F2442" s="89"/>
      <c r="G2442" s="89"/>
      <c r="H2442" s="89"/>
      <c r="I2442" s="89"/>
    </row>
    <row r="2443" spans="1:9" s="145" customFormat="1">
      <c r="A2443" s="89"/>
      <c r="B2443" s="144"/>
      <c r="D2443" s="76"/>
      <c r="E2443" s="89"/>
      <c r="F2443" s="89"/>
      <c r="G2443" s="89"/>
      <c r="H2443" s="89"/>
      <c r="I2443" s="89"/>
    </row>
    <row r="2444" spans="1:9" s="145" customFormat="1">
      <c r="A2444" s="89"/>
      <c r="B2444" s="144"/>
      <c r="D2444" s="76"/>
      <c r="E2444" s="89"/>
      <c r="F2444" s="89"/>
      <c r="G2444" s="89"/>
      <c r="H2444" s="89"/>
      <c r="I2444" s="89"/>
    </row>
    <row r="2445" spans="1:9" s="145" customFormat="1">
      <c r="A2445" s="89"/>
      <c r="B2445" s="144"/>
      <c r="D2445" s="76"/>
      <c r="E2445" s="89"/>
      <c r="F2445" s="89"/>
      <c r="G2445" s="89"/>
      <c r="H2445" s="89"/>
      <c r="I2445" s="89"/>
    </row>
    <row r="2446" spans="1:9" s="145" customFormat="1">
      <c r="A2446" s="89"/>
      <c r="B2446" s="144"/>
      <c r="D2446" s="76"/>
      <c r="E2446" s="89"/>
      <c r="F2446" s="89"/>
      <c r="G2446" s="89"/>
      <c r="H2446" s="89"/>
      <c r="I2446" s="89"/>
    </row>
    <row r="2447" spans="1:9" s="145" customFormat="1">
      <c r="A2447" s="89"/>
      <c r="B2447" s="144"/>
      <c r="D2447" s="76"/>
      <c r="E2447" s="89"/>
      <c r="F2447" s="89"/>
      <c r="G2447" s="89"/>
      <c r="H2447" s="89"/>
      <c r="I2447" s="89"/>
    </row>
    <row r="2448" spans="1:9" s="145" customFormat="1">
      <c r="A2448" s="89"/>
      <c r="B2448" s="144"/>
      <c r="D2448" s="76"/>
      <c r="E2448" s="89"/>
      <c r="F2448" s="89"/>
      <c r="G2448" s="89"/>
      <c r="H2448" s="89"/>
      <c r="I2448" s="89"/>
    </row>
    <row r="2449" spans="1:9" s="145" customFormat="1">
      <c r="A2449" s="89"/>
      <c r="B2449" s="144"/>
      <c r="D2449" s="76"/>
      <c r="E2449" s="89"/>
      <c r="F2449" s="89"/>
      <c r="G2449" s="89"/>
      <c r="H2449" s="89"/>
      <c r="I2449" s="89"/>
    </row>
    <row r="2450" spans="1:9" s="145" customFormat="1">
      <c r="A2450" s="89"/>
      <c r="B2450" s="144"/>
      <c r="D2450" s="76"/>
      <c r="E2450" s="89"/>
      <c r="F2450" s="89"/>
      <c r="G2450" s="89"/>
      <c r="H2450" s="89"/>
      <c r="I2450" s="89"/>
    </row>
    <row r="2451" spans="1:9" s="145" customFormat="1">
      <c r="A2451" s="89"/>
      <c r="B2451" s="144"/>
      <c r="D2451" s="76"/>
      <c r="E2451" s="89"/>
      <c r="F2451" s="89"/>
      <c r="G2451" s="89"/>
      <c r="H2451" s="89"/>
      <c r="I2451" s="89"/>
    </row>
    <row r="2452" spans="1:9" s="145" customFormat="1">
      <c r="A2452" s="89"/>
      <c r="B2452" s="144"/>
      <c r="D2452" s="76"/>
      <c r="E2452" s="89"/>
      <c r="F2452" s="89"/>
      <c r="G2452" s="89"/>
      <c r="H2452" s="89"/>
      <c r="I2452" s="89"/>
    </row>
    <row r="2453" spans="1:9" s="145" customFormat="1">
      <c r="A2453" s="89"/>
      <c r="B2453" s="144"/>
      <c r="D2453" s="76"/>
      <c r="E2453" s="89"/>
      <c r="F2453" s="89"/>
      <c r="G2453" s="89"/>
      <c r="H2453" s="89"/>
      <c r="I2453" s="89"/>
    </row>
    <row r="2454" spans="1:9" s="145" customFormat="1">
      <c r="A2454" s="89"/>
      <c r="B2454" s="144"/>
      <c r="D2454" s="76"/>
      <c r="E2454" s="89"/>
      <c r="F2454" s="89"/>
      <c r="G2454" s="89"/>
      <c r="H2454" s="89"/>
      <c r="I2454" s="89"/>
    </row>
    <row r="2455" spans="1:9" s="145" customFormat="1">
      <c r="A2455" s="89"/>
      <c r="B2455" s="144"/>
      <c r="D2455" s="76"/>
      <c r="E2455" s="89"/>
      <c r="F2455" s="89"/>
      <c r="G2455" s="89"/>
      <c r="H2455" s="89"/>
      <c r="I2455" s="89"/>
    </row>
    <row r="2456" spans="1:9" s="145" customFormat="1">
      <c r="A2456" s="89"/>
      <c r="B2456" s="144"/>
      <c r="D2456" s="76"/>
      <c r="E2456" s="89"/>
      <c r="F2456" s="89"/>
      <c r="G2456" s="89"/>
      <c r="H2456" s="89"/>
      <c r="I2456" s="89"/>
    </row>
    <row r="2457" spans="1:9" s="145" customFormat="1">
      <c r="A2457" s="89"/>
      <c r="B2457" s="144"/>
      <c r="D2457" s="76"/>
      <c r="E2457" s="89"/>
      <c r="F2457" s="89"/>
      <c r="G2457" s="89"/>
      <c r="H2457" s="89"/>
      <c r="I2457" s="89"/>
    </row>
    <row r="2458" spans="1:9" s="145" customFormat="1">
      <c r="A2458" s="89"/>
      <c r="B2458" s="144"/>
      <c r="D2458" s="76"/>
      <c r="E2458" s="89"/>
      <c r="F2458" s="89"/>
      <c r="G2458" s="89"/>
      <c r="H2458" s="89"/>
      <c r="I2458" s="89"/>
    </row>
    <row r="2459" spans="1:9" s="145" customFormat="1">
      <c r="A2459" s="89"/>
      <c r="B2459" s="144"/>
      <c r="D2459" s="76"/>
      <c r="E2459" s="89"/>
      <c r="F2459" s="89"/>
      <c r="G2459" s="89"/>
      <c r="H2459" s="89"/>
      <c r="I2459" s="89"/>
    </row>
    <row r="2460" spans="1:9" s="145" customFormat="1">
      <c r="A2460" s="89"/>
      <c r="B2460" s="144"/>
      <c r="D2460" s="76"/>
      <c r="E2460" s="89"/>
      <c r="F2460" s="89"/>
      <c r="G2460" s="89"/>
      <c r="H2460" s="89"/>
      <c r="I2460" s="89"/>
    </row>
    <row r="2461" spans="1:9" s="145" customFormat="1">
      <c r="A2461" s="89"/>
      <c r="B2461" s="144"/>
      <c r="D2461" s="76"/>
      <c r="E2461" s="89"/>
      <c r="F2461" s="89"/>
      <c r="G2461" s="89"/>
      <c r="H2461" s="89"/>
      <c r="I2461" s="89"/>
    </row>
    <row r="2462" spans="1:9" s="145" customFormat="1">
      <c r="A2462" s="89"/>
      <c r="B2462" s="144"/>
      <c r="D2462" s="76"/>
      <c r="E2462" s="89"/>
      <c r="F2462" s="89"/>
      <c r="G2462" s="89"/>
      <c r="H2462" s="89"/>
      <c r="I2462" s="89"/>
    </row>
    <row r="2463" spans="1:9" s="145" customFormat="1">
      <c r="A2463" s="89"/>
      <c r="B2463" s="144"/>
      <c r="D2463" s="76"/>
      <c r="E2463" s="89"/>
      <c r="F2463" s="89"/>
      <c r="G2463" s="89"/>
      <c r="H2463" s="89"/>
      <c r="I2463" s="89"/>
    </row>
    <row r="2464" spans="1:9" s="145" customFormat="1">
      <c r="A2464" s="89"/>
      <c r="B2464" s="144"/>
      <c r="D2464" s="76"/>
      <c r="E2464" s="89"/>
      <c r="F2464" s="89"/>
      <c r="G2464" s="89"/>
      <c r="H2464" s="89"/>
      <c r="I2464" s="89"/>
    </row>
    <row r="2465" spans="1:9" s="145" customFormat="1">
      <c r="A2465" s="89"/>
      <c r="B2465" s="144"/>
      <c r="D2465" s="76"/>
      <c r="E2465" s="89"/>
      <c r="F2465" s="89"/>
      <c r="G2465" s="89"/>
      <c r="H2465" s="89"/>
      <c r="I2465" s="89"/>
    </row>
    <row r="2466" spans="1:9" s="145" customFormat="1">
      <c r="A2466" s="89"/>
      <c r="B2466" s="144"/>
      <c r="D2466" s="76"/>
      <c r="E2466" s="89"/>
      <c r="F2466" s="89"/>
      <c r="G2466" s="89"/>
      <c r="H2466" s="89"/>
      <c r="I2466" s="89"/>
    </row>
    <row r="2467" spans="1:9" s="145" customFormat="1">
      <c r="A2467" s="89"/>
      <c r="B2467" s="144"/>
      <c r="D2467" s="76"/>
      <c r="E2467" s="89"/>
      <c r="F2467" s="89"/>
      <c r="G2467" s="89"/>
      <c r="H2467" s="89"/>
      <c r="I2467" s="89"/>
    </row>
    <row r="2468" spans="1:9" s="145" customFormat="1">
      <c r="A2468" s="89"/>
      <c r="B2468" s="144"/>
      <c r="D2468" s="76"/>
      <c r="E2468" s="89"/>
      <c r="F2468" s="89"/>
      <c r="G2468" s="89"/>
      <c r="H2468" s="89"/>
      <c r="I2468" s="89"/>
    </row>
    <row r="2469" spans="1:9" s="145" customFormat="1">
      <c r="A2469" s="89"/>
      <c r="B2469" s="144"/>
      <c r="D2469" s="76"/>
      <c r="E2469" s="89"/>
      <c r="F2469" s="89"/>
      <c r="G2469" s="89"/>
      <c r="H2469" s="89"/>
      <c r="I2469" s="89"/>
    </row>
    <row r="2470" spans="1:9" s="145" customFormat="1">
      <c r="A2470" s="89"/>
      <c r="B2470" s="144"/>
      <c r="D2470" s="76"/>
      <c r="E2470" s="89"/>
      <c r="F2470" s="89"/>
      <c r="G2470" s="89"/>
      <c r="H2470" s="89"/>
      <c r="I2470" s="89"/>
    </row>
    <row r="2471" spans="1:9" s="145" customFormat="1">
      <c r="A2471" s="89"/>
      <c r="B2471" s="144"/>
      <c r="D2471" s="76"/>
      <c r="E2471" s="89"/>
      <c r="F2471" s="89"/>
      <c r="G2471" s="89"/>
      <c r="H2471" s="89"/>
      <c r="I2471" s="89"/>
    </row>
    <row r="2472" spans="1:9" s="145" customFormat="1">
      <c r="A2472" s="89"/>
      <c r="B2472" s="144"/>
      <c r="D2472" s="76"/>
      <c r="E2472" s="89"/>
      <c r="F2472" s="89"/>
      <c r="G2472" s="89"/>
      <c r="H2472" s="89"/>
      <c r="I2472" s="89"/>
    </row>
    <row r="2473" spans="1:9" s="145" customFormat="1">
      <c r="A2473" s="89"/>
      <c r="B2473" s="144"/>
      <c r="D2473" s="76"/>
      <c r="E2473" s="89"/>
      <c r="F2473" s="89"/>
      <c r="G2473" s="89"/>
      <c r="H2473" s="89"/>
      <c r="I2473" s="89"/>
    </row>
    <row r="2474" spans="1:9" s="145" customFormat="1">
      <c r="A2474" s="89"/>
      <c r="B2474" s="144"/>
      <c r="D2474" s="76"/>
      <c r="E2474" s="89"/>
      <c r="F2474" s="89"/>
      <c r="G2474" s="89"/>
      <c r="H2474" s="89"/>
      <c r="I2474" s="89"/>
    </row>
    <row r="2475" spans="1:9" s="145" customFormat="1">
      <c r="A2475" s="89"/>
      <c r="B2475" s="144"/>
      <c r="D2475" s="76"/>
      <c r="E2475" s="89"/>
      <c r="F2475" s="89"/>
      <c r="G2475" s="89"/>
      <c r="H2475" s="89"/>
      <c r="I2475" s="89"/>
    </row>
    <row r="2476" spans="1:9" s="145" customFormat="1">
      <c r="A2476" s="89"/>
      <c r="B2476" s="144"/>
      <c r="D2476" s="76"/>
      <c r="E2476" s="89"/>
      <c r="F2476" s="89"/>
      <c r="G2476" s="89"/>
      <c r="H2476" s="89"/>
      <c r="I2476" s="89"/>
    </row>
    <row r="2477" spans="1:9" s="145" customFormat="1">
      <c r="A2477" s="89"/>
      <c r="B2477" s="144"/>
      <c r="D2477" s="76"/>
      <c r="E2477" s="89"/>
      <c r="F2477" s="89"/>
      <c r="G2477" s="89"/>
      <c r="H2477" s="89"/>
      <c r="I2477" s="89"/>
    </row>
    <row r="2478" spans="1:9" s="145" customFormat="1">
      <c r="A2478" s="89"/>
      <c r="B2478" s="144"/>
      <c r="D2478" s="76"/>
      <c r="E2478" s="89"/>
      <c r="F2478" s="89"/>
      <c r="G2478" s="89"/>
      <c r="H2478" s="89"/>
      <c r="I2478" s="89"/>
    </row>
    <row r="2479" spans="1:9" s="145" customFormat="1">
      <c r="A2479" s="89"/>
      <c r="B2479" s="144"/>
      <c r="D2479" s="76"/>
      <c r="E2479" s="89"/>
      <c r="F2479" s="89"/>
      <c r="G2479" s="89"/>
      <c r="H2479" s="89"/>
      <c r="I2479" s="89"/>
    </row>
    <row r="2480" spans="1:9" s="145" customFormat="1">
      <c r="A2480" s="89"/>
      <c r="B2480" s="144"/>
      <c r="D2480" s="76"/>
      <c r="E2480" s="89"/>
      <c r="F2480" s="89"/>
      <c r="G2480" s="89"/>
      <c r="H2480" s="89"/>
      <c r="I2480" s="89"/>
    </row>
    <row r="2481" spans="1:9" s="145" customFormat="1">
      <c r="A2481" s="89"/>
      <c r="B2481" s="144"/>
      <c r="D2481" s="76"/>
      <c r="E2481" s="89"/>
      <c r="F2481" s="89"/>
      <c r="G2481" s="89"/>
      <c r="H2481" s="89"/>
      <c r="I2481" s="89"/>
    </row>
    <row r="2482" spans="1:9" s="145" customFormat="1">
      <c r="A2482" s="89"/>
      <c r="B2482" s="144"/>
      <c r="D2482" s="76"/>
      <c r="E2482" s="89"/>
      <c r="F2482" s="89"/>
      <c r="G2482" s="89"/>
      <c r="H2482" s="89"/>
      <c r="I2482" s="89"/>
    </row>
    <row r="2483" spans="1:9" s="145" customFormat="1">
      <c r="A2483" s="89"/>
      <c r="B2483" s="144"/>
      <c r="D2483" s="76"/>
      <c r="E2483" s="89"/>
      <c r="F2483" s="89"/>
      <c r="G2483" s="89"/>
      <c r="H2483" s="89"/>
      <c r="I2483" s="89"/>
    </row>
    <row r="2484" spans="1:9" s="145" customFormat="1">
      <c r="A2484" s="89"/>
      <c r="B2484" s="144"/>
      <c r="D2484" s="76"/>
      <c r="E2484" s="89"/>
      <c r="F2484" s="89"/>
      <c r="G2484" s="89"/>
      <c r="H2484" s="89"/>
      <c r="I2484" s="89"/>
    </row>
    <row r="2485" spans="1:9" s="145" customFormat="1">
      <c r="A2485" s="89"/>
      <c r="B2485" s="144"/>
      <c r="D2485" s="76"/>
      <c r="E2485" s="89"/>
      <c r="F2485" s="89"/>
      <c r="G2485" s="89"/>
      <c r="H2485" s="89"/>
      <c r="I2485" s="89"/>
    </row>
    <row r="2486" spans="1:9" s="145" customFormat="1">
      <c r="A2486" s="89"/>
      <c r="B2486" s="144"/>
      <c r="D2486" s="76"/>
      <c r="E2486" s="89"/>
      <c r="F2486" s="89"/>
      <c r="G2486" s="89"/>
      <c r="H2486" s="89"/>
      <c r="I2486" s="89"/>
    </row>
    <row r="2487" spans="1:9" s="145" customFormat="1">
      <c r="A2487" s="89"/>
      <c r="B2487" s="144"/>
      <c r="D2487" s="76"/>
      <c r="E2487" s="89"/>
      <c r="F2487" s="89"/>
      <c r="G2487" s="89"/>
      <c r="H2487" s="89"/>
      <c r="I2487" s="89"/>
    </row>
    <row r="2488" spans="1:9" s="145" customFormat="1">
      <c r="A2488" s="89"/>
      <c r="B2488" s="144"/>
      <c r="D2488" s="76"/>
      <c r="E2488" s="89"/>
      <c r="F2488" s="89"/>
      <c r="G2488" s="89"/>
      <c r="H2488" s="89"/>
      <c r="I2488" s="89"/>
    </row>
    <row r="2489" spans="1:9" s="145" customFormat="1">
      <c r="A2489" s="89"/>
      <c r="B2489" s="144"/>
      <c r="D2489" s="76"/>
      <c r="E2489" s="89"/>
      <c r="F2489" s="89"/>
      <c r="G2489" s="89"/>
      <c r="H2489" s="89"/>
      <c r="I2489" s="89"/>
    </row>
    <row r="2490" spans="1:9" s="145" customFormat="1">
      <c r="A2490" s="89"/>
      <c r="B2490" s="144"/>
      <c r="D2490" s="76"/>
      <c r="E2490" s="89"/>
      <c r="F2490" s="89"/>
      <c r="G2490" s="89"/>
      <c r="H2490" s="89"/>
      <c r="I2490" s="89"/>
    </row>
    <row r="2491" spans="1:9" s="145" customFormat="1">
      <c r="A2491" s="89"/>
      <c r="B2491" s="144"/>
      <c r="D2491" s="76"/>
      <c r="E2491" s="89"/>
      <c r="F2491" s="89"/>
      <c r="G2491" s="89"/>
      <c r="H2491" s="89"/>
      <c r="I2491" s="89"/>
    </row>
    <row r="2492" spans="1:9" s="145" customFormat="1">
      <c r="A2492" s="89"/>
      <c r="B2492" s="144"/>
      <c r="D2492" s="76"/>
      <c r="E2492" s="89"/>
      <c r="F2492" s="89"/>
      <c r="G2492" s="89"/>
      <c r="H2492" s="89"/>
      <c r="I2492" s="89"/>
    </row>
    <row r="2493" spans="1:9" s="145" customFormat="1">
      <c r="A2493" s="89"/>
      <c r="B2493" s="144"/>
      <c r="D2493" s="76"/>
      <c r="E2493" s="89"/>
      <c r="F2493" s="89"/>
      <c r="G2493" s="89"/>
      <c r="H2493" s="89"/>
      <c r="I2493" s="89"/>
    </row>
    <row r="2494" spans="1:9" s="145" customFormat="1">
      <c r="A2494" s="89"/>
      <c r="B2494" s="144"/>
      <c r="D2494" s="76"/>
      <c r="E2494" s="89"/>
      <c r="F2494" s="89"/>
      <c r="G2494" s="89"/>
      <c r="H2494" s="89"/>
      <c r="I2494" s="89"/>
    </row>
    <row r="2495" spans="1:9" s="145" customFormat="1">
      <c r="A2495" s="89"/>
      <c r="B2495" s="144"/>
      <c r="D2495" s="76"/>
      <c r="E2495" s="89"/>
      <c r="F2495" s="89"/>
      <c r="G2495" s="89"/>
      <c r="H2495" s="89"/>
      <c r="I2495" s="89"/>
    </row>
    <row r="2496" spans="1:9" s="145" customFormat="1">
      <c r="A2496" s="89"/>
      <c r="B2496" s="144"/>
      <c r="D2496" s="76"/>
      <c r="E2496" s="89"/>
      <c r="F2496" s="89"/>
      <c r="G2496" s="89"/>
      <c r="H2496" s="89"/>
      <c r="I2496" s="89"/>
    </row>
    <row r="2497" spans="1:9" s="145" customFormat="1">
      <c r="A2497" s="89"/>
      <c r="B2497" s="144"/>
      <c r="D2497" s="76"/>
      <c r="E2497" s="89"/>
      <c r="F2497" s="89"/>
      <c r="G2497" s="89"/>
      <c r="H2497" s="89"/>
      <c r="I2497" s="89"/>
    </row>
    <row r="2498" spans="1:9" s="145" customFormat="1">
      <c r="A2498" s="89"/>
      <c r="B2498" s="144"/>
      <c r="D2498" s="76"/>
      <c r="E2498" s="89"/>
      <c r="F2498" s="89"/>
      <c r="G2498" s="89"/>
      <c r="H2498" s="89"/>
      <c r="I2498" s="89"/>
    </row>
    <row r="2499" spans="1:9" s="145" customFormat="1">
      <c r="A2499" s="89"/>
      <c r="B2499" s="144"/>
      <c r="D2499" s="76"/>
      <c r="E2499" s="89"/>
      <c r="F2499" s="89"/>
      <c r="G2499" s="89"/>
      <c r="H2499" s="89"/>
      <c r="I2499" s="89"/>
    </row>
    <row r="2500" spans="1:9" s="145" customFormat="1">
      <c r="A2500" s="89"/>
      <c r="B2500" s="144"/>
      <c r="D2500" s="76"/>
      <c r="E2500" s="89"/>
      <c r="F2500" s="89"/>
      <c r="G2500" s="89"/>
      <c r="H2500" s="89"/>
      <c r="I2500" s="89"/>
    </row>
    <row r="2501" spans="1:9" s="145" customFormat="1">
      <c r="A2501" s="89"/>
      <c r="B2501" s="144"/>
      <c r="D2501" s="76"/>
      <c r="E2501" s="89"/>
      <c r="F2501" s="89"/>
      <c r="G2501" s="89"/>
      <c r="H2501" s="89"/>
      <c r="I2501" s="89"/>
    </row>
    <row r="2502" spans="1:9" s="145" customFormat="1">
      <c r="A2502" s="89"/>
      <c r="B2502" s="144"/>
      <c r="D2502" s="76"/>
      <c r="E2502" s="89"/>
      <c r="F2502" s="89"/>
      <c r="G2502" s="89"/>
      <c r="H2502" s="89"/>
      <c r="I2502" s="89"/>
    </row>
    <row r="2503" spans="1:9" s="145" customFormat="1">
      <c r="A2503" s="89"/>
      <c r="B2503" s="144"/>
      <c r="D2503" s="76"/>
      <c r="E2503" s="89"/>
      <c r="F2503" s="89"/>
      <c r="G2503" s="89"/>
      <c r="H2503" s="89"/>
      <c r="I2503" s="89"/>
    </row>
    <row r="2504" spans="1:9" s="145" customFormat="1">
      <c r="A2504" s="89"/>
      <c r="B2504" s="144"/>
      <c r="D2504" s="76"/>
      <c r="E2504" s="89"/>
      <c r="F2504" s="89"/>
      <c r="G2504" s="89"/>
      <c r="H2504" s="89"/>
      <c r="I2504" s="89"/>
    </row>
    <row r="2505" spans="1:9" s="145" customFormat="1">
      <c r="A2505" s="89"/>
      <c r="B2505" s="144"/>
      <c r="D2505" s="76"/>
      <c r="E2505" s="89"/>
      <c r="F2505" s="89"/>
      <c r="G2505" s="89"/>
      <c r="H2505" s="89"/>
      <c r="I2505" s="89"/>
    </row>
    <row r="2506" spans="1:9" s="145" customFormat="1">
      <c r="A2506" s="89"/>
      <c r="B2506" s="144"/>
      <c r="D2506" s="76"/>
      <c r="E2506" s="89"/>
      <c r="F2506" s="89"/>
      <c r="G2506" s="89"/>
      <c r="H2506" s="89"/>
      <c r="I2506" s="89"/>
    </row>
    <row r="2507" spans="1:9" s="145" customFormat="1">
      <c r="A2507" s="89"/>
      <c r="B2507" s="144"/>
      <c r="D2507" s="76"/>
      <c r="E2507" s="89"/>
      <c r="F2507" s="89"/>
      <c r="G2507" s="89"/>
      <c r="H2507" s="89"/>
      <c r="I2507" s="89"/>
    </row>
    <row r="2508" spans="1:9" s="145" customFormat="1">
      <c r="A2508" s="89"/>
      <c r="B2508" s="144"/>
      <c r="D2508" s="76"/>
      <c r="E2508" s="89"/>
      <c r="F2508" s="89"/>
      <c r="G2508" s="89"/>
      <c r="H2508" s="89"/>
      <c r="I2508" s="89"/>
    </row>
    <row r="2509" spans="1:9" s="145" customFormat="1">
      <c r="A2509" s="89"/>
      <c r="B2509" s="144"/>
      <c r="D2509" s="76"/>
      <c r="E2509" s="89"/>
      <c r="F2509" s="89"/>
      <c r="G2509" s="89"/>
      <c r="H2509" s="89"/>
      <c r="I2509" s="89"/>
    </row>
    <row r="2510" spans="1:9" s="145" customFormat="1">
      <c r="A2510" s="89"/>
      <c r="B2510" s="144"/>
      <c r="D2510" s="76"/>
      <c r="E2510" s="89"/>
      <c r="F2510" s="89"/>
      <c r="G2510" s="89"/>
      <c r="H2510" s="89"/>
      <c r="I2510" s="89"/>
    </row>
    <row r="2511" spans="1:9" s="145" customFormat="1">
      <c r="A2511" s="89"/>
      <c r="B2511" s="144"/>
      <c r="D2511" s="76"/>
      <c r="E2511" s="89"/>
      <c r="F2511" s="89"/>
      <c r="G2511" s="89"/>
      <c r="H2511" s="89"/>
      <c r="I2511" s="89"/>
    </row>
    <row r="2512" spans="1:9" s="145" customFormat="1">
      <c r="A2512" s="89"/>
      <c r="B2512" s="144"/>
      <c r="D2512" s="76"/>
      <c r="E2512" s="89"/>
      <c r="F2512" s="89"/>
      <c r="G2512" s="89"/>
      <c r="H2512" s="89"/>
      <c r="I2512" s="89"/>
    </row>
    <row r="2513" spans="1:9" s="145" customFormat="1">
      <c r="A2513" s="89"/>
      <c r="B2513" s="144"/>
      <c r="D2513" s="76"/>
      <c r="E2513" s="89"/>
      <c r="F2513" s="89"/>
      <c r="G2513" s="89"/>
      <c r="H2513" s="89"/>
      <c r="I2513" s="89"/>
    </row>
    <row r="2514" spans="1:9" s="145" customFormat="1">
      <c r="A2514" s="89"/>
      <c r="B2514" s="144"/>
      <c r="D2514" s="76"/>
      <c r="E2514" s="89"/>
      <c r="F2514" s="89"/>
      <c r="G2514" s="89"/>
      <c r="H2514" s="89"/>
      <c r="I2514" s="89"/>
    </row>
    <row r="2515" spans="1:9" s="145" customFormat="1">
      <c r="A2515" s="89"/>
      <c r="B2515" s="144"/>
      <c r="D2515" s="76"/>
      <c r="E2515" s="89"/>
      <c r="F2515" s="89"/>
      <c r="G2515" s="89"/>
      <c r="H2515" s="89"/>
      <c r="I2515" s="89"/>
    </row>
    <row r="2516" spans="1:9" s="145" customFormat="1">
      <c r="A2516" s="89"/>
      <c r="B2516" s="144"/>
      <c r="D2516" s="76"/>
      <c r="E2516" s="89"/>
      <c r="F2516" s="89"/>
      <c r="G2516" s="89"/>
      <c r="H2516" s="89"/>
      <c r="I2516" s="89"/>
    </row>
    <row r="2517" spans="1:9" s="145" customFormat="1">
      <c r="A2517" s="89"/>
      <c r="B2517" s="144"/>
      <c r="D2517" s="76"/>
      <c r="E2517" s="89"/>
      <c r="F2517" s="89"/>
      <c r="G2517" s="89"/>
      <c r="H2517" s="89"/>
      <c r="I2517" s="89"/>
    </row>
    <row r="2518" spans="1:9" s="145" customFormat="1">
      <c r="A2518" s="89"/>
      <c r="B2518" s="144"/>
      <c r="D2518" s="76"/>
      <c r="E2518" s="89"/>
      <c r="F2518" s="89"/>
      <c r="G2518" s="89"/>
      <c r="H2518" s="89"/>
      <c r="I2518" s="89"/>
    </row>
    <row r="2519" spans="1:9" s="145" customFormat="1">
      <c r="A2519" s="89"/>
      <c r="B2519" s="144"/>
      <c r="D2519" s="76"/>
      <c r="E2519" s="89"/>
      <c r="F2519" s="89"/>
      <c r="G2519" s="89"/>
      <c r="H2519" s="89"/>
      <c r="I2519" s="89"/>
    </row>
    <row r="2520" spans="1:9" s="145" customFormat="1">
      <c r="A2520" s="89"/>
      <c r="B2520" s="144"/>
      <c r="D2520" s="76"/>
      <c r="E2520" s="89"/>
      <c r="F2520" s="89"/>
      <c r="G2520" s="89"/>
      <c r="H2520" s="89"/>
      <c r="I2520" s="89"/>
    </row>
    <row r="2521" spans="1:9" s="145" customFormat="1">
      <c r="A2521" s="89"/>
      <c r="B2521" s="144"/>
      <c r="D2521" s="76"/>
      <c r="E2521" s="89"/>
      <c r="F2521" s="89"/>
      <c r="G2521" s="89"/>
      <c r="H2521" s="89"/>
      <c r="I2521" s="89"/>
    </row>
    <row r="2522" spans="1:9" s="145" customFormat="1">
      <c r="A2522" s="89"/>
      <c r="B2522" s="144"/>
      <c r="D2522" s="76"/>
      <c r="E2522" s="89"/>
      <c r="F2522" s="89"/>
      <c r="G2522" s="89"/>
      <c r="H2522" s="89"/>
      <c r="I2522" s="89"/>
    </row>
    <row r="2523" spans="1:9" s="145" customFormat="1">
      <c r="A2523" s="89"/>
      <c r="B2523" s="144"/>
      <c r="D2523" s="76"/>
      <c r="E2523" s="89"/>
      <c r="F2523" s="89"/>
      <c r="G2523" s="89"/>
      <c r="H2523" s="89"/>
      <c r="I2523" s="89"/>
    </row>
    <row r="2524" spans="1:9" s="145" customFormat="1">
      <c r="A2524" s="89"/>
      <c r="B2524" s="144"/>
      <c r="D2524" s="76"/>
      <c r="E2524" s="89"/>
      <c r="F2524" s="89"/>
      <c r="G2524" s="89"/>
      <c r="H2524" s="89"/>
      <c r="I2524" s="89"/>
    </row>
    <row r="2525" spans="1:9" s="145" customFormat="1">
      <c r="A2525" s="89"/>
      <c r="B2525" s="144"/>
      <c r="D2525" s="76"/>
      <c r="E2525" s="89"/>
      <c r="F2525" s="89"/>
      <c r="G2525" s="89"/>
      <c r="H2525" s="89"/>
      <c r="I2525" s="89"/>
    </row>
    <row r="2526" spans="1:9" s="145" customFormat="1">
      <c r="A2526" s="89"/>
      <c r="B2526" s="144"/>
      <c r="D2526" s="76"/>
      <c r="E2526" s="89"/>
      <c r="F2526" s="89"/>
      <c r="G2526" s="89"/>
      <c r="H2526" s="89"/>
      <c r="I2526" s="89"/>
    </row>
    <row r="2527" spans="1:9" s="145" customFormat="1">
      <c r="A2527" s="89"/>
      <c r="B2527" s="144"/>
      <c r="D2527" s="76"/>
      <c r="E2527" s="89"/>
      <c r="F2527" s="89"/>
      <c r="G2527" s="89"/>
      <c r="H2527" s="89"/>
      <c r="I2527" s="89"/>
    </row>
    <row r="2528" spans="1:9" s="145" customFormat="1">
      <c r="A2528" s="89"/>
      <c r="B2528" s="144"/>
      <c r="D2528" s="76"/>
      <c r="E2528" s="89"/>
      <c r="F2528" s="89"/>
      <c r="G2528" s="89"/>
      <c r="H2528" s="89"/>
      <c r="I2528" s="89"/>
    </row>
    <row r="2529" spans="1:9" s="145" customFormat="1">
      <c r="A2529" s="89"/>
      <c r="B2529" s="144"/>
      <c r="D2529" s="76"/>
      <c r="E2529" s="89"/>
      <c r="F2529" s="89"/>
      <c r="G2529" s="89"/>
      <c r="H2529" s="89"/>
      <c r="I2529" s="89"/>
    </row>
    <row r="2530" spans="1:9" s="145" customFormat="1">
      <c r="A2530" s="89"/>
      <c r="B2530" s="144"/>
      <c r="D2530" s="76"/>
      <c r="E2530" s="89"/>
      <c r="F2530" s="89"/>
      <c r="G2530" s="89"/>
      <c r="H2530" s="89"/>
      <c r="I2530" s="89"/>
    </row>
    <row r="2531" spans="1:9" s="145" customFormat="1">
      <c r="A2531" s="89"/>
      <c r="B2531" s="144"/>
      <c r="D2531" s="76"/>
      <c r="E2531" s="89"/>
      <c r="F2531" s="89"/>
      <c r="G2531" s="89"/>
      <c r="H2531" s="89"/>
      <c r="I2531" s="89"/>
    </row>
    <row r="2532" spans="1:9" s="145" customFormat="1">
      <c r="A2532" s="89"/>
      <c r="B2532" s="144"/>
      <c r="D2532" s="76"/>
      <c r="E2532" s="89"/>
      <c r="F2532" s="89"/>
      <c r="G2532" s="89"/>
      <c r="H2532" s="89"/>
      <c r="I2532" s="89"/>
    </row>
    <row r="2533" spans="1:9" s="145" customFormat="1">
      <c r="A2533" s="89"/>
      <c r="B2533" s="144"/>
      <c r="D2533" s="76"/>
      <c r="E2533" s="89"/>
      <c r="F2533" s="89"/>
      <c r="G2533" s="89"/>
      <c r="H2533" s="89"/>
      <c r="I2533" s="89"/>
    </row>
    <row r="2534" spans="1:9" s="145" customFormat="1">
      <c r="A2534" s="89"/>
      <c r="B2534" s="144"/>
      <c r="D2534" s="76"/>
      <c r="E2534" s="89"/>
      <c r="F2534" s="89"/>
      <c r="G2534" s="89"/>
      <c r="H2534" s="89"/>
      <c r="I2534" s="89"/>
    </row>
    <row r="2535" spans="1:9" s="145" customFormat="1">
      <c r="A2535" s="89"/>
      <c r="B2535" s="144"/>
      <c r="D2535" s="76"/>
      <c r="E2535" s="89"/>
      <c r="F2535" s="89"/>
      <c r="G2535" s="89"/>
      <c r="H2535" s="89"/>
      <c r="I2535" s="89"/>
    </row>
    <row r="2536" spans="1:9" s="145" customFormat="1">
      <c r="A2536" s="89"/>
      <c r="B2536" s="144"/>
      <c r="D2536" s="76"/>
      <c r="E2536" s="89"/>
      <c r="F2536" s="89"/>
      <c r="G2536" s="89"/>
      <c r="H2536" s="89"/>
      <c r="I2536" s="89"/>
    </row>
    <row r="2537" spans="1:9" s="145" customFormat="1">
      <c r="A2537" s="89"/>
      <c r="B2537" s="144"/>
      <c r="D2537" s="76"/>
      <c r="E2537" s="89"/>
      <c r="F2537" s="89"/>
      <c r="G2537" s="89"/>
      <c r="H2537" s="89"/>
      <c r="I2537" s="89"/>
    </row>
    <row r="2538" spans="1:9" s="145" customFormat="1">
      <c r="A2538" s="89"/>
      <c r="B2538" s="144"/>
      <c r="D2538" s="76"/>
      <c r="E2538" s="89"/>
      <c r="F2538" s="89"/>
      <c r="G2538" s="89"/>
      <c r="H2538" s="89"/>
      <c r="I2538" s="89"/>
    </row>
    <row r="2539" spans="1:9" s="145" customFormat="1">
      <c r="A2539" s="89"/>
      <c r="B2539" s="144"/>
      <c r="D2539" s="76"/>
      <c r="E2539" s="89"/>
      <c r="F2539" s="89"/>
      <c r="G2539" s="89"/>
      <c r="H2539" s="89"/>
      <c r="I2539" s="89"/>
    </row>
    <row r="2540" spans="1:9" s="145" customFormat="1">
      <c r="A2540" s="89"/>
      <c r="B2540" s="144"/>
      <c r="D2540" s="76"/>
      <c r="E2540" s="89"/>
      <c r="F2540" s="89"/>
      <c r="G2540" s="89"/>
      <c r="H2540" s="89"/>
      <c r="I2540" s="89"/>
    </row>
    <row r="2541" spans="1:9" s="145" customFormat="1">
      <c r="A2541" s="89"/>
      <c r="B2541" s="144"/>
      <c r="D2541" s="76"/>
      <c r="E2541" s="89"/>
      <c r="F2541" s="89"/>
      <c r="G2541" s="89"/>
      <c r="H2541" s="89"/>
      <c r="I2541" s="89"/>
    </row>
    <row r="2542" spans="1:9" s="145" customFormat="1">
      <c r="A2542" s="89"/>
      <c r="B2542" s="144"/>
      <c r="D2542" s="76"/>
      <c r="E2542" s="89"/>
      <c r="F2542" s="89"/>
      <c r="G2542" s="89"/>
      <c r="H2542" s="89"/>
      <c r="I2542" s="89"/>
    </row>
    <row r="2543" spans="1:9" s="145" customFormat="1">
      <c r="A2543" s="89"/>
      <c r="B2543" s="144"/>
      <c r="D2543" s="76"/>
      <c r="E2543" s="89"/>
      <c r="F2543" s="89"/>
      <c r="G2543" s="89"/>
      <c r="H2543" s="89"/>
      <c r="I2543" s="89"/>
    </row>
    <row r="2544" spans="1:9" s="145" customFormat="1">
      <c r="A2544" s="89"/>
      <c r="B2544" s="144"/>
      <c r="D2544" s="76"/>
      <c r="E2544" s="89"/>
      <c r="F2544" s="89"/>
      <c r="G2544" s="89"/>
      <c r="H2544" s="89"/>
      <c r="I2544" s="89"/>
    </row>
    <row r="2545" spans="1:9" s="145" customFormat="1">
      <c r="A2545" s="89"/>
      <c r="B2545" s="144"/>
      <c r="D2545" s="76"/>
      <c r="E2545" s="89"/>
      <c r="F2545" s="89"/>
      <c r="G2545" s="89"/>
      <c r="H2545" s="89"/>
      <c r="I2545" s="89"/>
    </row>
    <row r="2546" spans="1:9" s="145" customFormat="1">
      <c r="A2546" s="89"/>
      <c r="B2546" s="144"/>
      <c r="D2546" s="76"/>
      <c r="E2546" s="89"/>
      <c r="F2546" s="89"/>
      <c r="G2546" s="89"/>
      <c r="H2546" s="89"/>
      <c r="I2546" s="89"/>
    </row>
    <row r="2547" spans="1:9" s="145" customFormat="1">
      <c r="A2547" s="89"/>
      <c r="B2547" s="144"/>
      <c r="D2547" s="76"/>
      <c r="E2547" s="89"/>
      <c r="F2547" s="89"/>
      <c r="G2547" s="89"/>
      <c r="H2547" s="89"/>
      <c r="I2547" s="89"/>
    </row>
    <row r="2548" spans="1:9" s="145" customFormat="1">
      <c r="A2548" s="89"/>
      <c r="B2548" s="144"/>
      <c r="D2548" s="76"/>
      <c r="E2548" s="89"/>
      <c r="F2548" s="89"/>
      <c r="G2548" s="89"/>
      <c r="H2548" s="89"/>
      <c r="I2548" s="89"/>
    </row>
    <row r="2549" spans="1:9" s="145" customFormat="1">
      <c r="A2549" s="89"/>
      <c r="B2549" s="144"/>
      <c r="D2549" s="76"/>
      <c r="E2549" s="89"/>
      <c r="F2549" s="89"/>
      <c r="G2549" s="89"/>
      <c r="H2549" s="89"/>
      <c r="I2549" s="89"/>
    </row>
    <row r="2550" spans="1:9" s="145" customFormat="1">
      <c r="A2550" s="89"/>
      <c r="B2550" s="144"/>
      <c r="D2550" s="76"/>
      <c r="E2550" s="89"/>
      <c r="F2550" s="89"/>
      <c r="G2550" s="89"/>
      <c r="H2550" s="89"/>
      <c r="I2550" s="89"/>
    </row>
    <row r="2551" spans="1:9" s="145" customFormat="1">
      <c r="A2551" s="89"/>
      <c r="B2551" s="144"/>
      <c r="D2551" s="76"/>
      <c r="E2551" s="89"/>
      <c r="F2551" s="89"/>
      <c r="G2551" s="89"/>
      <c r="H2551" s="89"/>
      <c r="I2551" s="89"/>
    </row>
    <row r="2552" spans="1:9" s="145" customFormat="1">
      <c r="A2552" s="89"/>
      <c r="B2552" s="144"/>
      <c r="D2552" s="76"/>
      <c r="E2552" s="89"/>
      <c r="F2552" s="89"/>
      <c r="G2552" s="89"/>
      <c r="H2552" s="89"/>
      <c r="I2552" s="89"/>
    </row>
    <row r="2553" spans="1:9" s="145" customFormat="1">
      <c r="A2553" s="89"/>
      <c r="B2553" s="144"/>
      <c r="D2553" s="76"/>
      <c r="E2553" s="89"/>
      <c r="F2553" s="89"/>
      <c r="G2553" s="89"/>
      <c r="H2553" s="89"/>
      <c r="I2553" s="89"/>
    </row>
    <row r="2554" spans="1:9" s="145" customFormat="1">
      <c r="A2554" s="89"/>
      <c r="B2554" s="144"/>
      <c r="D2554" s="76"/>
      <c r="E2554" s="89"/>
      <c r="F2554" s="89"/>
      <c r="G2554" s="89"/>
      <c r="H2554" s="89"/>
      <c r="I2554" s="89"/>
    </row>
    <row r="2555" spans="1:9" s="145" customFormat="1">
      <c r="A2555" s="89"/>
      <c r="B2555" s="144"/>
      <c r="D2555" s="76"/>
      <c r="E2555" s="89"/>
      <c r="F2555" s="89"/>
      <c r="G2555" s="89"/>
      <c r="H2555" s="89"/>
      <c r="I2555" s="89"/>
    </row>
    <row r="2556" spans="1:9" s="145" customFormat="1">
      <c r="A2556" s="89"/>
      <c r="B2556" s="144"/>
      <c r="D2556" s="76"/>
      <c r="E2556" s="89"/>
      <c r="F2556" s="89"/>
      <c r="G2556" s="89"/>
      <c r="H2556" s="89"/>
      <c r="I2556" s="89"/>
    </row>
    <row r="2557" spans="1:9" s="145" customFormat="1">
      <c r="A2557" s="89"/>
      <c r="B2557" s="144"/>
      <c r="D2557" s="76"/>
      <c r="E2557" s="89"/>
      <c r="F2557" s="89"/>
      <c r="G2557" s="89"/>
      <c r="H2557" s="89"/>
      <c r="I2557" s="89"/>
    </row>
    <row r="2558" spans="1:9" s="145" customFormat="1">
      <c r="A2558" s="89"/>
      <c r="B2558" s="144"/>
      <c r="D2558" s="76"/>
      <c r="E2558" s="89"/>
      <c r="F2558" s="89"/>
      <c r="G2558" s="89"/>
      <c r="H2558" s="89"/>
      <c r="I2558" s="89"/>
    </row>
    <row r="2559" spans="1:9" s="145" customFormat="1">
      <c r="A2559" s="89"/>
      <c r="B2559" s="144"/>
      <c r="D2559" s="76"/>
      <c r="E2559" s="89"/>
      <c r="F2559" s="89"/>
      <c r="G2559" s="89"/>
      <c r="H2559" s="89"/>
      <c r="I2559" s="89"/>
    </row>
    <row r="2560" spans="1:9" s="145" customFormat="1">
      <c r="A2560" s="89"/>
      <c r="B2560" s="144"/>
      <c r="D2560" s="76"/>
      <c r="E2560" s="89"/>
      <c r="F2560" s="89"/>
      <c r="G2560" s="89"/>
      <c r="H2560" s="89"/>
      <c r="I2560" s="89"/>
    </row>
    <row r="2561" spans="1:9" s="145" customFormat="1">
      <c r="A2561" s="89"/>
      <c r="B2561" s="144"/>
      <c r="D2561" s="76"/>
      <c r="E2561" s="89"/>
      <c r="F2561" s="89"/>
      <c r="G2561" s="89"/>
      <c r="H2561" s="89"/>
      <c r="I2561" s="89"/>
    </row>
    <row r="2562" spans="1:9" s="145" customFormat="1">
      <c r="A2562" s="89"/>
      <c r="B2562" s="144"/>
      <c r="D2562" s="76"/>
      <c r="E2562" s="89"/>
      <c r="F2562" s="89"/>
      <c r="G2562" s="89"/>
      <c r="H2562" s="89"/>
      <c r="I2562" s="89"/>
    </row>
    <row r="2563" spans="1:9" s="145" customFormat="1">
      <c r="A2563" s="89"/>
      <c r="B2563" s="144"/>
      <c r="D2563" s="76"/>
      <c r="E2563" s="89"/>
      <c r="F2563" s="89"/>
      <c r="G2563" s="89"/>
      <c r="H2563" s="89"/>
      <c r="I2563" s="89"/>
    </row>
    <row r="2564" spans="1:9" s="145" customFormat="1">
      <c r="A2564" s="89"/>
      <c r="B2564" s="144"/>
      <c r="D2564" s="76"/>
      <c r="E2564" s="89"/>
      <c r="F2564" s="89"/>
      <c r="G2564" s="89"/>
      <c r="H2564" s="89"/>
      <c r="I2564" s="89"/>
    </row>
    <row r="2565" spans="1:9" s="145" customFormat="1">
      <c r="A2565" s="89"/>
      <c r="B2565" s="144"/>
      <c r="D2565" s="76"/>
      <c r="E2565" s="89"/>
      <c r="F2565" s="89"/>
      <c r="G2565" s="89"/>
      <c r="H2565" s="89"/>
      <c r="I2565" s="89"/>
    </row>
    <row r="2566" spans="1:9" s="145" customFormat="1">
      <c r="A2566" s="89"/>
      <c r="B2566" s="144"/>
      <c r="D2566" s="76"/>
      <c r="E2566" s="89"/>
      <c r="F2566" s="89"/>
      <c r="G2566" s="89"/>
      <c r="H2566" s="89"/>
      <c r="I2566" s="89"/>
    </row>
    <row r="2567" spans="1:9" s="145" customFormat="1">
      <c r="A2567" s="89"/>
      <c r="B2567" s="144"/>
      <c r="D2567" s="76"/>
      <c r="E2567" s="89"/>
      <c r="F2567" s="89"/>
      <c r="G2567" s="89"/>
      <c r="H2567" s="89"/>
      <c r="I2567" s="89"/>
    </row>
    <row r="2568" spans="1:9" s="145" customFormat="1">
      <c r="A2568" s="89"/>
      <c r="B2568" s="144"/>
      <c r="D2568" s="76"/>
      <c r="E2568" s="89"/>
      <c r="F2568" s="89"/>
      <c r="G2568" s="89"/>
      <c r="H2568" s="89"/>
      <c r="I2568" s="89"/>
    </row>
    <row r="2569" spans="1:9" s="145" customFormat="1">
      <c r="A2569" s="89"/>
      <c r="B2569" s="144"/>
      <c r="D2569" s="76"/>
      <c r="E2569" s="89"/>
      <c r="F2569" s="89"/>
      <c r="G2569" s="89"/>
      <c r="H2569" s="89"/>
      <c r="I2569" s="89"/>
    </row>
    <row r="2570" spans="1:9" s="145" customFormat="1">
      <c r="A2570" s="89"/>
      <c r="B2570" s="144"/>
      <c r="D2570" s="76"/>
      <c r="E2570" s="89"/>
      <c r="F2570" s="89"/>
      <c r="G2570" s="89"/>
      <c r="H2570" s="89"/>
      <c r="I2570" s="89"/>
    </row>
    <row r="2571" spans="1:9" s="145" customFormat="1">
      <c r="A2571" s="89"/>
      <c r="B2571" s="144"/>
      <c r="D2571" s="76"/>
      <c r="E2571" s="89"/>
      <c r="F2571" s="89"/>
      <c r="G2571" s="89"/>
      <c r="H2571" s="89"/>
      <c r="I2571" s="89"/>
    </row>
    <row r="2572" spans="1:9" s="145" customFormat="1">
      <c r="A2572" s="89"/>
      <c r="B2572" s="144"/>
      <c r="D2572" s="76"/>
      <c r="E2572" s="89"/>
      <c r="F2572" s="89"/>
      <c r="G2572" s="89"/>
      <c r="H2572" s="89"/>
      <c r="I2572" s="89"/>
    </row>
    <row r="2573" spans="1:9" s="145" customFormat="1">
      <c r="A2573" s="89"/>
      <c r="B2573" s="144"/>
      <c r="D2573" s="76"/>
      <c r="E2573" s="89"/>
      <c r="F2573" s="89"/>
      <c r="G2573" s="89"/>
      <c r="H2573" s="89"/>
      <c r="I2573" s="89"/>
    </row>
    <row r="2574" spans="1:9" s="145" customFormat="1">
      <c r="A2574" s="89"/>
      <c r="B2574" s="144"/>
      <c r="D2574" s="76"/>
      <c r="E2574" s="89"/>
      <c r="F2574" s="89"/>
      <c r="G2574" s="89"/>
      <c r="H2574" s="89"/>
      <c r="I2574" s="89"/>
    </row>
    <row r="2575" spans="1:9" s="145" customFormat="1">
      <c r="A2575" s="89"/>
      <c r="B2575" s="144"/>
      <c r="D2575" s="76"/>
      <c r="E2575" s="89"/>
      <c r="F2575" s="89"/>
      <c r="G2575" s="89"/>
      <c r="H2575" s="89"/>
      <c r="I2575" s="89"/>
    </row>
    <row r="2576" spans="1:9" s="145" customFormat="1">
      <c r="A2576" s="89"/>
      <c r="B2576" s="144"/>
      <c r="D2576" s="76"/>
      <c r="E2576" s="89"/>
      <c r="F2576" s="89"/>
      <c r="G2576" s="89"/>
      <c r="H2576" s="89"/>
      <c r="I2576" s="89"/>
    </row>
    <row r="2577" spans="1:9" s="145" customFormat="1">
      <c r="A2577" s="89"/>
      <c r="B2577" s="144"/>
      <c r="D2577" s="76"/>
      <c r="E2577" s="89"/>
      <c r="F2577" s="89"/>
      <c r="G2577" s="89"/>
      <c r="H2577" s="89"/>
      <c r="I2577" s="89"/>
    </row>
    <row r="2578" spans="1:9" s="145" customFormat="1">
      <c r="A2578" s="89"/>
      <c r="B2578" s="144"/>
      <c r="D2578" s="76"/>
      <c r="E2578" s="89"/>
      <c r="F2578" s="89"/>
      <c r="G2578" s="89"/>
      <c r="H2578" s="89"/>
      <c r="I2578" s="89"/>
    </row>
    <row r="2579" spans="1:9" s="145" customFormat="1">
      <c r="A2579" s="89"/>
      <c r="B2579" s="144"/>
      <c r="D2579" s="76"/>
      <c r="E2579" s="89"/>
      <c r="F2579" s="89"/>
      <c r="G2579" s="89"/>
      <c r="H2579" s="89"/>
      <c r="I2579" s="89"/>
    </row>
    <row r="2580" spans="1:9" s="145" customFormat="1">
      <c r="A2580" s="89"/>
      <c r="B2580" s="144"/>
      <c r="D2580" s="76"/>
      <c r="E2580" s="89"/>
      <c r="F2580" s="89"/>
      <c r="G2580" s="89"/>
      <c r="H2580" s="89"/>
      <c r="I2580" s="89"/>
    </row>
    <row r="2581" spans="1:9" s="145" customFormat="1">
      <c r="A2581" s="89"/>
      <c r="B2581" s="144"/>
      <c r="D2581" s="76"/>
      <c r="E2581" s="89"/>
      <c r="F2581" s="89"/>
      <c r="G2581" s="89"/>
      <c r="H2581" s="89"/>
      <c r="I2581" s="89"/>
    </row>
    <row r="2582" spans="1:9" s="145" customFormat="1">
      <c r="A2582" s="89"/>
      <c r="B2582" s="144"/>
      <c r="D2582" s="76"/>
      <c r="E2582" s="89"/>
      <c r="F2582" s="89"/>
      <c r="G2582" s="89"/>
      <c r="H2582" s="89"/>
      <c r="I2582" s="89"/>
    </row>
    <row r="2583" spans="1:9" s="145" customFormat="1">
      <c r="A2583" s="89"/>
      <c r="B2583" s="144"/>
      <c r="D2583" s="76"/>
      <c r="E2583" s="89"/>
      <c r="F2583" s="89"/>
      <c r="G2583" s="89"/>
      <c r="H2583" s="89"/>
      <c r="I2583" s="89"/>
    </row>
    <row r="2584" spans="1:9" s="145" customFormat="1">
      <c r="A2584" s="89"/>
      <c r="B2584" s="144"/>
      <c r="D2584" s="76"/>
      <c r="E2584" s="89"/>
      <c r="F2584" s="89"/>
      <c r="G2584" s="89"/>
      <c r="H2584" s="89"/>
      <c r="I2584" s="89"/>
    </row>
    <row r="2585" spans="1:9" s="145" customFormat="1">
      <c r="A2585" s="89"/>
      <c r="B2585" s="144"/>
      <c r="D2585" s="76"/>
      <c r="E2585" s="89"/>
      <c r="F2585" s="89"/>
      <c r="G2585" s="89"/>
      <c r="H2585" s="89"/>
      <c r="I2585" s="89"/>
    </row>
    <row r="2586" spans="1:9" s="145" customFormat="1">
      <c r="A2586" s="89"/>
      <c r="B2586" s="144"/>
      <c r="D2586" s="76"/>
      <c r="E2586" s="89"/>
      <c r="F2586" s="89"/>
      <c r="G2586" s="89"/>
      <c r="H2586" s="89"/>
      <c r="I2586" s="89"/>
    </row>
    <row r="2587" spans="1:9" s="145" customFormat="1">
      <c r="A2587" s="89"/>
      <c r="B2587" s="144"/>
      <c r="D2587" s="76"/>
      <c r="E2587" s="89"/>
      <c r="F2587" s="89"/>
      <c r="G2587" s="89"/>
      <c r="H2587" s="89"/>
      <c r="I2587" s="89"/>
    </row>
    <row r="2588" spans="1:9" s="145" customFormat="1">
      <c r="A2588" s="89"/>
      <c r="B2588" s="144"/>
      <c r="D2588" s="76"/>
      <c r="E2588" s="89"/>
      <c r="F2588" s="89"/>
      <c r="G2588" s="89"/>
      <c r="H2588" s="89"/>
      <c r="I2588" s="89"/>
    </row>
    <row r="2589" spans="1:9" s="145" customFormat="1">
      <c r="A2589" s="89"/>
      <c r="B2589" s="144"/>
      <c r="D2589" s="76"/>
      <c r="E2589" s="89"/>
      <c r="F2589" s="89"/>
      <c r="G2589" s="89"/>
      <c r="H2589" s="89"/>
      <c r="I2589" s="89"/>
    </row>
    <row r="2590" spans="1:9" s="145" customFormat="1">
      <c r="A2590" s="89"/>
      <c r="B2590" s="144"/>
      <c r="D2590" s="76"/>
      <c r="E2590" s="89"/>
      <c r="F2590" s="89"/>
      <c r="G2590" s="89"/>
      <c r="H2590" s="89"/>
      <c r="I2590" s="89"/>
    </row>
    <row r="2591" spans="1:9" s="145" customFormat="1">
      <c r="A2591" s="89"/>
      <c r="B2591" s="144"/>
      <c r="D2591" s="76"/>
      <c r="E2591" s="89"/>
      <c r="F2591" s="89"/>
      <c r="G2591" s="89"/>
      <c r="H2591" s="89"/>
      <c r="I2591" s="89"/>
    </row>
    <row r="2592" spans="1:9" s="145" customFormat="1">
      <c r="A2592" s="89"/>
      <c r="B2592" s="144"/>
      <c r="D2592" s="76"/>
      <c r="E2592" s="89"/>
      <c r="F2592" s="89"/>
      <c r="G2592" s="89"/>
      <c r="H2592" s="89"/>
      <c r="I2592" s="89"/>
    </row>
    <row r="2593" spans="1:9" s="145" customFormat="1">
      <c r="A2593" s="89"/>
      <c r="B2593" s="144"/>
      <c r="D2593" s="76"/>
      <c r="E2593" s="89"/>
      <c r="F2593" s="89"/>
      <c r="G2593" s="89"/>
      <c r="H2593" s="89"/>
      <c r="I2593" s="89"/>
    </row>
    <row r="2594" spans="1:9" s="145" customFormat="1">
      <c r="A2594" s="89"/>
      <c r="B2594" s="144"/>
      <c r="D2594" s="76"/>
      <c r="E2594" s="89"/>
      <c r="F2594" s="89"/>
      <c r="G2594" s="89"/>
      <c r="H2594" s="89"/>
      <c r="I2594" s="89"/>
    </row>
    <row r="2595" spans="1:9" s="145" customFormat="1">
      <c r="A2595" s="89"/>
      <c r="B2595" s="144"/>
      <c r="D2595" s="76"/>
      <c r="E2595" s="89"/>
      <c r="F2595" s="89"/>
      <c r="G2595" s="89"/>
      <c r="H2595" s="89"/>
      <c r="I2595" s="89"/>
    </row>
    <row r="2596" spans="1:9" s="145" customFormat="1">
      <c r="A2596" s="89"/>
      <c r="B2596" s="144"/>
      <c r="D2596" s="76"/>
      <c r="E2596" s="89"/>
      <c r="F2596" s="89"/>
      <c r="G2596" s="89"/>
      <c r="H2596" s="89"/>
      <c r="I2596" s="89"/>
    </row>
    <row r="2597" spans="1:9" s="145" customFormat="1">
      <c r="A2597" s="89"/>
      <c r="B2597" s="144"/>
      <c r="D2597" s="76"/>
      <c r="E2597" s="89"/>
      <c r="F2597" s="89"/>
      <c r="G2597" s="89"/>
      <c r="H2597" s="89"/>
      <c r="I2597" s="89"/>
    </row>
    <row r="2598" spans="1:9" s="145" customFormat="1">
      <c r="A2598" s="89"/>
      <c r="B2598" s="144"/>
      <c r="D2598" s="76"/>
      <c r="E2598" s="89"/>
      <c r="F2598" s="89"/>
      <c r="G2598" s="89"/>
      <c r="H2598" s="89"/>
      <c r="I2598" s="89"/>
    </row>
    <row r="2599" spans="1:9" s="145" customFormat="1">
      <c r="A2599" s="89"/>
      <c r="B2599" s="144"/>
      <c r="D2599" s="76"/>
      <c r="E2599" s="89"/>
      <c r="F2599" s="89"/>
      <c r="G2599" s="89"/>
      <c r="H2599" s="89"/>
      <c r="I2599" s="89"/>
    </row>
    <row r="2600" spans="1:9" s="145" customFormat="1">
      <c r="A2600" s="89"/>
      <c r="B2600" s="144"/>
      <c r="D2600" s="76"/>
      <c r="E2600" s="89"/>
      <c r="F2600" s="89"/>
      <c r="G2600" s="89"/>
      <c r="H2600" s="89"/>
      <c r="I2600" s="89"/>
    </row>
    <row r="2601" spans="1:9" s="145" customFormat="1">
      <c r="A2601" s="89"/>
      <c r="B2601" s="144"/>
      <c r="D2601" s="76"/>
      <c r="E2601" s="89"/>
      <c r="F2601" s="89"/>
      <c r="G2601" s="89"/>
      <c r="H2601" s="89"/>
      <c r="I2601" s="89"/>
    </row>
    <row r="2602" spans="1:9" s="145" customFormat="1">
      <c r="A2602" s="89"/>
      <c r="B2602" s="144"/>
      <c r="D2602" s="76"/>
      <c r="E2602" s="89"/>
      <c r="F2602" s="89"/>
      <c r="G2602" s="89"/>
      <c r="H2602" s="89"/>
      <c r="I2602" s="89"/>
    </row>
    <row r="2603" spans="1:9" s="145" customFormat="1">
      <c r="A2603" s="89"/>
      <c r="B2603" s="144"/>
      <c r="D2603" s="76"/>
      <c r="E2603" s="89"/>
      <c r="F2603" s="89"/>
      <c r="G2603" s="89"/>
      <c r="H2603" s="89"/>
      <c r="I2603" s="89"/>
    </row>
    <row r="2604" spans="1:9" s="145" customFormat="1">
      <c r="A2604" s="89"/>
      <c r="B2604" s="144"/>
      <c r="D2604" s="76"/>
      <c r="E2604" s="89"/>
      <c r="F2604" s="89"/>
      <c r="G2604" s="89"/>
      <c r="H2604" s="89"/>
      <c r="I2604" s="89"/>
    </row>
    <row r="2605" spans="1:9" s="145" customFormat="1">
      <c r="A2605" s="89"/>
      <c r="B2605" s="144"/>
      <c r="D2605" s="76"/>
      <c r="E2605" s="89"/>
      <c r="F2605" s="89"/>
      <c r="G2605" s="89"/>
      <c r="H2605" s="89"/>
      <c r="I2605" s="89"/>
    </row>
    <row r="2606" spans="1:9" s="145" customFormat="1">
      <c r="A2606" s="89"/>
      <c r="B2606" s="144"/>
      <c r="D2606" s="76"/>
      <c r="E2606" s="89"/>
      <c r="F2606" s="89"/>
      <c r="G2606" s="89"/>
      <c r="H2606" s="89"/>
      <c r="I2606" s="89"/>
    </row>
    <row r="2607" spans="1:9" s="145" customFormat="1">
      <c r="A2607" s="89"/>
      <c r="B2607" s="144"/>
      <c r="D2607" s="76"/>
      <c r="E2607" s="89"/>
      <c r="F2607" s="89"/>
      <c r="G2607" s="89"/>
      <c r="H2607" s="89"/>
      <c r="I2607" s="89"/>
    </row>
    <row r="2608" spans="1:9" s="145" customFormat="1">
      <c r="A2608" s="89"/>
      <c r="B2608" s="144"/>
      <c r="D2608" s="76"/>
      <c r="E2608" s="89"/>
      <c r="F2608" s="89"/>
      <c r="G2608" s="89"/>
      <c r="H2608" s="89"/>
      <c r="I2608" s="89"/>
    </row>
    <row r="2609" spans="1:9" s="145" customFormat="1">
      <c r="A2609" s="89"/>
      <c r="B2609" s="144"/>
      <c r="D2609" s="76"/>
      <c r="E2609" s="89"/>
      <c r="F2609" s="89"/>
      <c r="G2609" s="89"/>
      <c r="H2609" s="89"/>
      <c r="I2609" s="89"/>
    </row>
    <row r="2610" spans="1:9" s="145" customFormat="1">
      <c r="A2610" s="89"/>
      <c r="B2610" s="144"/>
      <c r="D2610" s="76"/>
      <c r="E2610" s="89"/>
      <c r="F2610" s="89"/>
      <c r="G2610" s="89"/>
      <c r="H2610" s="89"/>
      <c r="I2610" s="89"/>
    </row>
    <row r="2611" spans="1:9" s="145" customFormat="1">
      <c r="A2611" s="89"/>
      <c r="B2611" s="144"/>
      <c r="D2611" s="76"/>
      <c r="E2611" s="89"/>
      <c r="F2611" s="89"/>
      <c r="G2611" s="89"/>
      <c r="H2611" s="89"/>
      <c r="I2611" s="89"/>
    </row>
    <row r="2612" spans="1:9" s="145" customFormat="1">
      <c r="A2612" s="89"/>
      <c r="B2612" s="144"/>
      <c r="D2612" s="76"/>
      <c r="E2612" s="89"/>
      <c r="F2612" s="89"/>
      <c r="G2612" s="89"/>
      <c r="H2612" s="89"/>
      <c r="I2612" s="89"/>
    </row>
    <row r="2613" spans="1:9" s="145" customFormat="1">
      <c r="A2613" s="89"/>
      <c r="B2613" s="144"/>
      <c r="D2613" s="76"/>
      <c r="E2613" s="89"/>
      <c r="F2613" s="89"/>
      <c r="G2613" s="89"/>
      <c r="H2613" s="89"/>
      <c r="I2613" s="89"/>
    </row>
    <row r="2614" spans="1:9" s="145" customFormat="1">
      <c r="A2614" s="89"/>
      <c r="B2614" s="144"/>
      <c r="D2614" s="76"/>
      <c r="E2614" s="89"/>
      <c r="F2614" s="89"/>
      <c r="G2614" s="89"/>
      <c r="H2614" s="89"/>
      <c r="I2614" s="89"/>
    </row>
    <row r="2615" spans="1:9" s="145" customFormat="1">
      <c r="A2615" s="89"/>
      <c r="B2615" s="144"/>
      <c r="D2615" s="76"/>
      <c r="E2615" s="89"/>
      <c r="F2615" s="89"/>
      <c r="G2615" s="89"/>
      <c r="H2615" s="89"/>
      <c r="I2615" s="89"/>
    </row>
    <row r="2616" spans="1:9" s="145" customFormat="1">
      <c r="A2616" s="89"/>
      <c r="B2616" s="144"/>
      <c r="D2616" s="76"/>
      <c r="E2616" s="89"/>
      <c r="F2616" s="89"/>
      <c r="G2616" s="89"/>
      <c r="H2616" s="89"/>
      <c r="I2616" s="89"/>
    </row>
    <row r="2617" spans="1:9" s="145" customFormat="1">
      <c r="A2617" s="89"/>
      <c r="B2617" s="144"/>
      <c r="D2617" s="76"/>
      <c r="E2617" s="89"/>
      <c r="F2617" s="89"/>
      <c r="G2617" s="89"/>
      <c r="H2617" s="89"/>
      <c r="I2617" s="89"/>
    </row>
    <row r="2618" spans="1:9" s="145" customFormat="1">
      <c r="A2618" s="89"/>
      <c r="B2618" s="144"/>
      <c r="D2618" s="76"/>
      <c r="E2618" s="89"/>
      <c r="F2618" s="89"/>
      <c r="G2618" s="89"/>
      <c r="H2618" s="89"/>
      <c r="I2618" s="89"/>
    </row>
    <row r="2619" spans="1:9" s="145" customFormat="1">
      <c r="A2619" s="89"/>
      <c r="B2619" s="144"/>
      <c r="D2619" s="76"/>
      <c r="E2619" s="89"/>
      <c r="F2619" s="89"/>
      <c r="G2619" s="89"/>
      <c r="H2619" s="89"/>
      <c r="I2619" s="89"/>
    </row>
    <row r="2620" spans="1:9" s="145" customFormat="1">
      <c r="A2620" s="89"/>
      <c r="B2620" s="144"/>
      <c r="D2620" s="76"/>
      <c r="E2620" s="89"/>
      <c r="F2620" s="89"/>
      <c r="G2620" s="89"/>
      <c r="H2620" s="89"/>
      <c r="I2620" s="89"/>
    </row>
    <row r="2621" spans="1:9" s="145" customFormat="1">
      <c r="A2621" s="89"/>
      <c r="B2621" s="144"/>
      <c r="D2621" s="76"/>
      <c r="E2621" s="89"/>
      <c r="F2621" s="89"/>
      <c r="G2621" s="89"/>
      <c r="H2621" s="89"/>
      <c r="I2621" s="89"/>
    </row>
    <row r="2622" spans="1:9" s="145" customFormat="1">
      <c r="A2622" s="89"/>
      <c r="B2622" s="144"/>
      <c r="D2622" s="76"/>
      <c r="E2622" s="89"/>
      <c r="F2622" s="89"/>
      <c r="G2622" s="89"/>
      <c r="H2622" s="89"/>
      <c r="I2622" s="89"/>
    </row>
    <row r="2623" spans="1:9" s="145" customFormat="1">
      <c r="A2623" s="89"/>
      <c r="B2623" s="144"/>
      <c r="D2623" s="76"/>
      <c r="E2623" s="89"/>
      <c r="F2623" s="89"/>
      <c r="G2623" s="89"/>
      <c r="H2623" s="89"/>
      <c r="I2623" s="89"/>
    </row>
    <row r="2624" spans="1:9" s="145" customFormat="1">
      <c r="A2624" s="89"/>
      <c r="B2624" s="144"/>
      <c r="D2624" s="76"/>
      <c r="E2624" s="89"/>
      <c r="F2624" s="89"/>
      <c r="G2624" s="89"/>
      <c r="H2624" s="89"/>
      <c r="I2624" s="89"/>
    </row>
    <row r="2625" spans="1:9" s="145" customFormat="1">
      <c r="A2625" s="89"/>
      <c r="B2625" s="144"/>
      <c r="D2625" s="76"/>
      <c r="E2625" s="89"/>
      <c r="F2625" s="89"/>
      <c r="G2625" s="89"/>
      <c r="H2625" s="89"/>
      <c r="I2625" s="89"/>
    </row>
    <row r="2626" spans="1:9" s="145" customFormat="1">
      <c r="A2626" s="89"/>
      <c r="B2626" s="144"/>
      <c r="D2626" s="76"/>
      <c r="E2626" s="89"/>
      <c r="F2626" s="89"/>
      <c r="G2626" s="89"/>
      <c r="H2626" s="89"/>
      <c r="I2626" s="89"/>
    </row>
    <row r="2627" spans="1:9" s="145" customFormat="1">
      <c r="A2627" s="89"/>
      <c r="B2627" s="144"/>
      <c r="D2627" s="76"/>
      <c r="E2627" s="89"/>
      <c r="F2627" s="89"/>
      <c r="G2627" s="89"/>
      <c r="H2627" s="89"/>
      <c r="I2627" s="89"/>
    </row>
    <row r="2628" spans="1:9" s="145" customFormat="1">
      <c r="A2628" s="89"/>
      <c r="B2628" s="144"/>
      <c r="D2628" s="76"/>
      <c r="E2628" s="89"/>
      <c r="F2628" s="89"/>
      <c r="G2628" s="89"/>
      <c r="H2628" s="89"/>
      <c r="I2628" s="89"/>
    </row>
    <row r="2629" spans="1:9" s="145" customFormat="1">
      <c r="A2629" s="89"/>
      <c r="B2629" s="144"/>
      <c r="D2629" s="76"/>
      <c r="E2629" s="89"/>
      <c r="F2629" s="89"/>
      <c r="G2629" s="89"/>
      <c r="H2629" s="89"/>
      <c r="I2629" s="89"/>
    </row>
    <row r="2630" spans="1:9" s="145" customFormat="1">
      <c r="A2630" s="89"/>
      <c r="B2630" s="144"/>
      <c r="D2630" s="76"/>
      <c r="E2630" s="89"/>
      <c r="F2630" s="89"/>
      <c r="G2630" s="89"/>
      <c r="H2630" s="89"/>
      <c r="I2630" s="89"/>
    </row>
  </sheetData>
  <dataConsolidate/>
  <mergeCells count="8">
    <mergeCell ref="A1:I1"/>
    <mergeCell ref="E2:G2"/>
    <mergeCell ref="H2:H3"/>
    <mergeCell ref="I2:I3"/>
    <mergeCell ref="A2:A3"/>
    <mergeCell ref="B2:B3"/>
    <mergeCell ref="C2:C3"/>
    <mergeCell ref="D2:D3"/>
  </mergeCells>
  <phoneticPr fontId="8" type="noConversion"/>
  <printOptions horizontalCentered="1" gridLines="1"/>
  <pageMargins left="0.5" right="0.5" top="0.7" bottom="1.5" header="0.5" footer="0.5"/>
  <pageSetup paperSize="5" firstPageNumber="38" orientation="portrait" blackAndWhite="1" useFirstPageNumber="1" horizontalDpi="1200" r:id="rId1"/>
  <headerFooter alignWithMargins="0">
    <oddHeader>&amp;C&amp;P</oddHeader>
  </headerFooter>
  <rowBreaks count="31" manualBreakCount="31">
    <brk id="60" max="12" man="1"/>
    <brk id="93" max="12" man="1"/>
    <brk id="135" max="12" man="1"/>
    <brk id="173" max="12" man="1"/>
    <brk id="200" max="12" man="1"/>
    <brk id="224" max="12" man="1"/>
    <brk id="284" max="12" man="1"/>
    <brk id="313" max="12" man="1"/>
    <brk id="355" max="12" man="1"/>
    <brk id="401" max="12" man="1"/>
    <brk id="448" max="12" man="1"/>
    <brk id="469" max="12" man="1"/>
    <brk id="509" max="12" man="1"/>
    <brk id="556" max="12" man="1"/>
    <brk id="597" max="12" man="1"/>
    <brk id="768" max="12" man="1"/>
    <brk id="881" max="12" man="1"/>
    <brk id="927" max="12" man="1"/>
    <brk id="1086" max="12" man="1"/>
    <brk id="1123" max="12" man="1"/>
    <brk id="1190" max="12" man="1"/>
    <brk id="1220" max="12" man="1"/>
    <brk id="1249" max="12" man="1"/>
    <brk id="1279" max="12" man="1"/>
    <brk id="1319" max="12" man="1"/>
    <brk id="1367" max="12" man="1"/>
    <brk id="1413" max="12" man="1"/>
    <brk id="1440" max="12" man="1"/>
    <brk id="1472" max="12" man="1"/>
    <brk id="1498" max="12" man="1"/>
    <brk id="1533"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Sheet74">
    <tabColor indexed="11"/>
  </sheetPr>
  <dimension ref="A1:H371"/>
  <sheetViews>
    <sheetView zoomScaleNormal="100" zoomScaleSheetLayoutView="100" workbookViewId="0"/>
  </sheetViews>
  <sheetFormatPr defaultColWidth="9.1640625" defaultRowHeight="11.25"/>
  <cols>
    <col min="1" max="1" width="4.83203125" style="40" customWidth="1"/>
    <col min="2" max="2" width="19.83203125" style="42" customWidth="1"/>
    <col min="3" max="3" width="9.1640625" style="42" customWidth="1"/>
    <col min="4" max="4" width="2.83203125" style="43" customWidth="1"/>
    <col min="5" max="5" width="51.83203125" style="40" customWidth="1"/>
    <col min="6" max="6" width="15.6640625" style="40" customWidth="1"/>
    <col min="7" max="7" width="16.83203125" style="40" customWidth="1"/>
    <col min="8" max="8" width="2.83203125" style="84" customWidth="1"/>
    <col min="9" max="14" width="9.1640625" style="40" customWidth="1"/>
    <col min="15" max="16384" width="9.1640625" style="40"/>
  </cols>
  <sheetData>
    <row r="1" spans="1:7" ht="11.25" customHeight="1">
      <c r="A1" s="92"/>
      <c r="E1" s="99"/>
      <c r="F1" s="131"/>
      <c r="G1" s="131"/>
    </row>
    <row r="2" spans="1:7" ht="15.75" customHeight="1">
      <c r="A2" s="169" t="s">
        <v>10529</v>
      </c>
      <c r="B2" s="161"/>
      <c r="C2" s="161"/>
      <c r="D2" s="170"/>
      <c r="E2" s="171"/>
      <c r="F2" s="172"/>
      <c r="G2" s="172"/>
    </row>
    <row r="3" spans="1:7" ht="15.75" customHeight="1">
      <c r="A3" s="173" t="s">
        <v>4403</v>
      </c>
      <c r="E3" s="99"/>
      <c r="F3" s="131"/>
      <c r="G3" s="131"/>
    </row>
    <row r="4" spans="1:7" ht="11.25" customHeight="1">
      <c r="A4" s="93" t="s">
        <v>4857</v>
      </c>
      <c r="E4" s="99"/>
      <c r="F4" s="131"/>
      <c r="G4" s="131"/>
    </row>
    <row r="5" spans="1:7" ht="11.25" customHeight="1">
      <c r="A5" s="92"/>
      <c r="E5" s="99"/>
      <c r="F5" s="131"/>
      <c r="G5" s="131"/>
    </row>
    <row r="6" spans="1:7" ht="15.75" customHeight="1">
      <c r="A6" s="113" t="s">
        <v>4918</v>
      </c>
      <c r="B6" s="42" t="s">
        <v>234</v>
      </c>
      <c r="C6" s="42" t="s">
        <v>506</v>
      </c>
      <c r="E6" s="174" t="s">
        <v>4066</v>
      </c>
      <c r="F6" s="175" t="s">
        <v>3673</v>
      </c>
      <c r="G6" s="175" t="s">
        <v>3676</v>
      </c>
    </row>
    <row r="7" spans="1:7" ht="11.25" customHeight="1">
      <c r="A7" s="176"/>
      <c r="E7" s="99"/>
      <c r="F7" s="131"/>
      <c r="G7" s="131"/>
    </row>
    <row r="8" spans="1:7" ht="15.75">
      <c r="A8" s="113">
        <v>1</v>
      </c>
      <c r="B8" s="42" t="s">
        <v>4948</v>
      </c>
      <c r="E8" s="87" t="s">
        <v>4330</v>
      </c>
      <c r="F8" s="126"/>
      <c r="G8" s="126">
        <v>100000</v>
      </c>
    </row>
    <row r="9" spans="1:7" ht="15.75">
      <c r="A9" s="113">
        <v>2</v>
      </c>
      <c r="B9" s="42" t="s">
        <v>4950</v>
      </c>
      <c r="E9" s="87" t="s">
        <v>4331</v>
      </c>
      <c r="F9" s="126"/>
      <c r="G9" s="126">
        <v>150000</v>
      </c>
    </row>
    <row r="10" spans="1:7" ht="15.75">
      <c r="A10" s="113">
        <v>3</v>
      </c>
      <c r="B10" s="42" t="s">
        <v>4951</v>
      </c>
      <c r="E10" s="87" t="s">
        <v>4332</v>
      </c>
      <c r="F10" s="126"/>
      <c r="G10" s="126">
        <v>200000</v>
      </c>
    </row>
    <row r="11" spans="1:7" ht="15.75">
      <c r="A11" s="113">
        <v>4</v>
      </c>
      <c r="B11" s="42" t="s">
        <v>4952</v>
      </c>
      <c r="E11" s="87" t="s">
        <v>4333</v>
      </c>
      <c r="F11" s="126"/>
      <c r="G11" s="126">
        <v>150000</v>
      </c>
    </row>
    <row r="12" spans="1:7" ht="15.75">
      <c r="A12" s="113">
        <v>5</v>
      </c>
      <c r="B12" s="42" t="s">
        <v>4953</v>
      </c>
      <c r="E12" s="87" t="s">
        <v>4334</v>
      </c>
      <c r="F12" s="126"/>
      <c r="G12" s="126">
        <v>200000</v>
      </c>
    </row>
    <row r="13" spans="1:7" ht="15.75">
      <c r="A13" s="113">
        <v>6</v>
      </c>
      <c r="B13" s="42" t="s">
        <v>4954</v>
      </c>
      <c r="E13" s="87" t="s">
        <v>2852</v>
      </c>
      <c r="F13" s="126"/>
      <c r="G13" s="126">
        <v>500000</v>
      </c>
    </row>
    <row r="14" spans="1:7" ht="15.75">
      <c r="A14" s="113">
        <v>7</v>
      </c>
      <c r="B14" s="42" t="s">
        <v>4955</v>
      </c>
      <c r="E14" s="87" t="s">
        <v>4328</v>
      </c>
      <c r="F14" s="126"/>
      <c r="G14" s="126">
        <v>600000</v>
      </c>
    </row>
    <row r="15" spans="1:7" ht="15.75">
      <c r="A15" s="113">
        <v>8</v>
      </c>
      <c r="B15" s="42" t="s">
        <v>4956</v>
      </c>
      <c r="E15" s="87" t="s">
        <v>4329</v>
      </c>
      <c r="F15" s="126"/>
      <c r="G15" s="126">
        <v>500000</v>
      </c>
    </row>
    <row r="16" spans="1:7" ht="15.75">
      <c r="A16" s="113">
        <v>9</v>
      </c>
      <c r="B16" s="42" t="s">
        <v>4957</v>
      </c>
      <c r="E16" s="87" t="s">
        <v>2111</v>
      </c>
      <c r="F16" s="126"/>
      <c r="G16" s="126">
        <v>10000</v>
      </c>
    </row>
    <row r="17" spans="1:7" ht="15.75">
      <c r="A17" s="113">
        <v>10</v>
      </c>
      <c r="B17" s="42" t="s">
        <v>4958</v>
      </c>
      <c r="E17" s="87" t="s">
        <v>2113</v>
      </c>
      <c r="F17" s="126"/>
      <c r="G17" s="126">
        <v>100000</v>
      </c>
    </row>
    <row r="18" spans="1:7" ht="15.75">
      <c r="A18" s="113">
        <v>11</v>
      </c>
      <c r="B18" s="42" t="s">
        <v>4959</v>
      </c>
      <c r="E18" s="87" t="s">
        <v>2117</v>
      </c>
      <c r="F18" s="126"/>
      <c r="G18" s="126">
        <v>50000</v>
      </c>
    </row>
    <row r="19" spans="1:7" ht="11.25" customHeight="1">
      <c r="A19" s="177"/>
      <c r="E19" s="99"/>
      <c r="F19" s="131"/>
      <c r="G19" s="131"/>
    </row>
    <row r="20" spans="1:7" ht="15.75" customHeight="1">
      <c r="A20" s="178"/>
      <c r="B20" s="162"/>
      <c r="C20" s="162"/>
      <c r="D20" s="179"/>
      <c r="E20" s="180" t="str">
        <f>""&amp;TEXT(A2,"0")&amp;" एकूण"</f>
        <v>यादी क्र. R1 एकूण</v>
      </c>
      <c r="F20" s="181">
        <f t="shared" ref="F20:G20" si="0">SUM(F8:F19)</f>
        <v>0</v>
      </c>
      <c r="G20" s="181">
        <f t="shared" si="0"/>
        <v>2560000</v>
      </c>
    </row>
    <row r="21" spans="1:7" ht="11.25" customHeight="1">
      <c r="A21" s="92"/>
      <c r="E21" s="99"/>
      <c r="F21" s="131"/>
      <c r="G21" s="131"/>
    </row>
    <row r="22" spans="1:7" ht="11.25" customHeight="1">
      <c r="A22" s="92"/>
      <c r="E22" s="99"/>
      <c r="F22" s="131"/>
      <c r="G22" s="131"/>
    </row>
    <row r="23" spans="1:7" ht="15.75" customHeight="1">
      <c r="A23" s="169" t="s">
        <v>10530</v>
      </c>
      <c r="B23" s="161"/>
      <c r="C23" s="161"/>
      <c r="D23" s="170"/>
      <c r="E23" s="171"/>
      <c r="F23" s="172"/>
      <c r="G23" s="172"/>
    </row>
    <row r="24" spans="1:7" ht="15.75" customHeight="1">
      <c r="A24" s="173" t="s">
        <v>4497</v>
      </c>
      <c r="E24" s="99"/>
      <c r="F24" s="131"/>
      <c r="G24" s="131"/>
    </row>
    <row r="25" spans="1:7" ht="11.25" customHeight="1">
      <c r="A25" s="93" t="s">
        <v>4858</v>
      </c>
      <c r="E25" s="99"/>
      <c r="F25" s="131"/>
      <c r="G25" s="131"/>
    </row>
    <row r="26" spans="1:7" ht="11.25" customHeight="1">
      <c r="A26" s="92"/>
      <c r="E26" s="99"/>
      <c r="F26" s="131"/>
      <c r="G26" s="131"/>
    </row>
    <row r="27" spans="1:7" ht="15.75" customHeight="1">
      <c r="A27" s="113" t="s">
        <v>4918</v>
      </c>
      <c r="B27" s="42" t="s">
        <v>234</v>
      </c>
      <c r="C27" s="42" t="s">
        <v>506</v>
      </c>
      <c r="E27" s="174" t="s">
        <v>4066</v>
      </c>
      <c r="F27" s="175" t="s">
        <v>3673</v>
      </c>
      <c r="G27" s="175" t="s">
        <v>3676</v>
      </c>
    </row>
    <row r="28" spans="1:7" ht="11.25" customHeight="1">
      <c r="A28" s="177"/>
      <c r="E28" s="99"/>
      <c r="F28" s="131"/>
      <c r="G28" s="131"/>
    </row>
    <row r="29" spans="1:7" ht="15.75">
      <c r="A29" s="113">
        <v>1</v>
      </c>
      <c r="B29" s="42" t="s">
        <v>4960</v>
      </c>
      <c r="E29" s="87" t="s">
        <v>4335</v>
      </c>
      <c r="F29" s="126"/>
      <c r="G29" s="126">
        <v>700000</v>
      </c>
    </row>
    <row r="30" spans="1:7" ht="15.75">
      <c r="A30" s="113">
        <v>2</v>
      </c>
      <c r="B30" s="42" t="s">
        <v>4961</v>
      </c>
      <c r="E30" s="87" t="s">
        <v>7814</v>
      </c>
      <c r="F30" s="126"/>
      <c r="G30" s="126">
        <v>600000</v>
      </c>
    </row>
    <row r="31" spans="1:7" ht="15.75">
      <c r="A31" s="113">
        <v>3</v>
      </c>
      <c r="B31" s="42" t="s">
        <v>4962</v>
      </c>
      <c r="E31" s="87" t="s">
        <v>4336</v>
      </c>
      <c r="F31" s="126"/>
      <c r="G31" s="126">
        <v>215000</v>
      </c>
    </row>
    <row r="32" spans="1:7" ht="15.75">
      <c r="A32" s="113">
        <v>4</v>
      </c>
      <c r="B32" s="42" t="s">
        <v>4963</v>
      </c>
      <c r="E32" s="87" t="s">
        <v>4337</v>
      </c>
      <c r="F32" s="126"/>
      <c r="G32" s="126">
        <v>2000000</v>
      </c>
    </row>
    <row r="33" spans="1:7" ht="31.5">
      <c r="A33" s="113">
        <v>5</v>
      </c>
      <c r="B33" s="42" t="s">
        <v>4964</v>
      </c>
      <c r="E33" s="79" t="s">
        <v>4338</v>
      </c>
      <c r="F33" s="126"/>
      <c r="G33" s="126">
        <v>2000000</v>
      </c>
    </row>
    <row r="34" spans="1:7" ht="15.75">
      <c r="A34" s="113">
        <v>6</v>
      </c>
      <c r="B34" s="42" t="s">
        <v>4965</v>
      </c>
      <c r="E34" s="87" t="s">
        <v>4339</v>
      </c>
      <c r="F34" s="126"/>
      <c r="G34" s="126">
        <v>2000000</v>
      </c>
    </row>
    <row r="35" spans="1:7" ht="15.75">
      <c r="A35" s="113">
        <v>7</v>
      </c>
      <c r="B35" s="42" t="s">
        <v>4966</v>
      </c>
      <c r="E35" s="87" t="s">
        <v>4340</v>
      </c>
      <c r="F35" s="126"/>
      <c r="G35" s="126">
        <v>2000000</v>
      </c>
    </row>
    <row r="36" spans="1:7" ht="11.25" customHeight="1">
      <c r="A36" s="177"/>
      <c r="E36" s="99"/>
      <c r="F36" s="131"/>
      <c r="G36" s="131"/>
    </row>
    <row r="37" spans="1:7" ht="15.75" customHeight="1">
      <c r="A37" s="178"/>
      <c r="B37" s="162"/>
      <c r="C37" s="162"/>
      <c r="D37" s="179"/>
      <c r="E37" s="180" t="str">
        <f>""&amp;TEXT(A23,"0")&amp;" एकूण"</f>
        <v>यादी क्र. R2 एकूण</v>
      </c>
      <c r="F37" s="181">
        <f>SUM(F29:F36)</f>
        <v>0</v>
      </c>
      <c r="G37" s="181">
        <f>SUM(G29:G36)</f>
        <v>9515000</v>
      </c>
    </row>
    <row r="38" spans="1:7" ht="11.25" customHeight="1">
      <c r="A38" s="92"/>
      <c r="E38" s="99"/>
      <c r="F38" s="131"/>
      <c r="G38" s="131"/>
    </row>
    <row r="39" spans="1:7" ht="11.25" customHeight="1">
      <c r="A39" s="92"/>
      <c r="E39" s="99"/>
      <c r="F39" s="131"/>
      <c r="G39" s="131"/>
    </row>
    <row r="40" spans="1:7" ht="15.75" customHeight="1">
      <c r="A40" s="169" t="s">
        <v>10531</v>
      </c>
      <c r="B40" s="161"/>
      <c r="C40" s="161"/>
      <c r="D40" s="170"/>
      <c r="E40" s="171"/>
      <c r="F40" s="172"/>
      <c r="G40" s="172"/>
    </row>
    <row r="41" spans="1:7" ht="15.75" customHeight="1">
      <c r="A41" s="173" t="s">
        <v>4404</v>
      </c>
      <c r="E41" s="99"/>
      <c r="F41" s="131"/>
      <c r="G41" s="131"/>
    </row>
    <row r="42" spans="1:7" ht="11.25" customHeight="1">
      <c r="A42" s="93" t="s">
        <v>4859</v>
      </c>
      <c r="E42" s="99"/>
      <c r="F42" s="131"/>
      <c r="G42" s="131"/>
    </row>
    <row r="43" spans="1:7" ht="11.25" customHeight="1">
      <c r="A43" s="92"/>
      <c r="E43" s="99"/>
      <c r="F43" s="131"/>
      <c r="G43" s="131"/>
    </row>
    <row r="44" spans="1:7" ht="15.75" customHeight="1">
      <c r="A44" s="113" t="s">
        <v>4918</v>
      </c>
      <c r="B44" s="42" t="s">
        <v>234</v>
      </c>
      <c r="C44" s="42" t="s">
        <v>506</v>
      </c>
      <c r="E44" s="174" t="s">
        <v>4066</v>
      </c>
      <c r="F44" s="175" t="s">
        <v>3673</v>
      </c>
      <c r="G44" s="175" t="s">
        <v>3676</v>
      </c>
    </row>
    <row r="45" spans="1:7" ht="11.25" customHeight="1">
      <c r="A45" s="177"/>
      <c r="E45" s="99"/>
      <c r="F45" s="131"/>
      <c r="G45" s="131"/>
    </row>
    <row r="46" spans="1:7" ht="15.75">
      <c r="A46" s="113">
        <v>1</v>
      </c>
      <c r="B46" s="42" t="s">
        <v>4967</v>
      </c>
      <c r="E46" s="87" t="s">
        <v>4341</v>
      </c>
      <c r="F46" s="126"/>
      <c r="G46" s="126">
        <v>1000000</v>
      </c>
    </row>
    <row r="47" spans="1:7" ht="15.75">
      <c r="A47" s="113">
        <v>2</v>
      </c>
      <c r="B47" s="42" t="s">
        <v>4968</v>
      </c>
      <c r="E47" s="87" t="s">
        <v>4342</v>
      </c>
      <c r="F47" s="126"/>
      <c r="G47" s="126">
        <v>1000000</v>
      </c>
    </row>
    <row r="48" spans="1:7" ht="15.75">
      <c r="A48" s="113">
        <v>3</v>
      </c>
      <c r="B48" s="42" t="s">
        <v>4969</v>
      </c>
      <c r="E48" s="87" t="s">
        <v>4343</v>
      </c>
      <c r="F48" s="126"/>
      <c r="G48" s="126">
        <v>60000</v>
      </c>
    </row>
    <row r="49" spans="1:7" ht="15.75">
      <c r="A49" s="113">
        <v>4</v>
      </c>
      <c r="B49" s="42" t="s">
        <v>4970</v>
      </c>
      <c r="E49" s="87" t="s">
        <v>4344</v>
      </c>
      <c r="F49" s="126"/>
      <c r="G49" s="126">
        <v>500000</v>
      </c>
    </row>
    <row r="50" spans="1:7" ht="15.75">
      <c r="A50" s="113">
        <v>5</v>
      </c>
      <c r="B50" s="42" t="s">
        <v>4971</v>
      </c>
      <c r="E50" s="87" t="s">
        <v>10581</v>
      </c>
      <c r="F50" s="126"/>
      <c r="G50" s="126">
        <v>500000</v>
      </c>
    </row>
    <row r="51" spans="1:7" ht="15.75">
      <c r="A51" s="113">
        <v>6</v>
      </c>
      <c r="B51" s="42" t="s">
        <v>4972</v>
      </c>
      <c r="E51" s="87" t="s">
        <v>4345</v>
      </c>
      <c r="F51" s="126"/>
      <c r="G51" s="126">
        <v>300000</v>
      </c>
    </row>
    <row r="52" spans="1:7" ht="15.75">
      <c r="A52" s="113">
        <v>7</v>
      </c>
      <c r="B52" s="42" t="s">
        <v>4973</v>
      </c>
      <c r="E52" s="87" t="s">
        <v>4346</v>
      </c>
      <c r="F52" s="126"/>
      <c r="G52" s="126">
        <v>3000000</v>
      </c>
    </row>
    <row r="53" spans="1:7" ht="15.75">
      <c r="A53" s="113">
        <v>8</v>
      </c>
      <c r="B53" s="42" t="s">
        <v>4974</v>
      </c>
      <c r="E53" s="87" t="s">
        <v>4347</v>
      </c>
      <c r="F53" s="126"/>
      <c r="G53" s="126">
        <v>500000</v>
      </c>
    </row>
    <row r="54" spans="1:7" ht="15.75">
      <c r="A54" s="113">
        <v>9</v>
      </c>
      <c r="B54" s="42" t="s">
        <v>4975</v>
      </c>
      <c r="E54" s="87" t="s">
        <v>4348</v>
      </c>
      <c r="F54" s="126"/>
      <c r="G54" s="126">
        <v>500000</v>
      </c>
    </row>
    <row r="55" spans="1:7" ht="15.75">
      <c r="A55" s="113">
        <v>10</v>
      </c>
      <c r="B55" s="42" t="s">
        <v>4976</v>
      </c>
      <c r="E55" s="87" t="s">
        <v>4349</v>
      </c>
      <c r="F55" s="126"/>
      <c r="G55" s="126">
        <v>500000</v>
      </c>
    </row>
    <row r="56" spans="1:7" ht="15.75">
      <c r="A56" s="113">
        <v>11</v>
      </c>
      <c r="B56" s="42" t="s">
        <v>4977</v>
      </c>
      <c r="E56" s="87" t="s">
        <v>4350</v>
      </c>
      <c r="F56" s="126"/>
      <c r="G56" s="126">
        <v>500000</v>
      </c>
    </row>
    <row r="57" spans="1:7" ht="31.5">
      <c r="A57" s="113">
        <v>12</v>
      </c>
      <c r="B57" s="42" t="s">
        <v>4978</v>
      </c>
      <c r="E57" s="79" t="s">
        <v>10582</v>
      </c>
      <c r="F57" s="126"/>
      <c r="G57" s="126">
        <v>100000</v>
      </c>
    </row>
    <row r="58" spans="1:7" ht="15.75">
      <c r="A58" s="113">
        <v>13</v>
      </c>
      <c r="B58" s="42" t="s">
        <v>4979</v>
      </c>
      <c r="E58" s="87" t="s">
        <v>4351</v>
      </c>
      <c r="F58" s="126"/>
      <c r="G58" s="126">
        <v>175000</v>
      </c>
    </row>
    <row r="59" spans="1:7" ht="15.75">
      <c r="A59" s="113">
        <v>14</v>
      </c>
      <c r="B59" s="42" t="s">
        <v>4980</v>
      </c>
      <c r="E59" s="87" t="s">
        <v>2112</v>
      </c>
      <c r="F59" s="126"/>
      <c r="G59" s="126">
        <v>500000</v>
      </c>
    </row>
    <row r="60" spans="1:7" ht="15.75">
      <c r="A60" s="113">
        <v>15</v>
      </c>
      <c r="B60" s="42" t="s">
        <v>4981</v>
      </c>
      <c r="E60" s="87" t="s">
        <v>2114</v>
      </c>
      <c r="F60" s="126"/>
      <c r="G60" s="126">
        <v>500000</v>
      </c>
    </row>
    <row r="61" spans="1:7" ht="15.75">
      <c r="A61" s="113">
        <v>16</v>
      </c>
      <c r="B61" s="42" t="s">
        <v>4982</v>
      </c>
      <c r="E61" s="87" t="s">
        <v>2115</v>
      </c>
      <c r="F61" s="126"/>
      <c r="G61" s="126">
        <v>500000</v>
      </c>
    </row>
    <row r="62" spans="1:7" ht="15.75">
      <c r="A62" s="113">
        <v>17</v>
      </c>
      <c r="B62" s="42" t="s">
        <v>4983</v>
      </c>
      <c r="E62" s="87" t="s">
        <v>10407</v>
      </c>
      <c r="F62" s="126"/>
      <c r="G62" s="126">
        <v>500000</v>
      </c>
    </row>
    <row r="63" spans="1:7" ht="15.75">
      <c r="A63" s="113">
        <v>18</v>
      </c>
      <c r="B63" s="42" t="s">
        <v>5258</v>
      </c>
      <c r="E63" s="87" t="s">
        <v>7816</v>
      </c>
      <c r="F63" s="126"/>
      <c r="G63" s="126">
        <v>500000</v>
      </c>
    </row>
    <row r="64" spans="1:7" ht="15.75">
      <c r="A64" s="113">
        <v>19</v>
      </c>
      <c r="B64" s="42" t="s">
        <v>12689</v>
      </c>
      <c r="E64" s="87" t="s">
        <v>7815</v>
      </c>
      <c r="F64" s="126"/>
      <c r="G64" s="126">
        <v>300000</v>
      </c>
    </row>
    <row r="65" spans="1:7" ht="15.75">
      <c r="A65" s="113">
        <v>20</v>
      </c>
      <c r="B65" s="42" t="s">
        <v>12690</v>
      </c>
      <c r="E65" s="87" t="s">
        <v>7817</v>
      </c>
      <c r="F65" s="126"/>
      <c r="G65" s="126">
        <v>500000</v>
      </c>
    </row>
    <row r="66" spans="1:7" ht="15.75">
      <c r="A66" s="113">
        <v>21</v>
      </c>
      <c r="B66" s="42" t="s">
        <v>12691</v>
      </c>
      <c r="E66" s="87" t="s">
        <v>7818</v>
      </c>
      <c r="F66" s="126"/>
      <c r="G66" s="126">
        <v>500000</v>
      </c>
    </row>
    <row r="67" spans="1:7" ht="15.75">
      <c r="A67" s="113">
        <v>22</v>
      </c>
      <c r="B67" s="42" t="s">
        <v>12692</v>
      </c>
      <c r="E67" s="87" t="s">
        <v>7819</v>
      </c>
      <c r="F67" s="126"/>
      <c r="G67" s="126">
        <v>500000</v>
      </c>
    </row>
    <row r="68" spans="1:7" ht="15.75">
      <c r="A68" s="113">
        <v>23</v>
      </c>
      <c r="B68" s="42" t="s">
        <v>12693</v>
      </c>
      <c r="E68" s="87" t="s">
        <v>7820</v>
      </c>
      <c r="F68" s="126"/>
      <c r="G68" s="126">
        <v>500000</v>
      </c>
    </row>
    <row r="69" spans="1:7" ht="15.75">
      <c r="A69" s="113">
        <v>24</v>
      </c>
      <c r="B69" s="42" t="s">
        <v>12694</v>
      </c>
      <c r="E69" s="87" t="s">
        <v>7821</v>
      </c>
      <c r="F69" s="126"/>
      <c r="G69" s="126">
        <v>500000</v>
      </c>
    </row>
    <row r="70" spans="1:7" ht="15.75">
      <c r="A70" s="113">
        <v>25</v>
      </c>
      <c r="B70" s="42" t="s">
        <v>12695</v>
      </c>
      <c r="E70" s="87" t="s">
        <v>7822</v>
      </c>
      <c r="F70" s="126"/>
      <c r="G70" s="126">
        <v>200000</v>
      </c>
    </row>
    <row r="71" spans="1:7" ht="11.25" customHeight="1">
      <c r="A71" s="177"/>
      <c r="E71" s="99"/>
      <c r="F71" s="131"/>
      <c r="G71" s="131"/>
    </row>
    <row r="72" spans="1:7" ht="15.75" customHeight="1">
      <c r="A72" s="178"/>
      <c r="B72" s="162"/>
      <c r="C72" s="162"/>
      <c r="D72" s="179"/>
      <c r="E72" s="180" t="str">
        <f>""&amp;TEXT(A40,"0")&amp;" एकूण"</f>
        <v>यादी क्र. R3 एकूण</v>
      </c>
      <c r="F72" s="181">
        <f>SUM(F46:F71)</f>
        <v>0</v>
      </c>
      <c r="G72" s="181">
        <f>SUM(G46:G71)</f>
        <v>14135000</v>
      </c>
    </row>
    <row r="73" spans="1:7" ht="11.25" customHeight="1">
      <c r="A73" s="92"/>
      <c r="E73" s="99"/>
      <c r="F73" s="131"/>
      <c r="G73" s="131"/>
    </row>
    <row r="74" spans="1:7" ht="11.25" customHeight="1">
      <c r="A74" s="92"/>
      <c r="E74" s="99"/>
      <c r="F74" s="131"/>
      <c r="G74" s="131"/>
    </row>
    <row r="75" spans="1:7" ht="15.75" customHeight="1">
      <c r="A75" s="169" t="s">
        <v>10532</v>
      </c>
      <c r="B75" s="161"/>
      <c r="C75" s="161"/>
      <c r="D75" s="170"/>
      <c r="E75" s="171"/>
      <c r="F75" s="172"/>
      <c r="G75" s="172"/>
    </row>
    <row r="76" spans="1:7" ht="15.75" customHeight="1">
      <c r="A76" s="173" t="s">
        <v>4405</v>
      </c>
      <c r="E76" s="99"/>
      <c r="F76" s="131"/>
      <c r="G76" s="131"/>
    </row>
    <row r="77" spans="1:7" ht="11.25" customHeight="1">
      <c r="A77" s="93" t="s">
        <v>4860</v>
      </c>
      <c r="E77" s="99"/>
      <c r="F77" s="131"/>
      <c r="G77" s="131"/>
    </row>
    <row r="78" spans="1:7" ht="11.25" customHeight="1">
      <c r="A78" s="92"/>
      <c r="E78" s="99"/>
      <c r="F78" s="131"/>
      <c r="G78" s="131"/>
    </row>
    <row r="79" spans="1:7" ht="15.75" customHeight="1">
      <c r="A79" s="113" t="s">
        <v>4918</v>
      </c>
      <c r="B79" s="42" t="s">
        <v>234</v>
      </c>
      <c r="C79" s="42" t="s">
        <v>506</v>
      </c>
      <c r="E79" s="174" t="s">
        <v>4066</v>
      </c>
      <c r="F79" s="175" t="s">
        <v>3673</v>
      </c>
      <c r="G79" s="175" t="s">
        <v>3676</v>
      </c>
    </row>
    <row r="80" spans="1:7" ht="11.25" customHeight="1">
      <c r="A80" s="177"/>
      <c r="E80" s="99"/>
      <c r="F80" s="131"/>
      <c r="G80" s="131"/>
    </row>
    <row r="81" spans="1:7" ht="15.75">
      <c r="A81" s="113">
        <v>1</v>
      </c>
      <c r="B81" s="42" t="s">
        <v>4984</v>
      </c>
      <c r="E81" s="88" t="s">
        <v>4352</v>
      </c>
      <c r="F81" s="126"/>
      <c r="G81" s="126">
        <v>3500000</v>
      </c>
    </row>
    <row r="82" spans="1:7" ht="15.75">
      <c r="A82" s="113">
        <v>2</v>
      </c>
      <c r="B82" s="42" t="s">
        <v>4985</v>
      </c>
      <c r="E82" s="88" t="s">
        <v>2457</v>
      </c>
      <c r="F82" s="126"/>
      <c r="G82" s="126">
        <v>14000000</v>
      </c>
    </row>
    <row r="83" spans="1:7" ht="15.75">
      <c r="A83" s="113">
        <v>3</v>
      </c>
      <c r="B83" s="42" t="s">
        <v>4986</v>
      </c>
      <c r="E83" s="88" t="s">
        <v>2458</v>
      </c>
      <c r="F83" s="126"/>
      <c r="G83" s="126">
        <v>7000000</v>
      </c>
    </row>
    <row r="84" spans="1:7" ht="15.75">
      <c r="A84" s="113">
        <v>4</v>
      </c>
      <c r="B84" s="42" t="s">
        <v>4987</v>
      </c>
      <c r="E84" s="88" t="s">
        <v>2459</v>
      </c>
      <c r="F84" s="126"/>
      <c r="G84" s="126">
        <v>5250000</v>
      </c>
    </row>
    <row r="85" spans="1:7" ht="15.75">
      <c r="A85" s="113">
        <v>5</v>
      </c>
      <c r="B85" s="42" t="s">
        <v>4988</v>
      </c>
      <c r="E85" s="88" t="s">
        <v>2460</v>
      </c>
      <c r="F85" s="126"/>
      <c r="G85" s="126">
        <v>3500000</v>
      </c>
    </row>
    <row r="86" spans="1:7" ht="15.75">
      <c r="A86" s="113">
        <v>6</v>
      </c>
      <c r="B86" s="42" t="s">
        <v>4989</v>
      </c>
      <c r="E86" s="88" t="s">
        <v>2461</v>
      </c>
      <c r="F86" s="126"/>
      <c r="G86" s="126">
        <v>1750000</v>
      </c>
    </row>
    <row r="87" spans="1:7" ht="11.25" customHeight="1">
      <c r="A87" s="177"/>
      <c r="E87" s="99"/>
      <c r="F87" s="131"/>
      <c r="G87" s="131"/>
    </row>
    <row r="88" spans="1:7" ht="15.75" customHeight="1">
      <c r="A88" s="178"/>
      <c r="B88" s="162"/>
      <c r="C88" s="162"/>
      <c r="D88" s="179"/>
      <c r="E88" s="180" t="str">
        <f>""&amp;TEXT(A75,"0")&amp;" एकूण"</f>
        <v>यादी क्र. R4 एकूण</v>
      </c>
      <c r="F88" s="181">
        <f t="shared" ref="F88:G88" si="1">SUM(F81:F87)</f>
        <v>0</v>
      </c>
      <c r="G88" s="181">
        <f t="shared" si="1"/>
        <v>35000000</v>
      </c>
    </row>
    <row r="89" spans="1:7" ht="11.25" customHeight="1">
      <c r="A89" s="92"/>
      <c r="E89" s="99"/>
      <c r="F89" s="131"/>
      <c r="G89" s="131"/>
    </row>
    <row r="90" spans="1:7" ht="11.25" customHeight="1">
      <c r="A90" s="92"/>
      <c r="E90" s="99"/>
      <c r="F90" s="131"/>
      <c r="G90" s="131"/>
    </row>
    <row r="91" spans="1:7" ht="15.75" customHeight="1">
      <c r="A91" s="169" t="s">
        <v>10533</v>
      </c>
      <c r="B91" s="161"/>
      <c r="C91" s="161"/>
      <c r="D91" s="170"/>
      <c r="E91" s="171"/>
      <c r="F91" s="172"/>
      <c r="G91" s="172"/>
    </row>
    <row r="92" spans="1:7" ht="15.75" customHeight="1">
      <c r="A92" s="173" t="s">
        <v>4472</v>
      </c>
      <c r="E92" s="99"/>
      <c r="F92" s="131"/>
      <c r="G92" s="131"/>
    </row>
    <row r="93" spans="1:7" ht="11.25" customHeight="1">
      <c r="A93" s="93" t="s">
        <v>4861</v>
      </c>
      <c r="E93" s="99"/>
      <c r="F93" s="131"/>
      <c r="G93" s="131"/>
    </row>
    <row r="94" spans="1:7" ht="11.25" customHeight="1">
      <c r="A94" s="92"/>
      <c r="E94" s="99"/>
      <c r="F94" s="131"/>
      <c r="G94" s="131"/>
    </row>
    <row r="95" spans="1:7" ht="15.75" customHeight="1">
      <c r="A95" s="113" t="s">
        <v>4918</v>
      </c>
      <c r="B95" s="42" t="s">
        <v>234</v>
      </c>
      <c r="C95" s="42" t="s">
        <v>506</v>
      </c>
      <c r="E95" s="174" t="s">
        <v>4066</v>
      </c>
      <c r="F95" s="175" t="s">
        <v>3673</v>
      </c>
      <c r="G95" s="175" t="s">
        <v>3676</v>
      </c>
    </row>
    <row r="96" spans="1:7" ht="11.25" customHeight="1">
      <c r="A96" s="177"/>
      <c r="E96" s="99"/>
      <c r="F96" s="131"/>
      <c r="G96" s="131"/>
    </row>
    <row r="97" spans="1:7" ht="15.75">
      <c r="A97" s="113">
        <v>1</v>
      </c>
      <c r="B97" s="42" t="s">
        <v>4949</v>
      </c>
      <c r="E97" s="87" t="s">
        <v>4475</v>
      </c>
      <c r="F97" s="126"/>
      <c r="G97" s="126">
        <v>14000000</v>
      </c>
    </row>
    <row r="98" spans="1:7" ht="15.75">
      <c r="A98" s="113">
        <v>2</v>
      </c>
      <c r="B98" s="42" t="s">
        <v>4990</v>
      </c>
      <c r="E98" s="87" t="s">
        <v>4477</v>
      </c>
      <c r="F98" s="126"/>
      <c r="G98" s="126">
        <v>2800000</v>
      </c>
    </row>
    <row r="99" spans="1:7" ht="31.5">
      <c r="A99" s="113">
        <v>3</v>
      </c>
      <c r="B99" s="42" t="s">
        <v>4991</v>
      </c>
      <c r="E99" s="79" t="s">
        <v>4478</v>
      </c>
      <c r="F99" s="126"/>
      <c r="G99" s="126">
        <v>5600000</v>
      </c>
    </row>
    <row r="100" spans="1:7" ht="15.75">
      <c r="A100" s="113">
        <v>4</v>
      </c>
      <c r="B100" s="42" t="s">
        <v>4992</v>
      </c>
      <c r="E100" s="87" t="s">
        <v>4483</v>
      </c>
      <c r="F100" s="126"/>
      <c r="G100" s="126">
        <v>6000000</v>
      </c>
    </row>
    <row r="101" spans="1:7" ht="15.75">
      <c r="A101" s="113">
        <v>5</v>
      </c>
      <c r="B101" s="42" t="s">
        <v>4993</v>
      </c>
      <c r="E101" s="87" t="s">
        <v>4484</v>
      </c>
      <c r="F101" s="126"/>
      <c r="G101" s="126">
        <v>6000000</v>
      </c>
    </row>
    <row r="102" spans="1:7" ht="15.75">
      <c r="A102" s="113">
        <v>6</v>
      </c>
      <c r="B102" s="42" t="s">
        <v>4994</v>
      </c>
      <c r="E102" s="87" t="s">
        <v>4486</v>
      </c>
      <c r="F102" s="126"/>
      <c r="G102" s="126">
        <v>2000000</v>
      </c>
    </row>
    <row r="103" spans="1:7" ht="15.75">
      <c r="A103" s="113">
        <v>7</v>
      </c>
      <c r="B103" s="42" t="s">
        <v>4995</v>
      </c>
      <c r="E103" s="87" t="s">
        <v>4485</v>
      </c>
      <c r="F103" s="126"/>
      <c r="G103" s="126">
        <v>1200000</v>
      </c>
    </row>
    <row r="104" spans="1:7" ht="15.75">
      <c r="A104" s="113">
        <v>8</v>
      </c>
      <c r="B104" s="42" t="s">
        <v>4996</v>
      </c>
      <c r="E104" s="87" t="s">
        <v>4487</v>
      </c>
      <c r="F104" s="126"/>
      <c r="G104" s="126">
        <v>1200000</v>
      </c>
    </row>
    <row r="105" spans="1:7" ht="15.75">
      <c r="A105" s="113">
        <v>9</v>
      </c>
      <c r="B105" s="42" t="s">
        <v>4997</v>
      </c>
      <c r="E105" s="87" t="s">
        <v>4488</v>
      </c>
      <c r="F105" s="126"/>
      <c r="G105" s="126">
        <v>2800000</v>
      </c>
    </row>
    <row r="106" spans="1:7" ht="31.5">
      <c r="A106" s="113">
        <v>10</v>
      </c>
      <c r="B106" s="42" t="s">
        <v>4998</v>
      </c>
      <c r="E106" s="79" t="s">
        <v>4479</v>
      </c>
      <c r="F106" s="126"/>
      <c r="G106" s="126">
        <v>4400000</v>
      </c>
    </row>
    <row r="107" spans="1:7" ht="15.75">
      <c r="A107" s="113">
        <v>11</v>
      </c>
      <c r="B107" s="42" t="s">
        <v>4999</v>
      </c>
      <c r="E107" s="87" t="s">
        <v>4480</v>
      </c>
      <c r="F107" s="126"/>
      <c r="G107" s="126">
        <v>1600000</v>
      </c>
    </row>
    <row r="108" spans="1:7" ht="15.75">
      <c r="A108" s="113"/>
      <c r="E108" s="87"/>
      <c r="F108" s="126"/>
      <c r="G108" s="126"/>
    </row>
    <row r="109" spans="1:7" ht="15.75">
      <c r="A109" s="113"/>
      <c r="E109" s="87" t="s">
        <v>4489</v>
      </c>
      <c r="F109" s="126"/>
      <c r="G109" s="126"/>
    </row>
    <row r="110" spans="1:7" ht="15.75">
      <c r="A110" s="113">
        <v>12</v>
      </c>
      <c r="B110" s="42" t="s">
        <v>5000</v>
      </c>
      <c r="E110" s="87" t="s">
        <v>4490</v>
      </c>
      <c r="F110" s="126"/>
      <c r="G110" s="126">
        <v>2800000</v>
      </c>
    </row>
    <row r="111" spans="1:7" ht="15.75">
      <c r="A111" s="113">
        <v>13</v>
      </c>
      <c r="B111" s="42" t="s">
        <v>5001</v>
      </c>
      <c r="E111" s="87" t="s">
        <v>4481</v>
      </c>
      <c r="F111" s="126"/>
      <c r="G111" s="126">
        <v>2000000</v>
      </c>
    </row>
    <row r="112" spans="1:7" ht="15.75">
      <c r="A112" s="113">
        <v>14</v>
      </c>
      <c r="B112" s="42" t="s">
        <v>5002</v>
      </c>
      <c r="E112" s="87" t="s">
        <v>4482</v>
      </c>
      <c r="F112" s="126"/>
      <c r="G112" s="126">
        <v>2000000</v>
      </c>
    </row>
    <row r="113" spans="1:7" ht="31.5">
      <c r="A113" s="113">
        <v>15</v>
      </c>
      <c r="B113" s="42" t="s">
        <v>5003</v>
      </c>
      <c r="E113" s="79" t="s">
        <v>4492</v>
      </c>
      <c r="F113" s="126"/>
      <c r="G113" s="126">
        <v>2800000</v>
      </c>
    </row>
    <row r="114" spans="1:7" ht="15.75">
      <c r="A114" s="113">
        <v>16</v>
      </c>
      <c r="B114" s="42" t="s">
        <v>5004</v>
      </c>
      <c r="E114" s="87" t="s">
        <v>4752</v>
      </c>
      <c r="F114" s="126"/>
      <c r="G114" s="126">
        <v>2800000</v>
      </c>
    </row>
    <row r="115" spans="1:7" ht="15.75">
      <c r="A115" s="113">
        <v>17</v>
      </c>
      <c r="B115" s="42" t="s">
        <v>5005</v>
      </c>
      <c r="E115" s="87" t="s">
        <v>4491</v>
      </c>
      <c r="F115" s="126"/>
      <c r="G115" s="126">
        <v>1200000</v>
      </c>
    </row>
    <row r="116" spans="1:7" ht="15.75">
      <c r="A116" s="113">
        <v>18</v>
      </c>
      <c r="B116" s="42" t="s">
        <v>5006</v>
      </c>
      <c r="E116" s="87" t="s">
        <v>4493</v>
      </c>
      <c r="F116" s="126"/>
      <c r="G116" s="126">
        <v>800000</v>
      </c>
    </row>
    <row r="117" spans="1:7" ht="15.75">
      <c r="A117" s="113">
        <v>19</v>
      </c>
      <c r="B117" s="42" t="s">
        <v>5250</v>
      </c>
      <c r="E117" s="87" t="s">
        <v>5249</v>
      </c>
      <c r="F117" s="126"/>
      <c r="G117" s="126">
        <v>800000</v>
      </c>
    </row>
    <row r="118" spans="1:7" ht="11.25" customHeight="1">
      <c r="A118" s="177"/>
      <c r="E118" s="99"/>
      <c r="F118" s="131"/>
      <c r="G118" s="131"/>
    </row>
    <row r="119" spans="1:7" ht="15.75" customHeight="1">
      <c r="A119" s="178"/>
      <c r="B119" s="162"/>
      <c r="C119" s="162"/>
      <c r="D119" s="179"/>
      <c r="E119" s="180" t="str">
        <f>""&amp;TEXT(A91,"0")&amp;" एकूण"</f>
        <v>यादी क्र. R7 एकूण</v>
      </c>
      <c r="F119" s="181">
        <f t="shared" ref="F119:G119" si="2">SUM(F97:F118)</f>
        <v>0</v>
      </c>
      <c r="G119" s="181">
        <f t="shared" si="2"/>
        <v>62800000</v>
      </c>
    </row>
    <row r="120" spans="1:7" ht="11.25" customHeight="1">
      <c r="A120" s="92"/>
      <c r="E120" s="99"/>
      <c r="F120" s="131"/>
      <c r="G120" s="131"/>
    </row>
    <row r="121" spans="1:7" ht="11.25" customHeight="1">
      <c r="A121" s="92"/>
      <c r="E121" s="99"/>
      <c r="F121" s="131"/>
      <c r="G121" s="131"/>
    </row>
    <row r="122" spans="1:7" ht="15.75" customHeight="1">
      <c r="A122" s="169" t="s">
        <v>10534</v>
      </c>
      <c r="B122" s="161"/>
      <c r="C122" s="161"/>
      <c r="D122" s="170"/>
      <c r="E122" s="171"/>
      <c r="F122" s="172"/>
      <c r="G122" s="172"/>
    </row>
    <row r="123" spans="1:7" ht="15.75" customHeight="1">
      <c r="A123" s="173" t="s">
        <v>4696</v>
      </c>
      <c r="E123" s="99"/>
      <c r="F123" s="131"/>
      <c r="G123" s="131"/>
    </row>
    <row r="124" spans="1:7" ht="11.25" customHeight="1">
      <c r="A124" s="93" t="s">
        <v>4862</v>
      </c>
      <c r="E124" s="99"/>
      <c r="F124" s="131"/>
      <c r="G124" s="131"/>
    </row>
    <row r="125" spans="1:7" ht="11.25" customHeight="1">
      <c r="A125" s="92"/>
      <c r="E125" s="99"/>
      <c r="F125" s="131"/>
      <c r="G125" s="131"/>
    </row>
    <row r="126" spans="1:7" ht="15.75" customHeight="1">
      <c r="A126" s="113" t="s">
        <v>4918</v>
      </c>
      <c r="B126" s="42" t="s">
        <v>234</v>
      </c>
      <c r="C126" s="42" t="s">
        <v>506</v>
      </c>
      <c r="E126" s="174" t="s">
        <v>4066</v>
      </c>
      <c r="F126" s="175" t="s">
        <v>3673</v>
      </c>
      <c r="G126" s="175" t="s">
        <v>3676</v>
      </c>
    </row>
    <row r="127" spans="1:7" ht="11.25" customHeight="1">
      <c r="A127" s="177"/>
      <c r="E127" s="99"/>
      <c r="F127" s="131"/>
      <c r="G127" s="131"/>
    </row>
    <row r="128" spans="1:7" ht="15.75">
      <c r="A128" s="113">
        <v>1</v>
      </c>
      <c r="B128" s="42" t="s">
        <v>12696</v>
      </c>
      <c r="E128" s="87" t="s">
        <v>8515</v>
      </c>
      <c r="F128" s="126"/>
      <c r="G128" s="126">
        <v>6400000</v>
      </c>
    </row>
    <row r="129" spans="1:7" ht="15.75">
      <c r="A129" s="113">
        <v>2</v>
      </c>
      <c r="B129" s="42" t="s">
        <v>12697</v>
      </c>
      <c r="E129" s="87" t="s">
        <v>8516</v>
      </c>
      <c r="F129" s="126"/>
      <c r="G129" s="126">
        <v>800000</v>
      </c>
    </row>
    <row r="130" spans="1:7" ht="15.75">
      <c r="A130" s="113">
        <v>3</v>
      </c>
      <c r="B130" s="42" t="s">
        <v>12698</v>
      </c>
      <c r="E130" s="87" t="s">
        <v>8517</v>
      </c>
      <c r="F130" s="126"/>
      <c r="G130" s="126">
        <v>800000</v>
      </c>
    </row>
    <row r="131" spans="1:7" ht="15.75">
      <c r="A131" s="113">
        <v>4</v>
      </c>
      <c r="B131" s="42" t="s">
        <v>12699</v>
      </c>
      <c r="E131" s="87" t="s">
        <v>8518</v>
      </c>
      <c r="F131" s="126"/>
      <c r="G131" s="126">
        <v>800000</v>
      </c>
    </row>
    <row r="132" spans="1:7" ht="15.75">
      <c r="A132" s="113">
        <v>5</v>
      </c>
      <c r="B132" s="42" t="s">
        <v>12700</v>
      </c>
      <c r="E132" s="87" t="s">
        <v>8519</v>
      </c>
      <c r="F132" s="126"/>
      <c r="G132" s="126">
        <v>800000</v>
      </c>
    </row>
    <row r="133" spans="1:7" ht="15.75">
      <c r="A133" s="113">
        <v>6</v>
      </c>
      <c r="B133" s="42" t="s">
        <v>12701</v>
      </c>
      <c r="E133" s="87" t="s">
        <v>8520</v>
      </c>
      <c r="F133" s="126"/>
      <c r="G133" s="126">
        <v>8000000</v>
      </c>
    </row>
    <row r="134" spans="1:7" ht="15.75">
      <c r="A134" s="113">
        <v>7</v>
      </c>
      <c r="B134" s="42" t="s">
        <v>12702</v>
      </c>
      <c r="E134" s="87" t="s">
        <v>8521</v>
      </c>
      <c r="F134" s="126"/>
      <c r="G134" s="126">
        <v>2000000</v>
      </c>
    </row>
    <row r="135" spans="1:7" ht="15.75">
      <c r="A135" s="113">
        <v>8</v>
      </c>
      <c r="B135" s="42" t="s">
        <v>12703</v>
      </c>
      <c r="E135" s="87" t="s">
        <v>8522</v>
      </c>
      <c r="F135" s="126"/>
      <c r="G135" s="126">
        <v>2000000</v>
      </c>
    </row>
    <row r="136" spans="1:7" ht="15.75">
      <c r="A136" s="113">
        <v>9</v>
      </c>
      <c r="B136" s="42" t="s">
        <v>12704</v>
      </c>
      <c r="E136" s="87" t="s">
        <v>8523</v>
      </c>
      <c r="F136" s="126"/>
      <c r="G136" s="126">
        <v>6000000</v>
      </c>
    </row>
    <row r="137" spans="1:7" ht="15.75">
      <c r="A137" s="113">
        <v>10</v>
      </c>
      <c r="B137" s="42" t="s">
        <v>12705</v>
      </c>
      <c r="E137" s="87" t="s">
        <v>10492</v>
      </c>
      <c r="F137" s="126"/>
      <c r="G137" s="126">
        <v>2000000</v>
      </c>
    </row>
    <row r="138" spans="1:7" ht="11.25" customHeight="1">
      <c r="A138" s="177"/>
      <c r="E138" s="99"/>
      <c r="F138" s="131"/>
      <c r="G138" s="131"/>
    </row>
    <row r="139" spans="1:7" ht="15.75" customHeight="1">
      <c r="A139" s="178"/>
      <c r="B139" s="162"/>
      <c r="C139" s="162"/>
      <c r="D139" s="179"/>
      <c r="E139" s="180" t="str">
        <f>""&amp;TEXT(A122,"0")&amp;" एकूण"</f>
        <v>यादी क्र. R8 एकूण</v>
      </c>
      <c r="F139" s="181">
        <f t="shared" ref="F139:G139" si="3">SUM(F128:F138)</f>
        <v>0</v>
      </c>
      <c r="G139" s="181">
        <f t="shared" si="3"/>
        <v>29600000</v>
      </c>
    </row>
    <row r="140" spans="1:7" ht="11.25" customHeight="1">
      <c r="A140" s="92"/>
      <c r="E140" s="99"/>
      <c r="F140" s="131"/>
      <c r="G140" s="131"/>
    </row>
    <row r="141" spans="1:7" ht="11.25" customHeight="1">
      <c r="A141" s="92"/>
      <c r="E141" s="99"/>
      <c r="F141" s="131"/>
      <c r="G141" s="131"/>
    </row>
    <row r="142" spans="1:7" ht="15.75" customHeight="1">
      <c r="A142" s="169" t="s">
        <v>10535</v>
      </c>
      <c r="B142" s="161"/>
      <c r="C142" s="161"/>
      <c r="D142" s="170"/>
      <c r="E142" s="171"/>
      <c r="F142" s="172"/>
      <c r="G142" s="172"/>
    </row>
    <row r="143" spans="1:7" ht="15.75" customHeight="1">
      <c r="A143" s="173" t="s">
        <v>10389</v>
      </c>
      <c r="E143" s="99"/>
      <c r="F143" s="131"/>
      <c r="G143" s="131"/>
    </row>
    <row r="144" spans="1:7" ht="11.25" customHeight="1">
      <c r="A144" s="93" t="s">
        <v>12706</v>
      </c>
      <c r="E144" s="99"/>
      <c r="F144" s="131"/>
      <c r="G144" s="131"/>
    </row>
    <row r="145" spans="1:7" ht="11.25" customHeight="1">
      <c r="A145" s="92"/>
      <c r="E145" s="99"/>
      <c r="F145" s="131"/>
      <c r="G145" s="131"/>
    </row>
    <row r="146" spans="1:7" ht="15.75" customHeight="1">
      <c r="A146" s="113" t="s">
        <v>4918</v>
      </c>
      <c r="B146" s="42" t="s">
        <v>234</v>
      </c>
      <c r="C146" s="42" t="s">
        <v>506</v>
      </c>
      <c r="E146" s="174" t="s">
        <v>4066</v>
      </c>
      <c r="F146" s="175" t="s">
        <v>3673</v>
      </c>
      <c r="G146" s="175" t="s">
        <v>3676</v>
      </c>
    </row>
    <row r="147" spans="1:7" ht="11.25" customHeight="1">
      <c r="A147" s="177"/>
      <c r="E147" s="99"/>
      <c r="F147" s="131"/>
      <c r="G147" s="131"/>
    </row>
    <row r="148" spans="1:7" ht="15.75">
      <c r="A148" s="113">
        <v>1</v>
      </c>
      <c r="B148" s="42" t="s">
        <v>12707</v>
      </c>
      <c r="E148" s="87" t="s">
        <v>10227</v>
      </c>
      <c r="F148" s="126"/>
      <c r="G148" s="126">
        <v>2000000</v>
      </c>
    </row>
    <row r="149" spans="1:7" ht="15.75">
      <c r="A149" s="113">
        <v>2</v>
      </c>
      <c r="B149" s="42" t="s">
        <v>12708</v>
      </c>
      <c r="E149" s="87" t="s">
        <v>10228</v>
      </c>
      <c r="F149" s="126"/>
      <c r="G149" s="126">
        <v>2000000</v>
      </c>
    </row>
    <row r="150" spans="1:7" ht="15.75">
      <c r="A150" s="113">
        <v>3</v>
      </c>
      <c r="B150" s="42" t="s">
        <v>12709</v>
      </c>
      <c r="E150" s="87" t="s">
        <v>10229</v>
      </c>
      <c r="F150" s="126"/>
      <c r="G150" s="126">
        <v>2000000</v>
      </c>
    </row>
    <row r="151" spans="1:7" ht="15.75">
      <c r="A151" s="113">
        <v>4</v>
      </c>
      <c r="B151" s="42" t="s">
        <v>12710</v>
      </c>
      <c r="E151" s="87" t="s">
        <v>10230</v>
      </c>
      <c r="F151" s="126"/>
      <c r="G151" s="126">
        <v>2000000</v>
      </c>
    </row>
    <row r="152" spans="1:7" ht="15.75">
      <c r="A152" s="113">
        <v>5</v>
      </c>
      <c r="B152" s="42" t="s">
        <v>12711</v>
      </c>
      <c r="E152" s="87" t="s">
        <v>10231</v>
      </c>
      <c r="F152" s="126"/>
      <c r="G152" s="126">
        <v>2000000</v>
      </c>
    </row>
    <row r="153" spans="1:7" ht="15.75">
      <c r="A153" s="113">
        <v>6</v>
      </c>
      <c r="B153" s="42" t="s">
        <v>12712</v>
      </c>
      <c r="E153" s="87" t="s">
        <v>10232</v>
      </c>
      <c r="F153" s="126"/>
      <c r="G153" s="126">
        <v>2000000</v>
      </c>
    </row>
    <row r="154" spans="1:7" ht="15.75">
      <c r="A154" s="113">
        <v>7</v>
      </c>
      <c r="B154" s="42" t="s">
        <v>12713</v>
      </c>
      <c r="E154" s="87" t="s">
        <v>10233</v>
      </c>
      <c r="F154" s="126"/>
      <c r="G154" s="126">
        <v>2000000</v>
      </c>
    </row>
    <row r="155" spans="1:7" ht="15.75">
      <c r="A155" s="113">
        <v>8</v>
      </c>
      <c r="B155" s="42" t="s">
        <v>12714</v>
      </c>
      <c r="E155" s="87" t="s">
        <v>10234</v>
      </c>
      <c r="F155" s="126"/>
      <c r="G155" s="126">
        <v>2000000</v>
      </c>
    </row>
    <row r="156" spans="1:7" ht="15.75">
      <c r="A156" s="113">
        <v>9</v>
      </c>
      <c r="B156" s="42" t="s">
        <v>12715</v>
      </c>
      <c r="E156" s="87" t="s">
        <v>10235</v>
      </c>
      <c r="F156" s="126"/>
      <c r="G156" s="126">
        <v>2000000</v>
      </c>
    </row>
    <row r="157" spans="1:7" ht="15.75">
      <c r="A157" s="113">
        <v>10</v>
      </c>
      <c r="B157" s="42" t="s">
        <v>12716</v>
      </c>
      <c r="E157" s="87" t="s">
        <v>10236</v>
      </c>
      <c r="F157" s="126"/>
      <c r="G157" s="126">
        <v>2000000</v>
      </c>
    </row>
    <row r="158" spans="1:7" ht="15.75">
      <c r="A158" s="113">
        <v>11</v>
      </c>
      <c r="B158" s="42" t="s">
        <v>12717</v>
      </c>
      <c r="E158" s="87" t="s">
        <v>10237</v>
      </c>
      <c r="F158" s="126"/>
      <c r="G158" s="126">
        <v>2000000</v>
      </c>
    </row>
    <row r="159" spans="1:7" ht="15.75">
      <c r="A159" s="113">
        <v>12</v>
      </c>
      <c r="B159" s="42" t="s">
        <v>12718</v>
      </c>
      <c r="E159" s="87" t="s">
        <v>10238</v>
      </c>
      <c r="F159" s="126"/>
      <c r="G159" s="126">
        <v>2000000</v>
      </c>
    </row>
    <row r="160" spans="1:7" ht="15.75">
      <c r="A160" s="113">
        <v>13</v>
      </c>
      <c r="B160" s="42" t="s">
        <v>12719</v>
      </c>
      <c r="E160" s="87" t="s">
        <v>10239</v>
      </c>
      <c r="F160" s="126"/>
      <c r="G160" s="126">
        <v>2000000</v>
      </c>
    </row>
    <row r="161" spans="1:7" ht="15.75">
      <c r="A161" s="113">
        <v>14</v>
      </c>
      <c r="B161" s="42" t="s">
        <v>12720</v>
      </c>
      <c r="E161" s="87" t="s">
        <v>10240</v>
      </c>
      <c r="F161" s="126"/>
      <c r="G161" s="126">
        <v>2000000</v>
      </c>
    </row>
    <row r="162" spans="1:7" ht="15.75">
      <c r="A162" s="113">
        <v>15</v>
      </c>
      <c r="B162" s="42" t="s">
        <v>12721</v>
      </c>
      <c r="E162" s="87" t="s">
        <v>10241</v>
      </c>
      <c r="F162" s="126"/>
      <c r="G162" s="126">
        <v>2000000</v>
      </c>
    </row>
    <row r="163" spans="1:7" ht="15.75">
      <c r="A163" s="113">
        <v>16</v>
      </c>
      <c r="B163" s="42" t="s">
        <v>12722</v>
      </c>
      <c r="E163" s="87" t="s">
        <v>10242</v>
      </c>
      <c r="F163" s="126"/>
      <c r="G163" s="126">
        <v>2000000</v>
      </c>
    </row>
    <row r="164" spans="1:7" ht="15.75">
      <c r="A164" s="113">
        <v>17</v>
      </c>
      <c r="B164" s="42" t="s">
        <v>12723</v>
      </c>
      <c r="E164" s="87" t="s">
        <v>10243</v>
      </c>
      <c r="F164" s="126"/>
      <c r="G164" s="126">
        <v>2000000</v>
      </c>
    </row>
    <row r="165" spans="1:7" ht="15.75">
      <c r="A165" s="113">
        <v>18</v>
      </c>
      <c r="B165" s="42" t="s">
        <v>12724</v>
      </c>
      <c r="E165" s="87" t="s">
        <v>10244</v>
      </c>
      <c r="F165" s="126"/>
      <c r="G165" s="126">
        <v>2000000</v>
      </c>
    </row>
    <row r="166" spans="1:7" ht="15.75">
      <c r="A166" s="113">
        <v>19</v>
      </c>
      <c r="B166" s="42" t="s">
        <v>12725</v>
      </c>
      <c r="E166" s="87" t="s">
        <v>10245</v>
      </c>
      <c r="F166" s="126"/>
      <c r="G166" s="126">
        <v>2000000</v>
      </c>
    </row>
    <row r="167" spans="1:7" ht="15.75">
      <c r="A167" s="113">
        <v>20</v>
      </c>
      <c r="B167" s="42" t="s">
        <v>12726</v>
      </c>
      <c r="E167" s="87" t="s">
        <v>10246</v>
      </c>
      <c r="F167" s="126"/>
      <c r="G167" s="126">
        <v>2000000</v>
      </c>
    </row>
    <row r="168" spans="1:7" ht="15.75">
      <c r="A168" s="113">
        <v>21</v>
      </c>
      <c r="B168" s="42" t="s">
        <v>12727</v>
      </c>
      <c r="E168" s="87" t="s">
        <v>10247</v>
      </c>
      <c r="F168" s="126"/>
      <c r="G168" s="126">
        <v>2000000</v>
      </c>
    </row>
    <row r="169" spans="1:7" ht="15.75">
      <c r="A169" s="113">
        <v>22</v>
      </c>
      <c r="B169" s="42" t="s">
        <v>12728</v>
      </c>
      <c r="E169" s="87" t="s">
        <v>10248</v>
      </c>
      <c r="F169" s="126"/>
      <c r="G169" s="126">
        <v>2000000</v>
      </c>
    </row>
    <row r="170" spans="1:7" ht="15.75">
      <c r="A170" s="113">
        <v>23</v>
      </c>
      <c r="B170" s="42" t="s">
        <v>12729</v>
      </c>
      <c r="E170" s="87" t="s">
        <v>10249</v>
      </c>
      <c r="F170" s="126"/>
      <c r="G170" s="126">
        <v>2000000</v>
      </c>
    </row>
    <row r="171" spans="1:7" ht="15.75">
      <c r="A171" s="113">
        <v>24</v>
      </c>
      <c r="B171" s="42" t="s">
        <v>12730</v>
      </c>
      <c r="E171" s="87" t="s">
        <v>10250</v>
      </c>
      <c r="F171" s="126"/>
      <c r="G171" s="126">
        <v>2000000</v>
      </c>
    </row>
    <row r="172" spans="1:7" ht="15.75">
      <c r="A172" s="113">
        <v>25</v>
      </c>
      <c r="B172" s="42" t="s">
        <v>12731</v>
      </c>
      <c r="E172" s="87" t="s">
        <v>10251</v>
      </c>
      <c r="F172" s="126"/>
      <c r="G172" s="126">
        <v>2000000</v>
      </c>
    </row>
    <row r="173" spans="1:7" ht="15.75">
      <c r="A173" s="113">
        <v>26</v>
      </c>
      <c r="B173" s="42" t="s">
        <v>12732</v>
      </c>
      <c r="E173" s="87" t="s">
        <v>10252</v>
      </c>
      <c r="F173" s="126"/>
      <c r="G173" s="126">
        <v>2000000</v>
      </c>
    </row>
    <row r="174" spans="1:7" ht="15.75">
      <c r="A174" s="113">
        <v>27</v>
      </c>
      <c r="B174" s="42" t="s">
        <v>12733</v>
      </c>
      <c r="E174" s="87" t="s">
        <v>10253</v>
      </c>
      <c r="F174" s="126"/>
      <c r="G174" s="126">
        <v>2000000</v>
      </c>
    </row>
    <row r="175" spans="1:7" ht="15.75">
      <c r="A175" s="113">
        <v>28</v>
      </c>
      <c r="B175" s="42" t="s">
        <v>12734</v>
      </c>
      <c r="E175" s="87" t="s">
        <v>10254</v>
      </c>
      <c r="F175" s="126"/>
      <c r="G175" s="126">
        <v>2000000</v>
      </c>
    </row>
    <row r="176" spans="1:7" ht="15.75">
      <c r="A176" s="113">
        <v>29</v>
      </c>
      <c r="B176" s="42" t="s">
        <v>12735</v>
      </c>
      <c r="E176" s="87" t="s">
        <v>10255</v>
      </c>
      <c r="F176" s="126"/>
      <c r="G176" s="126">
        <v>2000000</v>
      </c>
    </row>
    <row r="177" spans="1:7" ht="15.75">
      <c r="A177" s="113">
        <v>30</v>
      </c>
      <c r="B177" s="42" t="s">
        <v>12736</v>
      </c>
      <c r="E177" s="87" t="s">
        <v>10256</v>
      </c>
      <c r="F177" s="126"/>
      <c r="G177" s="126">
        <v>2000000</v>
      </c>
    </row>
    <row r="178" spans="1:7" ht="15.75">
      <c r="A178" s="113">
        <v>31</v>
      </c>
      <c r="B178" s="42" t="s">
        <v>12737</v>
      </c>
      <c r="E178" s="87" t="s">
        <v>10257</v>
      </c>
      <c r="F178" s="126"/>
      <c r="G178" s="126">
        <v>2000000</v>
      </c>
    </row>
    <row r="179" spans="1:7" ht="15.75">
      <c r="A179" s="113">
        <v>32</v>
      </c>
      <c r="B179" s="42" t="s">
        <v>12738</v>
      </c>
      <c r="E179" s="87" t="s">
        <v>10258</v>
      </c>
      <c r="F179" s="126"/>
      <c r="G179" s="126">
        <v>2000000</v>
      </c>
    </row>
    <row r="180" spans="1:7" ht="15.75">
      <c r="A180" s="113">
        <v>33</v>
      </c>
      <c r="B180" s="42" t="s">
        <v>12739</v>
      </c>
      <c r="E180" s="87" t="s">
        <v>10259</v>
      </c>
      <c r="F180" s="126"/>
      <c r="G180" s="126">
        <v>2000000</v>
      </c>
    </row>
    <row r="181" spans="1:7" ht="15.75">
      <c r="A181" s="113">
        <v>34</v>
      </c>
      <c r="B181" s="42" t="s">
        <v>12740</v>
      </c>
      <c r="E181" s="87" t="s">
        <v>10260</v>
      </c>
      <c r="F181" s="126"/>
      <c r="G181" s="126">
        <v>2000000</v>
      </c>
    </row>
    <row r="182" spans="1:7" ht="15.75">
      <c r="A182" s="113">
        <v>35</v>
      </c>
      <c r="B182" s="42" t="s">
        <v>12741</v>
      </c>
      <c r="E182" s="87" t="s">
        <v>10261</v>
      </c>
      <c r="F182" s="126"/>
      <c r="G182" s="126">
        <v>2000000</v>
      </c>
    </row>
    <row r="183" spans="1:7" ht="15.75">
      <c r="A183" s="113">
        <v>36</v>
      </c>
      <c r="B183" s="42" t="s">
        <v>12742</v>
      </c>
      <c r="E183" s="87" t="s">
        <v>10262</v>
      </c>
      <c r="F183" s="126"/>
      <c r="G183" s="126">
        <v>2000000</v>
      </c>
    </row>
    <row r="184" spans="1:7" ht="15.75">
      <c r="A184" s="113">
        <v>37</v>
      </c>
      <c r="B184" s="42" t="s">
        <v>12743</v>
      </c>
      <c r="E184" s="87" t="s">
        <v>10263</v>
      </c>
      <c r="F184" s="126"/>
      <c r="G184" s="126">
        <v>2000000</v>
      </c>
    </row>
    <row r="185" spans="1:7" ht="15.75">
      <c r="A185" s="113">
        <v>38</v>
      </c>
      <c r="B185" s="42" t="s">
        <v>12744</v>
      </c>
      <c r="E185" s="87" t="s">
        <v>10264</v>
      </c>
      <c r="F185" s="126"/>
      <c r="G185" s="126">
        <v>2000000</v>
      </c>
    </row>
    <row r="186" spans="1:7" ht="15.75">
      <c r="A186" s="113">
        <v>39</v>
      </c>
      <c r="B186" s="42" t="s">
        <v>12745</v>
      </c>
      <c r="E186" s="87" t="s">
        <v>10265</v>
      </c>
      <c r="F186" s="126"/>
      <c r="G186" s="126">
        <v>2000000</v>
      </c>
    </row>
    <row r="187" spans="1:7" ht="15.75">
      <c r="A187" s="113">
        <v>40</v>
      </c>
      <c r="B187" s="42" t="s">
        <v>12746</v>
      </c>
      <c r="E187" s="87" t="s">
        <v>10266</v>
      </c>
      <c r="F187" s="126"/>
      <c r="G187" s="126">
        <v>2000000</v>
      </c>
    </row>
    <row r="188" spans="1:7" ht="15.75">
      <c r="A188" s="113">
        <v>41</v>
      </c>
      <c r="B188" s="42" t="s">
        <v>12747</v>
      </c>
      <c r="E188" s="87" t="s">
        <v>10267</v>
      </c>
      <c r="F188" s="126"/>
      <c r="G188" s="126">
        <v>2000000</v>
      </c>
    </row>
    <row r="189" spans="1:7" ht="15.75">
      <c r="A189" s="113">
        <v>42</v>
      </c>
      <c r="B189" s="42" t="s">
        <v>12748</v>
      </c>
      <c r="E189" s="87" t="s">
        <v>10268</v>
      </c>
      <c r="F189" s="126"/>
      <c r="G189" s="126">
        <v>2000000</v>
      </c>
    </row>
    <row r="190" spans="1:7" ht="15.75">
      <c r="A190" s="113">
        <v>43</v>
      </c>
      <c r="B190" s="42" t="s">
        <v>12749</v>
      </c>
      <c r="E190" s="87" t="s">
        <v>10269</v>
      </c>
      <c r="F190" s="126"/>
      <c r="G190" s="126">
        <v>2000000</v>
      </c>
    </row>
    <row r="191" spans="1:7" ht="15.75">
      <c r="A191" s="113">
        <v>44</v>
      </c>
      <c r="B191" s="42" t="s">
        <v>12750</v>
      </c>
      <c r="E191" s="87" t="s">
        <v>10270</v>
      </c>
      <c r="F191" s="126"/>
      <c r="G191" s="126">
        <v>2000000</v>
      </c>
    </row>
    <row r="192" spans="1:7" ht="15.75">
      <c r="A192" s="113">
        <v>45</v>
      </c>
      <c r="B192" s="42" t="s">
        <v>12751</v>
      </c>
      <c r="E192" s="87" t="s">
        <v>10271</v>
      </c>
      <c r="F192" s="126"/>
      <c r="G192" s="126">
        <v>2000000</v>
      </c>
    </row>
    <row r="193" spans="1:7" ht="15.75">
      <c r="A193" s="113">
        <v>46</v>
      </c>
      <c r="B193" s="42" t="s">
        <v>12752</v>
      </c>
      <c r="E193" s="87" t="s">
        <v>10272</v>
      </c>
      <c r="F193" s="126"/>
      <c r="G193" s="126">
        <v>2000000</v>
      </c>
    </row>
    <row r="194" spans="1:7" ht="15.75">
      <c r="A194" s="113">
        <v>47</v>
      </c>
      <c r="B194" s="42" t="s">
        <v>12753</v>
      </c>
      <c r="E194" s="87" t="s">
        <v>10273</v>
      </c>
      <c r="F194" s="126"/>
      <c r="G194" s="126">
        <v>2000000</v>
      </c>
    </row>
    <row r="195" spans="1:7" ht="15.75">
      <c r="A195" s="113">
        <v>48</v>
      </c>
      <c r="B195" s="42" t="s">
        <v>12754</v>
      </c>
      <c r="E195" s="87" t="s">
        <v>10274</v>
      </c>
      <c r="F195" s="126"/>
      <c r="G195" s="126">
        <v>2000000</v>
      </c>
    </row>
    <row r="196" spans="1:7" ht="15.75">
      <c r="A196" s="113">
        <v>49</v>
      </c>
      <c r="B196" s="42" t="s">
        <v>12755</v>
      </c>
      <c r="E196" s="87" t="s">
        <v>10275</v>
      </c>
      <c r="F196" s="126"/>
      <c r="G196" s="126">
        <v>2000000</v>
      </c>
    </row>
    <row r="197" spans="1:7" ht="15.75">
      <c r="A197" s="113">
        <v>50</v>
      </c>
      <c r="B197" s="42" t="s">
        <v>12756</v>
      </c>
      <c r="E197" s="87" t="s">
        <v>10276</v>
      </c>
      <c r="F197" s="126"/>
      <c r="G197" s="126">
        <v>2000000</v>
      </c>
    </row>
    <row r="198" spans="1:7" ht="15.75">
      <c r="A198" s="113">
        <v>51</v>
      </c>
      <c r="B198" s="42" t="s">
        <v>12757</v>
      </c>
      <c r="E198" s="87" t="s">
        <v>10277</v>
      </c>
      <c r="F198" s="126"/>
      <c r="G198" s="126">
        <v>2000000</v>
      </c>
    </row>
    <row r="199" spans="1:7" ht="15.75">
      <c r="A199" s="113">
        <v>52</v>
      </c>
      <c r="B199" s="42" t="s">
        <v>12758</v>
      </c>
      <c r="E199" s="87" t="s">
        <v>10278</v>
      </c>
      <c r="F199" s="126"/>
      <c r="G199" s="126">
        <v>2000000</v>
      </c>
    </row>
    <row r="200" spans="1:7" ht="15.75">
      <c r="A200" s="113">
        <v>53</v>
      </c>
      <c r="B200" s="42" t="s">
        <v>12759</v>
      </c>
      <c r="E200" s="87" t="s">
        <v>10279</v>
      </c>
      <c r="F200" s="126"/>
      <c r="G200" s="126">
        <v>2000000</v>
      </c>
    </row>
    <row r="201" spans="1:7" ht="15.75">
      <c r="A201" s="113">
        <v>54</v>
      </c>
      <c r="B201" s="42" t="s">
        <v>12760</v>
      </c>
      <c r="E201" s="87" t="s">
        <v>10280</v>
      </c>
      <c r="F201" s="126"/>
      <c r="G201" s="126">
        <v>2000000</v>
      </c>
    </row>
    <row r="202" spans="1:7" ht="15.75">
      <c r="A202" s="113">
        <v>55</v>
      </c>
      <c r="B202" s="42" t="s">
        <v>12761</v>
      </c>
      <c r="E202" s="87" t="s">
        <v>10281</v>
      </c>
      <c r="F202" s="126"/>
      <c r="G202" s="126">
        <v>2000000</v>
      </c>
    </row>
    <row r="203" spans="1:7" ht="15.75">
      <c r="A203" s="113">
        <v>56</v>
      </c>
      <c r="B203" s="42" t="s">
        <v>12762</v>
      </c>
      <c r="E203" s="87" t="s">
        <v>10282</v>
      </c>
      <c r="F203" s="126"/>
      <c r="G203" s="126">
        <v>2000000</v>
      </c>
    </row>
    <row r="204" spans="1:7" ht="15.75">
      <c r="A204" s="113">
        <v>57</v>
      </c>
      <c r="B204" s="42" t="s">
        <v>12763</v>
      </c>
      <c r="E204" s="87" t="s">
        <v>10283</v>
      </c>
      <c r="F204" s="126"/>
      <c r="G204" s="126">
        <v>2000000</v>
      </c>
    </row>
    <row r="205" spans="1:7" ht="15.75">
      <c r="A205" s="113">
        <v>58</v>
      </c>
      <c r="B205" s="42" t="s">
        <v>12764</v>
      </c>
      <c r="E205" s="87" t="s">
        <v>10284</v>
      </c>
      <c r="F205" s="126"/>
      <c r="G205" s="126">
        <v>2000000</v>
      </c>
    </row>
    <row r="206" spans="1:7" ht="15.75">
      <c r="A206" s="113">
        <v>59</v>
      </c>
      <c r="B206" s="42" t="s">
        <v>12765</v>
      </c>
      <c r="E206" s="87" t="s">
        <v>10285</v>
      </c>
      <c r="F206" s="126"/>
      <c r="G206" s="126">
        <v>2000000</v>
      </c>
    </row>
    <row r="207" spans="1:7" ht="15.75">
      <c r="A207" s="113">
        <v>60</v>
      </c>
      <c r="B207" s="42" t="s">
        <v>12766</v>
      </c>
      <c r="E207" s="87" t="s">
        <v>10286</v>
      </c>
      <c r="F207" s="126"/>
      <c r="G207" s="126">
        <v>2000000</v>
      </c>
    </row>
    <row r="208" spans="1:7" ht="15.75">
      <c r="A208" s="113">
        <v>61</v>
      </c>
      <c r="B208" s="42" t="s">
        <v>12767</v>
      </c>
      <c r="E208" s="87" t="s">
        <v>10287</v>
      </c>
      <c r="F208" s="126"/>
      <c r="G208" s="126">
        <v>2000000</v>
      </c>
    </row>
    <row r="209" spans="1:7" ht="15.75">
      <c r="A209" s="113">
        <v>62</v>
      </c>
      <c r="B209" s="42" t="s">
        <v>12768</v>
      </c>
      <c r="E209" s="87" t="s">
        <v>10288</v>
      </c>
      <c r="F209" s="126"/>
      <c r="G209" s="126">
        <v>2000000</v>
      </c>
    </row>
    <row r="210" spans="1:7" ht="15.75">
      <c r="A210" s="113">
        <v>63</v>
      </c>
      <c r="B210" s="42" t="s">
        <v>12769</v>
      </c>
      <c r="E210" s="87" t="s">
        <v>10289</v>
      </c>
      <c r="F210" s="126"/>
      <c r="G210" s="126">
        <v>2000000</v>
      </c>
    </row>
    <row r="211" spans="1:7" ht="15.75">
      <c r="A211" s="113">
        <v>64</v>
      </c>
      <c r="B211" s="42" t="s">
        <v>12770</v>
      </c>
      <c r="E211" s="87" t="s">
        <v>10290</v>
      </c>
      <c r="F211" s="126"/>
      <c r="G211" s="126">
        <v>2000000</v>
      </c>
    </row>
    <row r="212" spans="1:7" ht="15.75">
      <c r="A212" s="113">
        <v>65</v>
      </c>
      <c r="B212" s="42" t="s">
        <v>12771</v>
      </c>
      <c r="E212" s="87" t="s">
        <v>10291</v>
      </c>
      <c r="F212" s="126"/>
      <c r="G212" s="126">
        <v>2000000</v>
      </c>
    </row>
    <row r="213" spans="1:7" ht="15.75">
      <c r="A213" s="113">
        <v>66</v>
      </c>
      <c r="B213" s="42" t="s">
        <v>12772</v>
      </c>
      <c r="E213" s="87" t="s">
        <v>10292</v>
      </c>
      <c r="F213" s="126"/>
      <c r="G213" s="126">
        <v>2000000</v>
      </c>
    </row>
    <row r="214" spans="1:7" ht="15.75">
      <c r="A214" s="113">
        <v>67</v>
      </c>
      <c r="B214" s="42" t="s">
        <v>12773</v>
      </c>
      <c r="E214" s="87" t="s">
        <v>10293</v>
      </c>
      <c r="F214" s="126"/>
      <c r="G214" s="126">
        <v>2000000</v>
      </c>
    </row>
    <row r="215" spans="1:7" ht="15.75">
      <c r="A215" s="113">
        <v>68</v>
      </c>
      <c r="B215" s="42" t="s">
        <v>12774</v>
      </c>
      <c r="E215" s="87" t="s">
        <v>10294</v>
      </c>
      <c r="F215" s="126"/>
      <c r="G215" s="126">
        <v>2000000</v>
      </c>
    </row>
    <row r="216" spans="1:7" ht="15.75">
      <c r="A216" s="113">
        <v>69</v>
      </c>
      <c r="B216" s="42" t="s">
        <v>12775</v>
      </c>
      <c r="E216" s="87" t="s">
        <v>10295</v>
      </c>
      <c r="F216" s="126"/>
      <c r="G216" s="126">
        <v>2000000</v>
      </c>
    </row>
    <row r="217" spans="1:7" ht="15.75">
      <c r="A217" s="113">
        <v>70</v>
      </c>
      <c r="B217" s="42" t="s">
        <v>12776</v>
      </c>
      <c r="E217" s="87" t="s">
        <v>10296</v>
      </c>
      <c r="F217" s="126"/>
      <c r="G217" s="126">
        <v>2000000</v>
      </c>
    </row>
    <row r="218" spans="1:7" ht="15.75">
      <c r="A218" s="113">
        <v>71</v>
      </c>
      <c r="B218" s="42" t="s">
        <v>12777</v>
      </c>
      <c r="E218" s="87" t="s">
        <v>10297</v>
      </c>
      <c r="F218" s="126"/>
      <c r="G218" s="126">
        <v>2000000</v>
      </c>
    </row>
    <row r="219" spans="1:7" ht="15.75">
      <c r="A219" s="113">
        <v>72</v>
      </c>
      <c r="B219" s="42" t="s">
        <v>12778</v>
      </c>
      <c r="E219" s="87" t="s">
        <v>10298</v>
      </c>
      <c r="F219" s="126"/>
      <c r="G219" s="126">
        <v>2000000</v>
      </c>
    </row>
    <row r="220" spans="1:7" ht="15.75">
      <c r="A220" s="113">
        <v>73</v>
      </c>
      <c r="B220" s="42" t="s">
        <v>12779</v>
      </c>
      <c r="E220" s="87" t="s">
        <v>10299</v>
      </c>
      <c r="F220" s="126"/>
      <c r="G220" s="126">
        <v>2000000</v>
      </c>
    </row>
    <row r="221" spans="1:7" ht="15.75">
      <c r="A221" s="113">
        <v>74</v>
      </c>
      <c r="B221" s="42" t="s">
        <v>12780</v>
      </c>
      <c r="E221" s="87" t="s">
        <v>10300</v>
      </c>
      <c r="F221" s="126"/>
      <c r="G221" s="126">
        <v>2000000</v>
      </c>
    </row>
    <row r="222" spans="1:7" ht="15.75">
      <c r="A222" s="113">
        <v>75</v>
      </c>
      <c r="B222" s="42" t="s">
        <v>12781</v>
      </c>
      <c r="E222" s="87" t="s">
        <v>10301</v>
      </c>
      <c r="F222" s="126"/>
      <c r="G222" s="126">
        <v>2000000</v>
      </c>
    </row>
    <row r="223" spans="1:7" ht="15.75">
      <c r="A223" s="113">
        <v>76</v>
      </c>
      <c r="B223" s="42" t="s">
        <v>12782</v>
      </c>
      <c r="E223" s="87" t="s">
        <v>10302</v>
      </c>
      <c r="F223" s="126"/>
      <c r="G223" s="126">
        <v>2000000</v>
      </c>
    </row>
    <row r="224" spans="1:7" ht="15.75">
      <c r="A224" s="113">
        <v>77</v>
      </c>
      <c r="B224" s="42" t="s">
        <v>12783</v>
      </c>
      <c r="E224" s="87" t="s">
        <v>10303</v>
      </c>
      <c r="F224" s="126"/>
      <c r="G224" s="126">
        <v>2000000</v>
      </c>
    </row>
    <row r="225" spans="1:7" ht="15.75">
      <c r="A225" s="113">
        <v>78</v>
      </c>
      <c r="B225" s="42" t="s">
        <v>12784</v>
      </c>
      <c r="E225" s="87" t="s">
        <v>10304</v>
      </c>
      <c r="F225" s="126"/>
      <c r="G225" s="126">
        <v>2000000</v>
      </c>
    </row>
    <row r="226" spans="1:7" ht="15.75">
      <c r="A226" s="113">
        <v>79</v>
      </c>
      <c r="B226" s="42" t="s">
        <v>12785</v>
      </c>
      <c r="E226" s="87" t="s">
        <v>10305</v>
      </c>
      <c r="F226" s="126"/>
      <c r="G226" s="126">
        <v>2000000</v>
      </c>
    </row>
    <row r="227" spans="1:7" ht="15.75">
      <c r="A227" s="113">
        <v>80</v>
      </c>
      <c r="B227" s="42" t="s">
        <v>12786</v>
      </c>
      <c r="E227" s="87" t="s">
        <v>10306</v>
      </c>
      <c r="F227" s="126"/>
      <c r="G227" s="126">
        <v>2000000</v>
      </c>
    </row>
    <row r="228" spans="1:7" ht="15.75">
      <c r="A228" s="113">
        <v>81</v>
      </c>
      <c r="B228" s="42" t="s">
        <v>12787</v>
      </c>
      <c r="E228" s="87" t="s">
        <v>10307</v>
      </c>
      <c r="F228" s="126"/>
      <c r="G228" s="126">
        <v>2000000</v>
      </c>
    </row>
    <row r="229" spans="1:7" ht="15.75">
      <c r="A229" s="113">
        <v>82</v>
      </c>
      <c r="B229" s="42" t="s">
        <v>12788</v>
      </c>
      <c r="E229" s="87" t="s">
        <v>10308</v>
      </c>
      <c r="F229" s="126"/>
      <c r="G229" s="126">
        <v>2000000</v>
      </c>
    </row>
    <row r="230" spans="1:7" ht="15.75">
      <c r="A230" s="113">
        <v>83</v>
      </c>
      <c r="B230" s="42" t="s">
        <v>12789</v>
      </c>
      <c r="E230" s="87" t="s">
        <v>10309</v>
      </c>
      <c r="F230" s="126"/>
      <c r="G230" s="126">
        <v>2000000</v>
      </c>
    </row>
    <row r="231" spans="1:7" ht="15.75">
      <c r="A231" s="113">
        <v>84</v>
      </c>
      <c r="B231" s="42" t="s">
        <v>12790</v>
      </c>
      <c r="E231" s="87" t="s">
        <v>10310</v>
      </c>
      <c r="F231" s="126"/>
      <c r="G231" s="126">
        <v>2000000</v>
      </c>
    </row>
    <row r="232" spans="1:7" ht="15.75">
      <c r="A232" s="113">
        <v>85</v>
      </c>
      <c r="B232" s="42" t="s">
        <v>12791</v>
      </c>
      <c r="E232" s="87" t="s">
        <v>10311</v>
      </c>
      <c r="F232" s="126"/>
      <c r="G232" s="126">
        <v>2000000</v>
      </c>
    </row>
    <row r="233" spans="1:7" ht="15.75">
      <c r="A233" s="113">
        <v>86</v>
      </c>
      <c r="B233" s="42" t="s">
        <v>12792</v>
      </c>
      <c r="E233" s="87" t="s">
        <v>10312</v>
      </c>
      <c r="F233" s="126"/>
      <c r="G233" s="126">
        <v>2000000</v>
      </c>
    </row>
    <row r="234" spans="1:7" ht="15.75">
      <c r="A234" s="113">
        <v>87</v>
      </c>
      <c r="B234" s="42" t="s">
        <v>12793</v>
      </c>
      <c r="E234" s="87" t="s">
        <v>10313</v>
      </c>
      <c r="F234" s="126"/>
      <c r="G234" s="126">
        <v>2000000</v>
      </c>
    </row>
    <row r="235" spans="1:7" ht="15.75">
      <c r="A235" s="113">
        <v>88</v>
      </c>
      <c r="B235" s="42" t="s">
        <v>12794</v>
      </c>
      <c r="E235" s="87" t="s">
        <v>10314</v>
      </c>
      <c r="F235" s="126"/>
      <c r="G235" s="126">
        <v>2000000</v>
      </c>
    </row>
    <row r="236" spans="1:7" ht="15.75">
      <c r="A236" s="113">
        <v>89</v>
      </c>
      <c r="B236" s="42" t="s">
        <v>12795</v>
      </c>
      <c r="E236" s="87" t="s">
        <v>10315</v>
      </c>
      <c r="F236" s="126"/>
      <c r="G236" s="126">
        <v>2000000</v>
      </c>
    </row>
    <row r="237" spans="1:7" ht="15.75">
      <c r="A237" s="113">
        <v>90</v>
      </c>
      <c r="B237" s="42" t="s">
        <v>12796</v>
      </c>
      <c r="E237" s="87" t="s">
        <v>10316</v>
      </c>
      <c r="F237" s="126"/>
      <c r="G237" s="126">
        <v>2000000</v>
      </c>
    </row>
    <row r="238" spans="1:7" ht="15.75">
      <c r="A238" s="113">
        <v>91</v>
      </c>
      <c r="B238" s="42" t="s">
        <v>12797</v>
      </c>
      <c r="E238" s="87" t="s">
        <v>10317</v>
      </c>
      <c r="F238" s="126"/>
      <c r="G238" s="126">
        <v>2000000</v>
      </c>
    </row>
    <row r="239" spans="1:7" ht="15.75">
      <c r="A239" s="113">
        <v>92</v>
      </c>
      <c r="B239" s="42" t="s">
        <v>12798</v>
      </c>
      <c r="E239" s="87" t="s">
        <v>10318</v>
      </c>
      <c r="F239" s="126"/>
      <c r="G239" s="126">
        <v>2000000</v>
      </c>
    </row>
    <row r="240" spans="1:7" ht="15.75">
      <c r="A240" s="113">
        <v>93</v>
      </c>
      <c r="B240" s="42" t="s">
        <v>12799</v>
      </c>
      <c r="E240" s="87" t="s">
        <v>10319</v>
      </c>
      <c r="F240" s="126"/>
      <c r="G240" s="126">
        <v>2000000</v>
      </c>
    </row>
    <row r="241" spans="1:7" ht="15.75">
      <c r="A241" s="113">
        <v>94</v>
      </c>
      <c r="B241" s="42" t="s">
        <v>12800</v>
      </c>
      <c r="E241" s="87" t="s">
        <v>10320</v>
      </c>
      <c r="F241" s="126"/>
      <c r="G241" s="126">
        <v>2000000</v>
      </c>
    </row>
    <row r="242" spans="1:7" ht="15.75">
      <c r="A242" s="113">
        <v>95</v>
      </c>
      <c r="B242" s="42" t="s">
        <v>12801</v>
      </c>
      <c r="E242" s="87" t="s">
        <v>10321</v>
      </c>
      <c r="F242" s="126"/>
      <c r="G242" s="126">
        <v>2000000</v>
      </c>
    </row>
    <row r="243" spans="1:7" ht="15.75">
      <c r="A243" s="113">
        <v>96</v>
      </c>
      <c r="B243" s="42" t="s">
        <v>12802</v>
      </c>
      <c r="E243" s="87" t="s">
        <v>10322</v>
      </c>
      <c r="F243" s="126"/>
      <c r="G243" s="126">
        <v>2000000</v>
      </c>
    </row>
    <row r="244" spans="1:7" ht="15.75">
      <c r="A244" s="113">
        <v>97</v>
      </c>
      <c r="B244" s="42" t="s">
        <v>12803</v>
      </c>
      <c r="E244" s="87" t="s">
        <v>10323</v>
      </c>
      <c r="F244" s="126"/>
      <c r="G244" s="126">
        <v>2000000</v>
      </c>
    </row>
    <row r="245" spans="1:7" ht="15.75">
      <c r="A245" s="113">
        <v>98</v>
      </c>
      <c r="B245" s="42" t="s">
        <v>12804</v>
      </c>
      <c r="E245" s="87" t="s">
        <v>10324</v>
      </c>
      <c r="F245" s="126"/>
      <c r="G245" s="126">
        <v>2000000</v>
      </c>
    </row>
    <row r="246" spans="1:7" ht="15.75">
      <c r="A246" s="113">
        <v>99</v>
      </c>
      <c r="B246" s="42" t="s">
        <v>12805</v>
      </c>
      <c r="E246" s="87" t="s">
        <v>10325</v>
      </c>
      <c r="F246" s="126"/>
      <c r="G246" s="126">
        <v>2000000</v>
      </c>
    </row>
    <row r="247" spans="1:7" ht="15.75">
      <c r="A247" s="113">
        <v>100</v>
      </c>
      <c r="B247" s="42" t="s">
        <v>12806</v>
      </c>
      <c r="E247" s="87" t="s">
        <v>10326</v>
      </c>
      <c r="F247" s="126"/>
      <c r="G247" s="126">
        <v>2000000</v>
      </c>
    </row>
    <row r="248" spans="1:7" ht="15.75">
      <c r="A248" s="113">
        <v>101</v>
      </c>
      <c r="B248" s="42" t="s">
        <v>12807</v>
      </c>
      <c r="E248" s="87" t="s">
        <v>10327</v>
      </c>
      <c r="F248" s="126"/>
      <c r="G248" s="126">
        <v>2000000</v>
      </c>
    </row>
    <row r="249" spans="1:7" ht="15.75">
      <c r="A249" s="113">
        <v>102</v>
      </c>
      <c r="B249" s="42" t="s">
        <v>12808</v>
      </c>
      <c r="E249" s="87" t="s">
        <v>10328</v>
      </c>
      <c r="F249" s="126"/>
      <c r="G249" s="126">
        <v>2000000</v>
      </c>
    </row>
    <row r="250" spans="1:7" ht="15.75">
      <c r="A250" s="113">
        <v>103</v>
      </c>
      <c r="B250" s="42" t="s">
        <v>12809</v>
      </c>
      <c r="E250" s="87" t="s">
        <v>10329</v>
      </c>
      <c r="F250" s="126"/>
      <c r="G250" s="126">
        <v>2000000</v>
      </c>
    </row>
    <row r="251" spans="1:7" ht="15.75">
      <c r="A251" s="113">
        <v>104</v>
      </c>
      <c r="B251" s="42" t="s">
        <v>12810</v>
      </c>
      <c r="E251" s="87" t="s">
        <v>10330</v>
      </c>
      <c r="F251" s="126"/>
      <c r="G251" s="126">
        <v>2000000</v>
      </c>
    </row>
    <row r="252" spans="1:7" ht="15.75">
      <c r="A252" s="113">
        <v>105</v>
      </c>
      <c r="B252" s="42" t="s">
        <v>12811</v>
      </c>
      <c r="E252" s="87" t="s">
        <v>10331</v>
      </c>
      <c r="F252" s="126"/>
      <c r="G252" s="126">
        <v>2000000</v>
      </c>
    </row>
    <row r="253" spans="1:7" ht="15.75">
      <c r="A253" s="113">
        <v>106</v>
      </c>
      <c r="B253" s="42" t="s">
        <v>12812</v>
      </c>
      <c r="E253" s="87" t="s">
        <v>10332</v>
      </c>
      <c r="F253" s="126"/>
      <c r="G253" s="126">
        <v>2000000</v>
      </c>
    </row>
    <row r="254" spans="1:7" ht="15.75">
      <c r="A254" s="113">
        <v>107</v>
      </c>
      <c r="B254" s="42" t="s">
        <v>12813</v>
      </c>
      <c r="E254" s="87" t="s">
        <v>10333</v>
      </c>
      <c r="F254" s="126"/>
      <c r="G254" s="126">
        <v>2000000</v>
      </c>
    </row>
    <row r="255" spans="1:7" ht="15.75">
      <c r="A255" s="113">
        <v>108</v>
      </c>
      <c r="B255" s="42" t="s">
        <v>12814</v>
      </c>
      <c r="E255" s="87" t="s">
        <v>10334</v>
      </c>
      <c r="F255" s="126"/>
      <c r="G255" s="126">
        <v>2000000</v>
      </c>
    </row>
    <row r="256" spans="1:7" ht="15.75">
      <c r="A256" s="113">
        <v>109</v>
      </c>
      <c r="B256" s="42" t="s">
        <v>12815</v>
      </c>
      <c r="E256" s="87" t="s">
        <v>10335</v>
      </c>
      <c r="F256" s="126"/>
      <c r="G256" s="126">
        <v>2000000</v>
      </c>
    </row>
    <row r="257" spans="1:7" ht="15.75">
      <c r="A257" s="113">
        <v>110</v>
      </c>
      <c r="B257" s="42" t="s">
        <v>12816</v>
      </c>
      <c r="E257" s="87" t="s">
        <v>10336</v>
      </c>
      <c r="F257" s="126"/>
      <c r="G257" s="126">
        <v>2000000</v>
      </c>
    </row>
    <row r="258" spans="1:7" ht="15.75">
      <c r="A258" s="113">
        <v>111</v>
      </c>
      <c r="B258" s="42" t="s">
        <v>12817</v>
      </c>
      <c r="E258" s="87" t="s">
        <v>10337</v>
      </c>
      <c r="F258" s="126"/>
      <c r="G258" s="126">
        <v>2000000</v>
      </c>
    </row>
    <row r="259" spans="1:7" ht="15.75">
      <c r="A259" s="113">
        <v>112</v>
      </c>
      <c r="B259" s="42" t="s">
        <v>12818</v>
      </c>
      <c r="E259" s="87" t="s">
        <v>10338</v>
      </c>
      <c r="F259" s="126"/>
      <c r="G259" s="126">
        <v>2000000</v>
      </c>
    </row>
    <row r="260" spans="1:7" ht="15.75">
      <c r="A260" s="113">
        <v>113</v>
      </c>
      <c r="B260" s="42" t="s">
        <v>12819</v>
      </c>
      <c r="E260" s="87" t="s">
        <v>10339</v>
      </c>
      <c r="F260" s="126"/>
      <c r="G260" s="126">
        <v>2000000</v>
      </c>
    </row>
    <row r="261" spans="1:7" ht="15.75">
      <c r="A261" s="113">
        <v>114</v>
      </c>
      <c r="B261" s="42" t="s">
        <v>12820</v>
      </c>
      <c r="E261" s="87" t="s">
        <v>10340</v>
      </c>
      <c r="F261" s="126"/>
      <c r="G261" s="126">
        <v>2000000</v>
      </c>
    </row>
    <row r="262" spans="1:7" ht="15.75">
      <c r="A262" s="113">
        <v>115</v>
      </c>
      <c r="B262" s="42" t="s">
        <v>12821</v>
      </c>
      <c r="E262" s="87" t="s">
        <v>10341</v>
      </c>
      <c r="F262" s="126"/>
      <c r="G262" s="126">
        <v>2000000</v>
      </c>
    </row>
    <row r="263" spans="1:7" ht="15.75">
      <c r="A263" s="113">
        <v>116</v>
      </c>
      <c r="B263" s="42" t="s">
        <v>12822</v>
      </c>
      <c r="E263" s="87" t="s">
        <v>10342</v>
      </c>
      <c r="F263" s="126"/>
      <c r="G263" s="126">
        <v>2000000</v>
      </c>
    </row>
    <row r="264" spans="1:7" ht="15.75">
      <c r="A264" s="113">
        <v>117</v>
      </c>
      <c r="B264" s="42" t="s">
        <v>12823</v>
      </c>
      <c r="E264" s="87" t="s">
        <v>10343</v>
      </c>
      <c r="F264" s="126"/>
      <c r="G264" s="126">
        <v>2000000</v>
      </c>
    </row>
    <row r="265" spans="1:7" ht="15.75">
      <c r="A265" s="113">
        <v>118</v>
      </c>
      <c r="B265" s="42" t="s">
        <v>12824</v>
      </c>
      <c r="E265" s="87" t="s">
        <v>10344</v>
      </c>
      <c r="F265" s="126"/>
      <c r="G265" s="126">
        <v>2000000</v>
      </c>
    </row>
    <row r="266" spans="1:7" ht="15.75">
      <c r="A266" s="113">
        <v>119</v>
      </c>
      <c r="B266" s="42" t="s">
        <v>12825</v>
      </c>
      <c r="E266" s="87" t="s">
        <v>10345</v>
      </c>
      <c r="F266" s="126"/>
      <c r="G266" s="126">
        <v>2000000</v>
      </c>
    </row>
    <row r="267" spans="1:7" ht="15.75">
      <c r="A267" s="113">
        <v>120</v>
      </c>
      <c r="B267" s="42" t="s">
        <v>12826</v>
      </c>
      <c r="E267" s="87" t="s">
        <v>10346</v>
      </c>
      <c r="F267" s="126"/>
      <c r="G267" s="126">
        <v>2000000</v>
      </c>
    </row>
    <row r="268" spans="1:7" ht="15.75">
      <c r="A268" s="113">
        <v>121</v>
      </c>
      <c r="B268" s="42" t="s">
        <v>12827</v>
      </c>
      <c r="E268" s="87" t="s">
        <v>10347</v>
      </c>
      <c r="F268" s="126"/>
      <c r="G268" s="126">
        <v>2000000</v>
      </c>
    </row>
    <row r="269" spans="1:7" ht="15.75">
      <c r="A269" s="113">
        <v>122</v>
      </c>
      <c r="B269" s="42" t="s">
        <v>12828</v>
      </c>
      <c r="E269" s="87" t="s">
        <v>10348</v>
      </c>
      <c r="F269" s="126"/>
      <c r="G269" s="126">
        <v>2000000</v>
      </c>
    </row>
    <row r="270" spans="1:7" ht="15.75">
      <c r="A270" s="113">
        <v>123</v>
      </c>
      <c r="B270" s="42" t="s">
        <v>12829</v>
      </c>
      <c r="E270" s="87" t="s">
        <v>10349</v>
      </c>
      <c r="F270" s="126"/>
      <c r="G270" s="126">
        <v>2000000</v>
      </c>
    </row>
    <row r="271" spans="1:7" ht="15.75">
      <c r="A271" s="113">
        <v>124</v>
      </c>
      <c r="B271" s="42" t="s">
        <v>12830</v>
      </c>
      <c r="E271" s="87" t="s">
        <v>10350</v>
      </c>
      <c r="F271" s="126"/>
      <c r="G271" s="126">
        <v>2000000</v>
      </c>
    </row>
    <row r="272" spans="1:7" ht="15.75">
      <c r="A272" s="113">
        <v>125</v>
      </c>
      <c r="B272" s="42" t="s">
        <v>12831</v>
      </c>
      <c r="E272" s="87" t="s">
        <v>10351</v>
      </c>
      <c r="F272" s="126"/>
      <c r="G272" s="126">
        <v>2000000</v>
      </c>
    </row>
    <row r="273" spans="1:7" ht="15.75">
      <c r="A273" s="113">
        <v>126</v>
      </c>
      <c r="B273" s="42" t="s">
        <v>12832</v>
      </c>
      <c r="E273" s="87" t="s">
        <v>10352</v>
      </c>
      <c r="F273" s="126"/>
      <c r="G273" s="126">
        <v>2000000</v>
      </c>
    </row>
    <row r="274" spans="1:7" ht="15.75">
      <c r="A274" s="113">
        <v>127</v>
      </c>
      <c r="B274" s="42" t="s">
        <v>12833</v>
      </c>
      <c r="E274" s="87" t="s">
        <v>10353</v>
      </c>
      <c r="F274" s="126"/>
      <c r="G274" s="126">
        <v>2000000</v>
      </c>
    </row>
    <row r="275" spans="1:7" ht="15.75">
      <c r="A275" s="113">
        <v>128</v>
      </c>
      <c r="B275" s="42" t="s">
        <v>12834</v>
      </c>
      <c r="E275" s="87" t="s">
        <v>10354</v>
      </c>
      <c r="F275" s="126"/>
      <c r="G275" s="126">
        <v>2000000</v>
      </c>
    </row>
    <row r="276" spans="1:7" ht="15.75">
      <c r="A276" s="113">
        <v>129</v>
      </c>
      <c r="B276" s="42" t="s">
        <v>12835</v>
      </c>
      <c r="E276" s="87" t="s">
        <v>10355</v>
      </c>
      <c r="F276" s="126"/>
      <c r="G276" s="126">
        <v>2000000</v>
      </c>
    </row>
    <row r="277" spans="1:7" ht="15.75">
      <c r="A277" s="113">
        <v>130</v>
      </c>
      <c r="B277" s="42" t="s">
        <v>12836</v>
      </c>
      <c r="E277" s="87" t="s">
        <v>10356</v>
      </c>
      <c r="F277" s="126"/>
      <c r="G277" s="126">
        <v>2000000</v>
      </c>
    </row>
    <row r="278" spans="1:7" ht="15.75">
      <c r="A278" s="113">
        <v>131</v>
      </c>
      <c r="B278" s="42" t="s">
        <v>12837</v>
      </c>
      <c r="E278" s="87" t="s">
        <v>10357</v>
      </c>
      <c r="F278" s="126"/>
      <c r="G278" s="126">
        <v>2000000</v>
      </c>
    </row>
    <row r="279" spans="1:7" ht="15.75">
      <c r="A279" s="113">
        <v>132</v>
      </c>
      <c r="B279" s="42" t="s">
        <v>12838</v>
      </c>
      <c r="E279" s="87" t="s">
        <v>10358</v>
      </c>
      <c r="F279" s="126"/>
      <c r="G279" s="126">
        <v>2000000</v>
      </c>
    </row>
    <row r="280" spans="1:7" ht="15.75">
      <c r="A280" s="113">
        <v>133</v>
      </c>
      <c r="B280" s="42" t="s">
        <v>12839</v>
      </c>
      <c r="E280" s="87" t="s">
        <v>10359</v>
      </c>
      <c r="F280" s="126"/>
      <c r="G280" s="126">
        <v>2000000</v>
      </c>
    </row>
    <row r="281" spans="1:7" ht="15.75">
      <c r="A281" s="113">
        <v>134</v>
      </c>
      <c r="B281" s="42" t="s">
        <v>12840</v>
      </c>
      <c r="E281" s="87" t="s">
        <v>10360</v>
      </c>
      <c r="F281" s="126"/>
      <c r="G281" s="126">
        <v>2000000</v>
      </c>
    </row>
    <row r="282" spans="1:7" ht="15.75">
      <c r="A282" s="113">
        <v>135</v>
      </c>
      <c r="B282" s="42" t="s">
        <v>12841</v>
      </c>
      <c r="E282" s="87" t="s">
        <v>10361</v>
      </c>
      <c r="F282" s="126"/>
      <c r="G282" s="126">
        <v>2000000</v>
      </c>
    </row>
    <row r="283" spans="1:7" ht="15.75">
      <c r="A283" s="113">
        <v>136</v>
      </c>
      <c r="B283" s="42" t="s">
        <v>12842</v>
      </c>
      <c r="E283" s="87" t="s">
        <v>10362</v>
      </c>
      <c r="F283" s="126"/>
      <c r="G283" s="126">
        <v>2000000</v>
      </c>
    </row>
    <row r="284" spans="1:7" ht="15.75">
      <c r="A284" s="113">
        <v>137</v>
      </c>
      <c r="B284" s="42" t="s">
        <v>12843</v>
      </c>
      <c r="E284" s="87" t="s">
        <v>10363</v>
      </c>
      <c r="F284" s="126"/>
      <c r="G284" s="126">
        <v>2000000</v>
      </c>
    </row>
    <row r="285" spans="1:7" ht="15.75">
      <c r="A285" s="113">
        <v>138</v>
      </c>
      <c r="B285" s="42" t="s">
        <v>12844</v>
      </c>
      <c r="E285" s="87" t="s">
        <v>10364</v>
      </c>
      <c r="F285" s="126"/>
      <c r="G285" s="126">
        <v>2000000</v>
      </c>
    </row>
    <row r="286" spans="1:7" ht="15.75">
      <c r="A286" s="113">
        <v>139</v>
      </c>
      <c r="B286" s="42" t="s">
        <v>12845</v>
      </c>
      <c r="E286" s="87" t="s">
        <v>10365</v>
      </c>
      <c r="F286" s="126"/>
      <c r="G286" s="126">
        <v>2000000</v>
      </c>
    </row>
    <row r="287" spans="1:7" ht="15.75">
      <c r="A287" s="113">
        <v>140</v>
      </c>
      <c r="B287" s="42" t="s">
        <v>12846</v>
      </c>
      <c r="E287" s="87" t="s">
        <v>10366</v>
      </c>
      <c r="F287" s="126"/>
      <c r="G287" s="126">
        <v>2000000</v>
      </c>
    </row>
    <row r="288" spans="1:7" ht="15.75">
      <c r="A288" s="113">
        <v>141</v>
      </c>
      <c r="B288" s="42" t="s">
        <v>12847</v>
      </c>
      <c r="E288" s="87" t="s">
        <v>10367</v>
      </c>
      <c r="F288" s="126"/>
      <c r="G288" s="126">
        <v>2000000</v>
      </c>
    </row>
    <row r="289" spans="1:7" ht="15.75">
      <c r="A289" s="113">
        <v>142</v>
      </c>
      <c r="B289" s="42" t="s">
        <v>12848</v>
      </c>
      <c r="E289" s="87" t="s">
        <v>10368</v>
      </c>
      <c r="F289" s="126"/>
      <c r="G289" s="126">
        <v>2000000</v>
      </c>
    </row>
    <row r="290" spans="1:7" ht="15.75">
      <c r="A290" s="113">
        <v>143</v>
      </c>
      <c r="B290" s="42" t="s">
        <v>12849</v>
      </c>
      <c r="E290" s="87" t="s">
        <v>10369</v>
      </c>
      <c r="F290" s="126"/>
      <c r="G290" s="126">
        <v>2000000</v>
      </c>
    </row>
    <row r="291" spans="1:7" ht="15.75">
      <c r="A291" s="113">
        <v>144</v>
      </c>
      <c r="B291" s="42" t="s">
        <v>12850</v>
      </c>
      <c r="E291" s="87" t="s">
        <v>10370</v>
      </c>
      <c r="F291" s="126"/>
      <c r="G291" s="126">
        <v>2000000</v>
      </c>
    </row>
    <row r="292" spans="1:7" ht="15.75">
      <c r="A292" s="113">
        <v>145</v>
      </c>
      <c r="B292" s="42" t="s">
        <v>12851</v>
      </c>
      <c r="E292" s="87" t="s">
        <v>10371</v>
      </c>
      <c r="F292" s="126"/>
      <c r="G292" s="126">
        <v>2000000</v>
      </c>
    </row>
    <row r="293" spans="1:7" ht="15.75">
      <c r="A293" s="113">
        <v>146</v>
      </c>
      <c r="B293" s="42" t="s">
        <v>12852</v>
      </c>
      <c r="E293" s="87" t="s">
        <v>10372</v>
      </c>
      <c r="F293" s="126"/>
      <c r="G293" s="126">
        <v>2000000</v>
      </c>
    </row>
    <row r="294" spans="1:7" ht="15.75">
      <c r="A294" s="113">
        <v>147</v>
      </c>
      <c r="B294" s="42" t="s">
        <v>12853</v>
      </c>
      <c r="E294" s="87" t="s">
        <v>10373</v>
      </c>
      <c r="F294" s="126"/>
      <c r="G294" s="126">
        <v>2000000</v>
      </c>
    </row>
    <row r="295" spans="1:7" ht="15.75">
      <c r="A295" s="113">
        <v>148</v>
      </c>
      <c r="B295" s="42" t="s">
        <v>12854</v>
      </c>
      <c r="E295" s="87" t="s">
        <v>10374</v>
      </c>
      <c r="F295" s="126"/>
      <c r="G295" s="126">
        <v>2000000</v>
      </c>
    </row>
    <row r="296" spans="1:7" ht="15.75">
      <c r="A296" s="113">
        <v>149</v>
      </c>
      <c r="B296" s="42" t="s">
        <v>12855</v>
      </c>
      <c r="E296" s="87" t="s">
        <v>10375</v>
      </c>
      <c r="F296" s="126"/>
      <c r="G296" s="126">
        <v>2000000</v>
      </c>
    </row>
    <row r="297" spans="1:7" ht="15.75">
      <c r="A297" s="113">
        <v>150</v>
      </c>
      <c r="B297" s="42" t="s">
        <v>12856</v>
      </c>
      <c r="E297" s="87" t="s">
        <v>10376</v>
      </c>
      <c r="F297" s="126"/>
      <c r="G297" s="126">
        <v>2000000</v>
      </c>
    </row>
    <row r="298" spans="1:7" ht="15.75">
      <c r="A298" s="113">
        <v>151</v>
      </c>
      <c r="B298" s="42" t="s">
        <v>12857</v>
      </c>
      <c r="E298" s="87" t="s">
        <v>10377</v>
      </c>
      <c r="F298" s="126"/>
      <c r="G298" s="126">
        <v>2000000</v>
      </c>
    </row>
    <row r="299" spans="1:7" ht="15.75">
      <c r="A299" s="113">
        <v>152</v>
      </c>
      <c r="B299" s="42" t="s">
        <v>12858</v>
      </c>
      <c r="E299" s="87" t="s">
        <v>10378</v>
      </c>
      <c r="F299" s="126"/>
      <c r="G299" s="126">
        <v>2000000</v>
      </c>
    </row>
    <row r="300" spans="1:7" ht="15.75">
      <c r="A300" s="113">
        <v>153</v>
      </c>
      <c r="B300" s="42" t="s">
        <v>12859</v>
      </c>
      <c r="E300" s="87" t="s">
        <v>10379</v>
      </c>
      <c r="F300" s="126"/>
      <c r="G300" s="126">
        <v>2000000</v>
      </c>
    </row>
    <row r="301" spans="1:7" ht="15.75">
      <c r="A301" s="113">
        <v>154</v>
      </c>
      <c r="B301" s="42" t="s">
        <v>12860</v>
      </c>
      <c r="E301" s="87" t="s">
        <v>10380</v>
      </c>
      <c r="F301" s="126"/>
      <c r="G301" s="126">
        <v>2000000</v>
      </c>
    </row>
    <row r="302" spans="1:7" ht="15.75">
      <c r="A302" s="113">
        <v>155</v>
      </c>
      <c r="B302" s="42" t="s">
        <v>12861</v>
      </c>
      <c r="E302" s="87" t="s">
        <v>10381</v>
      </c>
      <c r="F302" s="126"/>
      <c r="G302" s="126">
        <v>2000000</v>
      </c>
    </row>
    <row r="303" spans="1:7" ht="15.75">
      <c r="A303" s="113">
        <v>156</v>
      </c>
      <c r="B303" s="42" t="s">
        <v>12862</v>
      </c>
      <c r="E303" s="87" t="s">
        <v>10382</v>
      </c>
      <c r="F303" s="126"/>
      <c r="G303" s="126">
        <v>2000000</v>
      </c>
    </row>
    <row r="304" spans="1:7" ht="15.75">
      <c r="A304" s="113">
        <v>157</v>
      </c>
      <c r="B304" s="42" t="s">
        <v>12863</v>
      </c>
      <c r="E304" s="87" t="s">
        <v>10383</v>
      </c>
      <c r="F304" s="126"/>
      <c r="G304" s="126">
        <v>2000000</v>
      </c>
    </row>
    <row r="305" spans="1:7" ht="15.75">
      <c r="A305" s="113">
        <v>158</v>
      </c>
      <c r="B305" s="42" t="s">
        <v>12864</v>
      </c>
      <c r="E305" s="87" t="s">
        <v>10384</v>
      </c>
      <c r="F305" s="126"/>
      <c r="G305" s="126">
        <v>2000000</v>
      </c>
    </row>
    <row r="306" spans="1:7" ht="15.75">
      <c r="A306" s="113">
        <v>159</v>
      </c>
      <c r="B306" s="42" t="s">
        <v>12865</v>
      </c>
      <c r="E306" s="87" t="s">
        <v>10385</v>
      </c>
      <c r="F306" s="126"/>
      <c r="G306" s="126">
        <v>2000000</v>
      </c>
    </row>
    <row r="307" spans="1:7" ht="15.75">
      <c r="A307" s="113">
        <v>160</v>
      </c>
      <c r="B307" s="42" t="s">
        <v>12866</v>
      </c>
      <c r="E307" s="87" t="s">
        <v>10386</v>
      </c>
      <c r="F307" s="126"/>
      <c r="G307" s="126">
        <v>2000000</v>
      </c>
    </row>
    <row r="308" spans="1:7" ht="15.75">
      <c r="A308" s="113">
        <v>161</v>
      </c>
      <c r="B308" s="42" t="s">
        <v>12867</v>
      </c>
      <c r="E308" s="87" t="s">
        <v>10387</v>
      </c>
      <c r="F308" s="126"/>
      <c r="G308" s="126">
        <v>2000000</v>
      </c>
    </row>
    <row r="309" spans="1:7" ht="15.75">
      <c r="A309" s="113">
        <v>162</v>
      </c>
      <c r="B309" s="42" t="s">
        <v>12868</v>
      </c>
      <c r="E309" s="87" t="s">
        <v>10388</v>
      </c>
      <c r="F309" s="126"/>
      <c r="G309" s="126">
        <v>2000000</v>
      </c>
    </row>
    <row r="310" spans="1:7" ht="15.75">
      <c r="A310" s="113"/>
      <c r="E310" s="87"/>
      <c r="F310" s="126"/>
      <c r="G310" s="126"/>
    </row>
    <row r="311" spans="1:7" ht="15.75">
      <c r="A311" s="113">
        <v>163</v>
      </c>
      <c r="B311" s="42" t="s">
        <v>12868</v>
      </c>
      <c r="E311" s="182" t="s">
        <v>2811</v>
      </c>
      <c r="F311" s="126"/>
      <c r="G311" s="126">
        <v>2000000</v>
      </c>
    </row>
    <row r="312" spans="1:7" ht="15.75">
      <c r="A312" s="113">
        <v>164</v>
      </c>
      <c r="B312" s="42" t="s">
        <v>12869</v>
      </c>
      <c r="E312" s="182" t="s">
        <v>2812</v>
      </c>
      <c r="F312" s="126"/>
      <c r="G312" s="126">
        <v>2000000</v>
      </c>
    </row>
    <row r="313" spans="1:7" ht="15.75">
      <c r="A313" s="113">
        <v>165</v>
      </c>
      <c r="B313" s="42" t="s">
        <v>12870</v>
      </c>
      <c r="E313" s="182" t="s">
        <v>2813</v>
      </c>
      <c r="F313" s="126"/>
      <c r="G313" s="126">
        <v>2000000</v>
      </c>
    </row>
    <row r="314" spans="1:7" ht="15.75">
      <c r="A314" s="113">
        <v>166</v>
      </c>
      <c r="B314" s="42" t="s">
        <v>12871</v>
      </c>
      <c r="E314" s="182" t="s">
        <v>2814</v>
      </c>
      <c r="F314" s="126"/>
      <c r="G314" s="126">
        <v>2000000</v>
      </c>
    </row>
    <row r="315" spans="1:7" ht="15.75">
      <c r="A315" s="113">
        <v>167</v>
      </c>
      <c r="B315" s="42" t="s">
        <v>12872</v>
      </c>
      <c r="E315" s="182" t="s">
        <v>2815</v>
      </c>
      <c r="F315" s="126"/>
      <c r="G315" s="126">
        <v>2000000</v>
      </c>
    </row>
    <row r="316" spans="1:7" ht="15.75">
      <c r="A316" s="113">
        <v>168</v>
      </c>
      <c r="B316" s="42" t="s">
        <v>12873</v>
      </c>
      <c r="E316" s="182" t="s">
        <v>2810</v>
      </c>
      <c r="F316" s="126"/>
      <c r="G316" s="126">
        <v>10000000</v>
      </c>
    </row>
    <row r="317" spans="1:7" ht="11.25" customHeight="1">
      <c r="A317" s="177"/>
      <c r="E317" s="99"/>
      <c r="F317" s="131"/>
      <c r="G317" s="131"/>
    </row>
    <row r="318" spans="1:7" ht="15.75" customHeight="1">
      <c r="A318" s="178"/>
      <c r="B318" s="162"/>
      <c r="C318" s="162"/>
      <c r="D318" s="179"/>
      <c r="E318" s="180" t="str">
        <f>""&amp;TEXT(A142,"0")&amp;" एकूण"</f>
        <v>यादी क्र. R5 एकूण</v>
      </c>
      <c r="F318" s="181">
        <f t="shared" ref="F318:G318" si="4">SUM(F148:F317)</f>
        <v>0</v>
      </c>
      <c r="G318" s="181">
        <f t="shared" si="4"/>
        <v>344000000</v>
      </c>
    </row>
    <row r="319" spans="1:7" ht="11.25" customHeight="1">
      <c r="A319" s="92"/>
      <c r="E319" s="99"/>
      <c r="F319" s="131"/>
      <c r="G319" s="131"/>
    </row>
    <row r="320" spans="1:7" ht="15.75" customHeight="1">
      <c r="A320" s="169" t="s">
        <v>10536</v>
      </c>
      <c r="B320" s="161"/>
      <c r="C320" s="161"/>
      <c r="D320" s="170"/>
      <c r="E320" s="171"/>
      <c r="F320" s="172"/>
      <c r="G320" s="172"/>
    </row>
    <row r="321" spans="1:7" ht="15.75" customHeight="1">
      <c r="A321" s="173" t="s">
        <v>4919</v>
      </c>
      <c r="E321" s="99"/>
      <c r="F321" s="131"/>
      <c r="G321" s="131"/>
    </row>
    <row r="322" spans="1:7" ht="11.25" customHeight="1">
      <c r="A322" s="93" t="s">
        <v>5210</v>
      </c>
      <c r="E322" s="99"/>
      <c r="F322" s="131"/>
      <c r="G322" s="131"/>
    </row>
    <row r="323" spans="1:7" ht="11.25" customHeight="1">
      <c r="A323" s="92"/>
      <c r="E323" s="99"/>
      <c r="F323" s="131"/>
      <c r="G323" s="131"/>
    </row>
    <row r="324" spans="1:7" ht="15.75" customHeight="1">
      <c r="A324" s="113" t="s">
        <v>4918</v>
      </c>
      <c r="B324" s="42" t="s">
        <v>234</v>
      </c>
      <c r="C324" s="42" t="s">
        <v>506</v>
      </c>
      <c r="E324" s="174" t="s">
        <v>4066</v>
      </c>
      <c r="F324" s="175" t="s">
        <v>3673</v>
      </c>
      <c r="G324" s="175" t="s">
        <v>3676</v>
      </c>
    </row>
    <row r="325" spans="1:7" ht="11.25" customHeight="1">
      <c r="A325" s="177"/>
      <c r="E325" s="99"/>
      <c r="F325" s="131"/>
      <c r="G325" s="131"/>
    </row>
    <row r="326" spans="1:7" ht="15.75">
      <c r="A326" s="113">
        <v>1</v>
      </c>
      <c r="B326" s="42" t="s">
        <v>5221</v>
      </c>
      <c r="E326" s="87" t="s">
        <v>4498</v>
      </c>
      <c r="F326" s="126"/>
      <c r="G326" s="126">
        <v>4000000</v>
      </c>
    </row>
    <row r="327" spans="1:7" ht="31.5">
      <c r="A327" s="113">
        <v>2</v>
      </c>
      <c r="B327" s="42" t="s">
        <v>5211</v>
      </c>
      <c r="E327" s="79" t="s">
        <v>4499</v>
      </c>
      <c r="F327" s="126"/>
      <c r="G327" s="126">
        <v>40000000</v>
      </c>
    </row>
    <row r="328" spans="1:7" ht="15.75">
      <c r="A328" s="113">
        <v>3</v>
      </c>
      <c r="B328" s="42" t="s">
        <v>5212</v>
      </c>
      <c r="E328" s="87" t="s">
        <v>4735</v>
      </c>
      <c r="F328" s="126"/>
      <c r="G328" s="126">
        <v>1750000</v>
      </c>
    </row>
    <row r="329" spans="1:7" ht="31.5">
      <c r="A329" s="113">
        <v>4</v>
      </c>
      <c r="B329" s="42" t="s">
        <v>5213</v>
      </c>
      <c r="E329" s="79" t="s">
        <v>4500</v>
      </c>
      <c r="F329" s="126"/>
      <c r="G329" s="126">
        <v>20000000</v>
      </c>
    </row>
    <row r="330" spans="1:7" ht="78.75">
      <c r="A330" s="113">
        <v>5</v>
      </c>
      <c r="B330" s="42" t="s">
        <v>5214</v>
      </c>
      <c r="E330" s="79" t="s">
        <v>12622</v>
      </c>
      <c r="F330" s="126"/>
      <c r="G330" s="126">
        <v>750000000</v>
      </c>
    </row>
    <row r="331" spans="1:7" ht="31.5">
      <c r="A331" s="113">
        <v>6</v>
      </c>
      <c r="B331" s="42" t="s">
        <v>5215</v>
      </c>
      <c r="E331" s="79" t="s">
        <v>8399</v>
      </c>
      <c r="F331" s="126"/>
      <c r="G331" s="126">
        <v>2500000</v>
      </c>
    </row>
    <row r="332" spans="1:7" ht="31.5">
      <c r="A332" s="113">
        <v>7</v>
      </c>
      <c r="B332" s="42" t="s">
        <v>5216</v>
      </c>
      <c r="E332" s="79" t="s">
        <v>8400</v>
      </c>
      <c r="F332" s="126"/>
      <c r="G332" s="126">
        <v>2500000</v>
      </c>
    </row>
    <row r="333" spans="1:7" ht="47.25">
      <c r="A333" s="113">
        <v>8</v>
      </c>
      <c r="B333" s="42" t="s">
        <v>5217</v>
      </c>
      <c r="E333" s="79" t="s">
        <v>8401</v>
      </c>
      <c r="F333" s="126"/>
      <c r="G333" s="126">
        <v>2500000</v>
      </c>
    </row>
    <row r="334" spans="1:7" ht="47.25">
      <c r="A334" s="113">
        <v>9</v>
      </c>
      <c r="B334" s="42" t="s">
        <v>5218</v>
      </c>
      <c r="E334" s="79" t="s">
        <v>4501</v>
      </c>
      <c r="F334" s="126"/>
      <c r="G334" s="126">
        <v>2500000</v>
      </c>
    </row>
    <row r="335" spans="1:7" ht="15.75">
      <c r="A335" s="113">
        <v>10</v>
      </c>
      <c r="B335" s="42" t="s">
        <v>5219</v>
      </c>
      <c r="E335" s="87" t="s">
        <v>4741</v>
      </c>
      <c r="F335" s="126"/>
      <c r="G335" s="126">
        <v>20000000</v>
      </c>
    </row>
    <row r="336" spans="1:7" ht="47.25">
      <c r="A336" s="113">
        <v>11</v>
      </c>
      <c r="B336" s="42" t="s">
        <v>5220</v>
      </c>
      <c r="E336" s="79" t="s">
        <v>4769</v>
      </c>
      <c r="F336" s="126"/>
      <c r="G336" s="126">
        <v>5000000</v>
      </c>
    </row>
    <row r="337" spans="1:7" ht="15.75">
      <c r="A337" s="113">
        <v>12</v>
      </c>
      <c r="B337" s="42" t="s">
        <v>12874</v>
      </c>
      <c r="E337" s="79" t="s">
        <v>8402</v>
      </c>
      <c r="F337" s="126"/>
      <c r="G337" s="126">
        <v>10000000</v>
      </c>
    </row>
    <row r="338" spans="1:7" ht="15.75">
      <c r="A338" s="113">
        <v>13</v>
      </c>
      <c r="B338" s="42" t="s">
        <v>12875</v>
      </c>
      <c r="E338" s="79" t="s">
        <v>10413</v>
      </c>
      <c r="F338" s="126"/>
      <c r="G338" s="126">
        <v>5000000</v>
      </c>
    </row>
    <row r="339" spans="1:7" ht="11.25" customHeight="1">
      <c r="A339" s="177"/>
      <c r="E339" s="99"/>
      <c r="F339" s="131"/>
      <c r="G339" s="131"/>
    </row>
    <row r="340" spans="1:7" ht="15.75" customHeight="1">
      <c r="A340" s="178"/>
      <c r="B340" s="162"/>
      <c r="C340" s="162"/>
      <c r="D340" s="179"/>
      <c r="E340" s="180" t="str">
        <f>""&amp;TEXT(A320,"0")&amp;" एकूण"</f>
        <v>यादी क्र. R12 एकूण</v>
      </c>
      <c r="F340" s="181">
        <f>SUM(F326:F339)</f>
        <v>0</v>
      </c>
      <c r="G340" s="181">
        <f>SUM(G326:G339)</f>
        <v>865750000</v>
      </c>
    </row>
    <row r="341" spans="1:7" ht="11.25" customHeight="1">
      <c r="A341" s="92"/>
      <c r="E341" s="99"/>
      <c r="F341" s="131"/>
      <c r="G341" s="131"/>
    </row>
    <row r="342" spans="1:7" ht="15.75" customHeight="1">
      <c r="A342" s="169" t="s">
        <v>10537</v>
      </c>
      <c r="B342" s="161"/>
      <c r="C342" s="161"/>
      <c r="D342" s="170"/>
      <c r="E342" s="171"/>
      <c r="F342" s="172"/>
      <c r="G342" s="172"/>
    </row>
    <row r="343" spans="1:7" ht="15.75" customHeight="1">
      <c r="A343" s="173" t="s">
        <v>4920</v>
      </c>
      <c r="E343" s="99"/>
      <c r="F343" s="131"/>
      <c r="G343" s="131"/>
    </row>
    <row r="344" spans="1:7" ht="11.25" customHeight="1">
      <c r="A344" s="93" t="s">
        <v>5222</v>
      </c>
      <c r="E344" s="99"/>
      <c r="F344" s="131"/>
      <c r="G344" s="131"/>
    </row>
    <row r="345" spans="1:7" ht="11.25" customHeight="1">
      <c r="A345" s="92"/>
      <c r="E345" s="99"/>
      <c r="F345" s="131"/>
      <c r="G345" s="131"/>
    </row>
    <row r="346" spans="1:7" ht="15.75" customHeight="1">
      <c r="A346" s="113" t="s">
        <v>4918</v>
      </c>
      <c r="B346" s="42" t="s">
        <v>234</v>
      </c>
      <c r="C346" s="42" t="s">
        <v>506</v>
      </c>
      <c r="E346" s="174" t="s">
        <v>4066</v>
      </c>
      <c r="F346" s="175" t="s">
        <v>3673</v>
      </c>
      <c r="G346" s="175" t="s">
        <v>3676</v>
      </c>
    </row>
    <row r="347" spans="1:7" ht="11.25" customHeight="1">
      <c r="A347" s="177"/>
      <c r="E347" s="99"/>
      <c r="F347" s="131"/>
      <c r="G347" s="131"/>
    </row>
    <row r="348" spans="1:7" ht="47.25">
      <c r="A348" s="113">
        <v>1</v>
      </c>
      <c r="B348" s="42" t="s">
        <v>5231</v>
      </c>
      <c r="E348" s="79" t="s">
        <v>4583</v>
      </c>
      <c r="F348" s="126"/>
      <c r="G348" s="126">
        <v>30000000</v>
      </c>
    </row>
    <row r="349" spans="1:7" ht="15.75">
      <c r="A349" s="113">
        <v>2</v>
      </c>
      <c r="B349" s="42" t="s">
        <v>5223</v>
      </c>
      <c r="E349" s="87" t="s">
        <v>4584</v>
      </c>
      <c r="F349" s="126"/>
      <c r="G349" s="126">
        <v>15000000</v>
      </c>
    </row>
    <row r="350" spans="1:7" ht="15.75">
      <c r="A350" s="113">
        <v>3</v>
      </c>
      <c r="B350" s="42" t="s">
        <v>5224</v>
      </c>
      <c r="E350" s="87" t="s">
        <v>4585</v>
      </c>
      <c r="F350" s="126"/>
      <c r="G350" s="126">
        <v>3500000</v>
      </c>
    </row>
    <row r="351" spans="1:7" ht="15.75">
      <c r="A351" s="113">
        <v>4</v>
      </c>
      <c r="B351" s="42" t="s">
        <v>5225</v>
      </c>
      <c r="E351" s="87" t="s">
        <v>4586</v>
      </c>
      <c r="F351" s="126"/>
      <c r="G351" s="126">
        <v>5000000</v>
      </c>
    </row>
    <row r="352" spans="1:7" ht="15.75">
      <c r="A352" s="113">
        <v>5</v>
      </c>
      <c r="B352" s="42" t="s">
        <v>5226</v>
      </c>
      <c r="E352" s="87" t="s">
        <v>4587</v>
      </c>
      <c r="F352" s="126"/>
      <c r="G352" s="126">
        <v>7000000</v>
      </c>
    </row>
    <row r="353" spans="1:7" ht="47.25">
      <c r="A353" s="113">
        <v>6</v>
      </c>
      <c r="B353" s="42" t="s">
        <v>5227</v>
      </c>
      <c r="E353" s="79" t="s">
        <v>4588</v>
      </c>
      <c r="F353" s="126"/>
      <c r="G353" s="126">
        <v>3500000</v>
      </c>
    </row>
    <row r="354" spans="1:7" ht="47.25">
      <c r="A354" s="113">
        <v>7</v>
      </c>
      <c r="B354" s="42" t="s">
        <v>5228</v>
      </c>
      <c r="E354" s="79" t="s">
        <v>4589</v>
      </c>
      <c r="F354" s="126"/>
      <c r="G354" s="126">
        <v>15000000</v>
      </c>
    </row>
    <row r="355" spans="1:7" ht="31.5">
      <c r="A355" s="113">
        <v>8</v>
      </c>
      <c r="B355" s="42" t="s">
        <v>5229</v>
      </c>
      <c r="E355" s="79" t="s">
        <v>10399</v>
      </c>
      <c r="F355" s="126"/>
      <c r="G355" s="126">
        <v>2500000</v>
      </c>
    </row>
    <row r="356" spans="1:7" ht="15.75">
      <c r="A356" s="113">
        <v>9</v>
      </c>
      <c r="B356" s="42" t="s">
        <v>5230</v>
      </c>
      <c r="E356" s="87" t="s">
        <v>4590</v>
      </c>
      <c r="F356" s="126"/>
      <c r="G356" s="126">
        <v>10000000</v>
      </c>
    </row>
    <row r="357" spans="1:7" ht="31.5">
      <c r="A357" s="113">
        <v>10</v>
      </c>
      <c r="B357" s="42" t="s">
        <v>12876</v>
      </c>
      <c r="E357" s="79" t="s">
        <v>10400</v>
      </c>
      <c r="F357" s="126"/>
      <c r="G357" s="126">
        <v>15000000</v>
      </c>
    </row>
    <row r="358" spans="1:7" ht="11.25" customHeight="1">
      <c r="A358" s="177"/>
      <c r="E358" s="99"/>
      <c r="F358" s="131"/>
      <c r="G358" s="131"/>
    </row>
    <row r="359" spans="1:7" ht="15.75" customHeight="1">
      <c r="A359" s="178"/>
      <c r="B359" s="162"/>
      <c r="C359" s="162"/>
      <c r="D359" s="179"/>
      <c r="E359" s="180" t="str">
        <f>""&amp;TEXT(A342,"0")&amp;" एकूण"</f>
        <v>यादी क्र. R13 एकूण</v>
      </c>
      <c r="F359" s="181">
        <f t="shared" ref="F359:G359" si="5">SUM(F348:F358)</f>
        <v>0</v>
      </c>
      <c r="G359" s="181">
        <f t="shared" si="5"/>
        <v>106500000</v>
      </c>
    </row>
    <row r="360" spans="1:7" ht="11.25" customHeight="1">
      <c r="A360" s="92"/>
      <c r="E360" s="99"/>
      <c r="F360" s="131"/>
      <c r="G360" s="131"/>
    </row>
    <row r="361" spans="1:7" ht="11.25" customHeight="1">
      <c r="A361" s="92"/>
      <c r="E361" s="92"/>
      <c r="F361" s="131"/>
      <c r="G361" s="131"/>
    </row>
    <row r="362" spans="1:7" ht="15.75" customHeight="1">
      <c r="A362" s="169" t="s">
        <v>10538</v>
      </c>
      <c r="B362" s="161"/>
      <c r="C362" s="161"/>
      <c r="D362" s="170"/>
      <c r="E362" s="183"/>
      <c r="F362" s="172"/>
      <c r="G362" s="172"/>
    </row>
    <row r="363" spans="1:7" ht="15.75" customHeight="1">
      <c r="A363" s="173" t="s">
        <v>5233</v>
      </c>
      <c r="E363" s="92"/>
      <c r="F363" s="131"/>
      <c r="G363" s="131"/>
    </row>
    <row r="364" spans="1:7" ht="11.25" customHeight="1">
      <c r="A364" s="93" t="s">
        <v>8639</v>
      </c>
      <c r="E364" s="92"/>
      <c r="F364" s="131"/>
      <c r="G364" s="131"/>
    </row>
    <row r="365" spans="1:7" ht="11.25" customHeight="1">
      <c r="A365" s="92"/>
      <c r="E365" s="92"/>
      <c r="F365" s="131"/>
      <c r="G365" s="131"/>
    </row>
    <row r="366" spans="1:7" ht="15.75" customHeight="1">
      <c r="A366" s="113" t="s">
        <v>4918</v>
      </c>
      <c r="B366" s="42" t="s">
        <v>234</v>
      </c>
      <c r="C366" s="42" t="s">
        <v>506</v>
      </c>
      <c r="E366" s="113" t="s">
        <v>4066</v>
      </c>
      <c r="F366" s="175" t="s">
        <v>3673</v>
      </c>
      <c r="G366" s="175" t="s">
        <v>3676</v>
      </c>
    </row>
    <row r="367" spans="1:7" ht="11.25" customHeight="1">
      <c r="A367" s="177"/>
      <c r="E367" s="92"/>
      <c r="F367" s="131"/>
      <c r="G367" s="131"/>
    </row>
    <row r="368" spans="1:7" ht="15.75">
      <c r="A368" s="113">
        <v>1</v>
      </c>
      <c r="B368" s="42" t="s">
        <v>12877</v>
      </c>
      <c r="E368" s="79" t="s">
        <v>8640</v>
      </c>
      <c r="F368" s="126"/>
      <c r="G368" s="126">
        <v>5000000</v>
      </c>
    </row>
    <row r="369" spans="1:7" ht="11.25" customHeight="1">
      <c r="A369" s="177"/>
      <c r="E369" s="92"/>
      <c r="F369" s="131"/>
      <c r="G369" s="131"/>
    </row>
    <row r="370" spans="1:7" ht="15.75" customHeight="1">
      <c r="A370" s="178"/>
      <c r="B370" s="162"/>
      <c r="C370" s="162"/>
      <c r="D370" s="179"/>
      <c r="E370" s="184" t="str">
        <f>""&amp;TEXT(A362,"0")&amp;" एकूण"</f>
        <v>यादी क्र. R14 एकूण</v>
      </c>
      <c r="F370" s="181">
        <f t="shared" ref="F370:G370" si="6">SUM(F368:F369)</f>
        <v>0</v>
      </c>
      <c r="G370" s="181">
        <f t="shared" si="6"/>
        <v>5000000</v>
      </c>
    </row>
    <row r="371" spans="1:7" ht="11.25" customHeight="1">
      <c r="A371" s="92"/>
      <c r="E371" s="92"/>
      <c r="F371" s="131"/>
      <c r="G371" s="131"/>
    </row>
  </sheetData>
  <printOptions horizontalCentered="1" gridLines="1" gridLinesSet="0"/>
  <pageMargins left="0.5" right="0.5" top="0.7" bottom="1.5" header="0.5" footer="0.5"/>
  <pageSetup paperSize="5" firstPageNumber="144" orientation="portrait" blackAndWhite="1" useFirstPageNumber="1" r:id="rId1"/>
  <headerFooter alignWithMargins="0">
    <oddHeader xml:space="preserve">&amp;C &amp;P </oddHeader>
  </headerFooter>
  <rowBreaks count="2" manualBreakCount="2">
    <brk id="121" max="18" man="1"/>
    <brk id="341"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15">
    <tabColor indexed="45"/>
  </sheetPr>
  <dimension ref="A1:P396"/>
  <sheetViews>
    <sheetView showZeros="0" zoomScaleNormal="100" zoomScaleSheetLayoutView="100" workbookViewId="0">
      <pane ySplit="5" topLeftCell="A6" activePane="bottomLeft" state="frozen"/>
      <selection pane="bottomLeft" activeCell="A6" sqref="A6"/>
    </sheetView>
  </sheetViews>
  <sheetFormatPr defaultColWidth="9.1640625" defaultRowHeight="12"/>
  <cols>
    <col min="1" max="1" width="4.6640625" style="26" customWidth="1"/>
    <col min="2" max="2" width="12" style="26" customWidth="1"/>
    <col min="3" max="3" width="4.33203125" style="36" customWidth="1"/>
    <col min="4" max="4" width="4.5" style="29" customWidth="1"/>
    <col min="5" max="5" width="52.83203125" style="26" customWidth="1"/>
    <col min="6" max="6" width="52.83203125" style="109" hidden="1" customWidth="1"/>
    <col min="7" max="7" width="11.83203125" style="46" customWidth="1"/>
    <col min="8" max="9" width="15.33203125" style="46" customWidth="1"/>
    <col min="10" max="15" width="16.83203125" style="46" customWidth="1"/>
    <col min="16" max="16" width="18.83203125" style="46" customWidth="1"/>
    <col min="17" max="16384" width="9.1640625" style="26"/>
  </cols>
  <sheetData>
    <row r="1" spans="1:16" ht="15.75" customHeight="1">
      <c r="A1" s="316" t="s">
        <v>13061</v>
      </c>
      <c r="B1" s="316"/>
      <c r="C1" s="316"/>
      <c r="D1" s="316"/>
      <c r="E1" s="316"/>
      <c r="F1" s="316"/>
      <c r="G1" s="316"/>
      <c r="H1" s="316"/>
      <c r="I1" s="316"/>
      <c r="J1" s="322" t="s">
        <v>3669</v>
      </c>
      <c r="K1" s="322"/>
      <c r="L1" s="322"/>
      <c r="M1" s="322"/>
      <c r="N1" s="322"/>
      <c r="O1" s="322"/>
      <c r="P1" s="322"/>
    </row>
    <row r="2" spans="1:16" ht="15.75" customHeight="1">
      <c r="A2" s="315" t="s">
        <v>3663</v>
      </c>
      <c r="B2" s="317" t="s">
        <v>3664</v>
      </c>
      <c r="C2" s="315" t="s">
        <v>3665</v>
      </c>
      <c r="D2" s="323" t="s">
        <v>1045</v>
      </c>
      <c r="E2" s="317" t="s">
        <v>3662</v>
      </c>
      <c r="F2" s="319" t="s">
        <v>924</v>
      </c>
      <c r="G2" s="318" t="s">
        <v>13062</v>
      </c>
      <c r="H2" s="318"/>
      <c r="I2" s="318"/>
      <c r="J2" s="318" t="s">
        <v>13063</v>
      </c>
      <c r="K2" s="325" t="s">
        <v>13064</v>
      </c>
      <c r="L2" s="325"/>
      <c r="M2" s="325" t="s">
        <v>13065</v>
      </c>
      <c r="N2" s="325"/>
      <c r="O2" s="325" t="s">
        <v>13066</v>
      </c>
      <c r="P2" s="324" t="s">
        <v>3673</v>
      </c>
    </row>
    <row r="3" spans="1:16" ht="15.75" customHeight="1">
      <c r="A3" s="315"/>
      <c r="B3" s="317"/>
      <c r="C3" s="315"/>
      <c r="D3" s="323"/>
      <c r="E3" s="317"/>
      <c r="F3" s="320"/>
      <c r="G3" s="324" t="s">
        <v>3666</v>
      </c>
      <c r="H3" s="324" t="s">
        <v>3667</v>
      </c>
      <c r="I3" s="324" t="s">
        <v>3668</v>
      </c>
      <c r="J3" s="318"/>
      <c r="K3" s="324" t="s">
        <v>3670</v>
      </c>
      <c r="L3" s="324" t="s">
        <v>3671</v>
      </c>
      <c r="M3" s="324" t="s">
        <v>3666</v>
      </c>
      <c r="N3" s="324" t="s">
        <v>3672</v>
      </c>
      <c r="O3" s="325"/>
      <c r="P3" s="324"/>
    </row>
    <row r="4" spans="1:16" ht="15.75" customHeight="1">
      <c r="A4" s="315"/>
      <c r="B4" s="317"/>
      <c r="C4" s="315"/>
      <c r="D4" s="323"/>
      <c r="E4" s="317"/>
      <c r="F4" s="320"/>
      <c r="G4" s="324"/>
      <c r="H4" s="324"/>
      <c r="I4" s="324"/>
      <c r="J4" s="318"/>
      <c r="K4" s="324"/>
      <c r="L4" s="324"/>
      <c r="M4" s="324"/>
      <c r="N4" s="324"/>
      <c r="O4" s="325"/>
      <c r="P4" s="324"/>
    </row>
    <row r="5" spans="1:16" ht="15.75" customHeight="1">
      <c r="A5" s="315"/>
      <c r="B5" s="317"/>
      <c r="C5" s="315"/>
      <c r="D5" s="323"/>
      <c r="E5" s="317"/>
      <c r="F5" s="321"/>
      <c r="G5" s="324"/>
      <c r="H5" s="324"/>
      <c r="I5" s="324"/>
      <c r="J5" s="318"/>
      <c r="K5" s="324"/>
      <c r="L5" s="324"/>
      <c r="M5" s="324"/>
      <c r="N5" s="324"/>
      <c r="O5" s="325"/>
      <c r="P5" s="324"/>
    </row>
    <row r="6" spans="1:16" ht="15.75">
      <c r="A6" s="32"/>
      <c r="B6" s="25"/>
      <c r="C6" s="31"/>
      <c r="E6" s="23"/>
      <c r="F6" s="106"/>
      <c r="G6" s="44"/>
      <c r="H6" s="44"/>
      <c r="I6" s="44"/>
      <c r="J6" s="44"/>
      <c r="K6" s="44"/>
      <c r="L6" s="44"/>
      <c r="M6" s="44"/>
      <c r="N6" s="44"/>
      <c r="O6" s="44"/>
      <c r="P6" s="44"/>
    </row>
    <row r="7" spans="1:16" ht="15.75">
      <c r="A7" s="32"/>
      <c r="B7" s="25"/>
      <c r="C7" s="31"/>
      <c r="E7" s="23"/>
      <c r="F7" s="106"/>
      <c r="G7" s="117"/>
      <c r="H7" s="117"/>
      <c r="I7" s="118"/>
      <c r="J7" s="117"/>
      <c r="K7" s="118"/>
      <c r="L7" s="44"/>
      <c r="M7" s="44"/>
      <c r="N7" s="117"/>
      <c r="O7" s="118"/>
      <c r="P7" s="44"/>
    </row>
    <row r="8" spans="1:16" s="40" customFormat="1" ht="15.75">
      <c r="A8" s="37"/>
      <c r="B8" s="27"/>
      <c r="C8" s="38"/>
      <c r="D8" s="215"/>
      <c r="E8" s="47" t="s">
        <v>4758</v>
      </c>
      <c r="F8" s="107" t="s">
        <v>6952</v>
      </c>
      <c r="G8" s="119">
        <v>0</v>
      </c>
      <c r="H8" s="119">
        <v>0</v>
      </c>
      <c r="I8" s="216">
        <v>0</v>
      </c>
      <c r="J8" s="119">
        <v>0</v>
      </c>
      <c r="K8" s="216">
        <v>0</v>
      </c>
      <c r="L8" s="126"/>
      <c r="M8" s="126"/>
      <c r="N8" s="119">
        <v>0</v>
      </c>
      <c r="O8" s="216">
        <v>0</v>
      </c>
      <c r="P8" s="126"/>
    </row>
    <row r="9" spans="1:16" s="40" customFormat="1" ht="31.5">
      <c r="A9" s="37">
        <v>1</v>
      </c>
      <c r="B9" s="30" t="s">
        <v>1237</v>
      </c>
      <c r="C9" s="38" t="s">
        <v>598</v>
      </c>
      <c r="D9" s="215"/>
      <c r="E9" s="47" t="s">
        <v>3463</v>
      </c>
      <c r="F9" s="107" t="s">
        <v>6953</v>
      </c>
      <c r="G9" s="119">
        <v>0</v>
      </c>
      <c r="H9" s="119">
        <v>110042095</v>
      </c>
      <c r="I9" s="216">
        <v>110042095</v>
      </c>
      <c r="J9" s="119">
        <v>110042095</v>
      </c>
      <c r="K9" s="216">
        <v>0</v>
      </c>
      <c r="L9" s="126"/>
      <c r="M9" s="126"/>
      <c r="N9" s="119">
        <v>0</v>
      </c>
      <c r="O9" s="216">
        <v>0</v>
      </c>
      <c r="P9" s="126">
        <v>200000000</v>
      </c>
    </row>
    <row r="10" spans="1:16" s="40" customFormat="1" ht="15.75">
      <c r="A10" s="37">
        <v>2</v>
      </c>
      <c r="B10" s="30" t="s">
        <v>4426</v>
      </c>
      <c r="C10" s="38"/>
      <c r="D10" s="215"/>
      <c r="E10" s="47" t="s">
        <v>4353</v>
      </c>
      <c r="F10" s="107" t="s">
        <v>6954</v>
      </c>
      <c r="G10" s="119">
        <v>0</v>
      </c>
      <c r="H10" s="119">
        <v>290450000</v>
      </c>
      <c r="I10" s="216">
        <v>290450000</v>
      </c>
      <c r="J10" s="119">
        <v>0</v>
      </c>
      <c r="K10" s="216">
        <v>290450000</v>
      </c>
      <c r="L10" s="126"/>
      <c r="M10" s="126"/>
      <c r="N10" s="119">
        <v>278300000</v>
      </c>
      <c r="O10" s="216">
        <v>278300000</v>
      </c>
      <c r="P10" s="126"/>
    </row>
    <row r="11" spans="1:16" s="40" customFormat="1" ht="15.75">
      <c r="A11" s="37"/>
      <c r="B11" s="27"/>
      <c r="C11" s="38"/>
      <c r="D11" s="215"/>
      <c r="E11" s="47"/>
      <c r="F11" s="107"/>
      <c r="G11" s="119">
        <v>0</v>
      </c>
      <c r="H11" s="119">
        <v>0</v>
      </c>
      <c r="I11" s="216">
        <v>0</v>
      </c>
      <c r="J11" s="119">
        <v>0</v>
      </c>
      <c r="K11" s="216">
        <v>0</v>
      </c>
      <c r="L11" s="126"/>
      <c r="M11" s="126"/>
      <c r="N11" s="119">
        <v>0</v>
      </c>
      <c r="O11" s="216">
        <v>0</v>
      </c>
      <c r="P11" s="126"/>
    </row>
    <row r="12" spans="1:16" s="40" customFormat="1" ht="15.75">
      <c r="A12" s="37"/>
      <c r="B12" s="27"/>
      <c r="C12" s="38"/>
      <c r="D12" s="215"/>
      <c r="E12" s="217" t="s">
        <v>4759</v>
      </c>
      <c r="F12" s="218" t="s">
        <v>6955</v>
      </c>
      <c r="G12" s="119">
        <v>0</v>
      </c>
      <c r="H12" s="119">
        <v>400492095</v>
      </c>
      <c r="I12" s="216">
        <v>400492095</v>
      </c>
      <c r="J12" s="119">
        <v>110042095</v>
      </c>
      <c r="K12" s="216">
        <v>290450000</v>
      </c>
      <c r="L12" s="126"/>
      <c r="M12" s="126"/>
      <c r="N12" s="119">
        <v>278300000</v>
      </c>
      <c r="O12" s="216">
        <v>278300000</v>
      </c>
      <c r="P12" s="129"/>
    </row>
    <row r="13" spans="1:16" s="40" customFormat="1" ht="15.75">
      <c r="A13" s="37"/>
      <c r="B13" s="27"/>
      <c r="C13" s="38"/>
      <c r="D13" s="215"/>
      <c r="E13" s="47"/>
      <c r="F13" s="107"/>
      <c r="G13" s="119">
        <v>0</v>
      </c>
      <c r="H13" s="119">
        <v>0</v>
      </c>
      <c r="I13" s="216">
        <v>0</v>
      </c>
      <c r="J13" s="119">
        <v>0</v>
      </c>
      <c r="K13" s="216">
        <v>0</v>
      </c>
      <c r="L13" s="126"/>
      <c r="M13" s="126"/>
      <c r="N13" s="119">
        <v>0</v>
      </c>
      <c r="O13" s="216">
        <v>0</v>
      </c>
      <c r="P13" s="126"/>
    </row>
    <row r="14" spans="1:16" s="40" customFormat="1" ht="15.75">
      <c r="A14" s="37"/>
      <c r="B14" s="27"/>
      <c r="C14" s="38"/>
      <c r="D14" s="215"/>
      <c r="E14" s="47"/>
      <c r="F14" s="107"/>
      <c r="G14" s="119">
        <v>0</v>
      </c>
      <c r="H14" s="119">
        <v>0</v>
      </c>
      <c r="I14" s="216">
        <v>0</v>
      </c>
      <c r="J14" s="119">
        <v>0</v>
      </c>
      <c r="K14" s="216">
        <v>0</v>
      </c>
      <c r="L14" s="126"/>
      <c r="M14" s="126"/>
      <c r="N14" s="119">
        <v>0</v>
      </c>
      <c r="O14" s="216">
        <v>0</v>
      </c>
      <c r="P14" s="126"/>
    </row>
    <row r="15" spans="1:16" s="40" customFormat="1" ht="15.75">
      <c r="A15" s="37"/>
      <c r="B15" s="27"/>
      <c r="C15" s="38"/>
      <c r="D15" s="215"/>
      <c r="E15" s="47" t="s">
        <v>2269</v>
      </c>
      <c r="F15" s="107" t="s">
        <v>229</v>
      </c>
      <c r="G15" s="119">
        <v>0</v>
      </c>
      <c r="H15" s="119">
        <v>0</v>
      </c>
      <c r="I15" s="216">
        <v>0</v>
      </c>
      <c r="J15" s="119">
        <v>0</v>
      </c>
      <c r="K15" s="216">
        <v>0</v>
      </c>
      <c r="L15" s="126"/>
      <c r="M15" s="126"/>
      <c r="N15" s="119">
        <v>0</v>
      </c>
      <c r="O15" s="216">
        <v>0</v>
      </c>
      <c r="P15" s="126"/>
    </row>
    <row r="16" spans="1:16" s="40" customFormat="1" ht="47.25">
      <c r="A16" s="37">
        <v>1</v>
      </c>
      <c r="B16" s="27" t="s">
        <v>56</v>
      </c>
      <c r="C16" s="38" t="s">
        <v>598</v>
      </c>
      <c r="D16" s="215" t="s">
        <v>863</v>
      </c>
      <c r="E16" s="47" t="s">
        <v>3464</v>
      </c>
      <c r="F16" s="107" t="s">
        <v>6956</v>
      </c>
      <c r="G16" s="119">
        <v>0</v>
      </c>
      <c r="H16" s="119">
        <v>99322156</v>
      </c>
      <c r="I16" s="216">
        <v>99322156</v>
      </c>
      <c r="J16" s="119">
        <v>99322156</v>
      </c>
      <c r="K16" s="216">
        <v>0</v>
      </c>
      <c r="L16" s="126"/>
      <c r="M16" s="126"/>
      <c r="N16" s="119">
        <v>0</v>
      </c>
      <c r="O16" s="216">
        <v>0</v>
      </c>
      <c r="P16" s="126">
        <v>37500000</v>
      </c>
    </row>
    <row r="17" spans="1:16" s="40" customFormat="1" ht="15.75">
      <c r="A17" s="37">
        <v>2</v>
      </c>
      <c r="B17" s="27" t="s">
        <v>441</v>
      </c>
      <c r="C17" s="38"/>
      <c r="D17" s="215"/>
      <c r="E17" s="47" t="s">
        <v>4357</v>
      </c>
      <c r="F17" s="107" t="s">
        <v>6957</v>
      </c>
      <c r="G17" s="119">
        <v>0</v>
      </c>
      <c r="H17" s="119">
        <v>955857107</v>
      </c>
      <c r="I17" s="216">
        <v>955857107</v>
      </c>
      <c r="J17" s="119">
        <v>797367107</v>
      </c>
      <c r="K17" s="216">
        <v>158490000</v>
      </c>
      <c r="L17" s="126"/>
      <c r="M17" s="126"/>
      <c r="N17" s="119">
        <v>86400000</v>
      </c>
      <c r="O17" s="216">
        <v>86400000</v>
      </c>
      <c r="P17" s="126"/>
    </row>
    <row r="18" spans="1:16" s="40" customFormat="1" ht="15.75">
      <c r="A18" s="37">
        <v>3</v>
      </c>
      <c r="B18" s="27" t="s">
        <v>1238</v>
      </c>
      <c r="C18" s="38">
        <v>67</v>
      </c>
      <c r="D18" s="215" t="s">
        <v>863</v>
      </c>
      <c r="E18" s="47" t="s">
        <v>3465</v>
      </c>
      <c r="F18" s="107" t="s">
        <v>6958</v>
      </c>
      <c r="G18" s="119">
        <v>0</v>
      </c>
      <c r="H18" s="119">
        <v>5464342</v>
      </c>
      <c r="I18" s="216">
        <v>5464342</v>
      </c>
      <c r="J18" s="119">
        <v>5464342</v>
      </c>
      <c r="K18" s="216">
        <v>0</v>
      </c>
      <c r="L18" s="126"/>
      <c r="M18" s="126"/>
      <c r="N18" s="119">
        <v>0</v>
      </c>
      <c r="O18" s="216">
        <v>0</v>
      </c>
      <c r="P18" s="126"/>
    </row>
    <row r="19" spans="1:16" s="40" customFormat="1" ht="31.5">
      <c r="A19" s="37">
        <v>4</v>
      </c>
      <c r="B19" s="27" t="s">
        <v>1279</v>
      </c>
      <c r="C19" s="38">
        <v>67</v>
      </c>
      <c r="D19" s="215" t="s">
        <v>863</v>
      </c>
      <c r="E19" s="47" t="s">
        <v>3466</v>
      </c>
      <c r="F19" s="107" t="s">
        <v>6959</v>
      </c>
      <c r="G19" s="119">
        <v>0</v>
      </c>
      <c r="H19" s="119">
        <v>49557496</v>
      </c>
      <c r="I19" s="216">
        <v>49557496</v>
      </c>
      <c r="J19" s="119">
        <v>49557496</v>
      </c>
      <c r="K19" s="216">
        <v>0</v>
      </c>
      <c r="L19" s="126"/>
      <c r="M19" s="126"/>
      <c r="N19" s="119">
        <v>0</v>
      </c>
      <c r="O19" s="216">
        <v>0</v>
      </c>
      <c r="P19" s="126"/>
    </row>
    <row r="20" spans="1:16" s="40" customFormat="1" ht="31.5">
      <c r="A20" s="37">
        <v>5</v>
      </c>
      <c r="B20" s="27" t="s">
        <v>1334</v>
      </c>
      <c r="C20" s="38">
        <v>53</v>
      </c>
      <c r="D20" s="215" t="s">
        <v>863</v>
      </c>
      <c r="E20" s="47" t="s">
        <v>3467</v>
      </c>
      <c r="F20" s="107" t="s">
        <v>6960</v>
      </c>
      <c r="G20" s="119">
        <v>0</v>
      </c>
      <c r="H20" s="119">
        <v>4248634</v>
      </c>
      <c r="I20" s="216">
        <v>4248634</v>
      </c>
      <c r="J20" s="119">
        <v>4248634</v>
      </c>
      <c r="K20" s="216">
        <v>0</v>
      </c>
      <c r="L20" s="126"/>
      <c r="M20" s="126"/>
      <c r="N20" s="119">
        <v>0</v>
      </c>
      <c r="O20" s="216">
        <v>0</v>
      </c>
      <c r="P20" s="126"/>
    </row>
    <row r="21" spans="1:16" s="40" customFormat="1" ht="15.75">
      <c r="A21" s="37">
        <v>6</v>
      </c>
      <c r="B21" s="27" t="s">
        <v>1335</v>
      </c>
      <c r="C21" s="38">
        <v>43</v>
      </c>
      <c r="D21" s="215"/>
      <c r="E21" s="47" t="s">
        <v>4870</v>
      </c>
      <c r="F21" s="107" t="s">
        <v>6961</v>
      </c>
      <c r="G21" s="119">
        <v>0</v>
      </c>
      <c r="H21" s="119">
        <v>19135330</v>
      </c>
      <c r="I21" s="216">
        <v>19135330</v>
      </c>
      <c r="J21" s="119">
        <v>19135330</v>
      </c>
      <c r="K21" s="216">
        <v>0</v>
      </c>
      <c r="L21" s="126"/>
      <c r="M21" s="126"/>
      <c r="N21" s="119">
        <v>0</v>
      </c>
      <c r="O21" s="216">
        <v>0</v>
      </c>
      <c r="P21" s="126"/>
    </row>
    <row r="22" spans="1:16" s="40" customFormat="1" ht="31.5">
      <c r="A22" s="37">
        <v>7</v>
      </c>
      <c r="B22" s="27" t="s">
        <v>1336</v>
      </c>
      <c r="C22" s="38">
        <v>36</v>
      </c>
      <c r="D22" s="215"/>
      <c r="E22" s="47" t="s">
        <v>3468</v>
      </c>
      <c r="F22" s="107" t="s">
        <v>6962</v>
      </c>
      <c r="G22" s="119">
        <v>0</v>
      </c>
      <c r="H22" s="119">
        <v>16701860</v>
      </c>
      <c r="I22" s="216">
        <v>16701860</v>
      </c>
      <c r="J22" s="119">
        <v>16701860</v>
      </c>
      <c r="K22" s="216">
        <v>0</v>
      </c>
      <c r="L22" s="126"/>
      <c r="M22" s="126"/>
      <c r="N22" s="119">
        <v>0</v>
      </c>
      <c r="O22" s="216">
        <v>0</v>
      </c>
      <c r="P22" s="126"/>
    </row>
    <row r="23" spans="1:16" s="40" customFormat="1" ht="31.5">
      <c r="A23" s="37">
        <v>8</v>
      </c>
      <c r="B23" s="27" t="s">
        <v>1467</v>
      </c>
      <c r="C23" s="38"/>
      <c r="D23" s="215"/>
      <c r="E23" s="47" t="s">
        <v>3469</v>
      </c>
      <c r="F23" s="107" t="s">
        <v>6963</v>
      </c>
      <c r="G23" s="119">
        <v>0</v>
      </c>
      <c r="H23" s="119">
        <v>5619124</v>
      </c>
      <c r="I23" s="216">
        <v>5619124</v>
      </c>
      <c r="J23" s="119">
        <v>5619124</v>
      </c>
      <c r="K23" s="216">
        <v>0</v>
      </c>
      <c r="L23" s="126"/>
      <c r="M23" s="126"/>
      <c r="N23" s="119">
        <v>0</v>
      </c>
      <c r="O23" s="216">
        <v>0</v>
      </c>
      <c r="P23" s="126"/>
    </row>
    <row r="24" spans="1:16" s="40" customFormat="1" ht="31.5">
      <c r="A24" s="37">
        <v>9</v>
      </c>
      <c r="B24" s="27" t="s">
        <v>1468</v>
      </c>
      <c r="C24" s="38"/>
      <c r="D24" s="215"/>
      <c r="E24" s="47" t="s">
        <v>3470</v>
      </c>
      <c r="F24" s="107" t="s">
        <v>6964</v>
      </c>
      <c r="G24" s="119">
        <v>0</v>
      </c>
      <c r="H24" s="119">
        <v>21655528</v>
      </c>
      <c r="I24" s="216">
        <v>21655528</v>
      </c>
      <c r="J24" s="119">
        <v>21655528</v>
      </c>
      <c r="K24" s="216">
        <v>0</v>
      </c>
      <c r="L24" s="126"/>
      <c r="M24" s="126"/>
      <c r="N24" s="119">
        <v>0</v>
      </c>
      <c r="O24" s="216">
        <v>0</v>
      </c>
      <c r="P24" s="126"/>
    </row>
    <row r="25" spans="1:16" s="40" customFormat="1" ht="15.75">
      <c r="A25" s="37">
        <v>11</v>
      </c>
      <c r="B25" s="27" t="s">
        <v>1607</v>
      </c>
      <c r="C25" s="38"/>
      <c r="D25" s="215"/>
      <c r="E25" s="47" t="s">
        <v>4871</v>
      </c>
      <c r="F25" s="107" t="s">
        <v>6965</v>
      </c>
      <c r="G25" s="119">
        <v>0</v>
      </c>
      <c r="H25" s="119">
        <v>1570928</v>
      </c>
      <c r="I25" s="216">
        <v>1570928</v>
      </c>
      <c r="J25" s="119">
        <v>1570928</v>
      </c>
      <c r="K25" s="216">
        <v>0</v>
      </c>
      <c r="L25" s="126"/>
      <c r="M25" s="126"/>
      <c r="N25" s="119">
        <v>0</v>
      </c>
      <c r="O25" s="216">
        <v>0</v>
      </c>
      <c r="P25" s="126"/>
    </row>
    <row r="26" spans="1:16" s="40" customFormat="1" ht="15.75">
      <c r="A26" s="37">
        <v>12</v>
      </c>
      <c r="B26" s="27" t="s">
        <v>1608</v>
      </c>
      <c r="C26" s="38">
        <v>62</v>
      </c>
      <c r="D26" s="215"/>
      <c r="E26" s="47" t="s">
        <v>3471</v>
      </c>
      <c r="F26" s="107" t="s">
        <v>6966</v>
      </c>
      <c r="G26" s="119">
        <v>0</v>
      </c>
      <c r="H26" s="119">
        <v>5118234</v>
      </c>
      <c r="I26" s="216">
        <v>5118234</v>
      </c>
      <c r="J26" s="119">
        <v>5118234</v>
      </c>
      <c r="K26" s="216">
        <v>0</v>
      </c>
      <c r="L26" s="126"/>
      <c r="M26" s="126"/>
      <c r="N26" s="119">
        <v>0</v>
      </c>
      <c r="O26" s="216">
        <v>0</v>
      </c>
      <c r="P26" s="126"/>
    </row>
    <row r="27" spans="1:16" s="40" customFormat="1" ht="31.5">
      <c r="A27" s="37">
        <v>13</v>
      </c>
      <c r="B27" s="27" t="s">
        <v>1609</v>
      </c>
      <c r="C27" s="38"/>
      <c r="D27" s="215"/>
      <c r="E27" s="47" t="s">
        <v>3472</v>
      </c>
      <c r="F27" s="107" t="s">
        <v>6967</v>
      </c>
      <c r="G27" s="119">
        <v>0</v>
      </c>
      <c r="H27" s="119">
        <v>5658310</v>
      </c>
      <c r="I27" s="216">
        <v>5658310</v>
      </c>
      <c r="J27" s="119">
        <v>5658310</v>
      </c>
      <c r="K27" s="216">
        <v>0</v>
      </c>
      <c r="L27" s="126"/>
      <c r="M27" s="126"/>
      <c r="N27" s="119">
        <v>0</v>
      </c>
      <c r="O27" s="216">
        <v>0</v>
      </c>
      <c r="P27" s="126"/>
    </row>
    <row r="28" spans="1:16" s="40" customFormat="1" ht="15.75">
      <c r="A28" s="37">
        <v>14</v>
      </c>
      <c r="B28" s="27" t="s">
        <v>4429</v>
      </c>
      <c r="C28" s="38"/>
      <c r="D28" s="215"/>
      <c r="E28" s="47" t="s">
        <v>4354</v>
      </c>
      <c r="F28" s="107" t="s">
        <v>6968</v>
      </c>
      <c r="G28" s="119">
        <v>0</v>
      </c>
      <c r="H28" s="119">
        <v>205240000</v>
      </c>
      <c r="I28" s="216">
        <v>205240000</v>
      </c>
      <c r="J28" s="119">
        <v>0</v>
      </c>
      <c r="K28" s="216">
        <v>205240000</v>
      </c>
      <c r="L28" s="126"/>
      <c r="M28" s="126"/>
      <c r="N28" s="119">
        <v>15000000</v>
      </c>
      <c r="O28" s="216">
        <v>15000000</v>
      </c>
      <c r="P28" s="126"/>
    </row>
    <row r="29" spans="1:16" s="40" customFormat="1" ht="15.75">
      <c r="A29" s="37">
        <v>15</v>
      </c>
      <c r="B29" s="27" t="s">
        <v>4430</v>
      </c>
      <c r="C29" s="38"/>
      <c r="D29" s="215"/>
      <c r="E29" s="47" t="s">
        <v>4355</v>
      </c>
      <c r="F29" s="107" t="s">
        <v>6969</v>
      </c>
      <c r="G29" s="119">
        <v>0</v>
      </c>
      <c r="H29" s="119">
        <v>78040000</v>
      </c>
      <c r="I29" s="216">
        <v>78040000</v>
      </c>
      <c r="J29" s="119">
        <v>0</v>
      </c>
      <c r="K29" s="216">
        <v>78040000</v>
      </c>
      <c r="L29" s="126"/>
      <c r="M29" s="126"/>
      <c r="N29" s="119">
        <v>0</v>
      </c>
      <c r="O29" s="216">
        <v>0</v>
      </c>
      <c r="P29" s="126"/>
    </row>
    <row r="30" spans="1:16" s="40" customFormat="1" ht="15.75">
      <c r="A30" s="37">
        <v>16</v>
      </c>
      <c r="B30" s="27" t="s">
        <v>4431</v>
      </c>
      <c r="C30" s="38"/>
      <c r="D30" s="215"/>
      <c r="E30" s="47" t="s">
        <v>4356</v>
      </c>
      <c r="F30" s="107" t="s">
        <v>6970</v>
      </c>
      <c r="G30" s="119">
        <v>0</v>
      </c>
      <c r="H30" s="119">
        <v>11650000</v>
      </c>
      <c r="I30" s="216">
        <v>11650000</v>
      </c>
      <c r="J30" s="119">
        <v>0</v>
      </c>
      <c r="K30" s="216">
        <v>11650000</v>
      </c>
      <c r="L30" s="126"/>
      <c r="M30" s="126"/>
      <c r="N30" s="119">
        <v>0</v>
      </c>
      <c r="O30" s="216">
        <v>0</v>
      </c>
      <c r="P30" s="126"/>
    </row>
    <row r="31" spans="1:16" s="40" customFormat="1" ht="31.5">
      <c r="A31" s="37">
        <v>17</v>
      </c>
      <c r="B31" s="27" t="s">
        <v>775</v>
      </c>
      <c r="C31" s="38"/>
      <c r="D31" s="215"/>
      <c r="E31" s="47" t="s">
        <v>4872</v>
      </c>
      <c r="F31" s="107" t="s">
        <v>6971</v>
      </c>
      <c r="G31" s="119">
        <v>0</v>
      </c>
      <c r="H31" s="119">
        <v>92446665</v>
      </c>
      <c r="I31" s="216">
        <v>92446665</v>
      </c>
      <c r="J31" s="119">
        <v>92446665</v>
      </c>
      <c r="K31" s="216">
        <v>0</v>
      </c>
      <c r="L31" s="126"/>
      <c r="M31" s="126"/>
      <c r="N31" s="119">
        <v>0</v>
      </c>
      <c r="O31" s="216">
        <v>0</v>
      </c>
      <c r="P31" s="126"/>
    </row>
    <row r="32" spans="1:16" s="40" customFormat="1" ht="31.5">
      <c r="A32" s="37">
        <v>18</v>
      </c>
      <c r="B32" s="27" t="s">
        <v>775</v>
      </c>
      <c r="C32" s="38"/>
      <c r="D32" s="215"/>
      <c r="E32" s="47" t="s">
        <v>4873</v>
      </c>
      <c r="F32" s="107" t="s">
        <v>6972</v>
      </c>
      <c r="G32" s="119">
        <v>0</v>
      </c>
      <c r="H32" s="119">
        <v>65921767</v>
      </c>
      <c r="I32" s="216">
        <v>65921767</v>
      </c>
      <c r="J32" s="119">
        <v>65921767</v>
      </c>
      <c r="K32" s="216">
        <v>0</v>
      </c>
      <c r="L32" s="126"/>
      <c r="M32" s="126"/>
      <c r="N32" s="119">
        <v>0</v>
      </c>
      <c r="O32" s="216">
        <v>0</v>
      </c>
      <c r="P32" s="126"/>
    </row>
    <row r="33" spans="1:16" s="40" customFormat="1" ht="15.75">
      <c r="A33" s="37"/>
      <c r="B33" s="27"/>
      <c r="C33" s="38"/>
      <c r="D33" s="215"/>
      <c r="E33" s="47"/>
      <c r="F33" s="107"/>
      <c r="G33" s="119">
        <v>0</v>
      </c>
      <c r="H33" s="119">
        <v>0</v>
      </c>
      <c r="I33" s="216">
        <v>0</v>
      </c>
      <c r="J33" s="119">
        <v>0</v>
      </c>
      <c r="K33" s="216">
        <v>0</v>
      </c>
      <c r="L33" s="126"/>
      <c r="M33" s="126"/>
      <c r="N33" s="119">
        <v>0</v>
      </c>
      <c r="O33" s="216">
        <v>0</v>
      </c>
      <c r="P33" s="126"/>
    </row>
    <row r="34" spans="1:16" s="40" customFormat="1" ht="15.75">
      <c r="A34" s="37"/>
      <c r="B34" s="27"/>
      <c r="C34" s="38"/>
      <c r="D34" s="215"/>
      <c r="E34" s="217" t="s">
        <v>2321</v>
      </c>
      <c r="F34" s="218" t="s">
        <v>6973</v>
      </c>
      <c r="G34" s="119">
        <v>0</v>
      </c>
      <c r="H34" s="119">
        <v>1643207481</v>
      </c>
      <c r="I34" s="216">
        <v>1643207481</v>
      </c>
      <c r="J34" s="119">
        <v>1189787481</v>
      </c>
      <c r="K34" s="216">
        <v>453420000</v>
      </c>
      <c r="L34" s="126"/>
      <c r="M34" s="126"/>
      <c r="N34" s="119">
        <v>101400000</v>
      </c>
      <c r="O34" s="216">
        <v>101400000</v>
      </c>
      <c r="P34" s="126"/>
    </row>
    <row r="35" spans="1:16" s="40" customFormat="1" ht="15.75">
      <c r="A35" s="37"/>
      <c r="B35" s="27"/>
      <c r="C35" s="38"/>
      <c r="D35" s="215"/>
      <c r="E35" s="47"/>
      <c r="F35" s="107"/>
      <c r="G35" s="119">
        <v>0</v>
      </c>
      <c r="H35" s="119">
        <v>0</v>
      </c>
      <c r="I35" s="216">
        <v>0</v>
      </c>
      <c r="J35" s="119">
        <v>0</v>
      </c>
      <c r="K35" s="216">
        <v>0</v>
      </c>
      <c r="L35" s="126"/>
      <c r="M35" s="126"/>
      <c r="N35" s="119">
        <v>0</v>
      </c>
      <c r="O35" s="216">
        <v>0</v>
      </c>
      <c r="P35" s="126"/>
    </row>
    <row r="36" spans="1:16" s="40" customFormat="1" ht="15.75">
      <c r="A36" s="37"/>
      <c r="B36" s="27"/>
      <c r="C36" s="38"/>
      <c r="D36" s="215"/>
      <c r="E36" s="47" t="s">
        <v>2322</v>
      </c>
      <c r="F36" s="107" t="s">
        <v>230</v>
      </c>
      <c r="G36" s="119">
        <v>0</v>
      </c>
      <c r="H36" s="119">
        <v>0</v>
      </c>
      <c r="I36" s="216">
        <v>0</v>
      </c>
      <c r="J36" s="119">
        <v>0</v>
      </c>
      <c r="K36" s="216">
        <v>0</v>
      </c>
      <c r="L36" s="126"/>
      <c r="M36" s="126"/>
      <c r="N36" s="119">
        <v>0</v>
      </c>
      <c r="O36" s="216">
        <v>0</v>
      </c>
      <c r="P36" s="126"/>
    </row>
    <row r="37" spans="1:16" s="40" customFormat="1" ht="15.75">
      <c r="A37" s="37">
        <v>1</v>
      </c>
      <c r="B37" s="30" t="s">
        <v>1026</v>
      </c>
      <c r="C37" s="38"/>
      <c r="D37" s="215"/>
      <c r="E37" s="47" t="s">
        <v>4358</v>
      </c>
      <c r="F37" s="107" t="s">
        <v>6974</v>
      </c>
      <c r="G37" s="119">
        <v>0</v>
      </c>
      <c r="H37" s="119">
        <v>15137912</v>
      </c>
      <c r="I37" s="216">
        <v>15137912</v>
      </c>
      <c r="J37" s="119">
        <v>14087912</v>
      </c>
      <c r="K37" s="216">
        <v>1050000</v>
      </c>
      <c r="L37" s="126"/>
      <c r="M37" s="126"/>
      <c r="N37" s="119">
        <v>2165000</v>
      </c>
      <c r="O37" s="216">
        <v>2165000</v>
      </c>
      <c r="P37" s="126"/>
    </row>
    <row r="38" spans="1:16" s="40" customFormat="1" ht="15.75">
      <c r="A38" s="37">
        <v>2</v>
      </c>
      <c r="B38" s="30" t="s">
        <v>297</v>
      </c>
      <c r="C38" s="38"/>
      <c r="D38" s="215" t="s">
        <v>1046</v>
      </c>
      <c r="E38" s="47" t="s">
        <v>3473</v>
      </c>
      <c r="F38" s="107" t="s">
        <v>6975</v>
      </c>
      <c r="G38" s="119">
        <v>0</v>
      </c>
      <c r="H38" s="119">
        <v>27607569</v>
      </c>
      <c r="I38" s="216">
        <v>27607569</v>
      </c>
      <c r="J38" s="119">
        <v>27607569</v>
      </c>
      <c r="K38" s="216">
        <v>0</v>
      </c>
      <c r="L38" s="126"/>
      <c r="M38" s="126"/>
      <c r="N38" s="119">
        <v>0</v>
      </c>
      <c r="O38" s="216">
        <v>0</v>
      </c>
      <c r="P38" s="126"/>
    </row>
    <row r="39" spans="1:16" s="40" customFormat="1" ht="15.75">
      <c r="A39" s="37"/>
      <c r="B39" s="27"/>
      <c r="C39" s="38"/>
      <c r="D39" s="215"/>
      <c r="E39" s="47"/>
      <c r="F39" s="107"/>
      <c r="G39" s="119">
        <v>0</v>
      </c>
      <c r="H39" s="119">
        <v>0</v>
      </c>
      <c r="I39" s="216">
        <v>0</v>
      </c>
      <c r="J39" s="119">
        <v>0</v>
      </c>
      <c r="K39" s="216">
        <v>0</v>
      </c>
      <c r="L39" s="126"/>
      <c r="M39" s="126"/>
      <c r="N39" s="119">
        <v>0</v>
      </c>
      <c r="O39" s="216">
        <v>0</v>
      </c>
      <c r="P39" s="126"/>
    </row>
    <row r="40" spans="1:16" s="40" customFormat="1" ht="15.75">
      <c r="A40" s="37"/>
      <c r="B40" s="27"/>
      <c r="C40" s="38"/>
      <c r="D40" s="215"/>
      <c r="E40" s="217" t="s">
        <v>2342</v>
      </c>
      <c r="F40" s="218" t="s">
        <v>6976</v>
      </c>
      <c r="G40" s="119">
        <v>0</v>
      </c>
      <c r="H40" s="119">
        <v>42745481</v>
      </c>
      <c r="I40" s="216">
        <v>42745481</v>
      </c>
      <c r="J40" s="119">
        <v>41695481</v>
      </c>
      <c r="K40" s="216">
        <v>1050000</v>
      </c>
      <c r="L40" s="126"/>
      <c r="M40" s="126"/>
      <c r="N40" s="119">
        <v>2165000</v>
      </c>
      <c r="O40" s="216">
        <v>2165000</v>
      </c>
      <c r="P40" s="126"/>
    </row>
    <row r="41" spans="1:16" s="40" customFormat="1" ht="15.75">
      <c r="A41" s="37"/>
      <c r="B41" s="27"/>
      <c r="C41" s="38"/>
      <c r="D41" s="215"/>
      <c r="E41" s="47"/>
      <c r="F41" s="107"/>
      <c r="G41" s="119">
        <v>0</v>
      </c>
      <c r="H41" s="119">
        <v>0</v>
      </c>
      <c r="I41" s="216">
        <v>0</v>
      </c>
      <c r="J41" s="119">
        <v>0</v>
      </c>
      <c r="K41" s="216">
        <v>0</v>
      </c>
      <c r="L41" s="126"/>
      <c r="M41" s="126"/>
      <c r="N41" s="119">
        <v>0</v>
      </c>
      <c r="O41" s="216">
        <v>0</v>
      </c>
      <c r="P41" s="126"/>
    </row>
    <row r="42" spans="1:16" s="40" customFormat="1" ht="15.75">
      <c r="A42" s="37"/>
      <c r="B42" s="27"/>
      <c r="C42" s="38"/>
      <c r="D42" s="215"/>
      <c r="E42" s="47" t="s">
        <v>2398</v>
      </c>
      <c r="F42" s="107" t="s">
        <v>6977</v>
      </c>
      <c r="G42" s="119">
        <v>0</v>
      </c>
      <c r="H42" s="119">
        <v>0</v>
      </c>
      <c r="I42" s="216">
        <v>0</v>
      </c>
      <c r="J42" s="119">
        <v>0</v>
      </c>
      <c r="K42" s="216">
        <v>0</v>
      </c>
      <c r="L42" s="126"/>
      <c r="M42" s="126"/>
      <c r="N42" s="119">
        <v>0</v>
      </c>
      <c r="O42" s="216">
        <v>0</v>
      </c>
      <c r="P42" s="126"/>
    </row>
    <row r="43" spans="1:16" s="40" customFormat="1" ht="15.75">
      <c r="A43" s="37">
        <v>1</v>
      </c>
      <c r="B43" s="27" t="s">
        <v>1239</v>
      </c>
      <c r="C43" s="38"/>
      <c r="D43" s="215"/>
      <c r="E43" s="47" t="s">
        <v>3474</v>
      </c>
      <c r="F43" s="107" t="s">
        <v>6978</v>
      </c>
      <c r="G43" s="119">
        <v>0</v>
      </c>
      <c r="H43" s="119">
        <v>0</v>
      </c>
      <c r="I43" s="216">
        <v>0</v>
      </c>
      <c r="J43" s="119">
        <v>0</v>
      </c>
      <c r="K43" s="216">
        <v>0</v>
      </c>
      <c r="L43" s="126"/>
      <c r="M43" s="126"/>
      <c r="N43" s="119">
        <v>0</v>
      </c>
      <c r="O43" s="216">
        <v>0</v>
      </c>
      <c r="P43" s="126"/>
    </row>
    <row r="44" spans="1:16" s="40" customFormat="1" ht="15.75">
      <c r="A44" s="37">
        <v>2</v>
      </c>
      <c r="B44" s="27" t="s">
        <v>856</v>
      </c>
      <c r="C44" s="38"/>
      <c r="D44" s="215"/>
      <c r="E44" s="47" t="s">
        <v>4359</v>
      </c>
      <c r="F44" s="107" t="s">
        <v>6979</v>
      </c>
      <c r="G44" s="119">
        <v>0</v>
      </c>
      <c r="H44" s="119">
        <v>576871429</v>
      </c>
      <c r="I44" s="216">
        <v>576871429</v>
      </c>
      <c r="J44" s="119">
        <v>350921429</v>
      </c>
      <c r="K44" s="216">
        <v>225950000</v>
      </c>
      <c r="L44" s="126"/>
      <c r="M44" s="126"/>
      <c r="N44" s="119">
        <v>25000000</v>
      </c>
      <c r="O44" s="216">
        <v>25000000</v>
      </c>
      <c r="P44" s="126"/>
    </row>
    <row r="45" spans="1:16" s="40" customFormat="1" ht="15.75">
      <c r="A45" s="37">
        <v>3</v>
      </c>
      <c r="B45" s="27" t="s">
        <v>28</v>
      </c>
      <c r="C45" s="38">
        <v>28</v>
      </c>
      <c r="D45" s="215" t="s">
        <v>862</v>
      </c>
      <c r="E45" s="47" t="s">
        <v>3475</v>
      </c>
      <c r="F45" s="107" t="s">
        <v>6980</v>
      </c>
      <c r="G45" s="119">
        <v>0</v>
      </c>
      <c r="H45" s="119">
        <v>30242691</v>
      </c>
      <c r="I45" s="216">
        <v>30242691</v>
      </c>
      <c r="J45" s="119">
        <v>30242691</v>
      </c>
      <c r="K45" s="216">
        <v>0</v>
      </c>
      <c r="L45" s="126"/>
      <c r="M45" s="126"/>
      <c r="N45" s="119">
        <v>0</v>
      </c>
      <c r="O45" s="216">
        <v>0</v>
      </c>
      <c r="P45" s="126"/>
    </row>
    <row r="46" spans="1:16" s="40" customFormat="1" ht="31.5">
      <c r="A46" s="37">
        <v>4</v>
      </c>
      <c r="B46" s="27" t="s">
        <v>29</v>
      </c>
      <c r="C46" s="38">
        <v>23</v>
      </c>
      <c r="D46" s="215" t="s">
        <v>862</v>
      </c>
      <c r="E46" s="47" t="s">
        <v>3476</v>
      </c>
      <c r="F46" s="107" t="s">
        <v>6981</v>
      </c>
      <c r="G46" s="119">
        <v>0</v>
      </c>
      <c r="H46" s="119">
        <v>258881822</v>
      </c>
      <c r="I46" s="216">
        <v>258881822</v>
      </c>
      <c r="J46" s="119">
        <v>258881822</v>
      </c>
      <c r="K46" s="216">
        <v>0</v>
      </c>
      <c r="L46" s="126"/>
      <c r="M46" s="126"/>
      <c r="N46" s="119">
        <v>0</v>
      </c>
      <c r="O46" s="216">
        <v>0</v>
      </c>
      <c r="P46" s="126"/>
    </row>
    <row r="47" spans="1:16" s="40" customFormat="1" ht="31.5">
      <c r="A47" s="37">
        <v>5</v>
      </c>
      <c r="B47" s="27" t="s">
        <v>1240</v>
      </c>
      <c r="C47" s="38"/>
      <c r="D47" s="215" t="s">
        <v>1046</v>
      </c>
      <c r="E47" s="47" t="s">
        <v>3477</v>
      </c>
      <c r="F47" s="107" t="s">
        <v>6982</v>
      </c>
      <c r="G47" s="119">
        <v>0</v>
      </c>
      <c r="H47" s="119">
        <v>201470861</v>
      </c>
      <c r="I47" s="216">
        <v>201470861</v>
      </c>
      <c r="J47" s="119">
        <v>201470861</v>
      </c>
      <c r="K47" s="216">
        <v>0</v>
      </c>
      <c r="L47" s="126"/>
      <c r="M47" s="126"/>
      <c r="N47" s="119">
        <v>0</v>
      </c>
      <c r="O47" s="216">
        <v>0</v>
      </c>
      <c r="P47" s="126"/>
    </row>
    <row r="48" spans="1:16" s="40" customFormat="1" ht="15.75">
      <c r="A48" s="37">
        <v>6</v>
      </c>
      <c r="B48" s="27" t="s">
        <v>1241</v>
      </c>
      <c r="C48" s="38"/>
      <c r="D48" s="215" t="s">
        <v>1046</v>
      </c>
      <c r="E48" s="47" t="s">
        <v>3478</v>
      </c>
      <c r="F48" s="107" t="s">
        <v>6983</v>
      </c>
      <c r="G48" s="119">
        <v>0</v>
      </c>
      <c r="H48" s="119">
        <v>4409032</v>
      </c>
      <c r="I48" s="216">
        <v>4409032</v>
      </c>
      <c r="J48" s="119">
        <v>4409032</v>
      </c>
      <c r="K48" s="216">
        <v>0</v>
      </c>
      <c r="L48" s="126"/>
      <c r="M48" s="126"/>
      <c r="N48" s="119">
        <v>0</v>
      </c>
      <c r="O48" s="216">
        <v>0</v>
      </c>
      <c r="P48" s="126"/>
    </row>
    <row r="49" spans="1:16" s="40" customFormat="1" ht="15.75">
      <c r="A49" s="37">
        <v>7</v>
      </c>
      <c r="B49" s="27" t="s">
        <v>1282</v>
      </c>
      <c r="C49" s="38"/>
      <c r="D49" s="215"/>
      <c r="E49" s="47" t="s">
        <v>4363</v>
      </c>
      <c r="F49" s="107" t="s">
        <v>6984</v>
      </c>
      <c r="G49" s="119">
        <v>0</v>
      </c>
      <c r="H49" s="119">
        <v>311057909</v>
      </c>
      <c r="I49" s="216">
        <v>311057909</v>
      </c>
      <c r="J49" s="119">
        <v>162317909</v>
      </c>
      <c r="K49" s="216">
        <v>148740000</v>
      </c>
      <c r="L49" s="126"/>
      <c r="M49" s="126"/>
      <c r="N49" s="119">
        <v>0</v>
      </c>
      <c r="O49" s="216">
        <v>0</v>
      </c>
      <c r="P49" s="126"/>
    </row>
    <row r="50" spans="1:16" s="40" customFormat="1" ht="15.75">
      <c r="A50" s="37">
        <v>8</v>
      </c>
      <c r="B50" s="27" t="s">
        <v>1286</v>
      </c>
      <c r="C50" s="38"/>
      <c r="D50" s="215"/>
      <c r="E50" s="47" t="s">
        <v>3479</v>
      </c>
      <c r="F50" s="107" t="s">
        <v>6985</v>
      </c>
      <c r="G50" s="119">
        <v>0</v>
      </c>
      <c r="H50" s="119">
        <v>15973740</v>
      </c>
      <c r="I50" s="216">
        <v>15973740</v>
      </c>
      <c r="J50" s="119">
        <v>15973740</v>
      </c>
      <c r="K50" s="216">
        <v>0</v>
      </c>
      <c r="L50" s="126"/>
      <c r="M50" s="126"/>
      <c r="N50" s="119">
        <v>0</v>
      </c>
      <c r="O50" s="216">
        <v>0</v>
      </c>
      <c r="P50" s="126"/>
    </row>
    <row r="51" spans="1:16" s="40" customFormat="1" ht="31.5">
      <c r="A51" s="37">
        <v>9</v>
      </c>
      <c r="B51" s="27" t="s">
        <v>1337</v>
      </c>
      <c r="C51" s="38"/>
      <c r="D51" s="215"/>
      <c r="E51" s="47" t="s">
        <v>3481</v>
      </c>
      <c r="F51" s="107" t="s">
        <v>6986</v>
      </c>
      <c r="G51" s="119">
        <v>0</v>
      </c>
      <c r="H51" s="119">
        <v>2910000</v>
      </c>
      <c r="I51" s="216">
        <v>2910000</v>
      </c>
      <c r="J51" s="119">
        <v>2910000</v>
      </c>
      <c r="K51" s="216">
        <v>0</v>
      </c>
      <c r="L51" s="126"/>
      <c r="M51" s="126"/>
      <c r="N51" s="119">
        <v>0</v>
      </c>
      <c r="O51" s="216">
        <v>0</v>
      </c>
      <c r="P51" s="126"/>
    </row>
    <row r="52" spans="1:16" s="40" customFormat="1" ht="31.5">
      <c r="A52" s="37">
        <v>10</v>
      </c>
      <c r="B52" s="27" t="s">
        <v>1469</v>
      </c>
      <c r="C52" s="38"/>
      <c r="D52" s="215"/>
      <c r="E52" s="47" t="s">
        <v>3482</v>
      </c>
      <c r="F52" s="107" t="s">
        <v>6987</v>
      </c>
      <c r="G52" s="119">
        <v>0</v>
      </c>
      <c r="H52" s="119">
        <v>4000000</v>
      </c>
      <c r="I52" s="216">
        <v>4000000</v>
      </c>
      <c r="J52" s="119">
        <v>4000000</v>
      </c>
      <c r="K52" s="216">
        <v>0</v>
      </c>
      <c r="L52" s="126"/>
      <c r="M52" s="126"/>
      <c r="N52" s="119">
        <v>0</v>
      </c>
      <c r="O52" s="216">
        <v>0</v>
      </c>
      <c r="P52" s="126"/>
    </row>
    <row r="53" spans="1:16" s="40" customFormat="1" ht="31.5">
      <c r="A53" s="37">
        <v>11</v>
      </c>
      <c r="B53" s="27" t="s">
        <v>1470</v>
      </c>
      <c r="C53" s="38"/>
      <c r="D53" s="215"/>
      <c r="E53" s="47" t="s">
        <v>3483</v>
      </c>
      <c r="F53" s="107" t="s">
        <v>6988</v>
      </c>
      <c r="G53" s="119">
        <v>0</v>
      </c>
      <c r="H53" s="119">
        <v>710100</v>
      </c>
      <c r="I53" s="216">
        <v>710100</v>
      </c>
      <c r="J53" s="119">
        <v>710100</v>
      </c>
      <c r="K53" s="216">
        <v>0</v>
      </c>
      <c r="L53" s="126"/>
      <c r="M53" s="126"/>
      <c r="N53" s="119">
        <v>0</v>
      </c>
      <c r="O53" s="216">
        <v>0</v>
      </c>
      <c r="P53" s="126"/>
    </row>
    <row r="54" spans="1:16" s="40" customFormat="1" ht="31.5">
      <c r="A54" s="37">
        <v>12</v>
      </c>
      <c r="B54" s="27" t="s">
        <v>1471</v>
      </c>
      <c r="C54" s="38">
        <v>9</v>
      </c>
      <c r="D54" s="215"/>
      <c r="E54" s="47" t="s">
        <v>4874</v>
      </c>
      <c r="F54" s="107" t="s">
        <v>6989</v>
      </c>
      <c r="G54" s="119">
        <v>0</v>
      </c>
      <c r="H54" s="119">
        <v>16779511</v>
      </c>
      <c r="I54" s="216">
        <v>16779511</v>
      </c>
      <c r="J54" s="119">
        <v>16779511</v>
      </c>
      <c r="K54" s="216">
        <v>0</v>
      </c>
      <c r="L54" s="126"/>
      <c r="M54" s="126"/>
      <c r="N54" s="119">
        <v>0</v>
      </c>
      <c r="O54" s="216">
        <v>0</v>
      </c>
      <c r="P54" s="126"/>
    </row>
    <row r="55" spans="1:16" s="40" customFormat="1" ht="15.75">
      <c r="A55" s="37">
        <v>13</v>
      </c>
      <c r="B55" s="27" t="s">
        <v>1610</v>
      </c>
      <c r="C55" s="38">
        <v>15</v>
      </c>
      <c r="D55" s="215"/>
      <c r="E55" s="47" t="s">
        <v>3484</v>
      </c>
      <c r="F55" s="107" t="s">
        <v>6990</v>
      </c>
      <c r="G55" s="119">
        <v>0</v>
      </c>
      <c r="H55" s="119">
        <v>7593458</v>
      </c>
      <c r="I55" s="216">
        <v>7593458</v>
      </c>
      <c r="J55" s="119">
        <v>7593458</v>
      </c>
      <c r="K55" s="216">
        <v>0</v>
      </c>
      <c r="L55" s="126"/>
      <c r="M55" s="126"/>
      <c r="N55" s="119">
        <v>0</v>
      </c>
      <c r="O55" s="216">
        <v>0</v>
      </c>
      <c r="P55" s="126"/>
    </row>
    <row r="56" spans="1:16" s="40" customFormat="1" ht="15.75">
      <c r="A56" s="37">
        <v>14</v>
      </c>
      <c r="B56" s="27" t="s">
        <v>1611</v>
      </c>
      <c r="C56" s="38"/>
      <c r="D56" s="215"/>
      <c r="E56" s="47" t="s">
        <v>3485</v>
      </c>
      <c r="F56" s="107" t="s">
        <v>6991</v>
      </c>
      <c r="G56" s="119">
        <v>0</v>
      </c>
      <c r="H56" s="119">
        <v>0</v>
      </c>
      <c r="I56" s="216">
        <v>0</v>
      </c>
      <c r="J56" s="119">
        <v>0</v>
      </c>
      <c r="K56" s="216">
        <v>0</v>
      </c>
      <c r="L56" s="126"/>
      <c r="M56" s="126"/>
      <c r="N56" s="119">
        <v>0</v>
      </c>
      <c r="O56" s="216">
        <v>0</v>
      </c>
      <c r="P56" s="126"/>
    </row>
    <row r="57" spans="1:16" s="40" customFormat="1" ht="31.5">
      <c r="A57" s="37">
        <v>15</v>
      </c>
      <c r="B57" s="27" t="s">
        <v>1658</v>
      </c>
      <c r="C57" s="38">
        <v>52</v>
      </c>
      <c r="D57" s="215"/>
      <c r="E57" s="47" t="s">
        <v>3486</v>
      </c>
      <c r="F57" s="107" t="s">
        <v>6992</v>
      </c>
      <c r="G57" s="119">
        <v>0</v>
      </c>
      <c r="H57" s="119">
        <v>3250600</v>
      </c>
      <c r="I57" s="216">
        <v>3250600</v>
      </c>
      <c r="J57" s="119">
        <v>3250600</v>
      </c>
      <c r="K57" s="216">
        <v>0</v>
      </c>
      <c r="L57" s="126"/>
      <c r="M57" s="126"/>
      <c r="N57" s="119">
        <v>0</v>
      </c>
      <c r="O57" s="216">
        <v>0</v>
      </c>
      <c r="P57" s="126"/>
    </row>
    <row r="58" spans="1:16" s="40" customFormat="1" ht="31.5">
      <c r="A58" s="37">
        <v>16</v>
      </c>
      <c r="B58" s="27" t="s">
        <v>1659</v>
      </c>
      <c r="C58" s="38"/>
      <c r="D58" s="215"/>
      <c r="E58" s="47" t="s">
        <v>4875</v>
      </c>
      <c r="F58" s="107" t="s">
        <v>6993</v>
      </c>
      <c r="G58" s="119">
        <v>0</v>
      </c>
      <c r="H58" s="119">
        <v>62988317</v>
      </c>
      <c r="I58" s="216">
        <v>62988317</v>
      </c>
      <c r="J58" s="119">
        <v>62988317</v>
      </c>
      <c r="K58" s="216">
        <v>0</v>
      </c>
      <c r="L58" s="126"/>
      <c r="M58" s="126"/>
      <c r="N58" s="119">
        <v>0</v>
      </c>
      <c r="O58" s="216">
        <v>0</v>
      </c>
      <c r="P58" s="126"/>
    </row>
    <row r="59" spans="1:16" s="40" customFormat="1" ht="47.25">
      <c r="A59" s="37">
        <v>17</v>
      </c>
      <c r="B59" s="27" t="s">
        <v>1822</v>
      </c>
      <c r="C59" s="38"/>
      <c r="D59" s="215"/>
      <c r="E59" s="47" t="s">
        <v>3487</v>
      </c>
      <c r="F59" s="107" t="s">
        <v>6994</v>
      </c>
      <c r="G59" s="119">
        <v>0</v>
      </c>
      <c r="H59" s="119">
        <v>762849</v>
      </c>
      <c r="I59" s="216">
        <v>762849</v>
      </c>
      <c r="J59" s="119">
        <v>762849</v>
      </c>
      <c r="K59" s="216">
        <v>0</v>
      </c>
      <c r="L59" s="126"/>
      <c r="M59" s="126"/>
      <c r="N59" s="119">
        <v>0</v>
      </c>
      <c r="O59" s="216">
        <v>0</v>
      </c>
      <c r="P59" s="126"/>
    </row>
    <row r="60" spans="1:16" s="40" customFormat="1" ht="31.5">
      <c r="A60" s="37">
        <v>18</v>
      </c>
      <c r="B60" s="27" t="s">
        <v>1823</v>
      </c>
      <c r="C60" s="38">
        <v>18</v>
      </c>
      <c r="D60" s="215"/>
      <c r="E60" s="47" t="s">
        <v>3488</v>
      </c>
      <c r="F60" s="107" t="s">
        <v>6995</v>
      </c>
      <c r="G60" s="119">
        <v>0</v>
      </c>
      <c r="H60" s="119">
        <v>1197080</v>
      </c>
      <c r="I60" s="216">
        <v>1197080</v>
      </c>
      <c r="J60" s="119">
        <v>1197080</v>
      </c>
      <c r="K60" s="216">
        <v>0</v>
      </c>
      <c r="L60" s="126"/>
      <c r="M60" s="126"/>
      <c r="N60" s="119">
        <v>0</v>
      </c>
      <c r="O60" s="216">
        <v>0</v>
      </c>
      <c r="P60" s="126"/>
    </row>
    <row r="61" spans="1:16" s="40" customFormat="1" ht="15.75">
      <c r="A61" s="37">
        <v>19</v>
      </c>
      <c r="B61" s="27" t="s">
        <v>4435</v>
      </c>
      <c r="C61" s="38"/>
      <c r="D61" s="215"/>
      <c r="E61" s="47" t="s">
        <v>4360</v>
      </c>
      <c r="F61" s="107" t="s">
        <v>6996</v>
      </c>
      <c r="G61" s="119">
        <v>0</v>
      </c>
      <c r="H61" s="119">
        <v>162650000</v>
      </c>
      <c r="I61" s="216">
        <v>162650000</v>
      </c>
      <c r="J61" s="119">
        <v>0</v>
      </c>
      <c r="K61" s="216">
        <v>162650000</v>
      </c>
      <c r="L61" s="126"/>
      <c r="M61" s="126"/>
      <c r="N61" s="119">
        <v>62000000</v>
      </c>
      <c r="O61" s="216">
        <v>62000000</v>
      </c>
      <c r="P61" s="126"/>
    </row>
    <row r="62" spans="1:16" s="40" customFormat="1" ht="15.75">
      <c r="A62" s="37">
        <v>20</v>
      </c>
      <c r="B62" s="27" t="s">
        <v>4436</v>
      </c>
      <c r="C62" s="38"/>
      <c r="D62" s="215"/>
      <c r="E62" s="47" t="s">
        <v>4361</v>
      </c>
      <c r="F62" s="107" t="s">
        <v>6997</v>
      </c>
      <c r="G62" s="119">
        <v>0</v>
      </c>
      <c r="H62" s="119">
        <v>15050000</v>
      </c>
      <c r="I62" s="216">
        <v>15050000</v>
      </c>
      <c r="J62" s="119">
        <v>0</v>
      </c>
      <c r="K62" s="216">
        <v>15050000</v>
      </c>
      <c r="L62" s="126"/>
      <c r="M62" s="126"/>
      <c r="N62" s="119">
        <v>5000000</v>
      </c>
      <c r="O62" s="216">
        <v>5000000</v>
      </c>
      <c r="P62" s="126"/>
    </row>
    <row r="63" spans="1:16" s="40" customFormat="1" ht="15.75">
      <c r="A63" s="37">
        <v>21</v>
      </c>
      <c r="B63" s="27" t="s">
        <v>4437</v>
      </c>
      <c r="C63" s="38"/>
      <c r="D63" s="215"/>
      <c r="E63" s="47" t="s">
        <v>4362</v>
      </c>
      <c r="F63" s="107" t="s">
        <v>6998</v>
      </c>
      <c r="G63" s="119">
        <v>0</v>
      </c>
      <c r="H63" s="119">
        <v>88300000</v>
      </c>
      <c r="I63" s="216">
        <v>88300000</v>
      </c>
      <c r="J63" s="119">
        <v>0</v>
      </c>
      <c r="K63" s="216">
        <v>88300000</v>
      </c>
      <c r="L63" s="126"/>
      <c r="M63" s="126"/>
      <c r="N63" s="119">
        <v>35000000</v>
      </c>
      <c r="O63" s="216">
        <v>35000000</v>
      </c>
      <c r="P63" s="126"/>
    </row>
    <row r="64" spans="1:16" s="40" customFormat="1" ht="15.75">
      <c r="A64" s="37">
        <v>22</v>
      </c>
      <c r="B64" s="27" t="s">
        <v>4469</v>
      </c>
      <c r="C64" s="38"/>
      <c r="D64" s="215"/>
      <c r="E64" s="47" t="s">
        <v>4364</v>
      </c>
      <c r="F64" s="107" t="s">
        <v>6999</v>
      </c>
      <c r="G64" s="119">
        <v>0</v>
      </c>
      <c r="H64" s="119">
        <v>10500000</v>
      </c>
      <c r="I64" s="216">
        <v>10500000</v>
      </c>
      <c r="J64" s="119">
        <v>0</v>
      </c>
      <c r="K64" s="216">
        <v>10500000</v>
      </c>
      <c r="L64" s="126"/>
      <c r="M64" s="126"/>
      <c r="N64" s="119">
        <v>0</v>
      </c>
      <c r="O64" s="216">
        <v>0</v>
      </c>
      <c r="P64" s="126"/>
    </row>
    <row r="65" spans="1:16" s="40" customFormat="1" ht="15.75">
      <c r="A65" s="37">
        <v>23</v>
      </c>
      <c r="B65" s="27" t="s">
        <v>775</v>
      </c>
      <c r="C65" s="38"/>
      <c r="D65" s="215"/>
      <c r="E65" s="219" t="s">
        <v>4872</v>
      </c>
      <c r="F65" s="107" t="s">
        <v>7000</v>
      </c>
      <c r="G65" s="119">
        <v>0</v>
      </c>
      <c r="H65" s="119">
        <v>51752360</v>
      </c>
      <c r="I65" s="216">
        <v>51752360</v>
      </c>
      <c r="J65" s="119">
        <v>51752360</v>
      </c>
      <c r="K65" s="216">
        <v>0</v>
      </c>
      <c r="L65" s="126"/>
      <c r="M65" s="126"/>
      <c r="N65" s="119">
        <v>0</v>
      </c>
      <c r="O65" s="216">
        <v>0</v>
      </c>
      <c r="P65" s="126"/>
    </row>
    <row r="66" spans="1:16" s="40" customFormat="1" ht="15.75">
      <c r="A66" s="37">
        <v>24</v>
      </c>
      <c r="B66" s="27" t="s">
        <v>775</v>
      </c>
      <c r="C66" s="38"/>
      <c r="D66" s="215"/>
      <c r="E66" s="219" t="s">
        <v>4873</v>
      </c>
      <c r="F66" s="107" t="s">
        <v>7001</v>
      </c>
      <c r="G66" s="119">
        <v>0</v>
      </c>
      <c r="H66" s="119">
        <v>82697047</v>
      </c>
      <c r="I66" s="216">
        <v>82697047</v>
      </c>
      <c r="J66" s="119">
        <v>82697047</v>
      </c>
      <c r="K66" s="216">
        <v>0</v>
      </c>
      <c r="L66" s="126"/>
      <c r="M66" s="126"/>
      <c r="N66" s="119">
        <v>0</v>
      </c>
      <c r="O66" s="216">
        <v>0</v>
      </c>
      <c r="P66" s="126"/>
    </row>
    <row r="67" spans="1:16" s="40" customFormat="1" ht="15.75">
      <c r="A67" s="37"/>
      <c r="B67" s="27"/>
      <c r="C67" s="38"/>
      <c r="D67" s="215"/>
      <c r="E67" s="47"/>
      <c r="F67" s="107"/>
      <c r="G67" s="119">
        <v>0</v>
      </c>
      <c r="H67" s="119">
        <v>0</v>
      </c>
      <c r="I67" s="216">
        <v>0</v>
      </c>
      <c r="J67" s="119">
        <v>0</v>
      </c>
      <c r="K67" s="216">
        <v>0</v>
      </c>
      <c r="L67" s="126"/>
      <c r="M67" s="126"/>
      <c r="N67" s="119">
        <v>0</v>
      </c>
      <c r="O67" s="216">
        <v>0</v>
      </c>
      <c r="P67" s="126"/>
    </row>
    <row r="68" spans="1:16" s="40" customFormat="1" ht="15.75">
      <c r="A68" s="37"/>
      <c r="B68" s="27"/>
      <c r="C68" s="38"/>
      <c r="D68" s="215"/>
      <c r="E68" s="217" t="s">
        <v>3489</v>
      </c>
      <c r="F68" s="218" t="s">
        <v>7002</v>
      </c>
      <c r="G68" s="119">
        <v>0</v>
      </c>
      <c r="H68" s="119">
        <v>1910048806</v>
      </c>
      <c r="I68" s="216">
        <v>1910048806</v>
      </c>
      <c r="J68" s="119">
        <v>1258858806</v>
      </c>
      <c r="K68" s="216">
        <v>651190000</v>
      </c>
      <c r="L68" s="126"/>
      <c r="M68" s="126"/>
      <c r="N68" s="119">
        <v>127000000</v>
      </c>
      <c r="O68" s="216">
        <v>127000000</v>
      </c>
      <c r="P68" s="126"/>
    </row>
    <row r="69" spans="1:16" s="40" customFormat="1" ht="15.75">
      <c r="A69" s="37"/>
      <c r="B69" s="27"/>
      <c r="C69" s="38"/>
      <c r="D69" s="215"/>
      <c r="E69" s="47"/>
      <c r="F69" s="107"/>
      <c r="G69" s="119">
        <v>0</v>
      </c>
      <c r="H69" s="119">
        <v>0</v>
      </c>
      <c r="I69" s="216">
        <v>0</v>
      </c>
      <c r="J69" s="119">
        <v>0</v>
      </c>
      <c r="K69" s="216">
        <v>0</v>
      </c>
      <c r="L69" s="126"/>
      <c r="M69" s="126"/>
      <c r="N69" s="119">
        <v>0</v>
      </c>
      <c r="O69" s="216">
        <v>0</v>
      </c>
      <c r="P69" s="126"/>
    </row>
    <row r="70" spans="1:16" s="40" customFormat="1" ht="15.75">
      <c r="A70" s="37"/>
      <c r="B70" s="27"/>
      <c r="C70" s="38"/>
      <c r="D70" s="215"/>
      <c r="E70" s="47" t="s">
        <v>3490</v>
      </c>
      <c r="F70" s="107" t="s">
        <v>7003</v>
      </c>
      <c r="G70" s="119">
        <v>0</v>
      </c>
      <c r="H70" s="119">
        <v>0</v>
      </c>
      <c r="I70" s="216">
        <v>0</v>
      </c>
      <c r="J70" s="119">
        <v>0</v>
      </c>
      <c r="K70" s="216">
        <v>0</v>
      </c>
      <c r="L70" s="126"/>
      <c r="M70" s="126"/>
      <c r="N70" s="119">
        <v>0</v>
      </c>
      <c r="O70" s="216">
        <v>0</v>
      </c>
      <c r="P70" s="126"/>
    </row>
    <row r="71" spans="1:16" s="40" customFormat="1" ht="31.5">
      <c r="A71" s="37">
        <v>1</v>
      </c>
      <c r="B71" s="27" t="s">
        <v>55</v>
      </c>
      <c r="C71" s="38"/>
      <c r="D71" s="215"/>
      <c r="E71" s="47" t="s">
        <v>3491</v>
      </c>
      <c r="F71" s="107" t="s">
        <v>7004</v>
      </c>
      <c r="G71" s="119">
        <v>0</v>
      </c>
      <c r="H71" s="119">
        <v>29151180</v>
      </c>
      <c r="I71" s="216">
        <v>29151180</v>
      </c>
      <c r="J71" s="119">
        <v>29151180</v>
      </c>
      <c r="K71" s="216">
        <v>0</v>
      </c>
      <c r="L71" s="126"/>
      <c r="M71" s="126"/>
      <c r="N71" s="119">
        <v>0</v>
      </c>
      <c r="O71" s="216">
        <v>0</v>
      </c>
      <c r="P71" s="126"/>
    </row>
    <row r="72" spans="1:16" s="40" customFormat="1" ht="15.75">
      <c r="A72" s="37">
        <v>2</v>
      </c>
      <c r="B72" s="27" t="s">
        <v>30</v>
      </c>
      <c r="C72" s="38"/>
      <c r="D72" s="215"/>
      <c r="E72" s="47" t="s">
        <v>3492</v>
      </c>
      <c r="F72" s="107" t="s">
        <v>7005</v>
      </c>
      <c r="G72" s="119">
        <v>0</v>
      </c>
      <c r="H72" s="119">
        <v>4627174</v>
      </c>
      <c r="I72" s="216">
        <v>4627174</v>
      </c>
      <c r="J72" s="119">
        <v>4627174</v>
      </c>
      <c r="K72" s="216">
        <v>0</v>
      </c>
      <c r="L72" s="126"/>
      <c r="M72" s="126"/>
      <c r="N72" s="119">
        <v>0</v>
      </c>
      <c r="O72" s="216">
        <v>0</v>
      </c>
      <c r="P72" s="126"/>
    </row>
    <row r="73" spans="1:16" s="40" customFormat="1" ht="31.5">
      <c r="A73" s="37">
        <v>3</v>
      </c>
      <c r="B73" s="27" t="s">
        <v>31</v>
      </c>
      <c r="C73" s="38"/>
      <c r="D73" s="215"/>
      <c r="E73" s="47" t="s">
        <v>3493</v>
      </c>
      <c r="F73" s="107" t="s">
        <v>7006</v>
      </c>
      <c r="G73" s="119">
        <v>0</v>
      </c>
      <c r="H73" s="119">
        <v>772550974</v>
      </c>
      <c r="I73" s="216">
        <v>772550974</v>
      </c>
      <c r="J73" s="119">
        <v>722550974</v>
      </c>
      <c r="K73" s="216">
        <v>50000000</v>
      </c>
      <c r="L73" s="126"/>
      <c r="M73" s="126"/>
      <c r="N73" s="119">
        <v>50000000</v>
      </c>
      <c r="O73" s="216">
        <v>50000000</v>
      </c>
      <c r="P73" s="126"/>
    </row>
    <row r="74" spans="1:16" s="40" customFormat="1" ht="15.75">
      <c r="A74" s="37">
        <v>4</v>
      </c>
      <c r="B74" s="27" t="s">
        <v>32</v>
      </c>
      <c r="C74" s="38"/>
      <c r="D74" s="215"/>
      <c r="E74" s="47" t="s">
        <v>3494</v>
      </c>
      <c r="F74" s="107" t="s">
        <v>7007</v>
      </c>
      <c r="G74" s="119">
        <v>0</v>
      </c>
      <c r="H74" s="119">
        <v>39341239</v>
      </c>
      <c r="I74" s="216">
        <v>39341239</v>
      </c>
      <c r="J74" s="119">
        <v>39341239</v>
      </c>
      <c r="K74" s="216">
        <v>0</v>
      </c>
      <c r="L74" s="126"/>
      <c r="M74" s="126"/>
      <c r="N74" s="119">
        <v>5000000</v>
      </c>
      <c r="O74" s="216">
        <v>5000000</v>
      </c>
      <c r="P74" s="126"/>
    </row>
    <row r="75" spans="1:16" s="40" customFormat="1" ht="15.75">
      <c r="A75" s="37">
        <v>5</v>
      </c>
      <c r="B75" s="27" t="s">
        <v>33</v>
      </c>
      <c r="C75" s="38"/>
      <c r="D75" s="215"/>
      <c r="E75" s="47" t="s">
        <v>3495</v>
      </c>
      <c r="F75" s="107" t="s">
        <v>7008</v>
      </c>
      <c r="G75" s="119">
        <v>0</v>
      </c>
      <c r="H75" s="119">
        <v>148337022</v>
      </c>
      <c r="I75" s="216">
        <v>148337022</v>
      </c>
      <c r="J75" s="119">
        <v>148337022</v>
      </c>
      <c r="K75" s="216">
        <v>0</v>
      </c>
      <c r="L75" s="126"/>
      <c r="M75" s="126"/>
      <c r="N75" s="119">
        <v>20000000</v>
      </c>
      <c r="O75" s="216">
        <v>20000000</v>
      </c>
      <c r="P75" s="126"/>
    </row>
    <row r="76" spans="1:16" s="40" customFormat="1" ht="15.75">
      <c r="A76" s="37">
        <v>6</v>
      </c>
      <c r="B76" s="27" t="s">
        <v>34</v>
      </c>
      <c r="C76" s="38"/>
      <c r="D76" s="215"/>
      <c r="E76" s="47" t="s">
        <v>3496</v>
      </c>
      <c r="F76" s="107" t="s">
        <v>7009</v>
      </c>
      <c r="G76" s="119">
        <v>0</v>
      </c>
      <c r="H76" s="119">
        <v>35821084</v>
      </c>
      <c r="I76" s="216">
        <v>35821084</v>
      </c>
      <c r="J76" s="119">
        <v>35821084</v>
      </c>
      <c r="K76" s="216">
        <v>0</v>
      </c>
      <c r="L76" s="126"/>
      <c r="M76" s="126"/>
      <c r="N76" s="119">
        <v>0</v>
      </c>
      <c r="O76" s="216">
        <v>0</v>
      </c>
      <c r="P76" s="126"/>
    </row>
    <row r="77" spans="1:16" s="40" customFormat="1" ht="31.5">
      <c r="A77" s="37">
        <v>7</v>
      </c>
      <c r="B77" s="27" t="s">
        <v>35</v>
      </c>
      <c r="C77" s="38"/>
      <c r="D77" s="215"/>
      <c r="E77" s="47" t="s">
        <v>3497</v>
      </c>
      <c r="F77" s="107" t="s">
        <v>7010</v>
      </c>
      <c r="G77" s="119">
        <v>0</v>
      </c>
      <c r="H77" s="119">
        <v>76274585</v>
      </c>
      <c r="I77" s="216">
        <v>76274585</v>
      </c>
      <c r="J77" s="119">
        <v>41274585</v>
      </c>
      <c r="K77" s="216">
        <v>35000000</v>
      </c>
      <c r="L77" s="126"/>
      <c r="M77" s="126"/>
      <c r="N77" s="119">
        <v>10000000</v>
      </c>
      <c r="O77" s="216">
        <v>10000000</v>
      </c>
      <c r="P77" s="126"/>
    </row>
    <row r="78" spans="1:16" s="40" customFormat="1" ht="31.5">
      <c r="A78" s="37">
        <v>8</v>
      </c>
      <c r="B78" s="27" t="s">
        <v>36</v>
      </c>
      <c r="C78" s="38"/>
      <c r="D78" s="215"/>
      <c r="E78" s="47" t="s">
        <v>3498</v>
      </c>
      <c r="F78" s="107" t="s">
        <v>7011</v>
      </c>
      <c r="G78" s="119">
        <v>0</v>
      </c>
      <c r="H78" s="119">
        <v>142520431</v>
      </c>
      <c r="I78" s="216">
        <v>142520431</v>
      </c>
      <c r="J78" s="119">
        <v>107520431</v>
      </c>
      <c r="K78" s="216">
        <v>35000000</v>
      </c>
      <c r="L78" s="126"/>
      <c r="M78" s="126"/>
      <c r="N78" s="119">
        <v>20000000</v>
      </c>
      <c r="O78" s="216">
        <v>20000000</v>
      </c>
      <c r="P78" s="126"/>
    </row>
    <row r="79" spans="1:16" s="40" customFormat="1" ht="15.75">
      <c r="A79" s="37">
        <v>9</v>
      </c>
      <c r="B79" s="27" t="s">
        <v>1242</v>
      </c>
      <c r="C79" s="38"/>
      <c r="D79" s="215"/>
      <c r="E79" s="47" t="s">
        <v>3499</v>
      </c>
      <c r="F79" s="107" t="s">
        <v>7012</v>
      </c>
      <c r="G79" s="119">
        <v>0</v>
      </c>
      <c r="H79" s="119">
        <v>422972960</v>
      </c>
      <c r="I79" s="216">
        <v>422972960</v>
      </c>
      <c r="J79" s="119">
        <v>373972960</v>
      </c>
      <c r="K79" s="216">
        <v>49000000</v>
      </c>
      <c r="L79" s="126"/>
      <c r="M79" s="126"/>
      <c r="N79" s="119">
        <v>20000000</v>
      </c>
      <c r="O79" s="216">
        <v>20000000</v>
      </c>
      <c r="P79" s="126"/>
    </row>
    <row r="80" spans="1:16" s="40" customFormat="1" ht="15.75">
      <c r="A80" s="37">
        <v>10</v>
      </c>
      <c r="B80" s="27" t="s">
        <v>1243</v>
      </c>
      <c r="C80" s="38"/>
      <c r="D80" s="215"/>
      <c r="E80" s="47" t="s">
        <v>3500</v>
      </c>
      <c r="F80" s="107" t="s">
        <v>7013</v>
      </c>
      <c r="G80" s="119">
        <v>0</v>
      </c>
      <c r="H80" s="119">
        <v>55139399</v>
      </c>
      <c r="I80" s="216">
        <v>55139399</v>
      </c>
      <c r="J80" s="119">
        <v>55139399</v>
      </c>
      <c r="K80" s="216">
        <v>0</v>
      </c>
      <c r="L80" s="126"/>
      <c r="M80" s="126"/>
      <c r="N80" s="119">
        <v>0</v>
      </c>
      <c r="O80" s="216">
        <v>0</v>
      </c>
      <c r="P80" s="126"/>
    </row>
    <row r="81" spans="1:16" s="40" customFormat="1" ht="31.5">
      <c r="A81" s="37">
        <v>11</v>
      </c>
      <c r="B81" s="27" t="s">
        <v>1244</v>
      </c>
      <c r="C81" s="38"/>
      <c r="D81" s="215"/>
      <c r="E81" s="47" t="s">
        <v>3501</v>
      </c>
      <c r="F81" s="107" t="s">
        <v>7014</v>
      </c>
      <c r="G81" s="119">
        <v>0</v>
      </c>
      <c r="H81" s="119">
        <v>109727180</v>
      </c>
      <c r="I81" s="216">
        <v>109727180</v>
      </c>
      <c r="J81" s="119">
        <v>67727180</v>
      </c>
      <c r="K81" s="216">
        <v>42000000</v>
      </c>
      <c r="L81" s="126"/>
      <c r="M81" s="126"/>
      <c r="N81" s="119">
        <v>10000000</v>
      </c>
      <c r="O81" s="216">
        <v>10000000</v>
      </c>
      <c r="P81" s="126"/>
    </row>
    <row r="82" spans="1:16" s="40" customFormat="1" ht="31.5">
      <c r="A82" s="37">
        <v>12</v>
      </c>
      <c r="B82" s="27" t="s">
        <v>1245</v>
      </c>
      <c r="C82" s="38"/>
      <c r="D82" s="215"/>
      <c r="E82" s="47" t="s">
        <v>3502</v>
      </c>
      <c r="F82" s="107" t="s">
        <v>7015</v>
      </c>
      <c r="G82" s="119">
        <v>0</v>
      </c>
      <c r="H82" s="119">
        <v>161324923</v>
      </c>
      <c r="I82" s="216">
        <v>161324923</v>
      </c>
      <c r="J82" s="119">
        <v>161324923</v>
      </c>
      <c r="K82" s="216">
        <v>0</v>
      </c>
      <c r="L82" s="126"/>
      <c r="M82" s="126"/>
      <c r="N82" s="119">
        <v>0</v>
      </c>
      <c r="O82" s="216">
        <v>0</v>
      </c>
      <c r="P82" s="126"/>
    </row>
    <row r="83" spans="1:16" s="40" customFormat="1" ht="15.75">
      <c r="A83" s="37">
        <v>13</v>
      </c>
      <c r="B83" s="27" t="s">
        <v>1246</v>
      </c>
      <c r="C83" s="38"/>
      <c r="D83" s="215"/>
      <c r="E83" s="47" t="s">
        <v>3503</v>
      </c>
      <c r="F83" s="107" t="s">
        <v>7016</v>
      </c>
      <c r="G83" s="119">
        <v>0</v>
      </c>
      <c r="H83" s="119">
        <v>9565378</v>
      </c>
      <c r="I83" s="216">
        <v>9565378</v>
      </c>
      <c r="J83" s="119">
        <v>3965378</v>
      </c>
      <c r="K83" s="216">
        <v>5600000</v>
      </c>
      <c r="L83" s="126"/>
      <c r="M83" s="126"/>
      <c r="N83" s="119">
        <v>0</v>
      </c>
      <c r="O83" s="216">
        <v>0</v>
      </c>
      <c r="P83" s="126"/>
    </row>
    <row r="84" spans="1:16" s="40" customFormat="1" ht="15.75">
      <c r="A84" s="37">
        <v>14</v>
      </c>
      <c r="B84" s="27" t="s">
        <v>1284</v>
      </c>
      <c r="C84" s="38">
        <v>4</v>
      </c>
      <c r="D84" s="215"/>
      <c r="E84" s="47" t="s">
        <v>3504</v>
      </c>
      <c r="F84" s="107" t="s">
        <v>7017</v>
      </c>
      <c r="G84" s="119">
        <v>0</v>
      </c>
      <c r="H84" s="119">
        <v>0</v>
      </c>
      <c r="I84" s="216">
        <v>0</v>
      </c>
      <c r="J84" s="119">
        <v>0</v>
      </c>
      <c r="K84" s="216">
        <v>0</v>
      </c>
      <c r="L84" s="126"/>
      <c r="M84" s="126"/>
      <c r="N84" s="119">
        <v>0</v>
      </c>
      <c r="O84" s="216">
        <v>0</v>
      </c>
      <c r="P84" s="126"/>
    </row>
    <row r="85" spans="1:16" s="40" customFormat="1" ht="15.75">
      <c r="A85" s="37">
        <v>15</v>
      </c>
      <c r="B85" s="27" t="s">
        <v>1338</v>
      </c>
      <c r="C85" s="38"/>
      <c r="D85" s="215"/>
      <c r="E85" s="47" t="s">
        <v>3505</v>
      </c>
      <c r="F85" s="107" t="s">
        <v>7018</v>
      </c>
      <c r="G85" s="119">
        <v>0</v>
      </c>
      <c r="H85" s="119">
        <v>35098532</v>
      </c>
      <c r="I85" s="216">
        <v>35098532</v>
      </c>
      <c r="J85" s="119">
        <v>35098532</v>
      </c>
      <c r="K85" s="216">
        <v>0</v>
      </c>
      <c r="L85" s="126"/>
      <c r="M85" s="126"/>
      <c r="N85" s="119">
        <v>0</v>
      </c>
      <c r="O85" s="216">
        <v>0</v>
      </c>
      <c r="P85" s="126"/>
    </row>
    <row r="86" spans="1:16" s="40" customFormat="1" ht="31.5">
      <c r="A86" s="37">
        <v>16</v>
      </c>
      <c r="B86" s="27" t="s">
        <v>10479</v>
      </c>
      <c r="C86" s="38"/>
      <c r="D86" s="215"/>
      <c r="E86" s="47" t="s">
        <v>10480</v>
      </c>
      <c r="F86" s="107"/>
      <c r="G86" s="119">
        <v>0</v>
      </c>
      <c r="H86" s="119">
        <v>0</v>
      </c>
      <c r="I86" s="216">
        <v>0</v>
      </c>
      <c r="J86" s="119">
        <v>0</v>
      </c>
      <c r="K86" s="216">
        <v>0</v>
      </c>
      <c r="L86" s="126"/>
      <c r="M86" s="126"/>
      <c r="N86" s="119">
        <v>45000000</v>
      </c>
      <c r="O86" s="216">
        <v>45000000</v>
      </c>
      <c r="P86" s="126"/>
    </row>
    <row r="87" spans="1:16" s="40" customFormat="1" ht="15.75">
      <c r="A87" s="37">
        <v>17</v>
      </c>
      <c r="B87" s="27" t="s">
        <v>10481</v>
      </c>
      <c r="C87" s="38"/>
      <c r="D87" s="215"/>
      <c r="E87" s="47" t="s">
        <v>10482</v>
      </c>
      <c r="F87" s="107"/>
      <c r="G87" s="119">
        <v>0</v>
      </c>
      <c r="H87" s="119">
        <v>0</v>
      </c>
      <c r="I87" s="216">
        <v>0</v>
      </c>
      <c r="J87" s="119">
        <v>0</v>
      </c>
      <c r="K87" s="216">
        <v>0</v>
      </c>
      <c r="L87" s="126"/>
      <c r="M87" s="126"/>
      <c r="N87" s="119">
        <v>20000000</v>
      </c>
      <c r="O87" s="216">
        <v>20000000</v>
      </c>
      <c r="P87" s="126"/>
    </row>
    <row r="88" spans="1:16" s="40" customFormat="1" ht="15.75">
      <c r="A88" s="37">
        <v>18</v>
      </c>
      <c r="B88" s="27" t="s">
        <v>1339</v>
      </c>
      <c r="C88" s="38"/>
      <c r="D88" s="215"/>
      <c r="E88" s="47" t="s">
        <v>3506</v>
      </c>
      <c r="F88" s="107" t="s">
        <v>7019</v>
      </c>
      <c r="G88" s="119">
        <v>0</v>
      </c>
      <c r="H88" s="119">
        <v>8380595</v>
      </c>
      <c r="I88" s="216">
        <v>8380595</v>
      </c>
      <c r="J88" s="119">
        <v>4880595</v>
      </c>
      <c r="K88" s="216">
        <v>3500000</v>
      </c>
      <c r="L88" s="126"/>
      <c r="M88" s="126"/>
      <c r="N88" s="119">
        <v>10000000</v>
      </c>
      <c r="O88" s="216">
        <v>10000000</v>
      </c>
      <c r="P88" s="126"/>
    </row>
    <row r="89" spans="1:16" s="40" customFormat="1" ht="15.75">
      <c r="A89" s="37">
        <v>19</v>
      </c>
      <c r="B89" s="27" t="s">
        <v>1363</v>
      </c>
      <c r="C89" s="38"/>
      <c r="D89" s="215"/>
      <c r="E89" s="47" t="s">
        <v>3507</v>
      </c>
      <c r="F89" s="107" t="s">
        <v>7020</v>
      </c>
      <c r="G89" s="119">
        <v>0</v>
      </c>
      <c r="H89" s="119">
        <v>238050566</v>
      </c>
      <c r="I89" s="216">
        <v>238050566</v>
      </c>
      <c r="J89" s="119">
        <v>137550566</v>
      </c>
      <c r="K89" s="216">
        <v>100500000</v>
      </c>
      <c r="L89" s="126"/>
      <c r="M89" s="126"/>
      <c r="N89" s="119">
        <v>0</v>
      </c>
      <c r="O89" s="216">
        <v>0</v>
      </c>
      <c r="P89" s="126"/>
    </row>
    <row r="90" spans="1:16" s="40" customFormat="1" ht="15.75">
      <c r="A90" s="37">
        <v>20</v>
      </c>
      <c r="B90" s="27" t="s">
        <v>1472</v>
      </c>
      <c r="C90" s="38"/>
      <c r="D90" s="215"/>
      <c r="E90" s="47" t="s">
        <v>3508</v>
      </c>
      <c r="F90" s="107" t="s">
        <v>7021</v>
      </c>
      <c r="G90" s="119">
        <v>0</v>
      </c>
      <c r="H90" s="119">
        <v>850000</v>
      </c>
      <c r="I90" s="216">
        <v>850000</v>
      </c>
      <c r="J90" s="119">
        <v>850000</v>
      </c>
      <c r="K90" s="216">
        <v>0</v>
      </c>
      <c r="L90" s="126"/>
      <c r="M90" s="126"/>
      <c r="N90" s="119">
        <v>5000000</v>
      </c>
      <c r="O90" s="216">
        <v>5000000</v>
      </c>
      <c r="P90" s="126"/>
    </row>
    <row r="91" spans="1:16" s="40" customFormat="1" ht="15.75">
      <c r="A91" s="37">
        <v>21</v>
      </c>
      <c r="B91" s="27" t="s">
        <v>1473</v>
      </c>
      <c r="C91" s="38"/>
      <c r="D91" s="215"/>
      <c r="E91" s="47" t="s">
        <v>3509</v>
      </c>
      <c r="F91" s="107" t="s">
        <v>7022</v>
      </c>
      <c r="G91" s="119">
        <v>0</v>
      </c>
      <c r="H91" s="119">
        <v>6675378</v>
      </c>
      <c r="I91" s="216">
        <v>6675378</v>
      </c>
      <c r="J91" s="119">
        <v>6675378</v>
      </c>
      <c r="K91" s="216">
        <v>0</v>
      </c>
      <c r="L91" s="126"/>
      <c r="M91" s="126"/>
      <c r="N91" s="119">
        <v>20000000</v>
      </c>
      <c r="O91" s="216">
        <v>20000000</v>
      </c>
      <c r="P91" s="126"/>
    </row>
    <row r="92" spans="1:16" s="40" customFormat="1" ht="31.5">
      <c r="A92" s="37">
        <v>22</v>
      </c>
      <c r="B92" s="27" t="s">
        <v>1474</v>
      </c>
      <c r="C92" s="38"/>
      <c r="D92" s="215"/>
      <c r="E92" s="47" t="s">
        <v>3510</v>
      </c>
      <c r="F92" s="107" t="s">
        <v>7023</v>
      </c>
      <c r="G92" s="119">
        <v>0</v>
      </c>
      <c r="H92" s="119">
        <v>114999808</v>
      </c>
      <c r="I92" s="216">
        <v>114999808</v>
      </c>
      <c r="J92" s="119">
        <v>64999808</v>
      </c>
      <c r="K92" s="216">
        <v>50000000</v>
      </c>
      <c r="L92" s="126"/>
      <c r="M92" s="126"/>
      <c r="N92" s="119">
        <v>50000000</v>
      </c>
      <c r="O92" s="216">
        <v>50000000</v>
      </c>
      <c r="P92" s="126"/>
    </row>
    <row r="93" spans="1:16" s="40" customFormat="1" ht="31.5">
      <c r="A93" s="37">
        <v>23</v>
      </c>
      <c r="B93" s="27" t="s">
        <v>1475</v>
      </c>
      <c r="C93" s="38"/>
      <c r="D93" s="215"/>
      <c r="E93" s="47" t="s">
        <v>3511</v>
      </c>
      <c r="F93" s="107" t="s">
        <v>7024</v>
      </c>
      <c r="G93" s="119">
        <v>0</v>
      </c>
      <c r="H93" s="119">
        <v>11353767</v>
      </c>
      <c r="I93" s="216">
        <v>11353767</v>
      </c>
      <c r="J93" s="119">
        <v>11353767</v>
      </c>
      <c r="K93" s="216">
        <v>0</v>
      </c>
      <c r="L93" s="126"/>
      <c r="M93" s="126"/>
      <c r="N93" s="119">
        <v>0</v>
      </c>
      <c r="O93" s="216">
        <v>0</v>
      </c>
      <c r="P93" s="126"/>
    </row>
    <row r="94" spans="1:16" s="40" customFormat="1" ht="15.75">
      <c r="A94" s="37">
        <v>24</v>
      </c>
      <c r="B94" s="27" t="s">
        <v>1476</v>
      </c>
      <c r="C94" s="38"/>
      <c r="D94" s="215"/>
      <c r="E94" s="47" t="s">
        <v>3512</v>
      </c>
      <c r="F94" s="107" t="s">
        <v>7025</v>
      </c>
      <c r="G94" s="119">
        <v>0</v>
      </c>
      <c r="H94" s="119">
        <v>6559058</v>
      </c>
      <c r="I94" s="216">
        <v>6559058</v>
      </c>
      <c r="J94" s="119">
        <v>6559058</v>
      </c>
      <c r="K94" s="216">
        <v>0</v>
      </c>
      <c r="L94" s="126"/>
      <c r="M94" s="126"/>
      <c r="N94" s="119">
        <v>0</v>
      </c>
      <c r="O94" s="216">
        <v>0</v>
      </c>
      <c r="P94" s="126"/>
    </row>
    <row r="95" spans="1:16" s="40" customFormat="1" ht="31.5">
      <c r="A95" s="37">
        <v>25</v>
      </c>
      <c r="B95" s="27" t="s">
        <v>1477</v>
      </c>
      <c r="C95" s="38"/>
      <c r="D95" s="215"/>
      <c r="E95" s="47" t="s">
        <v>3513</v>
      </c>
      <c r="F95" s="107" t="s">
        <v>7026</v>
      </c>
      <c r="G95" s="119">
        <v>0</v>
      </c>
      <c r="H95" s="119">
        <v>8000000</v>
      </c>
      <c r="I95" s="216">
        <v>8000000</v>
      </c>
      <c r="J95" s="119">
        <v>8000000</v>
      </c>
      <c r="K95" s="216">
        <v>0</v>
      </c>
      <c r="L95" s="126"/>
      <c r="M95" s="126"/>
      <c r="N95" s="119">
        <v>0</v>
      </c>
      <c r="O95" s="216">
        <v>0</v>
      </c>
      <c r="P95" s="126"/>
    </row>
    <row r="96" spans="1:16" s="40" customFormat="1" ht="31.5">
      <c r="A96" s="37">
        <v>26</v>
      </c>
      <c r="B96" s="27" t="s">
        <v>1824</v>
      </c>
      <c r="C96" s="38"/>
      <c r="D96" s="215"/>
      <c r="E96" s="47" t="s">
        <v>3514</v>
      </c>
      <c r="F96" s="107" t="s">
        <v>7027</v>
      </c>
      <c r="G96" s="119">
        <v>0</v>
      </c>
      <c r="H96" s="119">
        <v>22838551</v>
      </c>
      <c r="I96" s="216">
        <v>22838551</v>
      </c>
      <c r="J96" s="119">
        <v>1838551</v>
      </c>
      <c r="K96" s="216">
        <v>21000000</v>
      </c>
      <c r="L96" s="126"/>
      <c r="M96" s="126"/>
      <c r="N96" s="119">
        <v>0</v>
      </c>
      <c r="O96" s="216">
        <v>0</v>
      </c>
      <c r="P96" s="126"/>
    </row>
    <row r="97" spans="1:16" s="40" customFormat="1" ht="31.5">
      <c r="A97" s="37">
        <v>27</v>
      </c>
      <c r="B97" s="27" t="s">
        <v>1825</v>
      </c>
      <c r="C97" s="38"/>
      <c r="D97" s="215"/>
      <c r="E97" s="220" t="s">
        <v>3515</v>
      </c>
      <c r="F97" s="221" t="s">
        <v>7028</v>
      </c>
      <c r="G97" s="119">
        <v>0</v>
      </c>
      <c r="H97" s="119">
        <v>212196574</v>
      </c>
      <c r="I97" s="216">
        <v>212196574</v>
      </c>
      <c r="J97" s="119">
        <v>142196574</v>
      </c>
      <c r="K97" s="216">
        <v>70000000</v>
      </c>
      <c r="L97" s="126"/>
      <c r="M97" s="126"/>
      <c r="N97" s="119">
        <v>0</v>
      </c>
      <c r="O97" s="216">
        <v>0</v>
      </c>
      <c r="P97" s="126"/>
    </row>
    <row r="98" spans="1:16" s="40" customFormat="1" ht="31.5">
      <c r="A98" s="37">
        <v>28</v>
      </c>
      <c r="B98" s="27" t="s">
        <v>1826</v>
      </c>
      <c r="C98" s="38">
        <v>18</v>
      </c>
      <c r="D98" s="215"/>
      <c r="E98" s="220" t="s">
        <v>3516</v>
      </c>
      <c r="F98" s="221" t="s">
        <v>7029</v>
      </c>
      <c r="G98" s="119">
        <v>0</v>
      </c>
      <c r="H98" s="119">
        <v>1520000</v>
      </c>
      <c r="I98" s="216">
        <v>1520000</v>
      </c>
      <c r="J98" s="119">
        <v>1520000</v>
      </c>
      <c r="K98" s="216">
        <v>0</v>
      </c>
      <c r="L98" s="126"/>
      <c r="M98" s="126"/>
      <c r="N98" s="119">
        <v>0</v>
      </c>
      <c r="O98" s="216">
        <v>0</v>
      </c>
      <c r="P98" s="126"/>
    </row>
    <row r="99" spans="1:16" s="40" customFormat="1" ht="47.25">
      <c r="A99" s="37">
        <v>29</v>
      </c>
      <c r="B99" s="27" t="s">
        <v>4901</v>
      </c>
      <c r="C99" s="38"/>
      <c r="D99" s="215"/>
      <c r="E99" s="220" t="s">
        <v>3690</v>
      </c>
      <c r="F99" s="221" t="s">
        <v>7030</v>
      </c>
      <c r="G99" s="119">
        <v>0</v>
      </c>
      <c r="H99" s="119">
        <v>7000000</v>
      </c>
      <c r="I99" s="216">
        <v>7000000</v>
      </c>
      <c r="J99" s="119">
        <v>0</v>
      </c>
      <c r="K99" s="216">
        <v>7000000</v>
      </c>
      <c r="L99" s="126"/>
      <c r="M99" s="126"/>
      <c r="N99" s="119">
        <v>10000000</v>
      </c>
      <c r="O99" s="216">
        <v>10000000</v>
      </c>
      <c r="P99" s="126"/>
    </row>
    <row r="100" spans="1:16" s="40" customFormat="1" ht="15.75">
      <c r="A100" s="37">
        <v>30</v>
      </c>
      <c r="B100" s="27" t="s">
        <v>4902</v>
      </c>
      <c r="C100" s="38"/>
      <c r="D100" s="215"/>
      <c r="E100" s="220" t="s">
        <v>3691</v>
      </c>
      <c r="F100" s="221" t="s">
        <v>7031</v>
      </c>
      <c r="G100" s="119">
        <v>0</v>
      </c>
      <c r="H100" s="119">
        <v>70000000</v>
      </c>
      <c r="I100" s="216">
        <v>70000000</v>
      </c>
      <c r="J100" s="119">
        <v>0</v>
      </c>
      <c r="K100" s="216">
        <v>70000000</v>
      </c>
      <c r="L100" s="126"/>
      <c r="M100" s="126"/>
      <c r="N100" s="119">
        <v>250000000</v>
      </c>
      <c r="O100" s="216">
        <v>250000000</v>
      </c>
      <c r="P100" s="126"/>
    </row>
    <row r="101" spans="1:16" s="40" customFormat="1" ht="15.75">
      <c r="A101" s="37">
        <v>31</v>
      </c>
      <c r="B101" s="27" t="s">
        <v>12675</v>
      </c>
      <c r="C101" s="38"/>
      <c r="D101" s="215"/>
      <c r="E101" s="220" t="s">
        <v>8786</v>
      </c>
      <c r="F101" s="221"/>
      <c r="G101" s="119">
        <v>0</v>
      </c>
      <c r="H101" s="119">
        <v>0</v>
      </c>
      <c r="I101" s="216">
        <v>0</v>
      </c>
      <c r="J101" s="119">
        <v>0</v>
      </c>
      <c r="K101" s="216">
        <v>0</v>
      </c>
      <c r="L101" s="126"/>
      <c r="M101" s="126"/>
      <c r="N101" s="119">
        <v>5000000</v>
      </c>
      <c r="O101" s="216">
        <v>5000000</v>
      </c>
      <c r="P101" s="126"/>
    </row>
    <row r="102" spans="1:16" s="40" customFormat="1" ht="15.75">
      <c r="A102" s="37">
        <v>32</v>
      </c>
      <c r="B102" s="27" t="s">
        <v>12676</v>
      </c>
      <c r="C102" s="38"/>
      <c r="D102" s="215"/>
      <c r="E102" s="220" t="s">
        <v>8787</v>
      </c>
      <c r="F102" s="221"/>
      <c r="G102" s="119">
        <v>0</v>
      </c>
      <c r="H102" s="119">
        <v>0</v>
      </c>
      <c r="I102" s="216">
        <v>0</v>
      </c>
      <c r="J102" s="119">
        <v>0</v>
      </c>
      <c r="K102" s="216">
        <v>0</v>
      </c>
      <c r="L102" s="126"/>
      <c r="M102" s="126"/>
      <c r="N102" s="119">
        <v>162500000</v>
      </c>
      <c r="O102" s="216">
        <v>162500000</v>
      </c>
      <c r="P102" s="126"/>
    </row>
    <row r="103" spans="1:16" s="40" customFormat="1" ht="47.25">
      <c r="A103" s="37">
        <v>33</v>
      </c>
      <c r="B103" s="27" t="s">
        <v>12677</v>
      </c>
      <c r="C103" s="38"/>
      <c r="D103" s="215"/>
      <c r="E103" s="220" t="s">
        <v>8788</v>
      </c>
      <c r="F103" s="221"/>
      <c r="G103" s="119">
        <v>0</v>
      </c>
      <c r="H103" s="119">
        <v>0</v>
      </c>
      <c r="I103" s="216">
        <v>0</v>
      </c>
      <c r="J103" s="119">
        <v>0</v>
      </c>
      <c r="K103" s="216">
        <v>0</v>
      </c>
      <c r="L103" s="126"/>
      <c r="M103" s="126"/>
      <c r="N103" s="119">
        <v>75000000</v>
      </c>
      <c r="O103" s="216">
        <v>75000000</v>
      </c>
      <c r="P103" s="126"/>
    </row>
    <row r="104" spans="1:16" s="40" customFormat="1" ht="15.75">
      <c r="A104" s="37">
        <v>34</v>
      </c>
      <c r="B104" s="27" t="s">
        <v>12678</v>
      </c>
      <c r="C104" s="38"/>
      <c r="D104" s="215"/>
      <c r="E104" s="220" t="s">
        <v>10483</v>
      </c>
      <c r="F104" s="221"/>
      <c r="G104" s="119">
        <v>0</v>
      </c>
      <c r="H104" s="119">
        <v>0</v>
      </c>
      <c r="I104" s="216">
        <v>0</v>
      </c>
      <c r="J104" s="119">
        <v>0</v>
      </c>
      <c r="K104" s="216">
        <v>0</v>
      </c>
      <c r="L104" s="126"/>
      <c r="M104" s="126"/>
      <c r="N104" s="119">
        <v>50000000</v>
      </c>
      <c r="O104" s="216">
        <v>50000000</v>
      </c>
      <c r="P104" s="126"/>
    </row>
    <row r="105" spans="1:16" s="40" customFormat="1" ht="15.75">
      <c r="A105" s="37">
        <v>35</v>
      </c>
      <c r="B105" s="27" t="s">
        <v>12679</v>
      </c>
      <c r="C105" s="38"/>
      <c r="D105" s="215"/>
      <c r="E105" s="220" t="s">
        <v>10484</v>
      </c>
      <c r="F105" s="221"/>
      <c r="G105" s="119">
        <v>0</v>
      </c>
      <c r="H105" s="119">
        <v>0</v>
      </c>
      <c r="I105" s="216">
        <v>0</v>
      </c>
      <c r="J105" s="119">
        <v>0</v>
      </c>
      <c r="K105" s="216">
        <v>0</v>
      </c>
      <c r="L105" s="126"/>
      <c r="M105" s="126"/>
      <c r="N105" s="119">
        <v>10000000</v>
      </c>
      <c r="O105" s="216">
        <v>10000000</v>
      </c>
      <c r="P105" s="126"/>
    </row>
    <row r="106" spans="1:16" s="40" customFormat="1" ht="15.75">
      <c r="A106" s="37">
        <v>36</v>
      </c>
      <c r="B106" s="27" t="s">
        <v>12680</v>
      </c>
      <c r="C106" s="38"/>
      <c r="D106" s="215"/>
      <c r="E106" s="220" t="s">
        <v>10523</v>
      </c>
      <c r="F106" s="221"/>
      <c r="G106" s="119">
        <v>0</v>
      </c>
      <c r="H106" s="119">
        <v>0</v>
      </c>
      <c r="I106" s="216">
        <v>0</v>
      </c>
      <c r="J106" s="119">
        <v>0</v>
      </c>
      <c r="K106" s="216">
        <v>0</v>
      </c>
      <c r="L106" s="126"/>
      <c r="M106" s="126"/>
      <c r="N106" s="119">
        <v>10000000</v>
      </c>
      <c r="O106" s="216">
        <v>10000000</v>
      </c>
      <c r="P106" s="126"/>
    </row>
    <row r="107" spans="1:16" s="40" customFormat="1" ht="15.75">
      <c r="A107" s="37">
        <v>37</v>
      </c>
      <c r="B107" s="27" t="s">
        <v>12681</v>
      </c>
      <c r="C107" s="38"/>
      <c r="D107" s="215"/>
      <c r="E107" s="220" t="s">
        <v>10578</v>
      </c>
      <c r="F107" s="221"/>
      <c r="G107" s="119">
        <v>0</v>
      </c>
      <c r="H107" s="119">
        <v>0</v>
      </c>
      <c r="I107" s="216">
        <v>0</v>
      </c>
      <c r="J107" s="119">
        <v>0</v>
      </c>
      <c r="K107" s="216">
        <v>0</v>
      </c>
      <c r="L107" s="126"/>
      <c r="M107" s="126"/>
      <c r="N107" s="119">
        <v>50000000</v>
      </c>
      <c r="O107" s="216">
        <v>50000000</v>
      </c>
      <c r="P107" s="126"/>
    </row>
    <row r="108" spans="1:16" s="24" customFormat="1" ht="15.75">
      <c r="A108" s="222"/>
      <c r="B108" s="223"/>
      <c r="C108" s="224"/>
      <c r="D108" s="225"/>
      <c r="E108" s="220"/>
      <c r="F108" s="221"/>
      <c r="G108" s="119">
        <v>0</v>
      </c>
      <c r="H108" s="119">
        <v>0</v>
      </c>
      <c r="I108" s="216">
        <v>0</v>
      </c>
      <c r="J108" s="119">
        <v>0</v>
      </c>
      <c r="K108" s="216">
        <v>0</v>
      </c>
      <c r="L108" s="126"/>
      <c r="M108" s="126"/>
      <c r="N108" s="119">
        <v>0</v>
      </c>
      <c r="O108" s="216">
        <v>0</v>
      </c>
      <c r="P108" s="127"/>
    </row>
    <row r="109" spans="1:16" s="40" customFormat="1" ht="15.75">
      <c r="A109" s="37"/>
      <c r="B109" s="27"/>
      <c r="C109" s="38"/>
      <c r="D109" s="215"/>
      <c r="E109" s="217" t="s">
        <v>3517</v>
      </c>
      <c r="F109" s="218" t="s">
        <v>7032</v>
      </c>
      <c r="G109" s="119">
        <v>0</v>
      </c>
      <c r="H109" s="119">
        <v>2750876358</v>
      </c>
      <c r="I109" s="216">
        <v>2750876358</v>
      </c>
      <c r="J109" s="119">
        <v>2212276358</v>
      </c>
      <c r="K109" s="216">
        <v>538600000</v>
      </c>
      <c r="L109" s="126"/>
      <c r="M109" s="126"/>
      <c r="N109" s="119">
        <v>907500000</v>
      </c>
      <c r="O109" s="216">
        <v>907500000</v>
      </c>
      <c r="P109" s="126"/>
    </row>
    <row r="110" spans="1:16" s="40" customFormat="1" ht="15.75">
      <c r="A110" s="37"/>
      <c r="B110" s="27"/>
      <c r="C110" s="38"/>
      <c r="D110" s="215"/>
      <c r="E110" s="47"/>
      <c r="F110" s="107"/>
      <c r="G110" s="119">
        <v>0</v>
      </c>
      <c r="H110" s="119">
        <v>0</v>
      </c>
      <c r="I110" s="216">
        <v>0</v>
      </c>
      <c r="J110" s="119">
        <v>0</v>
      </c>
      <c r="K110" s="216">
        <v>0</v>
      </c>
      <c r="L110" s="126"/>
      <c r="M110" s="126"/>
      <c r="N110" s="119">
        <v>0</v>
      </c>
      <c r="O110" s="216">
        <v>0</v>
      </c>
      <c r="P110" s="126"/>
    </row>
    <row r="111" spans="1:16" s="40" customFormat="1" ht="15.75">
      <c r="A111" s="37"/>
      <c r="B111" s="27"/>
      <c r="C111" s="38"/>
      <c r="D111" s="215"/>
      <c r="E111" s="47" t="s">
        <v>3518</v>
      </c>
      <c r="F111" s="107" t="s">
        <v>7033</v>
      </c>
      <c r="G111" s="119">
        <v>0</v>
      </c>
      <c r="H111" s="119">
        <v>0</v>
      </c>
      <c r="I111" s="216">
        <v>0</v>
      </c>
      <c r="J111" s="119">
        <v>0</v>
      </c>
      <c r="K111" s="216">
        <v>0</v>
      </c>
      <c r="L111" s="126"/>
      <c r="M111" s="126"/>
      <c r="N111" s="119">
        <v>0</v>
      </c>
      <c r="O111" s="216">
        <v>0</v>
      </c>
      <c r="P111" s="126"/>
    </row>
    <row r="112" spans="1:16" s="40" customFormat="1" ht="15.75">
      <c r="A112" s="37">
        <v>1</v>
      </c>
      <c r="B112" s="27" t="s">
        <v>244</v>
      </c>
      <c r="C112" s="38"/>
      <c r="D112" s="215"/>
      <c r="E112" s="47" t="s">
        <v>4379</v>
      </c>
      <c r="F112" s="107" t="s">
        <v>7034</v>
      </c>
      <c r="G112" s="119">
        <v>11538000</v>
      </c>
      <c r="H112" s="119">
        <v>4445076441</v>
      </c>
      <c r="I112" s="216">
        <v>4456614441</v>
      </c>
      <c r="J112" s="119">
        <v>3504484441</v>
      </c>
      <c r="K112" s="216">
        <v>952130000</v>
      </c>
      <c r="L112" s="126"/>
      <c r="M112" s="126"/>
      <c r="N112" s="119">
        <v>653000000</v>
      </c>
      <c r="O112" s="216">
        <v>653000000</v>
      </c>
      <c r="P112" s="126"/>
    </row>
    <row r="113" spans="1:16" s="40" customFormat="1" ht="15.75">
      <c r="A113" s="37">
        <v>2</v>
      </c>
      <c r="B113" s="27" t="s">
        <v>245</v>
      </c>
      <c r="C113" s="38"/>
      <c r="D113" s="215"/>
      <c r="E113" s="47" t="s">
        <v>4742</v>
      </c>
      <c r="F113" s="107" t="s">
        <v>7035</v>
      </c>
      <c r="G113" s="119">
        <v>0</v>
      </c>
      <c r="H113" s="119">
        <v>1862725310</v>
      </c>
      <c r="I113" s="216">
        <v>1862725310</v>
      </c>
      <c r="J113" s="119">
        <v>1156225310</v>
      </c>
      <c r="K113" s="216">
        <v>706500000</v>
      </c>
      <c r="L113" s="126"/>
      <c r="M113" s="126"/>
      <c r="N113" s="119">
        <v>385000000</v>
      </c>
      <c r="O113" s="216">
        <v>385000000</v>
      </c>
      <c r="P113" s="126"/>
    </row>
    <row r="114" spans="1:16" s="40" customFormat="1" ht="15.75">
      <c r="A114" s="37">
        <v>3</v>
      </c>
      <c r="B114" s="27" t="s">
        <v>472</v>
      </c>
      <c r="C114" s="38"/>
      <c r="D114" s="215"/>
      <c r="E114" s="47" t="s">
        <v>3519</v>
      </c>
      <c r="F114" s="107" t="s">
        <v>7036</v>
      </c>
      <c r="G114" s="119">
        <v>0</v>
      </c>
      <c r="H114" s="119">
        <v>4257754374</v>
      </c>
      <c r="I114" s="216">
        <v>4257754374</v>
      </c>
      <c r="J114" s="119">
        <v>4257754374</v>
      </c>
      <c r="K114" s="216">
        <v>0</v>
      </c>
      <c r="L114" s="126"/>
      <c r="M114" s="126"/>
      <c r="N114" s="119">
        <v>0</v>
      </c>
      <c r="O114" s="216">
        <v>0</v>
      </c>
      <c r="P114" s="126"/>
    </row>
    <row r="115" spans="1:16" s="40" customFormat="1" ht="15.75">
      <c r="A115" s="37">
        <v>4</v>
      </c>
      <c r="B115" s="27" t="s">
        <v>542</v>
      </c>
      <c r="C115" s="38"/>
      <c r="D115" s="215"/>
      <c r="E115" s="47" t="s">
        <v>3520</v>
      </c>
      <c r="F115" s="107" t="s">
        <v>7037</v>
      </c>
      <c r="G115" s="119">
        <v>0</v>
      </c>
      <c r="H115" s="119">
        <v>2849297167</v>
      </c>
      <c r="I115" s="216">
        <v>2849297167</v>
      </c>
      <c r="J115" s="119">
        <v>2849297167</v>
      </c>
      <c r="K115" s="216">
        <v>0</v>
      </c>
      <c r="L115" s="126"/>
      <c r="M115" s="126"/>
      <c r="N115" s="119">
        <v>0</v>
      </c>
      <c r="O115" s="216">
        <v>0</v>
      </c>
      <c r="P115" s="126"/>
    </row>
    <row r="116" spans="1:16" s="40" customFormat="1" ht="15.75">
      <c r="A116" s="37">
        <v>5</v>
      </c>
      <c r="B116" s="27" t="s">
        <v>442</v>
      </c>
      <c r="C116" s="38"/>
      <c r="D116" s="215"/>
      <c r="E116" s="47" t="s">
        <v>3521</v>
      </c>
      <c r="F116" s="107" t="s">
        <v>7038</v>
      </c>
      <c r="G116" s="119">
        <v>0</v>
      </c>
      <c r="H116" s="119">
        <v>849255044</v>
      </c>
      <c r="I116" s="216">
        <v>849255044</v>
      </c>
      <c r="J116" s="119">
        <v>676755044</v>
      </c>
      <c r="K116" s="216">
        <v>172500000</v>
      </c>
      <c r="L116" s="126"/>
      <c r="M116" s="126"/>
      <c r="N116" s="119">
        <v>0</v>
      </c>
      <c r="O116" s="216">
        <v>0</v>
      </c>
      <c r="P116" s="126"/>
    </row>
    <row r="117" spans="1:16" s="40" customFormat="1" ht="15.75">
      <c r="A117" s="37">
        <v>6</v>
      </c>
      <c r="B117" s="27" t="s">
        <v>635</v>
      </c>
      <c r="C117" s="38"/>
      <c r="D117" s="215"/>
      <c r="E117" s="47" t="s">
        <v>3522</v>
      </c>
      <c r="F117" s="107" t="s">
        <v>7039</v>
      </c>
      <c r="G117" s="119">
        <v>0</v>
      </c>
      <c r="H117" s="119">
        <v>610675228</v>
      </c>
      <c r="I117" s="216">
        <v>610675228</v>
      </c>
      <c r="J117" s="119">
        <v>610675228</v>
      </c>
      <c r="K117" s="216">
        <v>0</v>
      </c>
      <c r="L117" s="126"/>
      <c r="M117" s="126"/>
      <c r="N117" s="119">
        <v>0</v>
      </c>
      <c r="O117" s="216">
        <v>0</v>
      </c>
      <c r="P117" s="126"/>
    </row>
    <row r="118" spans="1:16" s="40" customFormat="1" ht="31.5">
      <c r="A118" s="37">
        <v>7</v>
      </c>
      <c r="B118" s="30" t="s">
        <v>37</v>
      </c>
      <c r="C118" s="38" t="s">
        <v>598</v>
      </c>
      <c r="D118" s="215"/>
      <c r="E118" s="47" t="s">
        <v>3523</v>
      </c>
      <c r="F118" s="107" t="s">
        <v>7040</v>
      </c>
      <c r="G118" s="119">
        <v>0</v>
      </c>
      <c r="H118" s="119">
        <v>24612901</v>
      </c>
      <c r="I118" s="216">
        <v>24612901</v>
      </c>
      <c r="J118" s="119">
        <v>24612901</v>
      </c>
      <c r="K118" s="216">
        <v>0</v>
      </c>
      <c r="L118" s="126"/>
      <c r="M118" s="126"/>
      <c r="N118" s="119">
        <v>0</v>
      </c>
      <c r="O118" s="216">
        <v>0</v>
      </c>
      <c r="P118" s="126">
        <v>150000000</v>
      </c>
    </row>
    <row r="119" spans="1:16" s="40" customFormat="1" ht="15.75">
      <c r="A119" s="37">
        <v>8</v>
      </c>
      <c r="B119" s="30" t="s">
        <v>38</v>
      </c>
      <c r="C119" s="38">
        <v>1</v>
      </c>
      <c r="D119" s="215"/>
      <c r="E119" s="47" t="s">
        <v>3524</v>
      </c>
      <c r="F119" s="107" t="s">
        <v>7041</v>
      </c>
      <c r="G119" s="119">
        <v>0</v>
      </c>
      <c r="H119" s="119">
        <v>16253384</v>
      </c>
      <c r="I119" s="216">
        <v>16253384</v>
      </c>
      <c r="J119" s="119">
        <v>16253384</v>
      </c>
      <c r="K119" s="216">
        <v>0</v>
      </c>
      <c r="L119" s="126"/>
      <c r="M119" s="126"/>
      <c r="N119" s="119">
        <v>0</v>
      </c>
      <c r="O119" s="216">
        <v>0</v>
      </c>
      <c r="P119" s="126">
        <v>180000000</v>
      </c>
    </row>
    <row r="120" spans="1:16" s="40" customFormat="1" ht="15.75">
      <c r="A120" s="37">
        <v>9</v>
      </c>
      <c r="B120" s="30" t="s">
        <v>1069</v>
      </c>
      <c r="C120" s="38"/>
      <c r="D120" s="215"/>
      <c r="E120" s="47" t="s">
        <v>4718</v>
      </c>
      <c r="F120" s="107" t="s">
        <v>7042</v>
      </c>
      <c r="G120" s="119">
        <v>0</v>
      </c>
      <c r="H120" s="119">
        <v>1012401891</v>
      </c>
      <c r="I120" s="216">
        <v>1012401891</v>
      </c>
      <c r="J120" s="119">
        <v>128201891</v>
      </c>
      <c r="K120" s="216">
        <v>884200000</v>
      </c>
      <c r="L120" s="126"/>
      <c r="M120" s="126"/>
      <c r="N120" s="119">
        <v>592000000</v>
      </c>
      <c r="O120" s="216">
        <v>592000000</v>
      </c>
      <c r="P120" s="126"/>
    </row>
    <row r="121" spans="1:16" s="40" customFormat="1" ht="47.25">
      <c r="A121" s="37">
        <v>10</v>
      </c>
      <c r="B121" s="30" t="s">
        <v>1070</v>
      </c>
      <c r="C121" s="38"/>
      <c r="D121" s="215"/>
      <c r="E121" s="47" t="s">
        <v>5259</v>
      </c>
      <c r="F121" s="107" t="s">
        <v>7043</v>
      </c>
      <c r="G121" s="119">
        <v>0</v>
      </c>
      <c r="H121" s="119">
        <v>311594176</v>
      </c>
      <c r="I121" s="216">
        <v>311594176</v>
      </c>
      <c r="J121" s="119">
        <v>310594176</v>
      </c>
      <c r="K121" s="216">
        <v>1000000</v>
      </c>
      <c r="L121" s="126"/>
      <c r="M121" s="126"/>
      <c r="N121" s="119">
        <v>0</v>
      </c>
      <c r="O121" s="216">
        <v>0</v>
      </c>
      <c r="P121" s="126"/>
    </row>
    <row r="122" spans="1:16" s="40" customFormat="1" ht="15.75">
      <c r="A122" s="37">
        <v>11</v>
      </c>
      <c r="B122" s="30" t="s">
        <v>1340</v>
      </c>
      <c r="C122" s="38"/>
      <c r="D122" s="215"/>
      <c r="E122" s="47" t="s">
        <v>3525</v>
      </c>
      <c r="F122" s="107" t="s">
        <v>7044</v>
      </c>
      <c r="G122" s="119">
        <v>0</v>
      </c>
      <c r="H122" s="119">
        <v>56408862</v>
      </c>
      <c r="I122" s="216">
        <v>56408862</v>
      </c>
      <c r="J122" s="119">
        <v>56408862</v>
      </c>
      <c r="K122" s="216">
        <v>0</v>
      </c>
      <c r="L122" s="126"/>
      <c r="M122" s="126"/>
      <c r="N122" s="119">
        <v>0</v>
      </c>
      <c r="O122" s="216">
        <v>0</v>
      </c>
      <c r="P122" s="126">
        <v>8000000000</v>
      </c>
    </row>
    <row r="123" spans="1:16" s="40" customFormat="1" ht="31.5">
      <c r="A123" s="37">
        <v>12</v>
      </c>
      <c r="B123" s="30" t="s">
        <v>1643</v>
      </c>
      <c r="C123" s="38"/>
      <c r="D123" s="215"/>
      <c r="E123" s="47" t="s">
        <v>3526</v>
      </c>
      <c r="F123" s="107" t="s">
        <v>7045</v>
      </c>
      <c r="G123" s="119">
        <v>0</v>
      </c>
      <c r="H123" s="119">
        <v>11261243</v>
      </c>
      <c r="I123" s="216">
        <v>11261243</v>
      </c>
      <c r="J123" s="119">
        <v>11261243</v>
      </c>
      <c r="K123" s="216">
        <v>0</v>
      </c>
      <c r="L123" s="126"/>
      <c r="M123" s="126"/>
      <c r="N123" s="119">
        <v>0</v>
      </c>
      <c r="O123" s="216">
        <v>0</v>
      </c>
      <c r="P123" s="126"/>
    </row>
    <row r="124" spans="1:16" s="40" customFormat="1" ht="15.75">
      <c r="A124" s="37">
        <v>13</v>
      </c>
      <c r="B124" s="30" t="s">
        <v>1644</v>
      </c>
      <c r="C124" s="38"/>
      <c r="D124" s="215"/>
      <c r="E124" s="47" t="s">
        <v>4380</v>
      </c>
      <c r="F124" s="107" t="s">
        <v>7046</v>
      </c>
      <c r="G124" s="119">
        <v>0</v>
      </c>
      <c r="H124" s="119">
        <v>558047257</v>
      </c>
      <c r="I124" s="216">
        <v>558047257</v>
      </c>
      <c r="J124" s="119">
        <v>231847257</v>
      </c>
      <c r="K124" s="216">
        <v>326200000</v>
      </c>
      <c r="L124" s="126"/>
      <c r="M124" s="126"/>
      <c r="N124" s="119">
        <v>100000000</v>
      </c>
      <c r="O124" s="216">
        <v>100000000</v>
      </c>
      <c r="P124" s="126"/>
    </row>
    <row r="125" spans="1:16" s="40" customFormat="1" ht="15.75">
      <c r="A125" s="37">
        <v>14</v>
      </c>
      <c r="B125" s="30" t="s">
        <v>1827</v>
      </c>
      <c r="C125" s="38"/>
      <c r="D125" s="215"/>
      <c r="E125" s="47" t="s">
        <v>3527</v>
      </c>
      <c r="F125" s="107" t="s">
        <v>7047</v>
      </c>
      <c r="G125" s="119">
        <v>0</v>
      </c>
      <c r="H125" s="119">
        <v>104920586</v>
      </c>
      <c r="I125" s="216">
        <v>104920586</v>
      </c>
      <c r="J125" s="119">
        <v>104920586</v>
      </c>
      <c r="K125" s="216">
        <v>0</v>
      </c>
      <c r="L125" s="126"/>
      <c r="M125" s="126"/>
      <c r="N125" s="119">
        <v>0</v>
      </c>
      <c r="O125" s="216">
        <v>0</v>
      </c>
      <c r="P125" s="126"/>
    </row>
    <row r="126" spans="1:16" s="40" customFormat="1" ht="15.75">
      <c r="A126" s="37">
        <v>15</v>
      </c>
      <c r="B126" s="30" t="s">
        <v>2070</v>
      </c>
      <c r="C126" s="38"/>
      <c r="D126" s="215"/>
      <c r="E126" s="47" t="s">
        <v>5405</v>
      </c>
      <c r="F126" s="107" t="s">
        <v>7048</v>
      </c>
      <c r="G126" s="119">
        <v>0</v>
      </c>
      <c r="H126" s="119">
        <v>109700000</v>
      </c>
      <c r="I126" s="216">
        <v>109700000</v>
      </c>
      <c r="J126" s="119">
        <v>109700000</v>
      </c>
      <c r="K126" s="216">
        <v>0</v>
      </c>
      <c r="L126" s="126"/>
      <c r="M126" s="126"/>
      <c r="N126" s="119">
        <v>0</v>
      </c>
      <c r="O126" s="216">
        <v>0</v>
      </c>
      <c r="P126" s="126"/>
    </row>
    <row r="127" spans="1:16" s="40" customFormat="1" ht="15.75">
      <c r="A127" s="37">
        <v>16</v>
      </c>
      <c r="B127" s="30" t="s">
        <v>4406</v>
      </c>
      <c r="C127" s="38"/>
      <c r="D127" s="215"/>
      <c r="E127" s="47" t="s">
        <v>4378</v>
      </c>
      <c r="F127" s="107" t="s">
        <v>7049</v>
      </c>
      <c r="G127" s="119">
        <v>0</v>
      </c>
      <c r="H127" s="119">
        <v>1741250000</v>
      </c>
      <c r="I127" s="216">
        <v>1741250000</v>
      </c>
      <c r="J127" s="119">
        <v>0</v>
      </c>
      <c r="K127" s="216">
        <v>1741250000</v>
      </c>
      <c r="L127" s="126"/>
      <c r="M127" s="126"/>
      <c r="N127" s="119">
        <v>0</v>
      </c>
      <c r="O127" s="216">
        <v>0</v>
      </c>
      <c r="P127" s="126"/>
    </row>
    <row r="128" spans="1:16" s="40" customFormat="1" ht="15.75">
      <c r="A128" s="37">
        <v>17</v>
      </c>
      <c r="B128" s="30" t="s">
        <v>4407</v>
      </c>
      <c r="C128" s="38"/>
      <c r="D128" s="215"/>
      <c r="E128" s="47" t="s">
        <v>4381</v>
      </c>
      <c r="F128" s="107" t="s">
        <v>7050</v>
      </c>
      <c r="G128" s="119">
        <v>0</v>
      </c>
      <c r="H128" s="119">
        <v>500000000</v>
      </c>
      <c r="I128" s="216">
        <v>500000000</v>
      </c>
      <c r="J128" s="119">
        <v>0</v>
      </c>
      <c r="K128" s="216">
        <v>500000000</v>
      </c>
      <c r="L128" s="126"/>
      <c r="M128" s="126"/>
      <c r="N128" s="119">
        <v>1600000000</v>
      </c>
      <c r="O128" s="216">
        <v>1600000000</v>
      </c>
      <c r="P128" s="126"/>
    </row>
    <row r="129" spans="1:16" s="40" customFormat="1" ht="15.75">
      <c r="A129" s="37">
        <v>18</v>
      </c>
      <c r="B129" s="30" t="s">
        <v>4408</v>
      </c>
      <c r="C129" s="38"/>
      <c r="D129" s="215"/>
      <c r="E129" s="47" t="s">
        <v>4382</v>
      </c>
      <c r="F129" s="107" t="s">
        <v>7051</v>
      </c>
      <c r="G129" s="119">
        <v>0</v>
      </c>
      <c r="H129" s="119">
        <v>175000000</v>
      </c>
      <c r="I129" s="216">
        <v>175000000</v>
      </c>
      <c r="J129" s="119">
        <v>0</v>
      </c>
      <c r="K129" s="216">
        <v>175000000</v>
      </c>
      <c r="L129" s="126"/>
      <c r="M129" s="126"/>
      <c r="N129" s="119">
        <v>1000000000</v>
      </c>
      <c r="O129" s="216">
        <v>1000000000</v>
      </c>
      <c r="P129" s="126"/>
    </row>
    <row r="130" spans="1:16" s="40" customFormat="1" ht="15.75">
      <c r="A130" s="37">
        <v>19</v>
      </c>
      <c r="B130" s="27" t="s">
        <v>775</v>
      </c>
      <c r="C130" s="38"/>
      <c r="D130" s="215"/>
      <c r="E130" s="219" t="s">
        <v>4872</v>
      </c>
      <c r="F130" s="107" t="s">
        <v>7000</v>
      </c>
      <c r="G130" s="119">
        <v>0</v>
      </c>
      <c r="H130" s="119">
        <v>674483721</v>
      </c>
      <c r="I130" s="216">
        <v>674483721</v>
      </c>
      <c r="J130" s="119">
        <v>674483721</v>
      </c>
      <c r="K130" s="216">
        <v>0</v>
      </c>
      <c r="L130" s="126"/>
      <c r="M130" s="126"/>
      <c r="N130" s="119">
        <v>0</v>
      </c>
      <c r="O130" s="216">
        <v>0</v>
      </c>
      <c r="P130" s="126"/>
    </row>
    <row r="131" spans="1:16" s="40" customFormat="1" ht="15.75">
      <c r="A131" s="37">
        <v>20</v>
      </c>
      <c r="B131" s="27" t="s">
        <v>775</v>
      </c>
      <c r="C131" s="38"/>
      <c r="D131" s="215"/>
      <c r="E131" s="219" t="s">
        <v>4873</v>
      </c>
      <c r="F131" s="107" t="s">
        <v>7001</v>
      </c>
      <c r="G131" s="119">
        <v>0</v>
      </c>
      <c r="H131" s="119">
        <v>492819575</v>
      </c>
      <c r="I131" s="216">
        <v>492819575</v>
      </c>
      <c r="J131" s="119">
        <v>492819575</v>
      </c>
      <c r="K131" s="216">
        <v>0</v>
      </c>
      <c r="L131" s="126"/>
      <c r="M131" s="126"/>
      <c r="N131" s="119">
        <v>0</v>
      </c>
      <c r="O131" s="216">
        <v>0</v>
      </c>
      <c r="P131" s="126"/>
    </row>
    <row r="132" spans="1:16" s="40" customFormat="1" ht="31.5">
      <c r="A132" s="37">
        <v>21</v>
      </c>
      <c r="B132" s="27" t="s">
        <v>5406</v>
      </c>
      <c r="C132" s="38"/>
      <c r="D132" s="215"/>
      <c r="E132" s="47" t="s">
        <v>5388</v>
      </c>
      <c r="F132" s="107"/>
      <c r="G132" s="119">
        <v>0</v>
      </c>
      <c r="H132" s="119">
        <v>300118281</v>
      </c>
      <c r="I132" s="216">
        <v>300118281</v>
      </c>
      <c r="J132" s="119">
        <v>300118281</v>
      </c>
      <c r="K132" s="216">
        <v>0</v>
      </c>
      <c r="L132" s="126"/>
      <c r="M132" s="126"/>
      <c r="N132" s="119">
        <v>0</v>
      </c>
      <c r="O132" s="216">
        <v>0</v>
      </c>
      <c r="P132" s="126"/>
    </row>
    <row r="133" spans="1:16" s="40" customFormat="1" ht="15.75">
      <c r="A133" s="37"/>
      <c r="B133" s="27"/>
      <c r="C133" s="38"/>
      <c r="D133" s="215"/>
      <c r="E133" s="47"/>
      <c r="F133" s="107"/>
      <c r="G133" s="119">
        <v>0</v>
      </c>
      <c r="H133" s="119">
        <v>0</v>
      </c>
      <c r="I133" s="216">
        <v>0</v>
      </c>
      <c r="J133" s="119">
        <v>0</v>
      </c>
      <c r="K133" s="216">
        <v>0</v>
      </c>
      <c r="L133" s="126"/>
      <c r="M133" s="126"/>
      <c r="N133" s="119">
        <v>0</v>
      </c>
      <c r="O133" s="216">
        <v>0</v>
      </c>
      <c r="P133" s="126"/>
    </row>
    <row r="134" spans="1:16" s="40" customFormat="1" ht="15.75">
      <c r="A134" s="37"/>
      <c r="B134" s="27"/>
      <c r="C134" s="38"/>
      <c r="D134" s="215"/>
      <c r="E134" s="217" t="s">
        <v>3528</v>
      </c>
      <c r="F134" s="218" t="s">
        <v>7052</v>
      </c>
      <c r="G134" s="119">
        <v>11538000</v>
      </c>
      <c r="H134" s="119">
        <v>20963655441</v>
      </c>
      <c r="I134" s="216">
        <v>20975193441</v>
      </c>
      <c r="J134" s="119">
        <v>15516413441</v>
      </c>
      <c r="K134" s="216">
        <v>5458780000</v>
      </c>
      <c r="L134" s="126"/>
      <c r="M134" s="126"/>
      <c r="N134" s="119">
        <v>4330000000</v>
      </c>
      <c r="O134" s="216">
        <v>4330000000</v>
      </c>
      <c r="P134" s="126"/>
    </row>
    <row r="135" spans="1:16" s="40" customFormat="1" ht="15.75">
      <c r="A135" s="37"/>
      <c r="B135" s="27"/>
      <c r="C135" s="38"/>
      <c r="D135" s="215"/>
      <c r="E135" s="47"/>
      <c r="F135" s="107"/>
      <c r="G135" s="119">
        <v>0</v>
      </c>
      <c r="H135" s="119">
        <v>0</v>
      </c>
      <c r="I135" s="216">
        <v>0</v>
      </c>
      <c r="J135" s="119">
        <v>0</v>
      </c>
      <c r="K135" s="216">
        <v>0</v>
      </c>
      <c r="L135" s="126"/>
      <c r="M135" s="126"/>
      <c r="N135" s="119">
        <v>0</v>
      </c>
      <c r="O135" s="216">
        <v>0</v>
      </c>
      <c r="P135" s="126"/>
    </row>
    <row r="136" spans="1:16" s="40" customFormat="1" ht="15.75">
      <c r="A136" s="37"/>
      <c r="B136" s="27"/>
      <c r="C136" s="38"/>
      <c r="D136" s="215"/>
      <c r="E136" s="47" t="s">
        <v>3529</v>
      </c>
      <c r="F136" s="107" t="s">
        <v>7053</v>
      </c>
      <c r="G136" s="119">
        <v>0</v>
      </c>
      <c r="H136" s="119">
        <v>0</v>
      </c>
      <c r="I136" s="216">
        <v>0</v>
      </c>
      <c r="J136" s="119">
        <v>0</v>
      </c>
      <c r="K136" s="216">
        <v>0</v>
      </c>
      <c r="L136" s="126"/>
      <c r="M136" s="126"/>
      <c r="N136" s="119">
        <v>0</v>
      </c>
      <c r="O136" s="216">
        <v>0</v>
      </c>
      <c r="P136" s="126"/>
    </row>
    <row r="137" spans="1:16" s="40" customFormat="1" ht="15.75">
      <c r="A137" s="37">
        <v>1</v>
      </c>
      <c r="B137" s="27" t="s">
        <v>1011</v>
      </c>
      <c r="C137" s="38" t="s">
        <v>598</v>
      </c>
      <c r="D137" s="215"/>
      <c r="E137" s="47" t="s">
        <v>4384</v>
      </c>
      <c r="F137" s="107" t="s">
        <v>7054</v>
      </c>
      <c r="G137" s="119">
        <v>0</v>
      </c>
      <c r="H137" s="119">
        <v>198293734</v>
      </c>
      <c r="I137" s="216">
        <v>198293734</v>
      </c>
      <c r="J137" s="119">
        <v>87493734</v>
      </c>
      <c r="K137" s="216">
        <v>110800000</v>
      </c>
      <c r="L137" s="126"/>
      <c r="M137" s="126"/>
      <c r="N137" s="119">
        <v>30000000</v>
      </c>
      <c r="O137" s="216">
        <v>30000000</v>
      </c>
      <c r="P137" s="126">
        <v>60000000</v>
      </c>
    </row>
    <row r="138" spans="1:16" s="40" customFormat="1" ht="15.75">
      <c r="A138" s="37">
        <v>2</v>
      </c>
      <c r="B138" s="27" t="s">
        <v>1012</v>
      </c>
      <c r="C138" s="38"/>
      <c r="D138" s="215"/>
      <c r="E138" s="47" t="s">
        <v>4385</v>
      </c>
      <c r="F138" s="107" t="s">
        <v>7055</v>
      </c>
      <c r="G138" s="119">
        <v>0</v>
      </c>
      <c r="H138" s="119">
        <v>575216855</v>
      </c>
      <c r="I138" s="216">
        <v>575216855</v>
      </c>
      <c r="J138" s="119">
        <v>69716855</v>
      </c>
      <c r="K138" s="216">
        <v>505500000</v>
      </c>
      <c r="L138" s="126"/>
      <c r="M138" s="126"/>
      <c r="N138" s="119">
        <v>1650000000</v>
      </c>
      <c r="O138" s="216">
        <v>1650000000</v>
      </c>
      <c r="P138" s="126">
        <v>55000000</v>
      </c>
    </row>
    <row r="139" spans="1:16" s="40" customFormat="1" ht="15.75">
      <c r="A139" s="37">
        <v>3</v>
      </c>
      <c r="B139" s="27" t="s">
        <v>4470</v>
      </c>
      <c r="C139" s="38" t="s">
        <v>598</v>
      </c>
      <c r="D139" s="215"/>
      <c r="E139" s="47" t="s">
        <v>3530</v>
      </c>
      <c r="F139" s="107" t="s">
        <v>7056</v>
      </c>
      <c r="G139" s="119">
        <v>0</v>
      </c>
      <c r="H139" s="119">
        <v>160000000</v>
      </c>
      <c r="I139" s="216">
        <v>160000000</v>
      </c>
      <c r="J139" s="119">
        <v>0</v>
      </c>
      <c r="K139" s="216">
        <v>160000000</v>
      </c>
      <c r="L139" s="126"/>
      <c r="M139" s="126"/>
      <c r="N139" s="119">
        <v>0</v>
      </c>
      <c r="O139" s="216">
        <v>0</v>
      </c>
      <c r="P139" s="126">
        <v>11500000</v>
      </c>
    </row>
    <row r="140" spans="1:16" s="40" customFormat="1" ht="15.75">
      <c r="A140" s="37">
        <v>4</v>
      </c>
      <c r="B140" s="27" t="s">
        <v>4471</v>
      </c>
      <c r="C140" s="38" t="s">
        <v>598</v>
      </c>
      <c r="D140" s="215"/>
      <c r="E140" s="47" t="s">
        <v>3531</v>
      </c>
      <c r="F140" s="107" t="s">
        <v>7057</v>
      </c>
      <c r="G140" s="119">
        <v>0</v>
      </c>
      <c r="H140" s="119">
        <v>46384542</v>
      </c>
      <c r="I140" s="216">
        <v>46384542</v>
      </c>
      <c r="J140" s="119">
        <v>46384542</v>
      </c>
      <c r="K140" s="216">
        <v>0</v>
      </c>
      <c r="L140" s="126"/>
      <c r="M140" s="126"/>
      <c r="N140" s="119">
        <v>0</v>
      </c>
      <c r="O140" s="216">
        <v>0</v>
      </c>
      <c r="P140" s="126"/>
    </row>
    <row r="141" spans="1:16" s="40" customFormat="1" ht="15.75">
      <c r="A141" s="37">
        <v>5</v>
      </c>
      <c r="B141" s="27" t="s">
        <v>4383</v>
      </c>
      <c r="C141" s="38" t="s">
        <v>598</v>
      </c>
      <c r="D141" s="215"/>
      <c r="E141" s="47" t="s">
        <v>4386</v>
      </c>
      <c r="F141" s="107" t="s">
        <v>7058</v>
      </c>
      <c r="G141" s="119">
        <v>0</v>
      </c>
      <c r="H141" s="119">
        <v>24000000</v>
      </c>
      <c r="I141" s="216">
        <v>24000000</v>
      </c>
      <c r="J141" s="119">
        <v>0</v>
      </c>
      <c r="K141" s="216">
        <v>24000000</v>
      </c>
      <c r="L141" s="126"/>
      <c r="M141" s="126"/>
      <c r="N141" s="119">
        <v>0</v>
      </c>
      <c r="O141" s="216">
        <v>0</v>
      </c>
      <c r="P141" s="126">
        <v>10000000</v>
      </c>
    </row>
    <row r="142" spans="1:16" s="40" customFormat="1" ht="15.75">
      <c r="A142" s="37">
        <v>6</v>
      </c>
      <c r="B142" s="27" t="s">
        <v>1010</v>
      </c>
      <c r="C142" s="38"/>
      <c r="D142" s="215"/>
      <c r="E142" s="47" t="s">
        <v>3532</v>
      </c>
      <c r="F142" s="107" t="s">
        <v>7059</v>
      </c>
      <c r="G142" s="119">
        <v>0</v>
      </c>
      <c r="H142" s="119">
        <v>457066823</v>
      </c>
      <c r="I142" s="216">
        <v>457066823</v>
      </c>
      <c r="J142" s="119">
        <v>457066823</v>
      </c>
      <c r="K142" s="216">
        <v>0</v>
      </c>
      <c r="L142" s="126"/>
      <c r="M142" s="126"/>
      <c r="N142" s="119">
        <v>0</v>
      </c>
      <c r="O142" s="216">
        <v>0</v>
      </c>
      <c r="P142" s="126"/>
    </row>
    <row r="143" spans="1:16" s="40" customFormat="1" ht="15.75">
      <c r="A143" s="37">
        <v>7</v>
      </c>
      <c r="B143" s="30" t="s">
        <v>1287</v>
      </c>
      <c r="C143" s="38" t="s">
        <v>598</v>
      </c>
      <c r="D143" s="215" t="s">
        <v>863</v>
      </c>
      <c r="E143" s="47" t="s">
        <v>3533</v>
      </c>
      <c r="F143" s="107" t="s">
        <v>7060</v>
      </c>
      <c r="G143" s="119">
        <v>0</v>
      </c>
      <c r="H143" s="119">
        <v>77856941</v>
      </c>
      <c r="I143" s="216">
        <v>77856941</v>
      </c>
      <c r="J143" s="119">
        <v>77856941</v>
      </c>
      <c r="K143" s="216">
        <v>0</v>
      </c>
      <c r="L143" s="126"/>
      <c r="M143" s="126"/>
      <c r="N143" s="119">
        <v>0</v>
      </c>
      <c r="O143" s="216">
        <v>0</v>
      </c>
      <c r="P143" s="126"/>
    </row>
    <row r="144" spans="1:16" s="40" customFormat="1" ht="31.5">
      <c r="A144" s="37">
        <v>8</v>
      </c>
      <c r="B144" s="30" t="s">
        <v>1478</v>
      </c>
      <c r="C144" s="38"/>
      <c r="D144" s="215"/>
      <c r="E144" s="47" t="s">
        <v>3534</v>
      </c>
      <c r="F144" s="107" t="s">
        <v>7061</v>
      </c>
      <c r="G144" s="119">
        <v>0</v>
      </c>
      <c r="H144" s="119">
        <v>1125384</v>
      </c>
      <c r="I144" s="216">
        <v>1125384</v>
      </c>
      <c r="J144" s="119">
        <v>1125384</v>
      </c>
      <c r="K144" s="216">
        <v>0</v>
      </c>
      <c r="L144" s="126"/>
      <c r="M144" s="126"/>
      <c r="N144" s="119">
        <v>0</v>
      </c>
      <c r="O144" s="216">
        <v>0</v>
      </c>
      <c r="P144" s="126">
        <v>50000000</v>
      </c>
    </row>
    <row r="145" spans="1:16" s="40" customFormat="1" ht="31.5">
      <c r="A145" s="37">
        <v>9</v>
      </c>
      <c r="B145" s="30" t="s">
        <v>1479</v>
      </c>
      <c r="C145" s="38"/>
      <c r="D145" s="215"/>
      <c r="E145" s="47" t="s">
        <v>3535</v>
      </c>
      <c r="F145" s="107" t="s">
        <v>7062</v>
      </c>
      <c r="G145" s="119">
        <v>0</v>
      </c>
      <c r="H145" s="119">
        <v>2966237</v>
      </c>
      <c r="I145" s="216">
        <v>2966237</v>
      </c>
      <c r="J145" s="119">
        <v>2966237</v>
      </c>
      <c r="K145" s="216">
        <v>0</v>
      </c>
      <c r="L145" s="126"/>
      <c r="M145" s="126"/>
      <c r="N145" s="119">
        <v>0</v>
      </c>
      <c r="O145" s="216">
        <v>0</v>
      </c>
      <c r="P145" s="126">
        <v>7000000</v>
      </c>
    </row>
    <row r="146" spans="1:16" s="40" customFormat="1" ht="31.5">
      <c r="A146" s="37">
        <v>10</v>
      </c>
      <c r="B146" s="30" t="s">
        <v>1828</v>
      </c>
      <c r="C146" s="38"/>
      <c r="D146" s="215"/>
      <c r="E146" s="47" t="s">
        <v>3536</v>
      </c>
      <c r="F146" s="107" t="s">
        <v>7063</v>
      </c>
      <c r="G146" s="119">
        <v>0</v>
      </c>
      <c r="H146" s="119">
        <v>10114361</v>
      </c>
      <c r="I146" s="216">
        <v>10114361</v>
      </c>
      <c r="J146" s="119">
        <v>10114361</v>
      </c>
      <c r="K146" s="216">
        <v>0</v>
      </c>
      <c r="L146" s="126"/>
      <c r="M146" s="126"/>
      <c r="N146" s="119">
        <v>0</v>
      </c>
      <c r="O146" s="216">
        <v>0</v>
      </c>
      <c r="P146" s="126">
        <v>20000000</v>
      </c>
    </row>
    <row r="147" spans="1:16" s="40" customFormat="1" ht="47.25">
      <c r="A147" s="37">
        <v>11</v>
      </c>
      <c r="B147" s="30" t="s">
        <v>1829</v>
      </c>
      <c r="C147" s="38"/>
      <c r="D147" s="215"/>
      <c r="E147" s="47" t="s">
        <v>3537</v>
      </c>
      <c r="F147" s="107" t="s">
        <v>7064</v>
      </c>
      <c r="G147" s="119">
        <v>0</v>
      </c>
      <c r="H147" s="119">
        <v>299411</v>
      </c>
      <c r="I147" s="216">
        <v>299411</v>
      </c>
      <c r="J147" s="119">
        <v>299411</v>
      </c>
      <c r="K147" s="216">
        <v>0</v>
      </c>
      <c r="L147" s="126"/>
      <c r="M147" s="126"/>
      <c r="N147" s="119">
        <v>0</v>
      </c>
      <c r="O147" s="216">
        <v>0</v>
      </c>
      <c r="P147" s="126"/>
    </row>
    <row r="148" spans="1:16" s="40" customFormat="1" ht="15.75">
      <c r="A148" s="37">
        <v>12</v>
      </c>
      <c r="B148" s="27" t="s">
        <v>775</v>
      </c>
      <c r="C148" s="38"/>
      <c r="D148" s="215"/>
      <c r="E148" s="219" t="s">
        <v>4872</v>
      </c>
      <c r="F148" s="107" t="s">
        <v>7000</v>
      </c>
      <c r="G148" s="119">
        <v>0</v>
      </c>
      <c r="H148" s="119">
        <v>131091148</v>
      </c>
      <c r="I148" s="216">
        <v>131091148</v>
      </c>
      <c r="J148" s="119">
        <v>131091148</v>
      </c>
      <c r="K148" s="216">
        <v>0</v>
      </c>
      <c r="L148" s="126"/>
      <c r="M148" s="126"/>
      <c r="N148" s="119">
        <v>0</v>
      </c>
      <c r="O148" s="216">
        <v>0</v>
      </c>
      <c r="P148" s="126"/>
    </row>
    <row r="149" spans="1:16" s="40" customFormat="1" ht="15.75">
      <c r="A149" s="37">
        <v>13</v>
      </c>
      <c r="B149" s="27" t="s">
        <v>775</v>
      </c>
      <c r="C149" s="38"/>
      <c r="D149" s="215"/>
      <c r="E149" s="219" t="s">
        <v>4873</v>
      </c>
      <c r="F149" s="107" t="s">
        <v>7001</v>
      </c>
      <c r="G149" s="119">
        <v>0</v>
      </c>
      <c r="H149" s="119">
        <v>199152756</v>
      </c>
      <c r="I149" s="216">
        <v>199152756</v>
      </c>
      <c r="J149" s="119">
        <v>199152756</v>
      </c>
      <c r="K149" s="216">
        <v>0</v>
      </c>
      <c r="L149" s="126"/>
      <c r="M149" s="126"/>
      <c r="N149" s="119">
        <v>0</v>
      </c>
      <c r="O149" s="216">
        <v>0</v>
      </c>
      <c r="P149" s="126"/>
    </row>
    <row r="150" spans="1:16" s="40" customFormat="1" ht="15.75">
      <c r="A150" s="37"/>
      <c r="B150" s="27"/>
      <c r="C150" s="38"/>
      <c r="D150" s="215"/>
      <c r="E150" s="47"/>
      <c r="F150" s="107"/>
      <c r="G150" s="119">
        <v>0</v>
      </c>
      <c r="H150" s="119">
        <v>0</v>
      </c>
      <c r="I150" s="216">
        <v>0</v>
      </c>
      <c r="J150" s="119">
        <v>0</v>
      </c>
      <c r="K150" s="216">
        <v>0</v>
      </c>
      <c r="L150" s="126"/>
      <c r="M150" s="126"/>
      <c r="N150" s="119">
        <v>0</v>
      </c>
      <c r="O150" s="216">
        <v>0</v>
      </c>
      <c r="P150" s="126"/>
    </row>
    <row r="151" spans="1:16" s="40" customFormat="1" ht="15.75">
      <c r="A151" s="37"/>
      <c r="B151" s="27"/>
      <c r="C151" s="38"/>
      <c r="D151" s="215"/>
      <c r="E151" s="217" t="s">
        <v>3538</v>
      </c>
      <c r="F151" s="218" t="s">
        <v>7065</v>
      </c>
      <c r="G151" s="119">
        <v>0</v>
      </c>
      <c r="H151" s="119">
        <v>1883568192</v>
      </c>
      <c r="I151" s="216">
        <v>1883568192</v>
      </c>
      <c r="J151" s="119">
        <v>1083268192</v>
      </c>
      <c r="K151" s="216">
        <v>800300000</v>
      </c>
      <c r="L151" s="126"/>
      <c r="M151" s="126"/>
      <c r="N151" s="119">
        <v>1680000000</v>
      </c>
      <c r="O151" s="216">
        <v>1680000000</v>
      </c>
      <c r="P151" s="126"/>
    </row>
    <row r="152" spans="1:16" s="40" customFormat="1" ht="15.75">
      <c r="A152" s="37"/>
      <c r="B152" s="27"/>
      <c r="C152" s="38"/>
      <c r="D152" s="215"/>
      <c r="E152" s="47"/>
      <c r="F152" s="107"/>
      <c r="G152" s="119">
        <v>0</v>
      </c>
      <c r="H152" s="119">
        <v>0</v>
      </c>
      <c r="I152" s="216">
        <v>0</v>
      </c>
      <c r="J152" s="119">
        <v>0</v>
      </c>
      <c r="K152" s="216">
        <v>0</v>
      </c>
      <c r="L152" s="126"/>
      <c r="M152" s="126"/>
      <c r="N152" s="119">
        <v>0</v>
      </c>
      <c r="O152" s="216">
        <v>0</v>
      </c>
      <c r="P152" s="126"/>
    </row>
    <row r="153" spans="1:16" s="40" customFormat="1" ht="15.75">
      <c r="A153" s="37"/>
      <c r="B153" s="27"/>
      <c r="C153" s="38"/>
      <c r="D153" s="215"/>
      <c r="E153" s="47" t="s">
        <v>4245</v>
      </c>
      <c r="F153" s="107" t="s">
        <v>7066</v>
      </c>
      <c r="G153" s="119">
        <v>0</v>
      </c>
      <c r="H153" s="119">
        <v>0</v>
      </c>
      <c r="I153" s="216">
        <v>0</v>
      </c>
      <c r="J153" s="119">
        <v>0</v>
      </c>
      <c r="K153" s="216">
        <v>0</v>
      </c>
      <c r="L153" s="126"/>
      <c r="M153" s="126"/>
      <c r="N153" s="119">
        <v>0</v>
      </c>
      <c r="O153" s="216">
        <v>0</v>
      </c>
      <c r="P153" s="126"/>
    </row>
    <row r="154" spans="1:16" s="40" customFormat="1" ht="15.75">
      <c r="A154" s="37">
        <v>1</v>
      </c>
      <c r="B154" s="27" t="s">
        <v>682</v>
      </c>
      <c r="C154" s="38" t="s">
        <v>598</v>
      </c>
      <c r="D154" s="215"/>
      <c r="E154" s="47" t="s">
        <v>3539</v>
      </c>
      <c r="F154" s="107" t="s">
        <v>7067</v>
      </c>
      <c r="G154" s="119">
        <v>0</v>
      </c>
      <c r="H154" s="119">
        <v>9045638</v>
      </c>
      <c r="I154" s="216">
        <v>9045638</v>
      </c>
      <c r="J154" s="119">
        <v>9045638</v>
      </c>
      <c r="K154" s="216">
        <v>0</v>
      </c>
      <c r="L154" s="126"/>
      <c r="M154" s="126"/>
      <c r="N154" s="119">
        <v>0</v>
      </c>
      <c r="O154" s="216">
        <v>0</v>
      </c>
      <c r="P154" s="126"/>
    </row>
    <row r="155" spans="1:16" s="40" customFormat="1" ht="31.5">
      <c r="A155" s="37">
        <v>2</v>
      </c>
      <c r="B155" s="30" t="s">
        <v>72</v>
      </c>
      <c r="C155" s="38" t="s">
        <v>598</v>
      </c>
      <c r="D155" s="215"/>
      <c r="E155" s="47" t="s">
        <v>4876</v>
      </c>
      <c r="F155" s="107" t="s">
        <v>7068</v>
      </c>
      <c r="G155" s="119">
        <v>0</v>
      </c>
      <c r="H155" s="119">
        <v>273766273</v>
      </c>
      <c r="I155" s="216">
        <v>273766273</v>
      </c>
      <c r="J155" s="119">
        <v>273766273</v>
      </c>
      <c r="K155" s="216">
        <v>0</v>
      </c>
      <c r="L155" s="126"/>
      <c r="M155" s="126"/>
      <c r="N155" s="119">
        <v>0</v>
      </c>
      <c r="O155" s="216">
        <v>0</v>
      </c>
      <c r="P155" s="126"/>
    </row>
    <row r="156" spans="1:16" s="40" customFormat="1" ht="31.5">
      <c r="A156" s="37">
        <v>3</v>
      </c>
      <c r="B156" s="27" t="s">
        <v>342</v>
      </c>
      <c r="C156" s="38">
        <v>82</v>
      </c>
      <c r="D156" s="215"/>
      <c r="E156" s="47" t="s">
        <v>5391</v>
      </c>
      <c r="F156" s="107" t="s">
        <v>7069</v>
      </c>
      <c r="G156" s="119">
        <v>0</v>
      </c>
      <c r="H156" s="119">
        <v>7464448</v>
      </c>
      <c r="I156" s="216">
        <v>7464448</v>
      </c>
      <c r="J156" s="119">
        <v>7464448</v>
      </c>
      <c r="K156" s="216">
        <v>0</v>
      </c>
      <c r="L156" s="126"/>
      <c r="M156" s="126"/>
      <c r="N156" s="119">
        <v>0</v>
      </c>
      <c r="O156" s="216">
        <v>0</v>
      </c>
      <c r="P156" s="126"/>
    </row>
    <row r="157" spans="1:16" s="40" customFormat="1" ht="15.75">
      <c r="A157" s="37">
        <v>4</v>
      </c>
      <c r="B157" s="27" t="s">
        <v>881</v>
      </c>
      <c r="C157" s="38"/>
      <c r="D157" s="215"/>
      <c r="E157" s="47" t="s">
        <v>3540</v>
      </c>
      <c r="F157" s="107" t="s">
        <v>7070</v>
      </c>
      <c r="G157" s="119">
        <v>0</v>
      </c>
      <c r="H157" s="119">
        <v>3924637187</v>
      </c>
      <c r="I157" s="216">
        <v>3924637187</v>
      </c>
      <c r="J157" s="119">
        <v>3087137187</v>
      </c>
      <c r="K157" s="216">
        <v>837500000</v>
      </c>
      <c r="L157" s="126"/>
      <c r="M157" s="126"/>
      <c r="N157" s="119">
        <v>200000000</v>
      </c>
      <c r="O157" s="216">
        <v>200000000</v>
      </c>
      <c r="P157" s="126"/>
    </row>
    <row r="158" spans="1:16" s="40" customFormat="1" ht="15.75">
      <c r="A158" s="37">
        <v>5</v>
      </c>
      <c r="B158" s="27" t="s">
        <v>671</v>
      </c>
      <c r="C158" s="38" t="s">
        <v>598</v>
      </c>
      <c r="D158" s="215"/>
      <c r="E158" s="47" t="s">
        <v>4877</v>
      </c>
      <c r="F158" s="107" t="s">
        <v>7071</v>
      </c>
      <c r="G158" s="119">
        <v>0</v>
      </c>
      <c r="H158" s="119">
        <v>12666511</v>
      </c>
      <c r="I158" s="216">
        <v>12666511</v>
      </c>
      <c r="J158" s="119">
        <v>12666511</v>
      </c>
      <c r="K158" s="216">
        <v>0</v>
      </c>
      <c r="L158" s="126"/>
      <c r="M158" s="126"/>
      <c r="N158" s="119">
        <v>0</v>
      </c>
      <c r="O158" s="216">
        <v>0</v>
      </c>
      <c r="P158" s="126"/>
    </row>
    <row r="159" spans="1:16" s="40" customFormat="1" ht="31.5">
      <c r="A159" s="37">
        <v>6</v>
      </c>
      <c r="B159" s="27" t="s">
        <v>900</v>
      </c>
      <c r="C159" s="38" t="s">
        <v>598</v>
      </c>
      <c r="D159" s="215"/>
      <c r="E159" s="47" t="s">
        <v>3541</v>
      </c>
      <c r="F159" s="107" t="s">
        <v>7072</v>
      </c>
      <c r="G159" s="119">
        <v>0</v>
      </c>
      <c r="H159" s="119">
        <v>6305279</v>
      </c>
      <c r="I159" s="216">
        <v>6305279</v>
      </c>
      <c r="J159" s="119">
        <v>6305279</v>
      </c>
      <c r="K159" s="216">
        <v>0</v>
      </c>
      <c r="L159" s="126"/>
      <c r="M159" s="126"/>
      <c r="N159" s="119">
        <v>0</v>
      </c>
      <c r="O159" s="216">
        <v>0</v>
      </c>
      <c r="P159" s="126"/>
    </row>
    <row r="160" spans="1:16" s="40" customFormat="1" ht="31.5">
      <c r="A160" s="37">
        <v>7</v>
      </c>
      <c r="B160" s="27" t="s">
        <v>340</v>
      </c>
      <c r="C160" s="38" t="s">
        <v>598</v>
      </c>
      <c r="D160" s="215"/>
      <c r="E160" s="47" t="s">
        <v>3542</v>
      </c>
      <c r="F160" s="107" t="s">
        <v>7073</v>
      </c>
      <c r="G160" s="119">
        <v>0</v>
      </c>
      <c r="H160" s="119">
        <v>5156550</v>
      </c>
      <c r="I160" s="216">
        <v>5156550</v>
      </c>
      <c r="J160" s="119">
        <v>5156550</v>
      </c>
      <c r="K160" s="216">
        <v>0</v>
      </c>
      <c r="L160" s="126"/>
      <c r="M160" s="126"/>
      <c r="N160" s="119">
        <v>0</v>
      </c>
      <c r="O160" s="216">
        <v>0</v>
      </c>
      <c r="P160" s="126"/>
    </row>
    <row r="161" spans="1:16" s="40" customFormat="1" ht="15.75">
      <c r="A161" s="37">
        <v>8</v>
      </c>
      <c r="B161" s="27" t="s">
        <v>341</v>
      </c>
      <c r="C161" s="38" t="s">
        <v>598</v>
      </c>
      <c r="D161" s="215"/>
      <c r="E161" s="47" t="s">
        <v>3543</v>
      </c>
      <c r="F161" s="107" t="s">
        <v>7074</v>
      </c>
      <c r="G161" s="119">
        <v>0</v>
      </c>
      <c r="H161" s="119">
        <v>5216748</v>
      </c>
      <c r="I161" s="216">
        <v>5216748</v>
      </c>
      <c r="J161" s="119">
        <v>5216748</v>
      </c>
      <c r="K161" s="216">
        <v>0</v>
      </c>
      <c r="L161" s="126"/>
      <c r="M161" s="126"/>
      <c r="N161" s="119">
        <v>0</v>
      </c>
      <c r="O161" s="216">
        <v>0</v>
      </c>
      <c r="P161" s="126"/>
    </row>
    <row r="162" spans="1:16" s="40" customFormat="1" ht="31.5">
      <c r="A162" s="37">
        <v>9</v>
      </c>
      <c r="B162" s="30" t="s">
        <v>39</v>
      </c>
      <c r="C162" s="38"/>
      <c r="D162" s="215"/>
      <c r="E162" s="47" t="s">
        <v>12682</v>
      </c>
      <c r="F162" s="107" t="s">
        <v>7075</v>
      </c>
      <c r="G162" s="119">
        <v>0</v>
      </c>
      <c r="H162" s="119">
        <v>6461772</v>
      </c>
      <c r="I162" s="216">
        <v>6461772</v>
      </c>
      <c r="J162" s="119">
        <v>6461772</v>
      </c>
      <c r="K162" s="216">
        <v>0</v>
      </c>
      <c r="L162" s="126"/>
      <c r="M162" s="126"/>
      <c r="N162" s="119">
        <v>0</v>
      </c>
      <c r="O162" s="216">
        <v>0</v>
      </c>
      <c r="P162" s="126"/>
    </row>
    <row r="163" spans="1:16" s="40" customFormat="1" ht="31.5">
      <c r="A163" s="37">
        <v>10</v>
      </c>
      <c r="B163" s="30" t="s">
        <v>40</v>
      </c>
      <c r="C163" s="38"/>
      <c r="D163" s="215"/>
      <c r="E163" s="47" t="s">
        <v>3544</v>
      </c>
      <c r="F163" s="107" t="s">
        <v>7076</v>
      </c>
      <c r="G163" s="119">
        <v>0</v>
      </c>
      <c r="H163" s="119">
        <v>3812824</v>
      </c>
      <c r="I163" s="216">
        <v>3812824</v>
      </c>
      <c r="J163" s="119">
        <v>3812824</v>
      </c>
      <c r="K163" s="216">
        <v>0</v>
      </c>
      <c r="L163" s="126"/>
      <c r="M163" s="126"/>
      <c r="N163" s="119">
        <v>0</v>
      </c>
      <c r="O163" s="216">
        <v>0</v>
      </c>
      <c r="P163" s="126"/>
    </row>
    <row r="164" spans="1:16" s="40" customFormat="1" ht="31.5">
      <c r="A164" s="37">
        <v>11</v>
      </c>
      <c r="B164" s="30" t="s">
        <v>41</v>
      </c>
      <c r="C164" s="38"/>
      <c r="D164" s="215"/>
      <c r="E164" s="47" t="s">
        <v>4878</v>
      </c>
      <c r="F164" s="107" t="s">
        <v>7077</v>
      </c>
      <c r="G164" s="119">
        <v>0</v>
      </c>
      <c r="H164" s="119">
        <v>6954876</v>
      </c>
      <c r="I164" s="216">
        <v>6954876</v>
      </c>
      <c r="J164" s="119">
        <v>6954876</v>
      </c>
      <c r="K164" s="216">
        <v>0</v>
      </c>
      <c r="L164" s="126"/>
      <c r="M164" s="126"/>
      <c r="N164" s="119">
        <v>0</v>
      </c>
      <c r="O164" s="216">
        <v>0</v>
      </c>
      <c r="P164" s="126"/>
    </row>
    <row r="165" spans="1:16" s="40" customFormat="1" ht="31.5">
      <c r="A165" s="37">
        <v>12</v>
      </c>
      <c r="B165" s="30" t="s">
        <v>1247</v>
      </c>
      <c r="C165" s="38"/>
      <c r="D165" s="215"/>
      <c r="E165" s="47" t="s">
        <v>3545</v>
      </c>
      <c r="F165" s="107" t="s">
        <v>7078</v>
      </c>
      <c r="G165" s="119">
        <v>0</v>
      </c>
      <c r="H165" s="119">
        <v>4176654</v>
      </c>
      <c r="I165" s="216">
        <v>4176654</v>
      </c>
      <c r="J165" s="119">
        <v>4176654</v>
      </c>
      <c r="K165" s="216">
        <v>0</v>
      </c>
      <c r="L165" s="126"/>
      <c r="M165" s="126"/>
      <c r="N165" s="119">
        <v>0</v>
      </c>
      <c r="O165" s="216">
        <v>0</v>
      </c>
      <c r="P165" s="126"/>
    </row>
    <row r="166" spans="1:16" s="40" customFormat="1" ht="15.75">
      <c r="A166" s="37">
        <v>13</v>
      </c>
      <c r="B166" s="30" t="s">
        <v>1248</v>
      </c>
      <c r="C166" s="38"/>
      <c r="D166" s="215"/>
      <c r="E166" s="47" t="s">
        <v>4879</v>
      </c>
      <c r="F166" s="107" t="s">
        <v>7079</v>
      </c>
      <c r="G166" s="119">
        <v>0</v>
      </c>
      <c r="H166" s="119">
        <v>6981022</v>
      </c>
      <c r="I166" s="216">
        <v>6981022</v>
      </c>
      <c r="J166" s="119">
        <v>6981022</v>
      </c>
      <c r="K166" s="216">
        <v>0</v>
      </c>
      <c r="L166" s="126"/>
      <c r="M166" s="126"/>
      <c r="N166" s="119">
        <v>0</v>
      </c>
      <c r="O166" s="216">
        <v>0</v>
      </c>
      <c r="P166" s="126"/>
    </row>
    <row r="167" spans="1:16" s="40" customFormat="1" ht="31.5">
      <c r="A167" s="37">
        <v>14</v>
      </c>
      <c r="B167" s="30" t="s">
        <v>1341</v>
      </c>
      <c r="C167" s="38"/>
      <c r="D167" s="215"/>
      <c r="E167" s="47" t="s">
        <v>4880</v>
      </c>
      <c r="F167" s="107" t="s">
        <v>7080</v>
      </c>
      <c r="G167" s="119">
        <v>0</v>
      </c>
      <c r="H167" s="119">
        <v>3868310</v>
      </c>
      <c r="I167" s="216">
        <v>3868310</v>
      </c>
      <c r="J167" s="119">
        <v>3868310</v>
      </c>
      <c r="K167" s="216">
        <v>0</v>
      </c>
      <c r="L167" s="126"/>
      <c r="M167" s="126"/>
      <c r="N167" s="119">
        <v>0</v>
      </c>
      <c r="O167" s="216">
        <v>0</v>
      </c>
      <c r="P167" s="126"/>
    </row>
    <row r="168" spans="1:16" s="40" customFormat="1" ht="31.5">
      <c r="A168" s="37">
        <v>15</v>
      </c>
      <c r="B168" s="30" t="s">
        <v>1342</v>
      </c>
      <c r="C168" s="38"/>
      <c r="D168" s="215"/>
      <c r="E168" s="47" t="s">
        <v>4881</v>
      </c>
      <c r="F168" s="107" t="s">
        <v>7081</v>
      </c>
      <c r="G168" s="119">
        <v>0</v>
      </c>
      <c r="H168" s="119">
        <v>3938124</v>
      </c>
      <c r="I168" s="216">
        <v>3938124</v>
      </c>
      <c r="J168" s="119">
        <v>3938124</v>
      </c>
      <c r="K168" s="216">
        <v>0</v>
      </c>
      <c r="L168" s="126"/>
      <c r="M168" s="126"/>
      <c r="N168" s="119">
        <v>0</v>
      </c>
      <c r="O168" s="216">
        <v>0</v>
      </c>
      <c r="P168" s="126"/>
    </row>
    <row r="169" spans="1:16" s="40" customFormat="1" ht="15.75">
      <c r="A169" s="37">
        <v>16</v>
      </c>
      <c r="B169" s="30" t="s">
        <v>1480</v>
      </c>
      <c r="C169" s="38"/>
      <c r="D169" s="215"/>
      <c r="E169" s="47" t="s">
        <v>3546</v>
      </c>
      <c r="F169" s="107" t="s">
        <v>7082</v>
      </c>
      <c r="G169" s="119">
        <v>0</v>
      </c>
      <c r="H169" s="119">
        <v>1651001</v>
      </c>
      <c r="I169" s="216">
        <v>1651001</v>
      </c>
      <c r="J169" s="119">
        <v>1651001</v>
      </c>
      <c r="K169" s="216">
        <v>0</v>
      </c>
      <c r="L169" s="126"/>
      <c r="M169" s="126"/>
      <c r="N169" s="119">
        <v>0</v>
      </c>
      <c r="O169" s="216">
        <v>0</v>
      </c>
      <c r="P169" s="126"/>
    </row>
    <row r="170" spans="1:16" s="40" customFormat="1" ht="31.5">
      <c r="A170" s="37">
        <v>17</v>
      </c>
      <c r="B170" s="30" t="s">
        <v>1612</v>
      </c>
      <c r="C170" s="38"/>
      <c r="D170" s="215"/>
      <c r="E170" s="47" t="s">
        <v>3547</v>
      </c>
      <c r="F170" s="107" t="s">
        <v>7083</v>
      </c>
      <c r="G170" s="119">
        <v>0</v>
      </c>
      <c r="H170" s="119">
        <v>30915660</v>
      </c>
      <c r="I170" s="216">
        <v>30915660</v>
      </c>
      <c r="J170" s="119">
        <v>30915660</v>
      </c>
      <c r="K170" s="216">
        <v>0</v>
      </c>
      <c r="L170" s="126"/>
      <c r="M170" s="126"/>
      <c r="N170" s="119">
        <v>0</v>
      </c>
      <c r="O170" s="216">
        <v>0</v>
      </c>
      <c r="P170" s="126"/>
    </row>
    <row r="171" spans="1:16" s="40" customFormat="1" ht="15.75">
      <c r="A171" s="37">
        <v>18</v>
      </c>
      <c r="B171" s="30" t="s">
        <v>1613</v>
      </c>
      <c r="C171" s="38"/>
      <c r="D171" s="215"/>
      <c r="E171" s="47" t="s">
        <v>3548</v>
      </c>
      <c r="F171" s="107" t="s">
        <v>7084</v>
      </c>
      <c r="G171" s="119">
        <v>0</v>
      </c>
      <c r="H171" s="119">
        <v>9930138</v>
      </c>
      <c r="I171" s="216">
        <v>9930138</v>
      </c>
      <c r="J171" s="119">
        <v>9930138</v>
      </c>
      <c r="K171" s="216">
        <v>0</v>
      </c>
      <c r="L171" s="126"/>
      <c r="M171" s="126"/>
      <c r="N171" s="119">
        <v>0</v>
      </c>
      <c r="O171" s="216">
        <v>0</v>
      </c>
      <c r="P171" s="126"/>
    </row>
    <row r="172" spans="1:16" s="40" customFormat="1" ht="15.75">
      <c r="A172" s="37">
        <v>19</v>
      </c>
      <c r="B172" s="30" t="s">
        <v>1660</v>
      </c>
      <c r="C172" s="38"/>
      <c r="D172" s="215"/>
      <c r="E172" s="47" t="s">
        <v>3549</v>
      </c>
      <c r="F172" s="107" t="s">
        <v>7085</v>
      </c>
      <c r="G172" s="119">
        <v>0</v>
      </c>
      <c r="H172" s="119">
        <v>16664411</v>
      </c>
      <c r="I172" s="216">
        <v>16664411</v>
      </c>
      <c r="J172" s="119">
        <v>16664411</v>
      </c>
      <c r="K172" s="216">
        <v>0</v>
      </c>
      <c r="L172" s="126"/>
      <c r="M172" s="126"/>
      <c r="N172" s="119">
        <v>0</v>
      </c>
      <c r="O172" s="216">
        <v>0</v>
      </c>
      <c r="P172" s="126"/>
    </row>
    <row r="173" spans="1:16" s="40" customFormat="1" ht="15.75">
      <c r="A173" s="37">
        <v>20</v>
      </c>
      <c r="B173" s="30" t="s">
        <v>1661</v>
      </c>
      <c r="C173" s="38"/>
      <c r="D173" s="215"/>
      <c r="E173" s="47" t="s">
        <v>4882</v>
      </c>
      <c r="F173" s="107" t="s">
        <v>7086</v>
      </c>
      <c r="G173" s="119">
        <v>0</v>
      </c>
      <c r="H173" s="119">
        <v>16411499</v>
      </c>
      <c r="I173" s="216">
        <v>16411499</v>
      </c>
      <c r="J173" s="119">
        <v>16411499</v>
      </c>
      <c r="K173" s="216">
        <v>0</v>
      </c>
      <c r="L173" s="126"/>
      <c r="M173" s="126"/>
      <c r="N173" s="119">
        <v>0</v>
      </c>
      <c r="O173" s="216">
        <v>0</v>
      </c>
      <c r="P173" s="126"/>
    </row>
    <row r="174" spans="1:16" s="40" customFormat="1" ht="15.75">
      <c r="A174" s="37">
        <v>21</v>
      </c>
      <c r="B174" s="30" t="s">
        <v>1830</v>
      </c>
      <c r="C174" s="38"/>
      <c r="D174" s="215"/>
      <c r="E174" s="47" t="s">
        <v>3550</v>
      </c>
      <c r="F174" s="107" t="s">
        <v>7087</v>
      </c>
      <c r="G174" s="119">
        <v>0</v>
      </c>
      <c r="H174" s="119">
        <v>17136958</v>
      </c>
      <c r="I174" s="216">
        <v>17136958</v>
      </c>
      <c r="J174" s="119">
        <v>17136958</v>
      </c>
      <c r="K174" s="216">
        <v>0</v>
      </c>
      <c r="L174" s="126"/>
      <c r="M174" s="126"/>
      <c r="N174" s="119">
        <v>0</v>
      </c>
      <c r="O174" s="216">
        <v>0</v>
      </c>
      <c r="P174" s="126"/>
    </row>
    <row r="175" spans="1:16" s="40" customFormat="1" ht="31.5">
      <c r="A175" s="37">
        <v>22</v>
      </c>
      <c r="B175" s="30" t="s">
        <v>1831</v>
      </c>
      <c r="C175" s="38"/>
      <c r="D175" s="215"/>
      <c r="E175" s="47" t="s">
        <v>3551</v>
      </c>
      <c r="F175" s="107" t="s">
        <v>7088</v>
      </c>
      <c r="G175" s="119">
        <v>0</v>
      </c>
      <c r="H175" s="119">
        <v>1616842</v>
      </c>
      <c r="I175" s="216">
        <v>1616842</v>
      </c>
      <c r="J175" s="119">
        <v>1616842</v>
      </c>
      <c r="K175" s="216">
        <v>0</v>
      </c>
      <c r="L175" s="126"/>
      <c r="M175" s="126"/>
      <c r="N175" s="119">
        <v>0</v>
      </c>
      <c r="O175" s="216">
        <v>0</v>
      </c>
      <c r="P175" s="126"/>
    </row>
    <row r="176" spans="1:16" s="40" customFormat="1" ht="31.5">
      <c r="A176" s="37">
        <v>23</v>
      </c>
      <c r="B176" s="30" t="s">
        <v>1832</v>
      </c>
      <c r="C176" s="38"/>
      <c r="D176" s="215"/>
      <c r="E176" s="47" t="s">
        <v>4883</v>
      </c>
      <c r="F176" s="107" t="s">
        <v>7089</v>
      </c>
      <c r="G176" s="119">
        <v>0</v>
      </c>
      <c r="H176" s="119">
        <v>3420000</v>
      </c>
      <c r="I176" s="216">
        <v>3420000</v>
      </c>
      <c r="J176" s="119">
        <v>3420000</v>
      </c>
      <c r="K176" s="216">
        <v>0</v>
      </c>
      <c r="L176" s="126"/>
      <c r="M176" s="126"/>
      <c r="N176" s="119">
        <v>0</v>
      </c>
      <c r="O176" s="216">
        <v>0</v>
      </c>
      <c r="P176" s="126"/>
    </row>
    <row r="177" spans="1:16" s="40" customFormat="1" ht="31.5">
      <c r="A177" s="37">
        <v>24</v>
      </c>
      <c r="B177" s="30" t="s">
        <v>1833</v>
      </c>
      <c r="C177" s="38"/>
      <c r="D177" s="215"/>
      <c r="E177" s="47" t="s">
        <v>4884</v>
      </c>
      <c r="F177" s="107" t="s">
        <v>7090</v>
      </c>
      <c r="G177" s="119">
        <v>0</v>
      </c>
      <c r="H177" s="119">
        <v>3484171</v>
      </c>
      <c r="I177" s="216">
        <v>3484171</v>
      </c>
      <c r="J177" s="119">
        <v>3484171</v>
      </c>
      <c r="K177" s="216">
        <v>0</v>
      </c>
      <c r="L177" s="126"/>
      <c r="M177" s="126"/>
      <c r="N177" s="119">
        <v>0</v>
      </c>
      <c r="O177" s="216">
        <v>0</v>
      </c>
      <c r="P177" s="126"/>
    </row>
    <row r="178" spans="1:16" s="40" customFormat="1" ht="31.5">
      <c r="A178" s="37">
        <v>25</v>
      </c>
      <c r="B178" s="30" t="s">
        <v>1834</v>
      </c>
      <c r="C178" s="38"/>
      <c r="D178" s="215"/>
      <c r="E178" s="47" t="s">
        <v>3552</v>
      </c>
      <c r="F178" s="107" t="s">
        <v>7091</v>
      </c>
      <c r="G178" s="119">
        <v>0</v>
      </c>
      <c r="H178" s="119">
        <v>9113373</v>
      </c>
      <c r="I178" s="216">
        <v>9113373</v>
      </c>
      <c r="J178" s="119">
        <v>9113373</v>
      </c>
      <c r="K178" s="216">
        <v>0</v>
      </c>
      <c r="L178" s="126"/>
      <c r="M178" s="126"/>
      <c r="N178" s="119">
        <v>0</v>
      </c>
      <c r="O178" s="216">
        <v>0</v>
      </c>
      <c r="P178" s="126"/>
    </row>
    <row r="179" spans="1:16" s="40" customFormat="1" ht="15.75">
      <c r="A179" s="37">
        <v>26</v>
      </c>
      <c r="B179" s="30" t="s">
        <v>1835</v>
      </c>
      <c r="C179" s="38"/>
      <c r="D179" s="215"/>
      <c r="E179" s="47" t="s">
        <v>3553</v>
      </c>
      <c r="F179" s="107" t="s">
        <v>7092</v>
      </c>
      <c r="G179" s="119">
        <v>0</v>
      </c>
      <c r="H179" s="119">
        <v>1368000</v>
      </c>
      <c r="I179" s="216">
        <v>1368000</v>
      </c>
      <c r="J179" s="119">
        <v>1368000</v>
      </c>
      <c r="K179" s="216">
        <v>0</v>
      </c>
      <c r="L179" s="126"/>
      <c r="M179" s="126"/>
      <c r="N179" s="119">
        <v>0</v>
      </c>
      <c r="O179" s="216">
        <v>0</v>
      </c>
      <c r="P179" s="126"/>
    </row>
    <row r="180" spans="1:16" s="40" customFormat="1" ht="15.75">
      <c r="A180" s="37">
        <v>27</v>
      </c>
      <c r="B180" s="30" t="s">
        <v>1836</v>
      </c>
      <c r="C180" s="38"/>
      <c r="D180" s="215"/>
      <c r="E180" s="47" t="s">
        <v>4885</v>
      </c>
      <c r="F180" s="107" t="s">
        <v>7093</v>
      </c>
      <c r="G180" s="119">
        <v>0</v>
      </c>
      <c r="H180" s="119">
        <v>906396</v>
      </c>
      <c r="I180" s="216">
        <v>906396</v>
      </c>
      <c r="J180" s="119">
        <v>906396</v>
      </c>
      <c r="K180" s="216">
        <v>0</v>
      </c>
      <c r="L180" s="126"/>
      <c r="M180" s="126"/>
      <c r="N180" s="119">
        <v>0</v>
      </c>
      <c r="O180" s="216">
        <v>0</v>
      </c>
      <c r="P180" s="126"/>
    </row>
    <row r="181" spans="1:16" s="40" customFormat="1" ht="15.75">
      <c r="A181" s="37">
        <v>28</v>
      </c>
      <c r="B181" s="30" t="s">
        <v>1837</v>
      </c>
      <c r="C181" s="38"/>
      <c r="D181" s="215"/>
      <c r="E181" s="47" t="s">
        <v>3554</v>
      </c>
      <c r="F181" s="107" t="s">
        <v>7094</v>
      </c>
      <c r="G181" s="119">
        <v>0</v>
      </c>
      <c r="H181" s="119">
        <v>1368000</v>
      </c>
      <c r="I181" s="216">
        <v>1368000</v>
      </c>
      <c r="J181" s="119">
        <v>1368000</v>
      </c>
      <c r="K181" s="216">
        <v>0</v>
      </c>
      <c r="L181" s="126"/>
      <c r="M181" s="126"/>
      <c r="N181" s="119">
        <v>0</v>
      </c>
      <c r="O181" s="216">
        <v>0</v>
      </c>
      <c r="P181" s="126"/>
    </row>
    <row r="182" spans="1:16" s="40" customFormat="1" ht="15.75">
      <c r="A182" s="37">
        <v>29</v>
      </c>
      <c r="B182" s="30" t="s">
        <v>1838</v>
      </c>
      <c r="C182" s="38"/>
      <c r="D182" s="215"/>
      <c r="E182" s="47" t="s">
        <v>3555</v>
      </c>
      <c r="F182" s="107" t="s">
        <v>7095</v>
      </c>
      <c r="G182" s="119">
        <v>0</v>
      </c>
      <c r="H182" s="119">
        <v>1026000</v>
      </c>
      <c r="I182" s="216">
        <v>1026000</v>
      </c>
      <c r="J182" s="119">
        <v>1026000</v>
      </c>
      <c r="K182" s="216">
        <v>0</v>
      </c>
      <c r="L182" s="126"/>
      <c r="M182" s="126"/>
      <c r="N182" s="119">
        <v>0</v>
      </c>
      <c r="O182" s="216">
        <v>0</v>
      </c>
      <c r="P182" s="126"/>
    </row>
    <row r="183" spans="1:16" s="40" customFormat="1" ht="15.75">
      <c r="A183" s="37">
        <v>30</v>
      </c>
      <c r="B183" s="30" t="s">
        <v>1839</v>
      </c>
      <c r="C183" s="38">
        <v>60</v>
      </c>
      <c r="D183" s="215"/>
      <c r="E183" s="47" t="s">
        <v>4886</v>
      </c>
      <c r="F183" s="107" t="s">
        <v>7096</v>
      </c>
      <c r="G183" s="119">
        <v>0</v>
      </c>
      <c r="H183" s="119">
        <v>999995</v>
      </c>
      <c r="I183" s="216">
        <v>999995</v>
      </c>
      <c r="J183" s="119">
        <v>999995</v>
      </c>
      <c r="K183" s="216">
        <v>0</v>
      </c>
      <c r="L183" s="126"/>
      <c r="M183" s="126"/>
      <c r="N183" s="119">
        <v>0</v>
      </c>
      <c r="O183" s="216">
        <v>0</v>
      </c>
      <c r="P183" s="126"/>
    </row>
    <row r="184" spans="1:16" s="40" customFormat="1" ht="31.5">
      <c r="A184" s="37">
        <v>31</v>
      </c>
      <c r="B184" s="30" t="s">
        <v>1840</v>
      </c>
      <c r="C184" s="38">
        <v>60</v>
      </c>
      <c r="D184" s="215"/>
      <c r="E184" s="47" t="s">
        <v>3556</v>
      </c>
      <c r="F184" s="107" t="s">
        <v>7097</v>
      </c>
      <c r="G184" s="119">
        <v>0</v>
      </c>
      <c r="H184" s="119">
        <v>999995</v>
      </c>
      <c r="I184" s="216">
        <v>999995</v>
      </c>
      <c r="J184" s="119">
        <v>999995</v>
      </c>
      <c r="K184" s="216">
        <v>0</v>
      </c>
      <c r="L184" s="126"/>
      <c r="M184" s="126"/>
      <c r="N184" s="119">
        <v>0</v>
      </c>
      <c r="O184" s="216">
        <v>0</v>
      </c>
      <c r="P184" s="126"/>
    </row>
    <row r="185" spans="1:16" s="40" customFormat="1" ht="15.75">
      <c r="A185" s="37">
        <v>32</v>
      </c>
      <c r="B185" s="30" t="s">
        <v>1841</v>
      </c>
      <c r="C185" s="38">
        <v>34</v>
      </c>
      <c r="D185" s="215"/>
      <c r="E185" s="47" t="s">
        <v>3557</v>
      </c>
      <c r="F185" s="107" t="s">
        <v>7098</v>
      </c>
      <c r="G185" s="119">
        <v>0</v>
      </c>
      <c r="H185" s="119">
        <v>2048652</v>
      </c>
      <c r="I185" s="216">
        <v>2048652</v>
      </c>
      <c r="J185" s="119">
        <v>2048652</v>
      </c>
      <c r="K185" s="216">
        <v>0</v>
      </c>
      <c r="L185" s="126"/>
      <c r="M185" s="126"/>
      <c r="N185" s="119">
        <v>0</v>
      </c>
      <c r="O185" s="216">
        <v>0</v>
      </c>
      <c r="P185" s="126"/>
    </row>
    <row r="186" spans="1:16" s="40" customFormat="1" ht="31.5">
      <c r="A186" s="37">
        <v>33</v>
      </c>
      <c r="B186" s="30" t="s">
        <v>1842</v>
      </c>
      <c r="C186" s="38"/>
      <c r="D186" s="215"/>
      <c r="E186" s="47" t="s">
        <v>4887</v>
      </c>
      <c r="F186" s="107" t="s">
        <v>7099</v>
      </c>
      <c r="G186" s="119">
        <v>0</v>
      </c>
      <c r="H186" s="119">
        <v>1368000</v>
      </c>
      <c r="I186" s="216">
        <v>1368000</v>
      </c>
      <c r="J186" s="119">
        <v>1368000</v>
      </c>
      <c r="K186" s="216">
        <v>0</v>
      </c>
      <c r="L186" s="126"/>
      <c r="M186" s="126"/>
      <c r="N186" s="119">
        <v>0</v>
      </c>
      <c r="O186" s="216">
        <v>0</v>
      </c>
      <c r="P186" s="126"/>
    </row>
    <row r="187" spans="1:16" s="40" customFormat="1" ht="15.75">
      <c r="A187" s="37">
        <v>34</v>
      </c>
      <c r="B187" s="30" t="s">
        <v>1843</v>
      </c>
      <c r="C187" s="38">
        <v>18</v>
      </c>
      <c r="D187" s="215"/>
      <c r="E187" s="226" t="s">
        <v>3558</v>
      </c>
      <c r="F187" s="107" t="s">
        <v>7100</v>
      </c>
      <c r="G187" s="119">
        <v>0</v>
      </c>
      <c r="H187" s="119">
        <v>3382119</v>
      </c>
      <c r="I187" s="216">
        <v>3382119</v>
      </c>
      <c r="J187" s="119">
        <v>3382119</v>
      </c>
      <c r="K187" s="216">
        <v>0</v>
      </c>
      <c r="L187" s="126"/>
      <c r="M187" s="126"/>
      <c r="N187" s="119">
        <v>0</v>
      </c>
      <c r="O187" s="216">
        <v>0</v>
      </c>
      <c r="P187" s="126"/>
    </row>
    <row r="188" spans="1:16" s="40" customFormat="1" ht="15.75">
      <c r="A188" s="37">
        <v>35</v>
      </c>
      <c r="B188" s="30" t="s">
        <v>4413</v>
      </c>
      <c r="C188" s="38"/>
      <c r="D188" s="215"/>
      <c r="E188" s="47" t="s">
        <v>4388</v>
      </c>
      <c r="F188" s="107" t="s">
        <v>7101</v>
      </c>
      <c r="G188" s="119">
        <v>0</v>
      </c>
      <c r="H188" s="119">
        <v>210000000</v>
      </c>
      <c r="I188" s="216">
        <v>210000000</v>
      </c>
      <c r="J188" s="119">
        <v>0</v>
      </c>
      <c r="K188" s="216">
        <v>210000000</v>
      </c>
      <c r="L188" s="126"/>
      <c r="M188" s="126"/>
      <c r="N188" s="119">
        <v>0</v>
      </c>
      <c r="O188" s="216">
        <v>0</v>
      </c>
      <c r="P188" s="126"/>
    </row>
    <row r="189" spans="1:16" s="40" customFormat="1" ht="15.75">
      <c r="A189" s="37">
        <v>36</v>
      </c>
      <c r="B189" s="30" t="s">
        <v>4414</v>
      </c>
      <c r="C189" s="38"/>
      <c r="D189" s="215"/>
      <c r="E189" s="47" t="s">
        <v>4389</v>
      </c>
      <c r="F189" s="107" t="s">
        <v>7102</v>
      </c>
      <c r="G189" s="119">
        <v>0</v>
      </c>
      <c r="H189" s="119">
        <v>91600000</v>
      </c>
      <c r="I189" s="216">
        <v>91600000</v>
      </c>
      <c r="J189" s="119">
        <v>0</v>
      </c>
      <c r="K189" s="216">
        <v>91600000</v>
      </c>
      <c r="L189" s="126"/>
      <c r="M189" s="126"/>
      <c r="N189" s="119">
        <v>37500000</v>
      </c>
      <c r="O189" s="216">
        <v>37500000</v>
      </c>
      <c r="P189" s="126"/>
    </row>
    <row r="190" spans="1:16" s="40" customFormat="1" ht="31.5">
      <c r="A190" s="37">
        <v>37</v>
      </c>
      <c r="B190" s="30" t="s">
        <v>5402</v>
      </c>
      <c r="C190" s="38"/>
      <c r="D190" s="215"/>
      <c r="E190" s="47" t="s">
        <v>5388</v>
      </c>
      <c r="F190" s="107"/>
      <c r="G190" s="119">
        <v>0</v>
      </c>
      <c r="H190" s="119">
        <v>40807154</v>
      </c>
      <c r="I190" s="216">
        <v>40807154</v>
      </c>
      <c r="J190" s="119">
        <v>40807154</v>
      </c>
      <c r="K190" s="216">
        <v>0</v>
      </c>
      <c r="L190" s="126"/>
      <c r="M190" s="126"/>
      <c r="N190" s="119">
        <v>0</v>
      </c>
      <c r="O190" s="216">
        <v>0</v>
      </c>
      <c r="P190" s="126"/>
    </row>
    <row r="191" spans="1:16" s="40" customFormat="1" ht="15.75">
      <c r="A191" s="37">
        <v>38</v>
      </c>
      <c r="B191" s="30" t="s">
        <v>5403</v>
      </c>
      <c r="C191" s="38"/>
      <c r="D191" s="215"/>
      <c r="E191" s="47" t="s">
        <v>5404</v>
      </c>
      <c r="F191" s="107"/>
      <c r="G191" s="119">
        <v>0</v>
      </c>
      <c r="H191" s="119">
        <v>3839920</v>
      </c>
      <c r="I191" s="216">
        <v>3839920</v>
      </c>
      <c r="J191" s="119">
        <v>3839920</v>
      </c>
      <c r="K191" s="216">
        <v>0</v>
      </c>
      <c r="L191" s="126"/>
      <c r="M191" s="126"/>
      <c r="N191" s="119">
        <v>0</v>
      </c>
      <c r="O191" s="216">
        <v>0</v>
      </c>
      <c r="P191" s="126"/>
    </row>
    <row r="192" spans="1:16" s="40" customFormat="1" ht="15.75">
      <c r="A192" s="37"/>
      <c r="B192" s="27"/>
      <c r="C192" s="38"/>
      <c r="D192" s="215"/>
      <c r="E192" s="47"/>
      <c r="F192" s="107"/>
      <c r="G192" s="119">
        <v>0</v>
      </c>
      <c r="H192" s="119">
        <v>0</v>
      </c>
      <c r="I192" s="216">
        <v>0</v>
      </c>
      <c r="J192" s="119">
        <v>0</v>
      </c>
      <c r="K192" s="216">
        <v>0</v>
      </c>
      <c r="L192" s="126"/>
      <c r="M192" s="126"/>
      <c r="N192" s="119">
        <v>0</v>
      </c>
      <c r="O192" s="216">
        <v>0</v>
      </c>
      <c r="P192" s="126"/>
    </row>
    <row r="193" spans="1:16" s="40" customFormat="1" ht="15.75">
      <c r="A193" s="37"/>
      <c r="B193" s="27"/>
      <c r="C193" s="38"/>
      <c r="D193" s="215"/>
      <c r="E193" s="217" t="s">
        <v>4246</v>
      </c>
      <c r="F193" s="218" t="s">
        <v>7103</v>
      </c>
      <c r="G193" s="119">
        <v>0</v>
      </c>
      <c r="H193" s="119">
        <v>4750510500</v>
      </c>
      <c r="I193" s="216">
        <v>4750510500</v>
      </c>
      <c r="J193" s="119">
        <v>3611410500</v>
      </c>
      <c r="K193" s="216">
        <v>1139100000</v>
      </c>
      <c r="L193" s="126"/>
      <c r="M193" s="126"/>
      <c r="N193" s="119">
        <v>237500000</v>
      </c>
      <c r="O193" s="216">
        <v>237500000</v>
      </c>
      <c r="P193" s="126"/>
    </row>
    <row r="194" spans="1:16" s="40" customFormat="1" ht="15.75">
      <c r="A194" s="37"/>
      <c r="B194" s="27"/>
      <c r="C194" s="38"/>
      <c r="D194" s="215"/>
      <c r="E194" s="47"/>
      <c r="F194" s="107"/>
      <c r="G194" s="119">
        <v>0</v>
      </c>
      <c r="H194" s="119">
        <v>0</v>
      </c>
      <c r="I194" s="216">
        <v>0</v>
      </c>
      <c r="J194" s="119">
        <v>0</v>
      </c>
      <c r="K194" s="216">
        <v>0</v>
      </c>
      <c r="L194" s="126"/>
      <c r="M194" s="126"/>
      <c r="N194" s="119">
        <v>0</v>
      </c>
      <c r="O194" s="216">
        <v>0</v>
      </c>
      <c r="P194" s="126"/>
    </row>
    <row r="195" spans="1:16" s="40" customFormat="1" ht="15.75">
      <c r="A195" s="37"/>
      <c r="B195" s="27"/>
      <c r="C195" s="38"/>
      <c r="D195" s="215"/>
      <c r="E195" s="47"/>
      <c r="F195" s="107"/>
      <c r="G195" s="119">
        <v>0</v>
      </c>
      <c r="H195" s="119">
        <v>0</v>
      </c>
      <c r="I195" s="216">
        <v>0</v>
      </c>
      <c r="J195" s="119">
        <v>0</v>
      </c>
      <c r="K195" s="216">
        <v>0</v>
      </c>
      <c r="L195" s="126"/>
      <c r="M195" s="126"/>
      <c r="N195" s="119">
        <v>0</v>
      </c>
      <c r="O195" s="216">
        <v>0</v>
      </c>
      <c r="P195" s="126"/>
    </row>
    <row r="196" spans="1:16" s="40" customFormat="1" ht="15.75">
      <c r="A196" s="37"/>
      <c r="B196" s="27"/>
      <c r="C196" s="38"/>
      <c r="D196" s="215"/>
      <c r="E196" s="47" t="s">
        <v>3559</v>
      </c>
      <c r="F196" s="107" t="s">
        <v>7104</v>
      </c>
      <c r="G196" s="119">
        <v>0</v>
      </c>
      <c r="H196" s="119">
        <v>0</v>
      </c>
      <c r="I196" s="216">
        <v>0</v>
      </c>
      <c r="J196" s="119">
        <v>0</v>
      </c>
      <c r="K196" s="216">
        <v>0</v>
      </c>
      <c r="L196" s="126"/>
      <c r="M196" s="126"/>
      <c r="N196" s="119">
        <v>0</v>
      </c>
      <c r="O196" s="216">
        <v>0</v>
      </c>
      <c r="P196" s="126"/>
    </row>
    <row r="197" spans="1:16" s="40" customFormat="1" ht="31.5">
      <c r="A197" s="37">
        <v>1</v>
      </c>
      <c r="B197" s="27" t="s">
        <v>893</v>
      </c>
      <c r="C197" s="38" t="s">
        <v>598</v>
      </c>
      <c r="D197" s="215"/>
      <c r="E197" s="47" t="s">
        <v>3560</v>
      </c>
      <c r="F197" s="107" t="s">
        <v>7105</v>
      </c>
      <c r="G197" s="119">
        <v>0</v>
      </c>
      <c r="H197" s="119">
        <v>10008532</v>
      </c>
      <c r="I197" s="216">
        <v>10008532</v>
      </c>
      <c r="J197" s="119">
        <v>10008532</v>
      </c>
      <c r="K197" s="216">
        <v>0</v>
      </c>
      <c r="L197" s="126"/>
      <c r="M197" s="126"/>
      <c r="N197" s="119">
        <v>0</v>
      </c>
      <c r="O197" s="216">
        <v>0</v>
      </c>
      <c r="P197" s="126">
        <v>10000000</v>
      </c>
    </row>
    <row r="198" spans="1:16" s="40" customFormat="1" ht="15.75">
      <c r="A198" s="37">
        <v>2</v>
      </c>
      <c r="B198" s="30" t="s">
        <v>73</v>
      </c>
      <c r="C198" s="38"/>
      <c r="D198" s="215"/>
      <c r="E198" s="47" t="s">
        <v>3561</v>
      </c>
      <c r="F198" s="107" t="s">
        <v>7106</v>
      </c>
      <c r="G198" s="119">
        <v>0</v>
      </c>
      <c r="H198" s="119">
        <v>90749</v>
      </c>
      <c r="I198" s="216">
        <v>90749</v>
      </c>
      <c r="J198" s="119">
        <v>90749</v>
      </c>
      <c r="K198" s="216">
        <v>0</v>
      </c>
      <c r="L198" s="126"/>
      <c r="M198" s="126"/>
      <c r="N198" s="119">
        <v>0</v>
      </c>
      <c r="O198" s="216">
        <v>0</v>
      </c>
      <c r="P198" s="126"/>
    </row>
    <row r="199" spans="1:16" s="40" customFormat="1" ht="15.75">
      <c r="A199" s="37">
        <v>3</v>
      </c>
      <c r="B199" s="30" t="s">
        <v>1027</v>
      </c>
      <c r="C199" s="38"/>
      <c r="D199" s="215"/>
      <c r="E199" s="47" t="s">
        <v>3562</v>
      </c>
      <c r="F199" s="107" t="s">
        <v>7107</v>
      </c>
      <c r="G199" s="119">
        <v>0</v>
      </c>
      <c r="H199" s="119">
        <v>709297549</v>
      </c>
      <c r="I199" s="216">
        <v>709297549</v>
      </c>
      <c r="J199" s="119">
        <v>66247549</v>
      </c>
      <c r="K199" s="216">
        <v>643050000</v>
      </c>
      <c r="L199" s="126"/>
      <c r="M199" s="126"/>
      <c r="N199" s="119">
        <v>355500000</v>
      </c>
      <c r="O199" s="216">
        <v>355500000</v>
      </c>
      <c r="P199" s="126"/>
    </row>
    <row r="200" spans="1:16" s="40" customFormat="1" ht="15.75">
      <c r="A200" s="37">
        <v>4</v>
      </c>
      <c r="B200" s="30" t="s">
        <v>42</v>
      </c>
      <c r="C200" s="38"/>
      <c r="D200" s="215"/>
      <c r="E200" s="47" t="s">
        <v>3563</v>
      </c>
      <c r="F200" s="107" t="s">
        <v>7108</v>
      </c>
      <c r="G200" s="119">
        <v>0</v>
      </c>
      <c r="H200" s="119">
        <v>150630495</v>
      </c>
      <c r="I200" s="216">
        <v>150630495</v>
      </c>
      <c r="J200" s="119">
        <v>150630495</v>
      </c>
      <c r="K200" s="216">
        <v>0</v>
      </c>
      <c r="L200" s="126"/>
      <c r="M200" s="126"/>
      <c r="N200" s="119">
        <v>0</v>
      </c>
      <c r="O200" s="216">
        <v>0</v>
      </c>
      <c r="P200" s="126">
        <v>150000000</v>
      </c>
    </row>
    <row r="201" spans="1:16" s="40" customFormat="1" ht="15.75">
      <c r="A201" s="37">
        <v>5</v>
      </c>
      <c r="B201" s="30" t="s">
        <v>1283</v>
      </c>
      <c r="C201" s="38"/>
      <c r="D201" s="215"/>
      <c r="E201" s="47" t="s">
        <v>3564</v>
      </c>
      <c r="F201" s="107" t="s">
        <v>7109</v>
      </c>
      <c r="G201" s="119">
        <v>0</v>
      </c>
      <c r="H201" s="119">
        <v>9476382</v>
      </c>
      <c r="I201" s="216">
        <v>9476382</v>
      </c>
      <c r="J201" s="119">
        <v>9476382</v>
      </c>
      <c r="K201" s="216">
        <v>0</v>
      </c>
      <c r="L201" s="126"/>
      <c r="M201" s="126"/>
      <c r="N201" s="119">
        <v>0</v>
      </c>
      <c r="O201" s="216">
        <v>0</v>
      </c>
      <c r="P201" s="126"/>
    </row>
    <row r="202" spans="1:16" s="40" customFormat="1" ht="15.75">
      <c r="A202" s="37">
        <v>6</v>
      </c>
      <c r="B202" s="30" t="s">
        <v>1343</v>
      </c>
      <c r="C202" s="38"/>
      <c r="D202" s="215"/>
      <c r="E202" s="47" t="s">
        <v>3565</v>
      </c>
      <c r="F202" s="107" t="s">
        <v>7110</v>
      </c>
      <c r="G202" s="119">
        <v>0</v>
      </c>
      <c r="H202" s="119">
        <v>2920000</v>
      </c>
      <c r="I202" s="216">
        <v>2920000</v>
      </c>
      <c r="J202" s="119">
        <v>2920000</v>
      </c>
      <c r="K202" s="216">
        <v>0</v>
      </c>
      <c r="L202" s="126"/>
      <c r="M202" s="126"/>
      <c r="N202" s="119">
        <v>0</v>
      </c>
      <c r="O202" s="216">
        <v>0</v>
      </c>
      <c r="P202" s="126"/>
    </row>
    <row r="203" spans="1:16" s="40" customFormat="1" ht="15.75">
      <c r="A203" s="37">
        <v>7</v>
      </c>
      <c r="B203" s="30" t="s">
        <v>1344</v>
      </c>
      <c r="C203" s="38"/>
      <c r="D203" s="215"/>
      <c r="E203" s="47" t="s">
        <v>3566</v>
      </c>
      <c r="F203" s="107" t="s">
        <v>7111</v>
      </c>
      <c r="G203" s="119">
        <v>0</v>
      </c>
      <c r="H203" s="119">
        <v>5859916</v>
      </c>
      <c r="I203" s="216">
        <v>5859916</v>
      </c>
      <c r="J203" s="119">
        <v>5859916</v>
      </c>
      <c r="K203" s="216">
        <v>0</v>
      </c>
      <c r="L203" s="126"/>
      <c r="M203" s="126"/>
      <c r="N203" s="119">
        <v>0</v>
      </c>
      <c r="O203" s="216">
        <v>0</v>
      </c>
      <c r="P203" s="126"/>
    </row>
    <row r="204" spans="1:16" s="40" customFormat="1" ht="15.75">
      <c r="A204" s="37">
        <v>8</v>
      </c>
      <c r="B204" s="30" t="s">
        <v>1345</v>
      </c>
      <c r="C204" s="38"/>
      <c r="D204" s="215"/>
      <c r="E204" s="47" t="s">
        <v>3567</v>
      </c>
      <c r="F204" s="107" t="s">
        <v>7112</v>
      </c>
      <c r="G204" s="119">
        <v>0</v>
      </c>
      <c r="H204" s="119">
        <v>6618190</v>
      </c>
      <c r="I204" s="216">
        <v>6618190</v>
      </c>
      <c r="J204" s="119">
        <v>6618190</v>
      </c>
      <c r="K204" s="216">
        <v>0</v>
      </c>
      <c r="L204" s="126"/>
      <c r="M204" s="126"/>
      <c r="N204" s="119">
        <v>0</v>
      </c>
      <c r="O204" s="216">
        <v>0</v>
      </c>
      <c r="P204" s="126"/>
    </row>
    <row r="205" spans="1:16" s="40" customFormat="1" ht="15.75">
      <c r="A205" s="37">
        <v>9</v>
      </c>
      <c r="B205" s="30" t="s">
        <v>1346</v>
      </c>
      <c r="C205" s="38"/>
      <c r="D205" s="215"/>
      <c r="E205" s="47" t="s">
        <v>4888</v>
      </c>
      <c r="F205" s="107" t="s">
        <v>7113</v>
      </c>
      <c r="G205" s="119">
        <v>0</v>
      </c>
      <c r="H205" s="119">
        <v>11367053</v>
      </c>
      <c r="I205" s="216">
        <v>11367053</v>
      </c>
      <c r="J205" s="119">
        <v>11367053</v>
      </c>
      <c r="K205" s="216">
        <v>0</v>
      </c>
      <c r="L205" s="126"/>
      <c r="M205" s="126"/>
      <c r="N205" s="119">
        <v>0</v>
      </c>
      <c r="O205" s="216">
        <v>0</v>
      </c>
      <c r="P205" s="126"/>
    </row>
    <row r="206" spans="1:16" s="40" customFormat="1" ht="15.75">
      <c r="A206" s="37">
        <v>10</v>
      </c>
      <c r="B206" s="30" t="s">
        <v>1844</v>
      </c>
      <c r="C206" s="38"/>
      <c r="D206" s="215"/>
      <c r="E206" s="47" t="s">
        <v>3568</v>
      </c>
      <c r="F206" s="107" t="s">
        <v>7114</v>
      </c>
      <c r="G206" s="119">
        <v>0</v>
      </c>
      <c r="H206" s="119">
        <v>7920000</v>
      </c>
      <c r="I206" s="216">
        <v>7920000</v>
      </c>
      <c r="J206" s="119">
        <v>7920000</v>
      </c>
      <c r="K206" s="216">
        <v>0</v>
      </c>
      <c r="L206" s="126"/>
      <c r="M206" s="126"/>
      <c r="N206" s="119">
        <v>0</v>
      </c>
      <c r="O206" s="216">
        <v>0</v>
      </c>
      <c r="P206" s="126"/>
    </row>
    <row r="207" spans="1:16" s="40" customFormat="1" ht="31.5">
      <c r="A207" s="37">
        <v>11</v>
      </c>
      <c r="B207" s="30" t="s">
        <v>1845</v>
      </c>
      <c r="C207" s="38"/>
      <c r="D207" s="215"/>
      <c r="E207" s="47" t="s">
        <v>3569</v>
      </c>
      <c r="F207" s="107" t="s">
        <v>7115</v>
      </c>
      <c r="G207" s="119">
        <v>0</v>
      </c>
      <c r="H207" s="119">
        <v>20915740</v>
      </c>
      <c r="I207" s="216">
        <v>20915740</v>
      </c>
      <c r="J207" s="119">
        <v>20915740</v>
      </c>
      <c r="K207" s="216">
        <v>0</v>
      </c>
      <c r="L207" s="126"/>
      <c r="M207" s="126"/>
      <c r="N207" s="119">
        <v>0</v>
      </c>
      <c r="O207" s="216">
        <v>0</v>
      </c>
      <c r="P207" s="126">
        <v>100000000</v>
      </c>
    </row>
    <row r="208" spans="1:16" s="40" customFormat="1" ht="15.75">
      <c r="A208" s="37">
        <v>12</v>
      </c>
      <c r="B208" s="30" t="s">
        <v>1846</v>
      </c>
      <c r="C208" s="38">
        <v>12</v>
      </c>
      <c r="D208" s="215"/>
      <c r="E208" s="47" t="s">
        <v>3570</v>
      </c>
      <c r="F208" s="107" t="s">
        <v>7116</v>
      </c>
      <c r="G208" s="119">
        <v>0</v>
      </c>
      <c r="H208" s="119">
        <v>4023752</v>
      </c>
      <c r="I208" s="216">
        <v>4023752</v>
      </c>
      <c r="J208" s="119">
        <v>4023752</v>
      </c>
      <c r="K208" s="216">
        <v>0</v>
      </c>
      <c r="L208" s="126"/>
      <c r="M208" s="126"/>
      <c r="N208" s="119">
        <v>0</v>
      </c>
      <c r="O208" s="216">
        <v>0</v>
      </c>
      <c r="P208" s="126"/>
    </row>
    <row r="209" spans="1:16" s="40" customFormat="1" ht="15.75">
      <c r="A209" s="37">
        <v>13</v>
      </c>
      <c r="B209" s="30" t="s">
        <v>4421</v>
      </c>
      <c r="C209" s="38"/>
      <c r="D209" s="215"/>
      <c r="E209" s="47" t="s">
        <v>4387</v>
      </c>
      <c r="F209" s="107" t="s">
        <v>7117</v>
      </c>
      <c r="G209" s="119">
        <v>0</v>
      </c>
      <c r="H209" s="119">
        <v>51500000</v>
      </c>
      <c r="I209" s="216">
        <v>51500000</v>
      </c>
      <c r="J209" s="119">
        <v>0</v>
      </c>
      <c r="K209" s="216">
        <v>51500000</v>
      </c>
      <c r="L209" s="126"/>
      <c r="M209" s="126"/>
      <c r="N209" s="119">
        <v>513000000</v>
      </c>
      <c r="O209" s="216">
        <v>513000000</v>
      </c>
      <c r="P209" s="126"/>
    </row>
    <row r="210" spans="1:16" s="40" customFormat="1" ht="15.75">
      <c r="A210" s="37"/>
      <c r="B210" s="27"/>
      <c r="C210" s="38"/>
      <c r="D210" s="215"/>
      <c r="E210" s="47"/>
      <c r="F210" s="107"/>
      <c r="G210" s="119">
        <v>0</v>
      </c>
      <c r="H210" s="119">
        <v>0</v>
      </c>
      <c r="I210" s="216">
        <v>0</v>
      </c>
      <c r="J210" s="119">
        <v>0</v>
      </c>
      <c r="K210" s="216">
        <v>0</v>
      </c>
      <c r="L210" s="126"/>
      <c r="M210" s="126"/>
      <c r="N210" s="119">
        <v>0</v>
      </c>
      <c r="O210" s="216">
        <v>0</v>
      </c>
      <c r="P210" s="126"/>
    </row>
    <row r="211" spans="1:16" s="40" customFormat="1" ht="15.75">
      <c r="A211" s="37"/>
      <c r="B211" s="27"/>
      <c r="C211" s="38"/>
      <c r="D211" s="215"/>
      <c r="E211" s="217" t="s">
        <v>3571</v>
      </c>
      <c r="F211" s="218" t="s">
        <v>7118</v>
      </c>
      <c r="G211" s="119">
        <v>0</v>
      </c>
      <c r="H211" s="119">
        <v>990628358</v>
      </c>
      <c r="I211" s="216">
        <v>990628358</v>
      </c>
      <c r="J211" s="119">
        <v>296078358</v>
      </c>
      <c r="K211" s="216">
        <v>694550000</v>
      </c>
      <c r="L211" s="126"/>
      <c r="M211" s="126"/>
      <c r="N211" s="119">
        <v>868500000</v>
      </c>
      <c r="O211" s="216">
        <v>868500000</v>
      </c>
      <c r="P211" s="126"/>
    </row>
    <row r="212" spans="1:16" s="40" customFormat="1" ht="15.75">
      <c r="A212" s="37"/>
      <c r="B212" s="27"/>
      <c r="C212" s="38"/>
      <c r="D212" s="215"/>
      <c r="E212" s="47"/>
      <c r="F212" s="107"/>
      <c r="G212" s="119">
        <v>0</v>
      </c>
      <c r="H212" s="119">
        <v>0</v>
      </c>
      <c r="I212" s="216">
        <v>0</v>
      </c>
      <c r="J212" s="119">
        <v>0</v>
      </c>
      <c r="K212" s="216">
        <v>0</v>
      </c>
      <c r="L212" s="126"/>
      <c r="M212" s="126"/>
      <c r="N212" s="119">
        <v>0</v>
      </c>
      <c r="O212" s="216">
        <v>0</v>
      </c>
      <c r="P212" s="126"/>
    </row>
    <row r="213" spans="1:16" s="40" customFormat="1" ht="15.75">
      <c r="A213" s="37"/>
      <c r="B213" s="27"/>
      <c r="C213" s="38"/>
      <c r="D213" s="215"/>
      <c r="E213" s="47" t="s">
        <v>3572</v>
      </c>
      <c r="F213" s="107" t="s">
        <v>7119</v>
      </c>
      <c r="G213" s="119">
        <v>0</v>
      </c>
      <c r="H213" s="119">
        <v>0</v>
      </c>
      <c r="I213" s="216">
        <v>0</v>
      </c>
      <c r="J213" s="119">
        <v>0</v>
      </c>
      <c r="K213" s="216">
        <v>0</v>
      </c>
      <c r="L213" s="126"/>
      <c r="M213" s="126"/>
      <c r="N213" s="119">
        <v>0</v>
      </c>
      <c r="O213" s="216">
        <v>0</v>
      </c>
      <c r="P213" s="126"/>
    </row>
    <row r="214" spans="1:16" s="40" customFormat="1" ht="31.5">
      <c r="A214" s="37">
        <v>1</v>
      </c>
      <c r="B214" s="30" t="s">
        <v>4699</v>
      </c>
      <c r="C214" s="38"/>
      <c r="D214" s="215"/>
      <c r="E214" s="47" t="s">
        <v>4698</v>
      </c>
      <c r="F214" s="107" t="s">
        <v>7120</v>
      </c>
      <c r="G214" s="119">
        <v>0</v>
      </c>
      <c r="H214" s="119">
        <v>1343572444</v>
      </c>
      <c r="I214" s="216">
        <v>1343572444</v>
      </c>
      <c r="J214" s="119">
        <v>706072444</v>
      </c>
      <c r="K214" s="216">
        <v>637500000</v>
      </c>
      <c r="L214" s="126"/>
      <c r="M214" s="126"/>
      <c r="N214" s="119">
        <v>1251400000</v>
      </c>
      <c r="O214" s="216">
        <v>1251400000</v>
      </c>
      <c r="P214" s="227">
        <v>20000000000</v>
      </c>
    </row>
    <row r="215" spans="1:16" s="40" customFormat="1" ht="15.75">
      <c r="A215" s="37"/>
      <c r="B215" s="27"/>
      <c r="C215" s="38"/>
      <c r="D215" s="215"/>
      <c r="E215" s="47"/>
      <c r="F215" s="107"/>
      <c r="G215" s="119">
        <v>0</v>
      </c>
      <c r="H215" s="119">
        <v>0</v>
      </c>
      <c r="I215" s="216">
        <v>0</v>
      </c>
      <c r="J215" s="119">
        <v>0</v>
      </c>
      <c r="K215" s="216">
        <v>0</v>
      </c>
      <c r="L215" s="126"/>
      <c r="M215" s="126"/>
      <c r="N215" s="119">
        <v>0</v>
      </c>
      <c r="O215" s="216">
        <v>0</v>
      </c>
      <c r="P215" s="126"/>
    </row>
    <row r="216" spans="1:16" s="40" customFormat="1" ht="15.75">
      <c r="A216" s="37"/>
      <c r="B216" s="27"/>
      <c r="C216" s="38"/>
      <c r="D216" s="215"/>
      <c r="E216" s="217" t="s">
        <v>3573</v>
      </c>
      <c r="F216" s="218" t="s">
        <v>7121</v>
      </c>
      <c r="G216" s="119">
        <v>0</v>
      </c>
      <c r="H216" s="119">
        <v>1343572444</v>
      </c>
      <c r="I216" s="216">
        <v>1343572444</v>
      </c>
      <c r="J216" s="119">
        <v>706072444</v>
      </c>
      <c r="K216" s="216">
        <v>637500000</v>
      </c>
      <c r="L216" s="126"/>
      <c r="M216" s="126"/>
      <c r="N216" s="119">
        <v>1251400000</v>
      </c>
      <c r="O216" s="216">
        <v>1251400000</v>
      </c>
      <c r="P216" s="126"/>
    </row>
    <row r="217" spans="1:16" s="40" customFormat="1" ht="15.75">
      <c r="A217" s="37"/>
      <c r="B217" s="27"/>
      <c r="C217" s="38"/>
      <c r="D217" s="215"/>
      <c r="E217" s="47"/>
      <c r="F217" s="107"/>
      <c r="G217" s="119">
        <v>0</v>
      </c>
      <c r="H217" s="119">
        <v>0</v>
      </c>
      <c r="I217" s="216">
        <v>0</v>
      </c>
      <c r="J217" s="119">
        <v>0</v>
      </c>
      <c r="K217" s="216">
        <v>0</v>
      </c>
      <c r="L217" s="126"/>
      <c r="M217" s="126"/>
      <c r="N217" s="119">
        <v>0</v>
      </c>
      <c r="O217" s="216">
        <v>0</v>
      </c>
      <c r="P217" s="126"/>
    </row>
    <row r="218" spans="1:16" s="40" customFormat="1" ht="15.75">
      <c r="A218" s="37"/>
      <c r="B218" s="27"/>
      <c r="C218" s="38"/>
      <c r="D218" s="215"/>
      <c r="E218" s="47" t="s">
        <v>2602</v>
      </c>
      <c r="F218" s="107" t="s">
        <v>7122</v>
      </c>
      <c r="G218" s="119">
        <v>0</v>
      </c>
      <c r="H218" s="119">
        <v>0</v>
      </c>
      <c r="I218" s="216">
        <v>0</v>
      </c>
      <c r="J218" s="119">
        <v>0</v>
      </c>
      <c r="K218" s="216">
        <v>0</v>
      </c>
      <c r="L218" s="126"/>
      <c r="M218" s="126"/>
      <c r="N218" s="119">
        <v>0</v>
      </c>
      <c r="O218" s="216">
        <v>0</v>
      </c>
      <c r="P218" s="126"/>
    </row>
    <row r="219" spans="1:16" s="40" customFormat="1" ht="15.75">
      <c r="A219" s="37">
        <v>1</v>
      </c>
      <c r="B219" s="27" t="s">
        <v>64</v>
      </c>
      <c r="C219" s="38" t="s">
        <v>598</v>
      </c>
      <c r="D219" s="215"/>
      <c r="E219" s="47" t="s">
        <v>3574</v>
      </c>
      <c r="F219" s="107" t="s">
        <v>7123</v>
      </c>
      <c r="G219" s="119">
        <v>0</v>
      </c>
      <c r="H219" s="119">
        <v>54357855</v>
      </c>
      <c r="I219" s="216">
        <v>54357855</v>
      </c>
      <c r="J219" s="119">
        <v>49107855</v>
      </c>
      <c r="K219" s="216">
        <v>5250000</v>
      </c>
      <c r="L219" s="126"/>
      <c r="M219" s="126"/>
      <c r="N219" s="119">
        <v>0</v>
      </c>
      <c r="O219" s="216">
        <v>0</v>
      </c>
      <c r="P219" s="126"/>
    </row>
    <row r="220" spans="1:16" s="40" customFormat="1" ht="31.5">
      <c r="A220" s="37">
        <v>2</v>
      </c>
      <c r="B220" s="27" t="s">
        <v>66</v>
      </c>
      <c r="C220" s="38" t="s">
        <v>598</v>
      </c>
      <c r="D220" s="215"/>
      <c r="E220" s="47" t="s">
        <v>3575</v>
      </c>
      <c r="F220" s="107" t="s">
        <v>7124</v>
      </c>
      <c r="G220" s="119">
        <v>0</v>
      </c>
      <c r="H220" s="119">
        <v>21914562</v>
      </c>
      <c r="I220" s="216">
        <v>21914562</v>
      </c>
      <c r="J220" s="119">
        <v>20444562</v>
      </c>
      <c r="K220" s="216">
        <v>1470000</v>
      </c>
      <c r="L220" s="126"/>
      <c r="M220" s="126"/>
      <c r="N220" s="119">
        <v>0</v>
      </c>
      <c r="O220" s="216">
        <v>0</v>
      </c>
      <c r="P220" s="126"/>
    </row>
    <row r="221" spans="1:16" s="40" customFormat="1" ht="31.5">
      <c r="A221" s="37">
        <v>3</v>
      </c>
      <c r="B221" s="27" t="s">
        <v>328</v>
      </c>
      <c r="C221" s="38" t="s">
        <v>598</v>
      </c>
      <c r="D221" s="215"/>
      <c r="E221" s="47" t="s">
        <v>3576</v>
      </c>
      <c r="F221" s="107" t="s">
        <v>7125</v>
      </c>
      <c r="G221" s="119">
        <v>0</v>
      </c>
      <c r="H221" s="119">
        <v>14325503</v>
      </c>
      <c r="I221" s="216">
        <v>14325503</v>
      </c>
      <c r="J221" s="119">
        <v>11035503</v>
      </c>
      <c r="K221" s="216">
        <v>3290000</v>
      </c>
      <c r="L221" s="126"/>
      <c r="M221" s="126"/>
      <c r="N221" s="119">
        <v>0</v>
      </c>
      <c r="O221" s="216">
        <v>0</v>
      </c>
      <c r="P221" s="126"/>
    </row>
    <row r="222" spans="1:16" s="40" customFormat="1" ht="15.75">
      <c r="A222" s="37">
        <v>4</v>
      </c>
      <c r="B222" s="27" t="s">
        <v>701</v>
      </c>
      <c r="C222" s="38"/>
      <c r="D222" s="215"/>
      <c r="E222" s="47" t="s">
        <v>3577</v>
      </c>
      <c r="F222" s="107" t="s">
        <v>7126</v>
      </c>
      <c r="G222" s="119">
        <v>0</v>
      </c>
      <c r="H222" s="119">
        <v>269760726</v>
      </c>
      <c r="I222" s="216">
        <v>269760726</v>
      </c>
      <c r="J222" s="119">
        <v>202610726</v>
      </c>
      <c r="K222" s="216">
        <v>67150000</v>
      </c>
      <c r="L222" s="126"/>
      <c r="M222" s="126"/>
      <c r="N222" s="119">
        <v>2500000</v>
      </c>
      <c r="O222" s="216">
        <v>2500000</v>
      </c>
      <c r="P222" s="126"/>
    </row>
    <row r="223" spans="1:16" s="40" customFormat="1" ht="15.75">
      <c r="A223" s="37">
        <v>5</v>
      </c>
      <c r="B223" s="27" t="s">
        <v>779</v>
      </c>
      <c r="C223" s="38">
        <v>24</v>
      </c>
      <c r="D223" s="215"/>
      <c r="E223" s="47" t="s">
        <v>3578</v>
      </c>
      <c r="F223" s="107" t="s">
        <v>7127</v>
      </c>
      <c r="G223" s="119">
        <v>0</v>
      </c>
      <c r="H223" s="119">
        <v>95037825</v>
      </c>
      <c r="I223" s="216">
        <v>95037825</v>
      </c>
      <c r="J223" s="119">
        <v>95037825</v>
      </c>
      <c r="K223" s="216">
        <v>0</v>
      </c>
      <c r="L223" s="126"/>
      <c r="M223" s="126"/>
      <c r="N223" s="119">
        <v>0</v>
      </c>
      <c r="O223" s="216">
        <v>0</v>
      </c>
      <c r="P223" s="126">
        <v>66000000</v>
      </c>
    </row>
    <row r="224" spans="1:16" s="40" customFormat="1" ht="31.5">
      <c r="A224" s="37">
        <v>6</v>
      </c>
      <c r="B224" s="27" t="s">
        <v>773</v>
      </c>
      <c r="C224" s="38"/>
      <c r="D224" s="215"/>
      <c r="E224" s="47" t="s">
        <v>4365</v>
      </c>
      <c r="F224" s="107" t="s">
        <v>7128</v>
      </c>
      <c r="G224" s="119">
        <v>0</v>
      </c>
      <c r="H224" s="119">
        <v>471878024</v>
      </c>
      <c r="I224" s="216">
        <v>471878024</v>
      </c>
      <c r="J224" s="119">
        <v>365508024</v>
      </c>
      <c r="K224" s="216">
        <v>106370000</v>
      </c>
      <c r="L224" s="126"/>
      <c r="M224" s="126"/>
      <c r="N224" s="119">
        <v>0</v>
      </c>
      <c r="O224" s="216">
        <v>0</v>
      </c>
      <c r="P224" s="126"/>
    </row>
    <row r="225" spans="1:16" s="40" customFormat="1" ht="15.75">
      <c r="A225" s="37">
        <v>7</v>
      </c>
      <c r="B225" s="27" t="s">
        <v>732</v>
      </c>
      <c r="C225" s="38"/>
      <c r="D225" s="215"/>
      <c r="E225" s="47" t="s">
        <v>3579</v>
      </c>
      <c r="F225" s="107" t="s">
        <v>7129</v>
      </c>
      <c r="G225" s="119">
        <v>0</v>
      </c>
      <c r="H225" s="119">
        <v>825446887</v>
      </c>
      <c r="I225" s="216">
        <v>825446887</v>
      </c>
      <c r="J225" s="119">
        <v>594596887</v>
      </c>
      <c r="K225" s="216">
        <v>230850000</v>
      </c>
      <c r="L225" s="126"/>
      <c r="M225" s="126"/>
      <c r="N225" s="119">
        <v>237000000</v>
      </c>
      <c r="O225" s="216">
        <v>237000000</v>
      </c>
      <c r="P225" s="126"/>
    </row>
    <row r="226" spans="1:16" s="40" customFormat="1" ht="15.75">
      <c r="A226" s="37">
        <v>8</v>
      </c>
      <c r="B226" s="27" t="s">
        <v>241</v>
      </c>
      <c r="C226" s="38" t="s">
        <v>598</v>
      </c>
      <c r="D226" s="215"/>
      <c r="E226" s="47" t="s">
        <v>3580</v>
      </c>
      <c r="F226" s="107" t="s">
        <v>7130</v>
      </c>
      <c r="G226" s="119">
        <v>0</v>
      </c>
      <c r="H226" s="119">
        <v>17416692</v>
      </c>
      <c r="I226" s="216">
        <v>17416692</v>
      </c>
      <c r="J226" s="119">
        <v>17416692</v>
      </c>
      <c r="K226" s="216">
        <v>0</v>
      </c>
      <c r="L226" s="126"/>
      <c r="M226" s="126"/>
      <c r="N226" s="119">
        <v>0</v>
      </c>
      <c r="O226" s="216">
        <v>0</v>
      </c>
      <c r="P226" s="126"/>
    </row>
    <row r="227" spans="1:16" s="40" customFormat="1" ht="31.5">
      <c r="A227" s="37">
        <v>9</v>
      </c>
      <c r="B227" s="27" t="s">
        <v>499</v>
      </c>
      <c r="C227" s="38">
        <v>70</v>
      </c>
      <c r="D227" s="215"/>
      <c r="E227" s="47" t="s">
        <v>4889</v>
      </c>
      <c r="F227" s="107" t="s">
        <v>7131</v>
      </c>
      <c r="G227" s="119">
        <v>0</v>
      </c>
      <c r="H227" s="119">
        <v>19167100</v>
      </c>
      <c r="I227" s="216">
        <v>19167100</v>
      </c>
      <c r="J227" s="119">
        <v>19167100</v>
      </c>
      <c r="K227" s="216">
        <v>0</v>
      </c>
      <c r="L227" s="126"/>
      <c r="M227" s="126"/>
      <c r="N227" s="119">
        <v>0</v>
      </c>
      <c r="O227" s="216">
        <v>0</v>
      </c>
      <c r="P227" s="126"/>
    </row>
    <row r="228" spans="1:16" s="40" customFormat="1" ht="15.75">
      <c r="A228" s="37">
        <v>10</v>
      </c>
      <c r="B228" s="27" t="s">
        <v>231</v>
      </c>
      <c r="C228" s="228" t="s">
        <v>1889</v>
      </c>
      <c r="D228" s="215"/>
      <c r="E228" s="47" t="s">
        <v>3581</v>
      </c>
      <c r="F228" s="107" t="s">
        <v>7132</v>
      </c>
      <c r="G228" s="119">
        <v>0</v>
      </c>
      <c r="H228" s="119">
        <v>890000</v>
      </c>
      <c r="I228" s="216">
        <v>890000</v>
      </c>
      <c r="J228" s="119">
        <v>890000</v>
      </c>
      <c r="K228" s="216">
        <v>0</v>
      </c>
      <c r="L228" s="126"/>
      <c r="M228" s="126"/>
      <c r="N228" s="119">
        <v>0</v>
      </c>
      <c r="O228" s="216">
        <v>0</v>
      </c>
      <c r="P228" s="126"/>
    </row>
    <row r="229" spans="1:16" s="40" customFormat="1" ht="15.75">
      <c r="A229" s="37">
        <v>11</v>
      </c>
      <c r="B229" s="30" t="s">
        <v>1249</v>
      </c>
      <c r="C229" s="38">
        <v>4</v>
      </c>
      <c r="D229" s="215"/>
      <c r="E229" s="47" t="s">
        <v>3582</v>
      </c>
      <c r="F229" s="107" t="s">
        <v>7133</v>
      </c>
      <c r="G229" s="119">
        <v>0</v>
      </c>
      <c r="H229" s="119">
        <v>5548558</v>
      </c>
      <c r="I229" s="216">
        <v>5548558</v>
      </c>
      <c r="J229" s="119">
        <v>5548558</v>
      </c>
      <c r="K229" s="216">
        <v>0</v>
      </c>
      <c r="L229" s="126"/>
      <c r="M229" s="126"/>
      <c r="N229" s="119">
        <v>0</v>
      </c>
      <c r="O229" s="216">
        <v>0</v>
      </c>
      <c r="P229" s="126"/>
    </row>
    <row r="230" spans="1:16" s="40" customFormat="1" ht="31.5">
      <c r="A230" s="37">
        <v>12</v>
      </c>
      <c r="B230" s="30" t="s">
        <v>1250</v>
      </c>
      <c r="C230" s="38">
        <v>75</v>
      </c>
      <c r="D230" s="215"/>
      <c r="E230" s="47" t="s">
        <v>3583</v>
      </c>
      <c r="F230" s="107" t="s">
        <v>7134</v>
      </c>
      <c r="G230" s="119">
        <v>0</v>
      </c>
      <c r="H230" s="119">
        <v>21948357</v>
      </c>
      <c r="I230" s="216">
        <v>21948357</v>
      </c>
      <c r="J230" s="119">
        <v>21948357</v>
      </c>
      <c r="K230" s="216">
        <v>0</v>
      </c>
      <c r="L230" s="126"/>
      <c r="M230" s="126"/>
      <c r="N230" s="119">
        <v>0</v>
      </c>
      <c r="O230" s="216">
        <v>0</v>
      </c>
      <c r="P230" s="126">
        <v>25000000</v>
      </c>
    </row>
    <row r="231" spans="1:16" s="40" customFormat="1" ht="15.75">
      <c r="A231" s="37">
        <v>13</v>
      </c>
      <c r="B231" s="30" t="s">
        <v>1251</v>
      </c>
      <c r="C231" s="38">
        <v>68</v>
      </c>
      <c r="D231" s="215"/>
      <c r="E231" s="47" t="s">
        <v>3584</v>
      </c>
      <c r="F231" s="107" t="s">
        <v>7135</v>
      </c>
      <c r="G231" s="119">
        <v>0</v>
      </c>
      <c r="H231" s="119">
        <v>16287010</v>
      </c>
      <c r="I231" s="216">
        <v>16287010</v>
      </c>
      <c r="J231" s="119">
        <v>16287010</v>
      </c>
      <c r="K231" s="216">
        <v>0</v>
      </c>
      <c r="L231" s="126"/>
      <c r="M231" s="126"/>
      <c r="N231" s="119">
        <v>0</v>
      </c>
      <c r="O231" s="216">
        <v>0</v>
      </c>
      <c r="P231" s="126"/>
    </row>
    <row r="232" spans="1:16" s="40" customFormat="1" ht="31.5">
      <c r="A232" s="37">
        <v>14</v>
      </c>
      <c r="B232" s="30" t="s">
        <v>1252</v>
      </c>
      <c r="C232" s="38">
        <v>68</v>
      </c>
      <c r="D232" s="215"/>
      <c r="E232" s="47" t="s">
        <v>3585</v>
      </c>
      <c r="F232" s="107" t="s">
        <v>7136</v>
      </c>
      <c r="G232" s="119">
        <v>0</v>
      </c>
      <c r="H232" s="119">
        <v>9241356</v>
      </c>
      <c r="I232" s="216">
        <v>9241356</v>
      </c>
      <c r="J232" s="119">
        <v>9241356</v>
      </c>
      <c r="K232" s="216">
        <v>0</v>
      </c>
      <c r="L232" s="126"/>
      <c r="M232" s="126"/>
      <c r="N232" s="119">
        <v>0</v>
      </c>
      <c r="O232" s="216">
        <v>0</v>
      </c>
      <c r="P232" s="126"/>
    </row>
    <row r="233" spans="1:16" s="40" customFormat="1" ht="15.75">
      <c r="A233" s="37">
        <v>15</v>
      </c>
      <c r="B233" s="30" t="s">
        <v>1280</v>
      </c>
      <c r="C233" s="38"/>
      <c r="D233" s="215"/>
      <c r="E233" s="47" t="s">
        <v>3586</v>
      </c>
      <c r="F233" s="107" t="s">
        <v>7137</v>
      </c>
      <c r="G233" s="119">
        <v>0</v>
      </c>
      <c r="H233" s="119">
        <v>269640578</v>
      </c>
      <c r="I233" s="216">
        <v>269640578</v>
      </c>
      <c r="J233" s="119">
        <v>210000578</v>
      </c>
      <c r="K233" s="216">
        <v>59640000</v>
      </c>
      <c r="L233" s="126"/>
      <c r="M233" s="126"/>
      <c r="N233" s="119">
        <v>0</v>
      </c>
      <c r="O233" s="216">
        <v>0</v>
      </c>
      <c r="P233" s="126"/>
    </row>
    <row r="234" spans="1:16" s="40" customFormat="1" ht="15.75">
      <c r="A234" s="37">
        <v>16</v>
      </c>
      <c r="B234" s="30" t="s">
        <v>1281</v>
      </c>
      <c r="C234" s="38" t="s">
        <v>598</v>
      </c>
      <c r="D234" s="215"/>
      <c r="E234" s="47" t="s">
        <v>3587</v>
      </c>
      <c r="F234" s="107" t="s">
        <v>7138</v>
      </c>
      <c r="G234" s="119">
        <v>0</v>
      </c>
      <c r="H234" s="119">
        <v>0</v>
      </c>
      <c r="I234" s="216">
        <v>0</v>
      </c>
      <c r="J234" s="119">
        <v>0</v>
      </c>
      <c r="K234" s="216">
        <v>0</v>
      </c>
      <c r="L234" s="126"/>
      <c r="M234" s="126"/>
      <c r="N234" s="119">
        <v>0</v>
      </c>
      <c r="O234" s="216">
        <v>0</v>
      </c>
      <c r="P234" s="126"/>
    </row>
    <row r="235" spans="1:16" s="40" customFormat="1" ht="15.75">
      <c r="A235" s="37">
        <v>17</v>
      </c>
      <c r="B235" s="30" t="s">
        <v>1347</v>
      </c>
      <c r="C235" s="38"/>
      <c r="D235" s="215"/>
      <c r="E235" s="47" t="s">
        <v>3588</v>
      </c>
      <c r="F235" s="107" t="s">
        <v>7139</v>
      </c>
      <c r="G235" s="119">
        <v>0</v>
      </c>
      <c r="H235" s="119">
        <v>4672826</v>
      </c>
      <c r="I235" s="216">
        <v>4672826</v>
      </c>
      <c r="J235" s="119">
        <v>4672826</v>
      </c>
      <c r="K235" s="216">
        <v>0</v>
      </c>
      <c r="L235" s="126"/>
      <c r="M235" s="126"/>
      <c r="N235" s="119">
        <v>0</v>
      </c>
      <c r="O235" s="216">
        <v>0</v>
      </c>
      <c r="P235" s="126"/>
    </row>
    <row r="236" spans="1:16" s="40" customFormat="1" ht="15.75">
      <c r="A236" s="37">
        <v>18</v>
      </c>
      <c r="B236" s="30" t="s">
        <v>1348</v>
      </c>
      <c r="C236" s="38">
        <v>24</v>
      </c>
      <c r="D236" s="215"/>
      <c r="E236" s="47" t="s">
        <v>3589</v>
      </c>
      <c r="F236" s="107" t="s">
        <v>7140</v>
      </c>
      <c r="G236" s="119">
        <v>0</v>
      </c>
      <c r="H236" s="119">
        <v>8038396</v>
      </c>
      <c r="I236" s="216">
        <v>8038396</v>
      </c>
      <c r="J236" s="119">
        <v>8038396</v>
      </c>
      <c r="K236" s="216">
        <v>0</v>
      </c>
      <c r="L236" s="126"/>
      <c r="M236" s="126"/>
      <c r="N236" s="119">
        <v>0</v>
      </c>
      <c r="O236" s="216">
        <v>0</v>
      </c>
      <c r="P236" s="126"/>
    </row>
    <row r="237" spans="1:16" s="40" customFormat="1" ht="15.75">
      <c r="A237" s="37">
        <v>19</v>
      </c>
      <c r="B237" s="30" t="s">
        <v>1349</v>
      </c>
      <c r="C237" s="38">
        <v>9</v>
      </c>
      <c r="D237" s="215" t="s">
        <v>862</v>
      </c>
      <c r="E237" s="47" t="s">
        <v>3590</v>
      </c>
      <c r="F237" s="107" t="s">
        <v>7141</v>
      </c>
      <c r="G237" s="119">
        <v>0</v>
      </c>
      <c r="H237" s="119">
        <v>10489820</v>
      </c>
      <c r="I237" s="216">
        <v>10489820</v>
      </c>
      <c r="J237" s="119">
        <v>10489820</v>
      </c>
      <c r="K237" s="216">
        <v>0</v>
      </c>
      <c r="L237" s="126"/>
      <c r="M237" s="126"/>
      <c r="N237" s="119">
        <v>0</v>
      </c>
      <c r="O237" s="216">
        <v>0</v>
      </c>
      <c r="P237" s="126"/>
    </row>
    <row r="238" spans="1:16" s="40" customFormat="1" ht="15.75">
      <c r="A238" s="37">
        <v>20</v>
      </c>
      <c r="B238" s="30" t="s">
        <v>1481</v>
      </c>
      <c r="C238" s="38">
        <v>24</v>
      </c>
      <c r="D238" s="215"/>
      <c r="E238" s="47" t="s">
        <v>3591</v>
      </c>
      <c r="F238" s="107" t="s">
        <v>7142</v>
      </c>
      <c r="G238" s="119">
        <v>0</v>
      </c>
      <c r="H238" s="119">
        <v>2596262</v>
      </c>
      <c r="I238" s="216">
        <v>2596262</v>
      </c>
      <c r="J238" s="119">
        <v>2596262</v>
      </c>
      <c r="K238" s="216">
        <v>0</v>
      </c>
      <c r="L238" s="126"/>
      <c r="M238" s="126"/>
      <c r="N238" s="119">
        <v>0</v>
      </c>
      <c r="O238" s="216">
        <v>0</v>
      </c>
      <c r="P238" s="126"/>
    </row>
    <row r="239" spans="1:16" s="40" customFormat="1" ht="15.75">
      <c r="A239" s="37">
        <v>21</v>
      </c>
      <c r="B239" s="30" t="s">
        <v>1482</v>
      </c>
      <c r="C239" s="38"/>
      <c r="D239" s="215"/>
      <c r="E239" s="47" t="s">
        <v>4869</v>
      </c>
      <c r="F239" s="107" t="s">
        <v>7143</v>
      </c>
      <c r="G239" s="119">
        <v>0</v>
      </c>
      <c r="H239" s="119">
        <v>252240</v>
      </c>
      <c r="I239" s="216">
        <v>252240</v>
      </c>
      <c r="J239" s="119">
        <v>252240</v>
      </c>
      <c r="K239" s="216">
        <v>0</v>
      </c>
      <c r="L239" s="126"/>
      <c r="M239" s="126"/>
      <c r="N239" s="119">
        <v>0</v>
      </c>
      <c r="O239" s="216">
        <v>0</v>
      </c>
      <c r="P239" s="126"/>
    </row>
    <row r="240" spans="1:16" s="40" customFormat="1" ht="31.5">
      <c r="A240" s="37">
        <v>22</v>
      </c>
      <c r="B240" s="30" t="s">
        <v>1614</v>
      </c>
      <c r="C240" s="38">
        <v>38</v>
      </c>
      <c r="D240" s="215"/>
      <c r="E240" s="47" t="s">
        <v>4890</v>
      </c>
      <c r="F240" s="107" t="s">
        <v>7144</v>
      </c>
      <c r="G240" s="119">
        <v>0</v>
      </c>
      <c r="H240" s="119">
        <v>4646712</v>
      </c>
      <c r="I240" s="216">
        <v>4646712</v>
      </c>
      <c r="J240" s="119">
        <v>4646712</v>
      </c>
      <c r="K240" s="216">
        <v>0</v>
      </c>
      <c r="L240" s="126"/>
      <c r="M240" s="126"/>
      <c r="N240" s="119">
        <v>0</v>
      </c>
      <c r="O240" s="216">
        <v>0</v>
      </c>
      <c r="P240" s="126"/>
    </row>
    <row r="241" spans="1:16" s="40" customFormat="1" ht="31.5">
      <c r="A241" s="37">
        <v>23</v>
      </c>
      <c r="B241" s="30" t="s">
        <v>1615</v>
      </c>
      <c r="C241" s="38"/>
      <c r="D241" s="215"/>
      <c r="E241" s="47" t="s">
        <v>3592</v>
      </c>
      <c r="F241" s="107" t="s">
        <v>7145</v>
      </c>
      <c r="G241" s="119">
        <v>0</v>
      </c>
      <c r="H241" s="119">
        <v>3074197</v>
      </c>
      <c r="I241" s="216">
        <v>3074197</v>
      </c>
      <c r="J241" s="119">
        <v>3074197</v>
      </c>
      <c r="K241" s="216">
        <v>0</v>
      </c>
      <c r="L241" s="126"/>
      <c r="M241" s="126"/>
      <c r="N241" s="119">
        <v>0</v>
      </c>
      <c r="O241" s="216">
        <v>0</v>
      </c>
      <c r="P241" s="126"/>
    </row>
    <row r="242" spans="1:16" s="40" customFormat="1" ht="15.75">
      <c r="A242" s="37">
        <v>24</v>
      </c>
      <c r="B242" s="30" t="s">
        <v>1616</v>
      </c>
      <c r="C242" s="38">
        <v>9</v>
      </c>
      <c r="D242" s="215"/>
      <c r="E242" s="47" t="s">
        <v>3593</v>
      </c>
      <c r="F242" s="107" t="s">
        <v>7146</v>
      </c>
      <c r="G242" s="119">
        <v>0</v>
      </c>
      <c r="H242" s="119">
        <v>7638868</v>
      </c>
      <c r="I242" s="216">
        <v>7638868</v>
      </c>
      <c r="J242" s="119">
        <v>7638868</v>
      </c>
      <c r="K242" s="216">
        <v>0</v>
      </c>
      <c r="L242" s="126"/>
      <c r="M242" s="126"/>
      <c r="N242" s="119">
        <v>0</v>
      </c>
      <c r="O242" s="216">
        <v>0</v>
      </c>
      <c r="P242" s="126"/>
    </row>
    <row r="243" spans="1:16" s="40" customFormat="1" ht="15.75">
      <c r="A243" s="37">
        <v>25</v>
      </c>
      <c r="B243" s="30" t="s">
        <v>1617</v>
      </c>
      <c r="C243" s="38">
        <v>24</v>
      </c>
      <c r="D243" s="215" t="s">
        <v>862</v>
      </c>
      <c r="E243" s="47" t="s">
        <v>3594</v>
      </c>
      <c r="F243" s="107" t="s">
        <v>7147</v>
      </c>
      <c r="G243" s="119">
        <v>0</v>
      </c>
      <c r="H243" s="119">
        <v>3539518</v>
      </c>
      <c r="I243" s="216">
        <v>3539518</v>
      </c>
      <c r="J243" s="119">
        <v>3539518</v>
      </c>
      <c r="K243" s="216">
        <v>0</v>
      </c>
      <c r="L243" s="126"/>
      <c r="M243" s="126"/>
      <c r="N243" s="119">
        <v>0</v>
      </c>
      <c r="O243" s="216">
        <v>0</v>
      </c>
      <c r="P243" s="126"/>
    </row>
    <row r="244" spans="1:16" s="40" customFormat="1" ht="15.75">
      <c r="A244" s="37">
        <v>26</v>
      </c>
      <c r="B244" s="30" t="s">
        <v>1618</v>
      </c>
      <c r="C244" s="38">
        <v>70</v>
      </c>
      <c r="D244" s="215"/>
      <c r="E244" s="47" t="s">
        <v>3595</v>
      </c>
      <c r="F244" s="107" t="s">
        <v>7148</v>
      </c>
      <c r="G244" s="119">
        <v>0</v>
      </c>
      <c r="H244" s="119">
        <v>446046</v>
      </c>
      <c r="I244" s="216">
        <v>446046</v>
      </c>
      <c r="J244" s="119">
        <v>446046</v>
      </c>
      <c r="K244" s="216">
        <v>0</v>
      </c>
      <c r="L244" s="126"/>
      <c r="M244" s="126"/>
      <c r="N244" s="119">
        <v>0</v>
      </c>
      <c r="O244" s="216">
        <v>0</v>
      </c>
      <c r="P244" s="126"/>
    </row>
    <row r="245" spans="1:16" s="40" customFormat="1" ht="15.75">
      <c r="A245" s="37">
        <v>27</v>
      </c>
      <c r="B245" s="30" t="s">
        <v>1619</v>
      </c>
      <c r="C245" s="38"/>
      <c r="D245" s="215"/>
      <c r="E245" s="47" t="s">
        <v>3596</v>
      </c>
      <c r="F245" s="107" t="s">
        <v>7149</v>
      </c>
      <c r="G245" s="119">
        <v>0</v>
      </c>
      <c r="H245" s="119">
        <v>1460001</v>
      </c>
      <c r="I245" s="216">
        <v>1460001</v>
      </c>
      <c r="J245" s="119">
        <v>1460001</v>
      </c>
      <c r="K245" s="216">
        <v>0</v>
      </c>
      <c r="L245" s="126"/>
      <c r="M245" s="126"/>
      <c r="N245" s="119">
        <v>0</v>
      </c>
      <c r="O245" s="216">
        <v>0</v>
      </c>
      <c r="P245" s="126"/>
    </row>
    <row r="246" spans="1:16" s="40" customFormat="1" ht="31.5">
      <c r="A246" s="37">
        <v>28</v>
      </c>
      <c r="B246" s="30" t="s">
        <v>1662</v>
      </c>
      <c r="C246" s="38"/>
      <c r="D246" s="215"/>
      <c r="E246" s="47" t="s">
        <v>3597</v>
      </c>
      <c r="F246" s="107" t="s">
        <v>7150</v>
      </c>
      <c r="G246" s="119">
        <v>0</v>
      </c>
      <c r="H246" s="119">
        <v>533644</v>
      </c>
      <c r="I246" s="216">
        <v>533644</v>
      </c>
      <c r="J246" s="119">
        <v>533644</v>
      </c>
      <c r="K246" s="216">
        <v>0</v>
      </c>
      <c r="L246" s="126"/>
      <c r="M246" s="126"/>
      <c r="N246" s="119">
        <v>0</v>
      </c>
      <c r="O246" s="216">
        <v>0</v>
      </c>
      <c r="P246" s="126"/>
    </row>
    <row r="247" spans="1:16" s="40" customFormat="1" ht="15.75">
      <c r="A247" s="37">
        <v>29</v>
      </c>
      <c r="B247" s="30" t="s">
        <v>1663</v>
      </c>
      <c r="C247" s="38"/>
      <c r="D247" s="215"/>
      <c r="E247" s="47" t="s">
        <v>3598</v>
      </c>
      <c r="F247" s="107" t="s">
        <v>7151</v>
      </c>
      <c r="G247" s="119">
        <v>0</v>
      </c>
      <c r="H247" s="119">
        <v>1480231</v>
      </c>
      <c r="I247" s="216">
        <v>1480231</v>
      </c>
      <c r="J247" s="119">
        <v>1480231</v>
      </c>
      <c r="K247" s="216">
        <v>0</v>
      </c>
      <c r="L247" s="126"/>
      <c r="M247" s="126"/>
      <c r="N247" s="119">
        <v>0</v>
      </c>
      <c r="O247" s="216">
        <v>0</v>
      </c>
      <c r="P247" s="126"/>
    </row>
    <row r="248" spans="1:16" s="40" customFormat="1" ht="15.75">
      <c r="A248" s="37">
        <v>30</v>
      </c>
      <c r="B248" s="30" t="s">
        <v>1847</v>
      </c>
      <c r="C248" s="38"/>
      <c r="D248" s="215"/>
      <c r="E248" s="47" t="s">
        <v>3599</v>
      </c>
      <c r="F248" s="107" t="s">
        <v>7152</v>
      </c>
      <c r="G248" s="119">
        <v>0</v>
      </c>
      <c r="H248" s="119">
        <v>121094695</v>
      </c>
      <c r="I248" s="216">
        <v>121094695</v>
      </c>
      <c r="J248" s="119">
        <v>121094695</v>
      </c>
      <c r="K248" s="216">
        <v>0</v>
      </c>
      <c r="L248" s="126"/>
      <c r="M248" s="126"/>
      <c r="N248" s="119">
        <v>0</v>
      </c>
      <c r="O248" s="216">
        <v>0</v>
      </c>
      <c r="P248" s="126"/>
    </row>
    <row r="249" spans="1:16" s="40" customFormat="1" ht="15.75">
      <c r="A249" s="37">
        <v>31</v>
      </c>
      <c r="B249" s="30" t="s">
        <v>1848</v>
      </c>
      <c r="C249" s="38"/>
      <c r="D249" s="215"/>
      <c r="E249" s="47" t="s">
        <v>3601</v>
      </c>
      <c r="F249" s="107" t="s">
        <v>7153</v>
      </c>
      <c r="G249" s="119">
        <v>0</v>
      </c>
      <c r="H249" s="119">
        <v>3327874</v>
      </c>
      <c r="I249" s="216">
        <v>3327874</v>
      </c>
      <c r="J249" s="119">
        <v>3327874</v>
      </c>
      <c r="K249" s="216">
        <v>0</v>
      </c>
      <c r="L249" s="126"/>
      <c r="M249" s="126"/>
      <c r="N249" s="119">
        <v>0</v>
      </c>
      <c r="O249" s="216">
        <v>0</v>
      </c>
      <c r="P249" s="126"/>
    </row>
    <row r="250" spans="1:16" s="40" customFormat="1" ht="31.5">
      <c r="A250" s="37">
        <v>32</v>
      </c>
      <c r="B250" s="30" t="s">
        <v>1849</v>
      </c>
      <c r="C250" s="38"/>
      <c r="D250" s="215"/>
      <c r="E250" s="47" t="s">
        <v>3602</v>
      </c>
      <c r="F250" s="107" t="s">
        <v>7154</v>
      </c>
      <c r="G250" s="119">
        <v>0</v>
      </c>
      <c r="H250" s="119">
        <v>402289</v>
      </c>
      <c r="I250" s="216">
        <v>402289</v>
      </c>
      <c r="J250" s="119">
        <v>402289</v>
      </c>
      <c r="K250" s="216">
        <v>0</v>
      </c>
      <c r="L250" s="126"/>
      <c r="M250" s="126"/>
      <c r="N250" s="119">
        <v>0</v>
      </c>
      <c r="O250" s="216">
        <v>0</v>
      </c>
      <c r="P250" s="126"/>
    </row>
    <row r="251" spans="1:16" s="40" customFormat="1" ht="31.5">
      <c r="A251" s="37">
        <v>33</v>
      </c>
      <c r="B251" s="30" t="s">
        <v>1850</v>
      </c>
      <c r="C251" s="38"/>
      <c r="D251" s="215"/>
      <c r="E251" s="47" t="s">
        <v>3604</v>
      </c>
      <c r="F251" s="107" t="s">
        <v>7155</v>
      </c>
      <c r="G251" s="119">
        <v>0</v>
      </c>
      <c r="H251" s="119">
        <v>1214791</v>
      </c>
      <c r="I251" s="216">
        <v>1214791</v>
      </c>
      <c r="J251" s="119">
        <v>1214791</v>
      </c>
      <c r="K251" s="216">
        <v>0</v>
      </c>
      <c r="L251" s="126"/>
      <c r="M251" s="126"/>
      <c r="N251" s="119">
        <v>0</v>
      </c>
      <c r="O251" s="216">
        <v>0</v>
      </c>
      <c r="P251" s="126"/>
    </row>
    <row r="252" spans="1:16" s="40" customFormat="1" ht="15.75">
      <c r="A252" s="37">
        <v>34</v>
      </c>
      <c r="B252" s="30" t="s">
        <v>1851</v>
      </c>
      <c r="C252" s="38">
        <v>71</v>
      </c>
      <c r="D252" s="215"/>
      <c r="E252" s="47" t="s">
        <v>3605</v>
      </c>
      <c r="F252" s="107" t="s">
        <v>7156</v>
      </c>
      <c r="G252" s="119">
        <v>0</v>
      </c>
      <c r="H252" s="119">
        <v>925404</v>
      </c>
      <c r="I252" s="216">
        <v>925404</v>
      </c>
      <c r="J252" s="119">
        <v>925404</v>
      </c>
      <c r="K252" s="216">
        <v>0</v>
      </c>
      <c r="L252" s="126"/>
      <c r="M252" s="126"/>
      <c r="N252" s="119">
        <v>0</v>
      </c>
      <c r="O252" s="216">
        <v>0</v>
      </c>
      <c r="P252" s="126"/>
    </row>
    <row r="253" spans="1:16" s="40" customFormat="1" ht="31.5">
      <c r="A253" s="37">
        <v>35</v>
      </c>
      <c r="B253" s="30" t="s">
        <v>1852</v>
      </c>
      <c r="C253" s="38">
        <v>23</v>
      </c>
      <c r="D253" s="215"/>
      <c r="E253" s="47" t="s">
        <v>3606</v>
      </c>
      <c r="F253" s="107" t="s">
        <v>7157</v>
      </c>
      <c r="G253" s="119">
        <v>0</v>
      </c>
      <c r="H253" s="119">
        <v>1518421</v>
      </c>
      <c r="I253" s="216">
        <v>1518421</v>
      </c>
      <c r="J253" s="119">
        <v>1518421</v>
      </c>
      <c r="K253" s="216">
        <v>0</v>
      </c>
      <c r="L253" s="126"/>
      <c r="M253" s="126"/>
      <c r="N253" s="119">
        <v>0</v>
      </c>
      <c r="O253" s="216">
        <v>0</v>
      </c>
      <c r="P253" s="126"/>
    </row>
    <row r="254" spans="1:16" s="40" customFormat="1" ht="15.75">
      <c r="A254" s="37">
        <v>36</v>
      </c>
      <c r="B254" s="30" t="s">
        <v>4444</v>
      </c>
      <c r="C254" s="38"/>
      <c r="D254" s="215"/>
      <c r="E254" s="47" t="s">
        <v>4366</v>
      </c>
      <c r="F254" s="107" t="s">
        <v>7158</v>
      </c>
      <c r="G254" s="119">
        <v>0</v>
      </c>
      <c r="H254" s="119">
        <v>110490000</v>
      </c>
      <c r="I254" s="216">
        <v>110490000</v>
      </c>
      <c r="J254" s="119">
        <v>0</v>
      </c>
      <c r="K254" s="216">
        <v>110490000</v>
      </c>
      <c r="L254" s="126"/>
      <c r="M254" s="126"/>
      <c r="N254" s="119">
        <v>10000000</v>
      </c>
      <c r="O254" s="216">
        <v>10000000</v>
      </c>
      <c r="P254" s="126"/>
    </row>
    <row r="255" spans="1:16" s="40" customFormat="1" ht="15.75">
      <c r="A255" s="37">
        <v>37</v>
      </c>
      <c r="B255" s="30" t="s">
        <v>4447</v>
      </c>
      <c r="C255" s="38"/>
      <c r="D255" s="215"/>
      <c r="E255" s="47" t="s">
        <v>4367</v>
      </c>
      <c r="F255" s="107" t="s">
        <v>7159</v>
      </c>
      <c r="G255" s="119">
        <v>0</v>
      </c>
      <c r="H255" s="119">
        <v>41700000</v>
      </c>
      <c r="I255" s="216">
        <v>41700000</v>
      </c>
      <c r="J255" s="119">
        <v>0</v>
      </c>
      <c r="K255" s="216">
        <v>41700000</v>
      </c>
      <c r="L255" s="126"/>
      <c r="M255" s="126"/>
      <c r="N255" s="119">
        <v>272900000</v>
      </c>
      <c r="O255" s="216">
        <v>272900000</v>
      </c>
      <c r="P255" s="126"/>
    </row>
    <row r="256" spans="1:16" s="40" customFormat="1" ht="15.75">
      <c r="A256" s="37">
        <v>38</v>
      </c>
      <c r="B256" s="27" t="s">
        <v>775</v>
      </c>
      <c r="C256" s="38"/>
      <c r="D256" s="215"/>
      <c r="E256" s="226" t="s">
        <v>5407</v>
      </c>
      <c r="F256" s="107" t="s">
        <v>7000</v>
      </c>
      <c r="G256" s="119">
        <v>0</v>
      </c>
      <c r="H256" s="119">
        <v>78091960</v>
      </c>
      <c r="I256" s="216">
        <v>78091960</v>
      </c>
      <c r="J256" s="119">
        <v>78091960</v>
      </c>
      <c r="K256" s="216">
        <v>0</v>
      </c>
      <c r="L256" s="126"/>
      <c r="M256" s="126"/>
      <c r="N256" s="119">
        <v>0</v>
      </c>
      <c r="O256" s="216">
        <v>0</v>
      </c>
      <c r="P256" s="126"/>
    </row>
    <row r="257" spans="1:16" s="40" customFormat="1" ht="15.75">
      <c r="A257" s="37">
        <v>39</v>
      </c>
      <c r="B257" s="27" t="s">
        <v>775</v>
      </c>
      <c r="C257" s="38"/>
      <c r="D257" s="215"/>
      <c r="E257" s="226" t="s">
        <v>5408</v>
      </c>
      <c r="F257" s="107" t="s">
        <v>7001</v>
      </c>
      <c r="G257" s="119">
        <v>0</v>
      </c>
      <c r="H257" s="119">
        <v>80811327</v>
      </c>
      <c r="I257" s="216">
        <v>80811327</v>
      </c>
      <c r="J257" s="119">
        <v>80811327</v>
      </c>
      <c r="K257" s="216">
        <v>0</v>
      </c>
      <c r="L257" s="126"/>
      <c r="M257" s="126"/>
      <c r="N257" s="119">
        <v>0</v>
      </c>
      <c r="O257" s="216">
        <v>0</v>
      </c>
      <c r="P257" s="126"/>
    </row>
    <row r="258" spans="1:16" s="40" customFormat="1" ht="31.5">
      <c r="A258" s="37">
        <v>40</v>
      </c>
      <c r="B258" s="30" t="s">
        <v>5401</v>
      </c>
      <c r="C258" s="38"/>
      <c r="D258" s="215"/>
      <c r="E258" s="47" t="s">
        <v>5388</v>
      </c>
      <c r="F258" s="107"/>
      <c r="G258" s="119">
        <v>0</v>
      </c>
      <c r="H258" s="119">
        <v>99003666</v>
      </c>
      <c r="I258" s="216">
        <v>99003666</v>
      </c>
      <c r="J258" s="119">
        <v>99003666</v>
      </c>
      <c r="K258" s="216">
        <v>0</v>
      </c>
      <c r="L258" s="126"/>
      <c r="M258" s="126"/>
      <c r="N258" s="119">
        <v>0</v>
      </c>
      <c r="O258" s="216">
        <v>0</v>
      </c>
      <c r="P258" s="126"/>
    </row>
    <row r="259" spans="1:16" s="40" customFormat="1" ht="15.75">
      <c r="A259" s="37"/>
      <c r="B259" s="27"/>
      <c r="C259" s="38"/>
      <c r="D259" s="215"/>
      <c r="E259" s="47"/>
      <c r="F259" s="107"/>
      <c r="G259" s="119">
        <v>0</v>
      </c>
      <c r="H259" s="119">
        <v>0</v>
      </c>
      <c r="I259" s="216">
        <v>0</v>
      </c>
      <c r="J259" s="119">
        <v>0</v>
      </c>
      <c r="K259" s="216">
        <v>0</v>
      </c>
      <c r="L259" s="126"/>
      <c r="M259" s="126"/>
      <c r="N259" s="119">
        <v>0</v>
      </c>
      <c r="O259" s="216">
        <v>0</v>
      </c>
      <c r="P259" s="126"/>
    </row>
    <row r="260" spans="1:16" s="40" customFormat="1" ht="15.75">
      <c r="A260" s="37"/>
      <c r="B260" s="27"/>
      <c r="C260" s="38"/>
      <c r="D260" s="215"/>
      <c r="E260" s="217" t="s">
        <v>3607</v>
      </c>
      <c r="F260" s="218" t="s">
        <v>7160</v>
      </c>
      <c r="G260" s="119">
        <v>0</v>
      </c>
      <c r="H260" s="119">
        <v>2700310221</v>
      </c>
      <c r="I260" s="216">
        <v>2700310221</v>
      </c>
      <c r="J260" s="119">
        <v>2074100221</v>
      </c>
      <c r="K260" s="216">
        <v>626210000</v>
      </c>
      <c r="L260" s="126"/>
      <c r="M260" s="126"/>
      <c r="N260" s="119">
        <v>522400000</v>
      </c>
      <c r="O260" s="216">
        <v>522400000</v>
      </c>
      <c r="P260" s="126"/>
    </row>
    <row r="261" spans="1:16" s="40" customFormat="1" ht="15.75">
      <c r="A261" s="37"/>
      <c r="B261" s="27"/>
      <c r="C261" s="38"/>
      <c r="D261" s="215"/>
      <c r="E261" s="47"/>
      <c r="F261" s="107"/>
      <c r="G261" s="119">
        <v>0</v>
      </c>
      <c r="H261" s="119">
        <v>0</v>
      </c>
      <c r="I261" s="216">
        <v>0</v>
      </c>
      <c r="J261" s="119">
        <v>0</v>
      </c>
      <c r="K261" s="216">
        <v>0</v>
      </c>
      <c r="L261" s="126"/>
      <c r="M261" s="126"/>
      <c r="N261" s="119">
        <v>0</v>
      </c>
      <c r="O261" s="216">
        <v>0</v>
      </c>
      <c r="P261" s="126"/>
    </row>
    <row r="262" spans="1:16" s="40" customFormat="1" ht="15.75">
      <c r="A262" s="37"/>
      <c r="B262" s="27"/>
      <c r="C262" s="38"/>
      <c r="D262" s="215"/>
      <c r="E262" s="47" t="s">
        <v>2666</v>
      </c>
      <c r="F262" s="107" t="s">
        <v>7161</v>
      </c>
      <c r="G262" s="119">
        <v>0</v>
      </c>
      <c r="H262" s="119">
        <v>0</v>
      </c>
      <c r="I262" s="216">
        <v>0</v>
      </c>
      <c r="J262" s="119">
        <v>0</v>
      </c>
      <c r="K262" s="216">
        <v>0</v>
      </c>
      <c r="L262" s="126"/>
      <c r="M262" s="126"/>
      <c r="N262" s="119">
        <v>0</v>
      </c>
      <c r="O262" s="216">
        <v>0</v>
      </c>
      <c r="P262" s="126"/>
    </row>
    <row r="263" spans="1:16" s="40" customFormat="1" ht="15.75">
      <c r="A263" s="37">
        <v>1</v>
      </c>
      <c r="B263" s="27" t="s">
        <v>1483</v>
      </c>
      <c r="C263" s="38"/>
      <c r="D263" s="215"/>
      <c r="E263" s="47" t="s">
        <v>3608</v>
      </c>
      <c r="F263" s="107" t="s">
        <v>7162</v>
      </c>
      <c r="G263" s="119">
        <v>0</v>
      </c>
      <c r="H263" s="119">
        <v>15832412</v>
      </c>
      <c r="I263" s="216">
        <v>15832412</v>
      </c>
      <c r="J263" s="119">
        <v>15832412</v>
      </c>
      <c r="K263" s="216">
        <v>0</v>
      </c>
      <c r="L263" s="126"/>
      <c r="M263" s="126"/>
      <c r="N263" s="119">
        <v>0</v>
      </c>
      <c r="O263" s="216">
        <v>0</v>
      </c>
      <c r="P263" s="126"/>
    </row>
    <row r="264" spans="1:16" s="40" customFormat="1" ht="31.5">
      <c r="A264" s="37">
        <v>2</v>
      </c>
      <c r="B264" s="27" t="s">
        <v>1505</v>
      </c>
      <c r="C264" s="38">
        <v>62</v>
      </c>
      <c r="D264" s="215"/>
      <c r="E264" s="47" t="s">
        <v>3609</v>
      </c>
      <c r="F264" s="107" t="s">
        <v>7163</v>
      </c>
      <c r="G264" s="119">
        <v>0</v>
      </c>
      <c r="H264" s="119">
        <v>4653320</v>
      </c>
      <c r="I264" s="216">
        <v>4653320</v>
      </c>
      <c r="J264" s="119">
        <v>4653320</v>
      </c>
      <c r="K264" s="216">
        <v>0</v>
      </c>
      <c r="L264" s="126"/>
      <c r="M264" s="126"/>
      <c r="N264" s="119">
        <v>0</v>
      </c>
      <c r="O264" s="216">
        <v>0</v>
      </c>
      <c r="P264" s="126"/>
    </row>
    <row r="265" spans="1:16" s="40" customFormat="1" ht="47.25">
      <c r="A265" s="37">
        <v>3</v>
      </c>
      <c r="B265" s="27" t="s">
        <v>1620</v>
      </c>
      <c r="C265" s="38"/>
      <c r="D265" s="215"/>
      <c r="E265" s="47" t="s">
        <v>4249</v>
      </c>
      <c r="F265" s="107" t="s">
        <v>7164</v>
      </c>
      <c r="G265" s="119">
        <v>0</v>
      </c>
      <c r="H265" s="119">
        <v>1622176</v>
      </c>
      <c r="I265" s="216">
        <v>1622176</v>
      </c>
      <c r="J265" s="119">
        <v>1622176</v>
      </c>
      <c r="K265" s="216">
        <v>0</v>
      </c>
      <c r="L265" s="126"/>
      <c r="M265" s="126"/>
      <c r="N265" s="119">
        <v>0</v>
      </c>
      <c r="O265" s="216">
        <v>0</v>
      </c>
      <c r="P265" s="126"/>
    </row>
    <row r="266" spans="1:16" s="40" customFormat="1" ht="15.75">
      <c r="A266" s="37">
        <v>4</v>
      </c>
      <c r="B266" s="27" t="s">
        <v>1895</v>
      </c>
      <c r="C266" s="229" t="s">
        <v>1890</v>
      </c>
      <c r="D266" s="215"/>
      <c r="E266" s="47" t="s">
        <v>3610</v>
      </c>
      <c r="F266" s="107" t="s">
        <v>7165</v>
      </c>
      <c r="G266" s="119">
        <v>0</v>
      </c>
      <c r="H266" s="119">
        <v>797857</v>
      </c>
      <c r="I266" s="216">
        <v>797857</v>
      </c>
      <c r="J266" s="119">
        <v>797857</v>
      </c>
      <c r="K266" s="216">
        <v>0</v>
      </c>
      <c r="L266" s="126"/>
      <c r="M266" s="126"/>
      <c r="N266" s="119">
        <v>0</v>
      </c>
      <c r="O266" s="216">
        <v>0</v>
      </c>
      <c r="P266" s="126"/>
    </row>
    <row r="267" spans="1:16" s="40" customFormat="1" ht="15.75">
      <c r="A267" s="37">
        <v>5</v>
      </c>
      <c r="B267" s="27" t="s">
        <v>1896</v>
      </c>
      <c r="C267" s="229" t="s">
        <v>1887</v>
      </c>
      <c r="D267" s="215"/>
      <c r="E267" s="47" t="s">
        <v>3611</v>
      </c>
      <c r="F267" s="107" t="s">
        <v>7166</v>
      </c>
      <c r="G267" s="119">
        <v>0</v>
      </c>
      <c r="H267" s="119">
        <v>1158766</v>
      </c>
      <c r="I267" s="216">
        <v>1158766</v>
      </c>
      <c r="J267" s="119">
        <v>1158766</v>
      </c>
      <c r="K267" s="216">
        <v>0</v>
      </c>
      <c r="L267" s="126"/>
      <c r="M267" s="126"/>
      <c r="N267" s="119">
        <v>0</v>
      </c>
      <c r="O267" s="216">
        <v>0</v>
      </c>
      <c r="P267" s="126"/>
    </row>
    <row r="268" spans="1:16" s="40" customFormat="1" ht="15.75">
      <c r="A268" s="37">
        <v>6</v>
      </c>
      <c r="B268" s="27" t="s">
        <v>4494</v>
      </c>
      <c r="C268" s="38"/>
      <c r="D268" s="215"/>
      <c r="E268" s="47" t="s">
        <v>4495</v>
      </c>
      <c r="F268" s="107" t="s">
        <v>7167</v>
      </c>
      <c r="G268" s="119">
        <v>0</v>
      </c>
      <c r="H268" s="119">
        <v>22600000</v>
      </c>
      <c r="I268" s="216">
        <v>22600000</v>
      </c>
      <c r="J268" s="119">
        <v>0</v>
      </c>
      <c r="K268" s="216">
        <v>22600000</v>
      </c>
      <c r="L268" s="126"/>
      <c r="M268" s="126"/>
      <c r="N268" s="119">
        <v>27850000</v>
      </c>
      <c r="O268" s="216">
        <v>27850000</v>
      </c>
      <c r="P268" s="126"/>
    </row>
    <row r="269" spans="1:16" s="40" customFormat="1" ht="15.75">
      <c r="A269" s="37"/>
      <c r="B269" s="27"/>
      <c r="C269" s="38"/>
      <c r="D269" s="215"/>
      <c r="E269" s="47"/>
      <c r="F269" s="107"/>
      <c r="G269" s="119">
        <v>0</v>
      </c>
      <c r="H269" s="119">
        <v>0</v>
      </c>
      <c r="I269" s="216">
        <v>0</v>
      </c>
      <c r="J269" s="119">
        <v>0</v>
      </c>
      <c r="K269" s="216">
        <v>0</v>
      </c>
      <c r="L269" s="126"/>
      <c r="M269" s="126"/>
      <c r="N269" s="119">
        <v>0</v>
      </c>
      <c r="O269" s="216">
        <v>0</v>
      </c>
      <c r="P269" s="126"/>
    </row>
    <row r="270" spans="1:16" s="40" customFormat="1" ht="15.75">
      <c r="A270" s="37"/>
      <c r="B270" s="27"/>
      <c r="C270" s="38"/>
      <c r="D270" s="215"/>
      <c r="E270" s="217" t="s">
        <v>2676</v>
      </c>
      <c r="F270" s="218" t="s">
        <v>7168</v>
      </c>
      <c r="G270" s="119">
        <v>0</v>
      </c>
      <c r="H270" s="119">
        <v>46664531</v>
      </c>
      <c r="I270" s="216">
        <v>46664531</v>
      </c>
      <c r="J270" s="119">
        <v>24064531</v>
      </c>
      <c r="K270" s="216">
        <v>22600000</v>
      </c>
      <c r="L270" s="126"/>
      <c r="M270" s="126"/>
      <c r="N270" s="119">
        <v>27850000</v>
      </c>
      <c r="O270" s="216">
        <v>27850000</v>
      </c>
      <c r="P270" s="126"/>
    </row>
    <row r="271" spans="1:16" s="40" customFormat="1" ht="15.75">
      <c r="A271" s="37"/>
      <c r="B271" s="27"/>
      <c r="C271" s="38"/>
      <c r="D271" s="215"/>
      <c r="E271" s="47"/>
      <c r="F271" s="107"/>
      <c r="G271" s="119">
        <v>0</v>
      </c>
      <c r="H271" s="119">
        <v>0</v>
      </c>
      <c r="I271" s="216">
        <v>0</v>
      </c>
      <c r="J271" s="119">
        <v>0</v>
      </c>
      <c r="K271" s="216">
        <v>0</v>
      </c>
      <c r="L271" s="126"/>
      <c r="M271" s="126"/>
      <c r="N271" s="119">
        <v>0</v>
      </c>
      <c r="O271" s="216">
        <v>0</v>
      </c>
      <c r="P271" s="126"/>
    </row>
    <row r="272" spans="1:16" s="40" customFormat="1" ht="15.75">
      <c r="A272" s="37"/>
      <c r="B272" s="27"/>
      <c r="C272" s="38"/>
      <c r="D272" s="215"/>
      <c r="E272" s="47" t="s">
        <v>3683</v>
      </c>
      <c r="F272" s="107" t="s">
        <v>7169</v>
      </c>
      <c r="G272" s="119">
        <v>0</v>
      </c>
      <c r="H272" s="119">
        <v>0</v>
      </c>
      <c r="I272" s="216">
        <v>0</v>
      </c>
      <c r="J272" s="119">
        <v>0</v>
      </c>
      <c r="K272" s="216">
        <v>0</v>
      </c>
      <c r="L272" s="126"/>
      <c r="M272" s="126"/>
      <c r="N272" s="119">
        <v>0</v>
      </c>
      <c r="O272" s="216">
        <v>0</v>
      </c>
      <c r="P272" s="126"/>
    </row>
    <row r="273" spans="1:16" s="40" customFormat="1" ht="15.75">
      <c r="A273" s="37">
        <v>1</v>
      </c>
      <c r="B273" s="27" t="s">
        <v>57</v>
      </c>
      <c r="C273" s="38"/>
      <c r="D273" s="215"/>
      <c r="E273" s="47" t="s">
        <v>4891</v>
      </c>
      <c r="F273" s="107" t="s">
        <v>7170</v>
      </c>
      <c r="G273" s="119">
        <v>0</v>
      </c>
      <c r="H273" s="119">
        <v>164617937</v>
      </c>
      <c r="I273" s="216">
        <v>164617937</v>
      </c>
      <c r="J273" s="119">
        <v>164617937</v>
      </c>
      <c r="K273" s="216">
        <v>0</v>
      </c>
      <c r="L273" s="126"/>
      <c r="M273" s="126"/>
      <c r="N273" s="119">
        <v>0</v>
      </c>
      <c r="O273" s="216">
        <v>0</v>
      </c>
      <c r="P273" s="126">
        <v>70000000</v>
      </c>
    </row>
    <row r="274" spans="1:16" s="40" customFormat="1" ht="15.75">
      <c r="A274" s="37">
        <v>2</v>
      </c>
      <c r="B274" s="27" t="s">
        <v>147</v>
      </c>
      <c r="C274" s="38" t="s">
        <v>598</v>
      </c>
      <c r="D274" s="215"/>
      <c r="E274" s="47" t="s">
        <v>3612</v>
      </c>
      <c r="F274" s="107" t="s">
        <v>7171</v>
      </c>
      <c r="G274" s="119">
        <v>0</v>
      </c>
      <c r="H274" s="119">
        <v>28957453</v>
      </c>
      <c r="I274" s="216">
        <v>28957453</v>
      </c>
      <c r="J274" s="119">
        <v>28957453</v>
      </c>
      <c r="K274" s="216">
        <v>0</v>
      </c>
      <c r="L274" s="126"/>
      <c r="M274" s="126"/>
      <c r="N274" s="119">
        <v>0</v>
      </c>
      <c r="O274" s="216">
        <v>0</v>
      </c>
      <c r="P274" s="126"/>
    </row>
    <row r="275" spans="1:16" s="40" customFormat="1" ht="15.75">
      <c r="A275" s="37">
        <v>3</v>
      </c>
      <c r="B275" s="27" t="s">
        <v>108</v>
      </c>
      <c r="C275" s="38"/>
      <c r="D275" s="215"/>
      <c r="E275" s="47" t="s">
        <v>3613</v>
      </c>
      <c r="F275" s="107" t="s">
        <v>7172</v>
      </c>
      <c r="G275" s="119">
        <v>0</v>
      </c>
      <c r="H275" s="119">
        <v>30276518</v>
      </c>
      <c r="I275" s="216">
        <v>30276518</v>
      </c>
      <c r="J275" s="119">
        <v>30276518</v>
      </c>
      <c r="K275" s="216">
        <v>0</v>
      </c>
      <c r="L275" s="126"/>
      <c r="M275" s="126"/>
      <c r="N275" s="119">
        <v>0</v>
      </c>
      <c r="O275" s="216">
        <v>0</v>
      </c>
      <c r="P275" s="126"/>
    </row>
    <row r="276" spans="1:16" s="40" customFormat="1" ht="15.75">
      <c r="A276" s="37">
        <v>4</v>
      </c>
      <c r="B276" s="27" t="s">
        <v>1050</v>
      </c>
      <c r="C276" s="38" t="s">
        <v>598</v>
      </c>
      <c r="D276" s="215" t="s">
        <v>863</v>
      </c>
      <c r="E276" s="47" t="s">
        <v>4892</v>
      </c>
      <c r="F276" s="107" t="s">
        <v>7173</v>
      </c>
      <c r="G276" s="119">
        <v>0</v>
      </c>
      <c r="H276" s="119">
        <v>29190127</v>
      </c>
      <c r="I276" s="216">
        <v>29190127</v>
      </c>
      <c r="J276" s="119">
        <v>29190127</v>
      </c>
      <c r="K276" s="216">
        <v>0</v>
      </c>
      <c r="L276" s="126"/>
      <c r="M276" s="126"/>
      <c r="N276" s="119">
        <v>0</v>
      </c>
      <c r="O276" s="216">
        <v>0</v>
      </c>
      <c r="P276" s="126"/>
    </row>
    <row r="277" spans="1:16" s="40" customFormat="1" ht="15.75">
      <c r="A277" s="37">
        <v>5</v>
      </c>
      <c r="B277" s="27" t="s">
        <v>615</v>
      </c>
      <c r="C277" s="38"/>
      <c r="D277" s="215"/>
      <c r="E277" s="47" t="s">
        <v>4893</v>
      </c>
      <c r="F277" s="107" t="s">
        <v>7174</v>
      </c>
      <c r="G277" s="119">
        <v>0</v>
      </c>
      <c r="H277" s="119">
        <v>1828715443</v>
      </c>
      <c r="I277" s="216">
        <v>1828715443</v>
      </c>
      <c r="J277" s="119">
        <v>1072615443</v>
      </c>
      <c r="K277" s="216">
        <v>756100000</v>
      </c>
      <c r="L277" s="126"/>
      <c r="M277" s="126"/>
      <c r="N277" s="119">
        <v>340000000</v>
      </c>
      <c r="O277" s="216">
        <v>340000000</v>
      </c>
      <c r="P277" s="126"/>
    </row>
    <row r="278" spans="1:16" s="40" customFormat="1" ht="31.5">
      <c r="A278" s="37">
        <v>6</v>
      </c>
      <c r="B278" s="27" t="s">
        <v>595</v>
      </c>
      <c r="C278" s="38"/>
      <c r="D278" s="215"/>
      <c r="E278" s="47" t="s">
        <v>3615</v>
      </c>
      <c r="F278" s="107" t="s">
        <v>7175</v>
      </c>
      <c r="G278" s="119">
        <v>0</v>
      </c>
      <c r="H278" s="119">
        <v>73648893</v>
      </c>
      <c r="I278" s="216">
        <v>73648893</v>
      </c>
      <c r="J278" s="119">
        <v>73648893</v>
      </c>
      <c r="K278" s="216">
        <v>0</v>
      </c>
      <c r="L278" s="126"/>
      <c r="M278" s="126"/>
      <c r="N278" s="119">
        <v>0</v>
      </c>
      <c r="O278" s="216">
        <v>0</v>
      </c>
      <c r="P278" s="126"/>
    </row>
    <row r="279" spans="1:16" s="40" customFormat="1" ht="15.75">
      <c r="A279" s="37">
        <v>7</v>
      </c>
      <c r="B279" s="27" t="s">
        <v>1253</v>
      </c>
      <c r="C279" s="38"/>
      <c r="D279" s="215"/>
      <c r="E279" s="47" t="s">
        <v>3616</v>
      </c>
      <c r="F279" s="107" t="s">
        <v>7176</v>
      </c>
      <c r="G279" s="119">
        <v>0</v>
      </c>
      <c r="H279" s="119">
        <v>29650318</v>
      </c>
      <c r="I279" s="216">
        <v>29650318</v>
      </c>
      <c r="J279" s="119">
        <v>29650318</v>
      </c>
      <c r="K279" s="216">
        <v>0</v>
      </c>
      <c r="L279" s="126"/>
      <c r="M279" s="126"/>
      <c r="N279" s="119">
        <v>0</v>
      </c>
      <c r="O279" s="216">
        <v>0</v>
      </c>
      <c r="P279" s="126"/>
    </row>
    <row r="280" spans="1:16" s="40" customFormat="1" ht="15.75">
      <c r="A280" s="37">
        <v>8</v>
      </c>
      <c r="B280" s="27" t="s">
        <v>1254</v>
      </c>
      <c r="C280" s="38">
        <v>46</v>
      </c>
      <c r="D280" s="215"/>
      <c r="E280" s="47" t="s">
        <v>3617</v>
      </c>
      <c r="F280" s="107" t="s">
        <v>7177</v>
      </c>
      <c r="G280" s="119">
        <v>0</v>
      </c>
      <c r="H280" s="119">
        <v>16016884</v>
      </c>
      <c r="I280" s="216">
        <v>16016884</v>
      </c>
      <c r="J280" s="119">
        <v>16016884</v>
      </c>
      <c r="K280" s="216">
        <v>0</v>
      </c>
      <c r="L280" s="126"/>
      <c r="M280" s="126"/>
      <c r="N280" s="119">
        <v>0</v>
      </c>
      <c r="O280" s="216">
        <v>0</v>
      </c>
      <c r="P280" s="126">
        <v>5000000</v>
      </c>
    </row>
    <row r="281" spans="1:16" s="40" customFormat="1" ht="47.25">
      <c r="A281" s="37">
        <v>9</v>
      </c>
      <c r="B281" s="27" t="s">
        <v>1255</v>
      </c>
      <c r="C281" s="38">
        <v>7</v>
      </c>
      <c r="D281" s="215"/>
      <c r="E281" s="47" t="s">
        <v>3618</v>
      </c>
      <c r="F281" s="107" t="s">
        <v>7178</v>
      </c>
      <c r="G281" s="119">
        <v>0</v>
      </c>
      <c r="H281" s="119">
        <v>27907148</v>
      </c>
      <c r="I281" s="216">
        <v>27907148</v>
      </c>
      <c r="J281" s="119">
        <v>27907148</v>
      </c>
      <c r="K281" s="216">
        <v>0</v>
      </c>
      <c r="L281" s="126"/>
      <c r="M281" s="126"/>
      <c r="N281" s="119">
        <v>0</v>
      </c>
      <c r="O281" s="216">
        <v>0</v>
      </c>
      <c r="P281" s="126">
        <v>20000000</v>
      </c>
    </row>
    <row r="282" spans="1:16" s="40" customFormat="1" ht="31.5">
      <c r="A282" s="37">
        <v>10</v>
      </c>
      <c r="B282" s="27" t="s">
        <v>1256</v>
      </c>
      <c r="C282" s="38"/>
      <c r="D282" s="215"/>
      <c r="E282" s="47" t="s">
        <v>4894</v>
      </c>
      <c r="F282" s="107" t="s">
        <v>7179</v>
      </c>
      <c r="G282" s="119">
        <v>0</v>
      </c>
      <c r="H282" s="119">
        <v>11771777</v>
      </c>
      <c r="I282" s="216">
        <v>11771777</v>
      </c>
      <c r="J282" s="119">
        <v>11771777</v>
      </c>
      <c r="K282" s="216">
        <v>0</v>
      </c>
      <c r="L282" s="126"/>
      <c r="M282" s="126"/>
      <c r="N282" s="119">
        <v>0</v>
      </c>
      <c r="O282" s="216">
        <v>0</v>
      </c>
      <c r="P282" s="126"/>
    </row>
    <row r="283" spans="1:16" s="40" customFormat="1" ht="15.75">
      <c r="A283" s="37">
        <v>11</v>
      </c>
      <c r="B283" s="27" t="s">
        <v>1350</v>
      </c>
      <c r="C283" s="38"/>
      <c r="D283" s="215"/>
      <c r="E283" s="47" t="s">
        <v>4895</v>
      </c>
      <c r="F283" s="107" t="s">
        <v>7180</v>
      </c>
      <c r="G283" s="119">
        <v>0</v>
      </c>
      <c r="H283" s="119">
        <v>18238213</v>
      </c>
      <c r="I283" s="216">
        <v>18238213</v>
      </c>
      <c r="J283" s="119">
        <v>18238213</v>
      </c>
      <c r="K283" s="216">
        <v>0</v>
      </c>
      <c r="L283" s="126"/>
      <c r="M283" s="126"/>
      <c r="N283" s="119">
        <v>0</v>
      </c>
      <c r="O283" s="216">
        <v>0</v>
      </c>
      <c r="P283" s="126">
        <v>48000000</v>
      </c>
    </row>
    <row r="284" spans="1:16" s="40" customFormat="1" ht="15.75">
      <c r="A284" s="37">
        <v>12</v>
      </c>
      <c r="B284" s="27" t="s">
        <v>1351</v>
      </c>
      <c r="C284" s="38"/>
      <c r="D284" s="215"/>
      <c r="E284" s="47" t="s">
        <v>3619</v>
      </c>
      <c r="F284" s="107" t="s">
        <v>7181</v>
      </c>
      <c r="G284" s="119">
        <v>0</v>
      </c>
      <c r="H284" s="119">
        <v>41108822</v>
      </c>
      <c r="I284" s="216">
        <v>41108822</v>
      </c>
      <c r="J284" s="119">
        <v>41108822</v>
      </c>
      <c r="K284" s="216">
        <v>0</v>
      </c>
      <c r="L284" s="126"/>
      <c r="M284" s="126"/>
      <c r="N284" s="119">
        <v>0</v>
      </c>
      <c r="O284" s="216">
        <v>0</v>
      </c>
      <c r="P284" s="126">
        <v>40000000</v>
      </c>
    </row>
    <row r="285" spans="1:16" s="40" customFormat="1" ht="31.5">
      <c r="A285" s="37">
        <v>13</v>
      </c>
      <c r="B285" s="27" t="s">
        <v>1621</v>
      </c>
      <c r="C285" s="38">
        <v>3</v>
      </c>
      <c r="D285" s="215"/>
      <c r="E285" s="47" t="s">
        <v>3620</v>
      </c>
      <c r="F285" s="107" t="s">
        <v>7182</v>
      </c>
      <c r="G285" s="119">
        <v>0</v>
      </c>
      <c r="H285" s="119">
        <v>827231</v>
      </c>
      <c r="I285" s="216">
        <v>827231</v>
      </c>
      <c r="J285" s="119">
        <v>827231</v>
      </c>
      <c r="K285" s="216">
        <v>0</v>
      </c>
      <c r="L285" s="126"/>
      <c r="M285" s="126"/>
      <c r="N285" s="119">
        <v>0</v>
      </c>
      <c r="O285" s="216">
        <v>0</v>
      </c>
      <c r="P285" s="126"/>
    </row>
    <row r="286" spans="1:16" s="40" customFormat="1" ht="15.75">
      <c r="A286" s="37">
        <v>14</v>
      </c>
      <c r="B286" s="27" t="s">
        <v>1622</v>
      </c>
      <c r="C286" s="38"/>
      <c r="D286" s="215"/>
      <c r="E286" s="47" t="s">
        <v>3621</v>
      </c>
      <c r="F286" s="107" t="s">
        <v>7183</v>
      </c>
      <c r="G286" s="119">
        <v>0</v>
      </c>
      <c r="H286" s="119">
        <v>1624866</v>
      </c>
      <c r="I286" s="216">
        <v>1624866</v>
      </c>
      <c r="J286" s="119">
        <v>1624866</v>
      </c>
      <c r="K286" s="216">
        <v>0</v>
      </c>
      <c r="L286" s="126"/>
      <c r="M286" s="126"/>
      <c r="N286" s="119">
        <v>0</v>
      </c>
      <c r="O286" s="216">
        <v>0</v>
      </c>
      <c r="P286" s="126"/>
    </row>
    <row r="287" spans="1:16" s="40" customFormat="1" ht="15.75">
      <c r="A287" s="37">
        <v>15</v>
      </c>
      <c r="B287" s="27" t="s">
        <v>1623</v>
      </c>
      <c r="C287" s="38">
        <v>76</v>
      </c>
      <c r="D287" s="215"/>
      <c r="E287" s="47" t="s">
        <v>4896</v>
      </c>
      <c r="F287" s="107" t="s">
        <v>7184</v>
      </c>
      <c r="G287" s="119">
        <v>0</v>
      </c>
      <c r="H287" s="119">
        <v>2269336</v>
      </c>
      <c r="I287" s="216">
        <v>2269336</v>
      </c>
      <c r="J287" s="119">
        <v>2269336</v>
      </c>
      <c r="K287" s="216">
        <v>0</v>
      </c>
      <c r="L287" s="126"/>
      <c r="M287" s="126"/>
      <c r="N287" s="119">
        <v>0</v>
      </c>
      <c r="O287" s="216">
        <v>0</v>
      </c>
      <c r="P287" s="126"/>
    </row>
    <row r="288" spans="1:16" s="40" customFormat="1" ht="31.5">
      <c r="A288" s="37">
        <v>16</v>
      </c>
      <c r="B288" s="27" t="s">
        <v>1624</v>
      </c>
      <c r="C288" s="38"/>
      <c r="D288" s="215"/>
      <c r="E288" s="47" t="s">
        <v>3622</v>
      </c>
      <c r="F288" s="107" t="s">
        <v>7185</v>
      </c>
      <c r="G288" s="119">
        <v>0</v>
      </c>
      <c r="H288" s="119">
        <v>8629880</v>
      </c>
      <c r="I288" s="216">
        <v>8629880</v>
      </c>
      <c r="J288" s="119">
        <v>8629880</v>
      </c>
      <c r="K288" s="216">
        <v>0</v>
      </c>
      <c r="L288" s="126"/>
      <c r="M288" s="126"/>
      <c r="N288" s="119">
        <v>0</v>
      </c>
      <c r="O288" s="216">
        <v>0</v>
      </c>
      <c r="P288" s="126"/>
    </row>
    <row r="289" spans="1:16" s="40" customFormat="1" ht="15.75">
      <c r="A289" s="37">
        <v>17</v>
      </c>
      <c r="B289" s="27" t="s">
        <v>1625</v>
      </c>
      <c r="C289" s="38"/>
      <c r="D289" s="215"/>
      <c r="E289" s="47" t="s">
        <v>3623</v>
      </c>
      <c r="F289" s="107" t="s">
        <v>7186</v>
      </c>
      <c r="G289" s="119">
        <v>0</v>
      </c>
      <c r="H289" s="119">
        <v>6118310</v>
      </c>
      <c r="I289" s="216">
        <v>6118310</v>
      </c>
      <c r="J289" s="119">
        <v>6118310</v>
      </c>
      <c r="K289" s="216">
        <v>0</v>
      </c>
      <c r="L289" s="126"/>
      <c r="M289" s="126"/>
      <c r="N289" s="119">
        <v>0</v>
      </c>
      <c r="O289" s="216">
        <v>0</v>
      </c>
      <c r="P289" s="126"/>
    </row>
    <row r="290" spans="1:16" s="40" customFormat="1" ht="15.75">
      <c r="A290" s="37">
        <v>18</v>
      </c>
      <c r="B290" s="27" t="s">
        <v>1626</v>
      </c>
      <c r="C290" s="38"/>
      <c r="D290" s="215"/>
      <c r="E290" s="47" t="s">
        <v>4897</v>
      </c>
      <c r="F290" s="107" t="s">
        <v>7187</v>
      </c>
      <c r="G290" s="119">
        <v>0</v>
      </c>
      <c r="H290" s="119">
        <v>10852488</v>
      </c>
      <c r="I290" s="216">
        <v>10852488</v>
      </c>
      <c r="J290" s="119">
        <v>10852488</v>
      </c>
      <c r="K290" s="216">
        <v>0</v>
      </c>
      <c r="L290" s="126"/>
      <c r="M290" s="126"/>
      <c r="N290" s="119">
        <v>0</v>
      </c>
      <c r="O290" s="216">
        <v>0</v>
      </c>
      <c r="P290" s="126"/>
    </row>
    <row r="291" spans="1:16" s="40" customFormat="1" ht="31.5">
      <c r="A291" s="37">
        <v>19</v>
      </c>
      <c r="B291" s="27" t="s">
        <v>1627</v>
      </c>
      <c r="C291" s="38"/>
      <c r="D291" s="215"/>
      <c r="E291" s="47" t="s">
        <v>4898</v>
      </c>
      <c r="F291" s="107" t="s">
        <v>7188</v>
      </c>
      <c r="G291" s="119">
        <v>0</v>
      </c>
      <c r="H291" s="119">
        <v>4573381</v>
      </c>
      <c r="I291" s="216">
        <v>4573381</v>
      </c>
      <c r="J291" s="119">
        <v>4573381</v>
      </c>
      <c r="K291" s="216">
        <v>0</v>
      </c>
      <c r="L291" s="126"/>
      <c r="M291" s="126"/>
      <c r="N291" s="119">
        <v>0</v>
      </c>
      <c r="O291" s="216">
        <v>0</v>
      </c>
      <c r="P291" s="126"/>
    </row>
    <row r="292" spans="1:16" s="40" customFormat="1" ht="31.5">
      <c r="A292" s="37">
        <v>20</v>
      </c>
      <c r="B292" s="27" t="s">
        <v>1628</v>
      </c>
      <c r="C292" s="38"/>
      <c r="D292" s="215"/>
      <c r="E292" s="47" t="s">
        <v>4899</v>
      </c>
      <c r="F292" s="107" t="s">
        <v>7189</v>
      </c>
      <c r="G292" s="119">
        <v>0</v>
      </c>
      <c r="H292" s="119">
        <v>12020111</v>
      </c>
      <c r="I292" s="216">
        <v>12020111</v>
      </c>
      <c r="J292" s="119">
        <v>12020111</v>
      </c>
      <c r="K292" s="216">
        <v>0</v>
      </c>
      <c r="L292" s="126"/>
      <c r="M292" s="126"/>
      <c r="N292" s="119">
        <v>0</v>
      </c>
      <c r="O292" s="216">
        <v>0</v>
      </c>
      <c r="P292" s="126"/>
    </row>
    <row r="293" spans="1:16" s="40" customFormat="1" ht="15.75">
      <c r="A293" s="37">
        <v>21</v>
      </c>
      <c r="B293" s="27" t="s">
        <v>1629</v>
      </c>
      <c r="C293" s="38"/>
      <c r="D293" s="215"/>
      <c r="E293" s="47" t="s">
        <v>4900</v>
      </c>
      <c r="F293" s="107" t="s">
        <v>7190</v>
      </c>
      <c r="G293" s="119">
        <v>0</v>
      </c>
      <c r="H293" s="119">
        <v>0</v>
      </c>
      <c r="I293" s="216">
        <v>0</v>
      </c>
      <c r="J293" s="119">
        <v>0</v>
      </c>
      <c r="K293" s="216">
        <v>0</v>
      </c>
      <c r="L293" s="126"/>
      <c r="M293" s="126"/>
      <c r="N293" s="119">
        <v>0</v>
      </c>
      <c r="O293" s="216">
        <v>0</v>
      </c>
      <c r="P293" s="126"/>
    </row>
    <row r="294" spans="1:16" s="40" customFormat="1" ht="15.75">
      <c r="A294" s="37">
        <v>22</v>
      </c>
      <c r="B294" s="27" t="s">
        <v>1853</v>
      </c>
      <c r="C294" s="38">
        <v>12</v>
      </c>
      <c r="D294" s="215"/>
      <c r="E294" s="47" t="s">
        <v>3624</v>
      </c>
      <c r="F294" s="107" t="s">
        <v>7191</v>
      </c>
      <c r="G294" s="119">
        <v>0</v>
      </c>
      <c r="H294" s="119">
        <v>46868061</v>
      </c>
      <c r="I294" s="216">
        <v>46868061</v>
      </c>
      <c r="J294" s="119">
        <v>46868061</v>
      </c>
      <c r="K294" s="216">
        <v>0</v>
      </c>
      <c r="L294" s="126"/>
      <c r="M294" s="126"/>
      <c r="N294" s="119">
        <v>0</v>
      </c>
      <c r="O294" s="216">
        <v>0</v>
      </c>
      <c r="P294" s="126"/>
    </row>
    <row r="295" spans="1:16" s="40" customFormat="1" ht="31.5">
      <c r="A295" s="37">
        <v>23</v>
      </c>
      <c r="B295" s="27" t="s">
        <v>5387</v>
      </c>
      <c r="C295" s="38"/>
      <c r="D295" s="215"/>
      <c r="E295" s="47" t="s">
        <v>5388</v>
      </c>
      <c r="F295" s="107"/>
      <c r="G295" s="119">
        <v>0</v>
      </c>
      <c r="H295" s="119">
        <v>937772</v>
      </c>
      <c r="I295" s="216">
        <v>937772</v>
      </c>
      <c r="J295" s="119">
        <v>937772</v>
      </c>
      <c r="K295" s="216">
        <v>0</v>
      </c>
      <c r="L295" s="126"/>
      <c r="M295" s="126"/>
      <c r="N295" s="119">
        <v>0</v>
      </c>
      <c r="O295" s="216">
        <v>0</v>
      </c>
      <c r="P295" s="126"/>
    </row>
    <row r="296" spans="1:16" s="40" customFormat="1" ht="15.75">
      <c r="A296" s="37">
        <v>24</v>
      </c>
      <c r="B296" s="27" t="s">
        <v>775</v>
      </c>
      <c r="C296" s="38"/>
      <c r="D296" s="215"/>
      <c r="E296" s="219" t="s">
        <v>4872</v>
      </c>
      <c r="F296" s="107" t="s">
        <v>7000</v>
      </c>
      <c r="G296" s="119">
        <v>0</v>
      </c>
      <c r="H296" s="119">
        <v>66556841</v>
      </c>
      <c r="I296" s="216">
        <v>66556841</v>
      </c>
      <c r="J296" s="119">
        <v>66556841</v>
      </c>
      <c r="K296" s="216">
        <v>0</v>
      </c>
      <c r="L296" s="126"/>
      <c r="M296" s="126"/>
      <c r="N296" s="119">
        <v>0</v>
      </c>
      <c r="O296" s="216">
        <v>0</v>
      </c>
      <c r="P296" s="126"/>
    </row>
    <row r="297" spans="1:16" s="40" customFormat="1" ht="15.75">
      <c r="A297" s="37">
        <v>25</v>
      </c>
      <c r="B297" s="27" t="s">
        <v>775</v>
      </c>
      <c r="C297" s="38"/>
      <c r="D297" s="215"/>
      <c r="E297" s="219" t="s">
        <v>4873</v>
      </c>
      <c r="F297" s="107" t="s">
        <v>7001</v>
      </c>
      <c r="G297" s="119">
        <v>0</v>
      </c>
      <c r="H297" s="119">
        <v>81633795</v>
      </c>
      <c r="I297" s="216">
        <v>81633795</v>
      </c>
      <c r="J297" s="119">
        <v>81633795</v>
      </c>
      <c r="K297" s="216">
        <v>0</v>
      </c>
      <c r="L297" s="126"/>
      <c r="M297" s="126"/>
      <c r="N297" s="119">
        <v>0</v>
      </c>
      <c r="O297" s="216">
        <v>0</v>
      </c>
      <c r="P297" s="126"/>
    </row>
    <row r="298" spans="1:16" s="40" customFormat="1" ht="15.75">
      <c r="A298" s="37"/>
      <c r="B298" s="27"/>
      <c r="C298" s="38"/>
      <c r="D298" s="215"/>
      <c r="E298" s="47"/>
      <c r="F298" s="107"/>
      <c r="G298" s="119">
        <v>0</v>
      </c>
      <c r="H298" s="119">
        <v>0</v>
      </c>
      <c r="I298" s="216">
        <v>0</v>
      </c>
      <c r="J298" s="119">
        <v>0</v>
      </c>
      <c r="K298" s="216">
        <v>0</v>
      </c>
      <c r="L298" s="126"/>
      <c r="M298" s="126"/>
      <c r="N298" s="119">
        <v>0</v>
      </c>
      <c r="O298" s="216">
        <v>0</v>
      </c>
      <c r="P298" s="126"/>
    </row>
    <row r="299" spans="1:16" s="40" customFormat="1" ht="15.75">
      <c r="A299" s="37"/>
      <c r="B299" s="27"/>
      <c r="C299" s="38"/>
      <c r="D299" s="215"/>
      <c r="E299" s="217" t="s">
        <v>3684</v>
      </c>
      <c r="F299" s="218" t="s">
        <v>7192</v>
      </c>
      <c r="G299" s="119">
        <v>0</v>
      </c>
      <c r="H299" s="119">
        <v>2543011605</v>
      </c>
      <c r="I299" s="216">
        <v>2543011605</v>
      </c>
      <c r="J299" s="119">
        <v>1786911605</v>
      </c>
      <c r="K299" s="216">
        <v>756100000</v>
      </c>
      <c r="L299" s="126"/>
      <c r="M299" s="126"/>
      <c r="N299" s="119">
        <v>340000000</v>
      </c>
      <c r="O299" s="216">
        <v>340000000</v>
      </c>
      <c r="P299" s="126"/>
    </row>
    <row r="300" spans="1:16" s="40" customFormat="1" ht="15.75">
      <c r="A300" s="37"/>
      <c r="B300" s="27"/>
      <c r="C300" s="38"/>
      <c r="D300" s="215"/>
      <c r="E300" s="47"/>
      <c r="F300" s="107"/>
      <c r="G300" s="119">
        <v>0</v>
      </c>
      <c r="H300" s="119">
        <v>0</v>
      </c>
      <c r="I300" s="216">
        <v>0</v>
      </c>
      <c r="J300" s="119">
        <v>0</v>
      </c>
      <c r="K300" s="216">
        <v>0</v>
      </c>
      <c r="L300" s="126"/>
      <c r="M300" s="126"/>
      <c r="N300" s="119">
        <v>0</v>
      </c>
      <c r="O300" s="216">
        <v>0</v>
      </c>
      <c r="P300" s="126"/>
    </row>
    <row r="301" spans="1:16" s="40" customFormat="1" ht="15.75">
      <c r="A301" s="37"/>
      <c r="B301" s="27"/>
      <c r="C301" s="38"/>
      <c r="D301" s="215"/>
      <c r="E301" s="47" t="s">
        <v>3625</v>
      </c>
      <c r="F301" s="107" t="s">
        <v>7193</v>
      </c>
      <c r="G301" s="119">
        <v>0</v>
      </c>
      <c r="H301" s="119">
        <v>0</v>
      </c>
      <c r="I301" s="216">
        <v>0</v>
      </c>
      <c r="J301" s="119">
        <v>0</v>
      </c>
      <c r="K301" s="216">
        <v>0</v>
      </c>
      <c r="L301" s="126"/>
      <c r="M301" s="126"/>
      <c r="N301" s="119">
        <v>0</v>
      </c>
      <c r="O301" s="216">
        <v>0</v>
      </c>
      <c r="P301" s="126"/>
    </row>
    <row r="302" spans="1:16" s="40" customFormat="1" ht="15.75">
      <c r="A302" s="37">
        <v>1</v>
      </c>
      <c r="B302" s="27" t="s">
        <v>373</v>
      </c>
      <c r="C302" s="38"/>
      <c r="D302" s="215"/>
      <c r="E302" s="47" t="s">
        <v>4368</v>
      </c>
      <c r="F302" s="107" t="s">
        <v>7194</v>
      </c>
      <c r="G302" s="119">
        <v>0</v>
      </c>
      <c r="H302" s="119">
        <v>664894518</v>
      </c>
      <c r="I302" s="216">
        <v>664894518</v>
      </c>
      <c r="J302" s="119">
        <v>663844518</v>
      </c>
      <c r="K302" s="216">
        <v>1050000</v>
      </c>
      <c r="L302" s="126"/>
      <c r="M302" s="126"/>
      <c r="N302" s="119">
        <v>0</v>
      </c>
      <c r="O302" s="216">
        <v>0</v>
      </c>
      <c r="P302" s="126"/>
    </row>
    <row r="303" spans="1:16" s="40" customFormat="1" ht="15.75">
      <c r="A303" s="37">
        <v>2</v>
      </c>
      <c r="B303" s="27" t="s">
        <v>1002</v>
      </c>
      <c r="C303" s="38"/>
      <c r="D303" s="215"/>
      <c r="E303" s="47" t="s">
        <v>3626</v>
      </c>
      <c r="F303" s="107" t="s">
        <v>7195</v>
      </c>
      <c r="G303" s="119">
        <v>0</v>
      </c>
      <c r="H303" s="119">
        <v>13479824</v>
      </c>
      <c r="I303" s="216">
        <v>13479824</v>
      </c>
      <c r="J303" s="119">
        <v>13479824</v>
      </c>
      <c r="K303" s="216">
        <v>0</v>
      </c>
      <c r="L303" s="126"/>
      <c r="M303" s="126"/>
      <c r="N303" s="119">
        <v>0</v>
      </c>
      <c r="O303" s="216">
        <v>0</v>
      </c>
      <c r="P303" s="126"/>
    </row>
    <row r="304" spans="1:16" s="40" customFormat="1" ht="31.5">
      <c r="A304" s="37">
        <v>3</v>
      </c>
      <c r="B304" s="27" t="s">
        <v>1630</v>
      </c>
      <c r="C304" s="38">
        <v>20</v>
      </c>
      <c r="D304" s="215"/>
      <c r="E304" s="47" t="s">
        <v>3627</v>
      </c>
      <c r="F304" s="107" t="s">
        <v>7196</v>
      </c>
      <c r="G304" s="119">
        <v>0</v>
      </c>
      <c r="H304" s="119">
        <v>18126015</v>
      </c>
      <c r="I304" s="216">
        <v>18126015</v>
      </c>
      <c r="J304" s="119">
        <v>18126015</v>
      </c>
      <c r="K304" s="216">
        <v>0</v>
      </c>
      <c r="L304" s="126"/>
      <c r="M304" s="126"/>
      <c r="N304" s="119">
        <v>0</v>
      </c>
      <c r="O304" s="216">
        <v>0</v>
      </c>
      <c r="P304" s="126"/>
    </row>
    <row r="305" spans="1:16" s="40" customFormat="1" ht="15.75">
      <c r="A305" s="37">
        <v>4</v>
      </c>
      <c r="B305" s="27" t="s">
        <v>1631</v>
      </c>
      <c r="C305" s="38">
        <v>67</v>
      </c>
      <c r="D305" s="215"/>
      <c r="E305" s="47" t="s">
        <v>3628</v>
      </c>
      <c r="F305" s="107" t="s">
        <v>7197</v>
      </c>
      <c r="G305" s="119">
        <v>0</v>
      </c>
      <c r="H305" s="119">
        <v>94382</v>
      </c>
      <c r="I305" s="216">
        <v>94382</v>
      </c>
      <c r="J305" s="119">
        <v>94382</v>
      </c>
      <c r="K305" s="216">
        <v>0</v>
      </c>
      <c r="L305" s="126"/>
      <c r="M305" s="126"/>
      <c r="N305" s="119">
        <v>0</v>
      </c>
      <c r="O305" s="216">
        <v>0</v>
      </c>
      <c r="P305" s="126"/>
    </row>
    <row r="306" spans="1:16" s="40" customFormat="1" ht="31.5">
      <c r="A306" s="37">
        <v>5</v>
      </c>
      <c r="B306" s="27" t="s">
        <v>1632</v>
      </c>
      <c r="C306" s="38">
        <v>68</v>
      </c>
      <c r="D306" s="215"/>
      <c r="E306" s="47" t="s">
        <v>3629</v>
      </c>
      <c r="F306" s="107" t="s">
        <v>7198</v>
      </c>
      <c r="G306" s="119">
        <v>0</v>
      </c>
      <c r="H306" s="119">
        <v>2997480</v>
      </c>
      <c r="I306" s="216">
        <v>2997480</v>
      </c>
      <c r="J306" s="119">
        <v>2997480</v>
      </c>
      <c r="K306" s="216">
        <v>0</v>
      </c>
      <c r="L306" s="126"/>
      <c r="M306" s="126"/>
      <c r="N306" s="119">
        <v>0</v>
      </c>
      <c r="O306" s="216">
        <v>0</v>
      </c>
      <c r="P306" s="126"/>
    </row>
    <row r="307" spans="1:16" s="40" customFormat="1" ht="31.5">
      <c r="A307" s="37">
        <v>6</v>
      </c>
      <c r="B307" s="27" t="s">
        <v>1633</v>
      </c>
      <c r="C307" s="38">
        <v>68</v>
      </c>
      <c r="D307" s="215"/>
      <c r="E307" s="47" t="s">
        <v>3630</v>
      </c>
      <c r="F307" s="107" t="s">
        <v>7199</v>
      </c>
      <c r="G307" s="119">
        <v>0</v>
      </c>
      <c r="H307" s="119">
        <v>1234522</v>
      </c>
      <c r="I307" s="216">
        <v>1234522</v>
      </c>
      <c r="J307" s="119">
        <v>1234522</v>
      </c>
      <c r="K307" s="216">
        <v>0</v>
      </c>
      <c r="L307" s="126"/>
      <c r="M307" s="126"/>
      <c r="N307" s="119">
        <v>0</v>
      </c>
      <c r="O307" s="216">
        <v>0</v>
      </c>
      <c r="P307" s="126"/>
    </row>
    <row r="308" spans="1:16" s="40" customFormat="1" ht="15.75">
      <c r="A308" s="37">
        <v>7</v>
      </c>
      <c r="B308" s="27" t="s">
        <v>4450</v>
      </c>
      <c r="C308" s="38"/>
      <c r="D308" s="215"/>
      <c r="E308" s="47" t="s">
        <v>4369</v>
      </c>
      <c r="F308" s="107" t="s">
        <v>7200</v>
      </c>
      <c r="G308" s="119">
        <v>0</v>
      </c>
      <c r="H308" s="119">
        <v>21100000</v>
      </c>
      <c r="I308" s="216">
        <v>21100000</v>
      </c>
      <c r="J308" s="119">
        <v>0</v>
      </c>
      <c r="K308" s="216">
        <v>21100000</v>
      </c>
      <c r="L308" s="126"/>
      <c r="M308" s="126"/>
      <c r="N308" s="119">
        <v>0</v>
      </c>
      <c r="O308" s="216">
        <v>0</v>
      </c>
      <c r="P308" s="126"/>
    </row>
    <row r="309" spans="1:16" s="40" customFormat="1" ht="15.75">
      <c r="A309" s="37">
        <v>8</v>
      </c>
      <c r="B309" s="27" t="s">
        <v>4452</v>
      </c>
      <c r="C309" s="38"/>
      <c r="D309" s="215"/>
      <c r="E309" s="47" t="s">
        <v>4370</v>
      </c>
      <c r="F309" s="107" t="s">
        <v>7201</v>
      </c>
      <c r="G309" s="119">
        <v>0</v>
      </c>
      <c r="H309" s="119">
        <v>192830000</v>
      </c>
      <c r="I309" s="216">
        <v>192830000</v>
      </c>
      <c r="J309" s="119">
        <v>0</v>
      </c>
      <c r="K309" s="216">
        <v>192830000</v>
      </c>
      <c r="L309" s="126"/>
      <c r="M309" s="126"/>
      <c r="N309" s="119">
        <v>55900000</v>
      </c>
      <c r="O309" s="216">
        <v>55900000</v>
      </c>
      <c r="P309" s="126"/>
    </row>
    <row r="310" spans="1:16" s="40" customFormat="1" ht="15.75">
      <c r="A310" s="37">
        <v>9</v>
      </c>
      <c r="B310" s="27" t="s">
        <v>775</v>
      </c>
      <c r="C310" s="38"/>
      <c r="D310" s="215"/>
      <c r="E310" s="219" t="s">
        <v>4872</v>
      </c>
      <c r="F310" s="107" t="s">
        <v>7000</v>
      </c>
      <c r="G310" s="119">
        <v>0</v>
      </c>
      <c r="H310" s="119">
        <v>84143979</v>
      </c>
      <c r="I310" s="216">
        <v>84143979</v>
      </c>
      <c r="J310" s="119">
        <v>84143979</v>
      </c>
      <c r="K310" s="216">
        <v>0</v>
      </c>
      <c r="L310" s="126"/>
      <c r="M310" s="126"/>
      <c r="N310" s="119">
        <v>0</v>
      </c>
      <c r="O310" s="216">
        <v>0</v>
      </c>
      <c r="P310" s="126"/>
    </row>
    <row r="311" spans="1:16" s="40" customFormat="1" ht="15.75">
      <c r="A311" s="37">
        <v>10</v>
      </c>
      <c r="B311" s="27" t="s">
        <v>775</v>
      </c>
      <c r="C311" s="38"/>
      <c r="D311" s="215"/>
      <c r="E311" s="219" t="s">
        <v>4873</v>
      </c>
      <c r="F311" s="107" t="s">
        <v>7001</v>
      </c>
      <c r="G311" s="119">
        <v>0</v>
      </c>
      <c r="H311" s="119">
        <v>74992757</v>
      </c>
      <c r="I311" s="216">
        <v>74992757</v>
      </c>
      <c r="J311" s="119">
        <v>74992757</v>
      </c>
      <c r="K311" s="216">
        <v>0</v>
      </c>
      <c r="L311" s="126"/>
      <c r="M311" s="126"/>
      <c r="N311" s="119">
        <v>0</v>
      </c>
      <c r="O311" s="216">
        <v>0</v>
      </c>
      <c r="P311" s="126"/>
    </row>
    <row r="312" spans="1:16" s="40" customFormat="1" ht="15.75">
      <c r="A312" s="37"/>
      <c r="B312" s="27"/>
      <c r="C312" s="38"/>
      <c r="D312" s="215"/>
      <c r="E312" s="47"/>
      <c r="F312" s="107"/>
      <c r="G312" s="119">
        <v>0</v>
      </c>
      <c r="H312" s="119">
        <v>0</v>
      </c>
      <c r="I312" s="216">
        <v>0</v>
      </c>
      <c r="J312" s="119">
        <v>0</v>
      </c>
      <c r="K312" s="216">
        <v>0</v>
      </c>
      <c r="L312" s="126"/>
      <c r="M312" s="126"/>
      <c r="N312" s="119">
        <v>0</v>
      </c>
      <c r="O312" s="216">
        <v>0</v>
      </c>
      <c r="P312" s="126"/>
    </row>
    <row r="313" spans="1:16" s="40" customFormat="1" ht="15.75">
      <c r="A313" s="37"/>
      <c r="B313" s="27"/>
      <c r="C313" s="38"/>
      <c r="D313" s="215"/>
      <c r="E313" s="217" t="s">
        <v>2751</v>
      </c>
      <c r="F313" s="218" t="s">
        <v>7202</v>
      </c>
      <c r="G313" s="119">
        <v>0</v>
      </c>
      <c r="H313" s="119">
        <v>1073893477</v>
      </c>
      <c r="I313" s="216">
        <v>1073893477</v>
      </c>
      <c r="J313" s="119">
        <v>858913477</v>
      </c>
      <c r="K313" s="216">
        <v>214980000</v>
      </c>
      <c r="L313" s="126"/>
      <c r="M313" s="126"/>
      <c r="N313" s="119">
        <v>55900000</v>
      </c>
      <c r="O313" s="216">
        <v>55900000</v>
      </c>
      <c r="P313" s="126"/>
    </row>
    <row r="314" spans="1:16" s="40" customFormat="1" ht="15.75">
      <c r="A314" s="37"/>
      <c r="B314" s="27"/>
      <c r="C314" s="38"/>
      <c r="D314" s="215"/>
      <c r="E314" s="47" t="s">
        <v>3631</v>
      </c>
      <c r="F314" s="107" t="s">
        <v>7203</v>
      </c>
      <c r="G314" s="119">
        <v>0</v>
      </c>
      <c r="H314" s="119">
        <v>0</v>
      </c>
      <c r="I314" s="216">
        <v>0</v>
      </c>
      <c r="J314" s="119">
        <v>0</v>
      </c>
      <c r="K314" s="216">
        <v>0</v>
      </c>
      <c r="L314" s="126"/>
      <c r="M314" s="126"/>
      <c r="N314" s="119">
        <v>0</v>
      </c>
      <c r="O314" s="216">
        <v>0</v>
      </c>
      <c r="P314" s="126"/>
    </row>
    <row r="315" spans="1:16" s="40" customFormat="1" ht="15.75">
      <c r="A315" s="37">
        <v>1</v>
      </c>
      <c r="B315" s="27" t="s">
        <v>497</v>
      </c>
      <c r="C315" s="38"/>
      <c r="D315" s="215"/>
      <c r="E315" s="47" t="s">
        <v>4373</v>
      </c>
      <c r="F315" s="107" t="s">
        <v>7204</v>
      </c>
      <c r="G315" s="119">
        <v>0</v>
      </c>
      <c r="H315" s="119">
        <v>400834071</v>
      </c>
      <c r="I315" s="216">
        <v>400834071</v>
      </c>
      <c r="J315" s="119">
        <v>58934071</v>
      </c>
      <c r="K315" s="216">
        <v>341900000</v>
      </c>
      <c r="L315" s="126"/>
      <c r="M315" s="126"/>
      <c r="N315" s="119">
        <v>219450000</v>
      </c>
      <c r="O315" s="216">
        <v>219450000</v>
      </c>
      <c r="P315" s="126"/>
    </row>
    <row r="316" spans="1:16" s="40" customFormat="1" ht="15.75">
      <c r="A316" s="37">
        <v>2</v>
      </c>
      <c r="B316" s="27" t="s">
        <v>864</v>
      </c>
      <c r="C316" s="38">
        <v>27</v>
      </c>
      <c r="D316" s="215"/>
      <c r="E316" s="47" t="s">
        <v>3632</v>
      </c>
      <c r="F316" s="107" t="s">
        <v>7205</v>
      </c>
      <c r="G316" s="119">
        <v>0</v>
      </c>
      <c r="H316" s="119">
        <v>167562809</v>
      </c>
      <c r="I316" s="216">
        <v>167562809</v>
      </c>
      <c r="J316" s="119">
        <v>167562809</v>
      </c>
      <c r="K316" s="216">
        <v>0</v>
      </c>
      <c r="L316" s="126"/>
      <c r="M316" s="126"/>
      <c r="N316" s="119">
        <v>0</v>
      </c>
      <c r="O316" s="216">
        <v>0</v>
      </c>
      <c r="P316" s="126">
        <v>207000000</v>
      </c>
    </row>
    <row r="317" spans="1:16" s="40" customFormat="1" ht="15.75">
      <c r="A317" s="37">
        <v>3</v>
      </c>
      <c r="B317" s="27" t="s">
        <v>865</v>
      </c>
      <c r="C317" s="38">
        <v>82</v>
      </c>
      <c r="D317" s="215"/>
      <c r="E317" s="47" t="s">
        <v>3633</v>
      </c>
      <c r="F317" s="107" t="s">
        <v>7206</v>
      </c>
      <c r="G317" s="119">
        <v>0</v>
      </c>
      <c r="H317" s="119">
        <v>11002775</v>
      </c>
      <c r="I317" s="216">
        <v>11002775</v>
      </c>
      <c r="J317" s="119">
        <v>11002775</v>
      </c>
      <c r="K317" s="216">
        <v>0</v>
      </c>
      <c r="L317" s="126"/>
      <c r="M317" s="126"/>
      <c r="N317" s="119">
        <v>0</v>
      </c>
      <c r="O317" s="216">
        <v>0</v>
      </c>
      <c r="P317" s="126"/>
    </row>
    <row r="318" spans="1:16" s="40" customFormat="1" ht="15.75">
      <c r="A318" s="37">
        <v>4</v>
      </c>
      <c r="B318" s="27" t="s">
        <v>43</v>
      </c>
      <c r="C318" s="38">
        <v>59</v>
      </c>
      <c r="D318" s="215"/>
      <c r="E318" s="47" t="s">
        <v>3634</v>
      </c>
      <c r="F318" s="107" t="s">
        <v>7207</v>
      </c>
      <c r="G318" s="119">
        <v>0</v>
      </c>
      <c r="H318" s="119">
        <v>80733879</v>
      </c>
      <c r="I318" s="216">
        <v>80733879</v>
      </c>
      <c r="J318" s="119">
        <v>80733879</v>
      </c>
      <c r="K318" s="216">
        <v>0</v>
      </c>
      <c r="L318" s="126"/>
      <c r="M318" s="126"/>
      <c r="N318" s="119">
        <v>0</v>
      </c>
      <c r="O318" s="216">
        <v>0</v>
      </c>
      <c r="P318" s="126">
        <v>105000000</v>
      </c>
    </row>
    <row r="319" spans="1:16" s="40" customFormat="1" ht="15.75">
      <c r="A319" s="37">
        <v>5</v>
      </c>
      <c r="B319" s="27" t="s">
        <v>44</v>
      </c>
      <c r="C319" s="38">
        <v>71</v>
      </c>
      <c r="D319" s="215"/>
      <c r="E319" s="47" t="s">
        <v>3635</v>
      </c>
      <c r="F319" s="107" t="s">
        <v>7208</v>
      </c>
      <c r="G319" s="119">
        <v>0</v>
      </c>
      <c r="H319" s="119">
        <v>229362449</v>
      </c>
      <c r="I319" s="216">
        <v>229362449</v>
      </c>
      <c r="J319" s="119">
        <v>229362449</v>
      </c>
      <c r="K319" s="216">
        <v>0</v>
      </c>
      <c r="L319" s="126"/>
      <c r="M319" s="126"/>
      <c r="N319" s="119">
        <v>0</v>
      </c>
      <c r="O319" s="216">
        <v>0</v>
      </c>
      <c r="P319" s="126">
        <v>285000000</v>
      </c>
    </row>
    <row r="320" spans="1:16" s="40" customFormat="1" ht="15.75">
      <c r="A320" s="37">
        <v>6</v>
      </c>
      <c r="B320" s="27" t="s">
        <v>1059</v>
      </c>
      <c r="C320" s="38" t="s">
        <v>1054</v>
      </c>
      <c r="D320" s="215"/>
      <c r="E320" s="47" t="s">
        <v>3636</v>
      </c>
      <c r="F320" s="107" t="s">
        <v>7209</v>
      </c>
      <c r="G320" s="119">
        <v>0</v>
      </c>
      <c r="H320" s="119">
        <v>11518023</v>
      </c>
      <c r="I320" s="216">
        <v>11518023</v>
      </c>
      <c r="J320" s="119">
        <v>11518023</v>
      </c>
      <c r="K320" s="216">
        <v>0</v>
      </c>
      <c r="L320" s="126"/>
      <c r="M320" s="126"/>
      <c r="N320" s="119">
        <v>0</v>
      </c>
      <c r="O320" s="216">
        <v>0</v>
      </c>
      <c r="P320" s="126">
        <v>30000000</v>
      </c>
    </row>
    <row r="321" spans="1:16" s="40" customFormat="1" ht="15.75">
      <c r="A321" s="37">
        <v>7</v>
      </c>
      <c r="B321" s="27" t="s">
        <v>1060</v>
      </c>
      <c r="C321" s="38">
        <v>43</v>
      </c>
      <c r="D321" s="215"/>
      <c r="E321" s="47" t="s">
        <v>3637</v>
      </c>
      <c r="F321" s="107" t="s">
        <v>7210</v>
      </c>
      <c r="G321" s="119">
        <v>0</v>
      </c>
      <c r="H321" s="119">
        <v>200374101</v>
      </c>
      <c r="I321" s="216">
        <v>200374101</v>
      </c>
      <c r="J321" s="119">
        <v>200374101</v>
      </c>
      <c r="K321" s="216">
        <v>0</v>
      </c>
      <c r="L321" s="126"/>
      <c r="M321" s="126"/>
      <c r="N321" s="119">
        <v>0</v>
      </c>
      <c r="O321" s="216">
        <v>0</v>
      </c>
      <c r="P321" s="126">
        <v>260000000</v>
      </c>
    </row>
    <row r="322" spans="1:16" s="40" customFormat="1" ht="15.75">
      <c r="A322" s="37">
        <v>8</v>
      </c>
      <c r="B322" s="27" t="s">
        <v>1257</v>
      </c>
      <c r="C322" s="38">
        <v>59</v>
      </c>
      <c r="D322" s="215"/>
      <c r="E322" s="47" t="s">
        <v>3638</v>
      </c>
      <c r="F322" s="107" t="s">
        <v>7211</v>
      </c>
      <c r="G322" s="119">
        <v>0</v>
      </c>
      <c r="H322" s="119">
        <v>6107284</v>
      </c>
      <c r="I322" s="216">
        <v>6107284</v>
      </c>
      <c r="J322" s="119">
        <v>6107284</v>
      </c>
      <c r="K322" s="216">
        <v>0</v>
      </c>
      <c r="L322" s="126"/>
      <c r="M322" s="126"/>
      <c r="N322" s="119">
        <v>0</v>
      </c>
      <c r="O322" s="216">
        <v>0</v>
      </c>
      <c r="P322" s="126"/>
    </row>
    <row r="323" spans="1:16" s="40" customFormat="1" ht="31.5">
      <c r="A323" s="37">
        <v>9</v>
      </c>
      <c r="B323" s="27" t="s">
        <v>1634</v>
      </c>
      <c r="C323" s="38">
        <v>34</v>
      </c>
      <c r="D323" s="215"/>
      <c r="E323" s="47" t="s">
        <v>3639</v>
      </c>
      <c r="F323" s="107" t="s">
        <v>7212</v>
      </c>
      <c r="G323" s="119">
        <v>0</v>
      </c>
      <c r="H323" s="119">
        <v>12662482</v>
      </c>
      <c r="I323" s="216">
        <v>12662482</v>
      </c>
      <c r="J323" s="119">
        <v>12662482</v>
      </c>
      <c r="K323" s="216">
        <v>0</v>
      </c>
      <c r="L323" s="126"/>
      <c r="M323" s="126"/>
      <c r="N323" s="119">
        <v>0</v>
      </c>
      <c r="O323" s="216">
        <v>0</v>
      </c>
      <c r="P323" s="126"/>
    </row>
    <row r="324" spans="1:16" s="40" customFormat="1" ht="31.5">
      <c r="A324" s="37">
        <v>10</v>
      </c>
      <c r="B324" s="27" t="s">
        <v>1635</v>
      </c>
      <c r="C324" s="38"/>
      <c r="D324" s="215"/>
      <c r="E324" s="47" t="s">
        <v>3640</v>
      </c>
      <c r="F324" s="107" t="s">
        <v>7213</v>
      </c>
      <c r="G324" s="119">
        <v>0</v>
      </c>
      <c r="H324" s="119">
        <v>27097671</v>
      </c>
      <c r="I324" s="216">
        <v>27097671</v>
      </c>
      <c r="J324" s="119">
        <v>27097671</v>
      </c>
      <c r="K324" s="216">
        <v>0</v>
      </c>
      <c r="L324" s="126"/>
      <c r="M324" s="126"/>
      <c r="N324" s="119">
        <v>0</v>
      </c>
      <c r="O324" s="216">
        <v>0</v>
      </c>
      <c r="P324" s="126"/>
    </row>
    <row r="325" spans="1:16" s="40" customFormat="1" ht="31.5">
      <c r="A325" s="37">
        <v>11</v>
      </c>
      <c r="B325" s="27" t="s">
        <v>1664</v>
      </c>
      <c r="C325" s="38">
        <v>57</v>
      </c>
      <c r="D325" s="215"/>
      <c r="E325" s="47" t="s">
        <v>3641</v>
      </c>
      <c r="F325" s="107" t="s">
        <v>7214</v>
      </c>
      <c r="G325" s="119">
        <v>0</v>
      </c>
      <c r="H325" s="119">
        <v>28874922</v>
      </c>
      <c r="I325" s="216">
        <v>28874922</v>
      </c>
      <c r="J325" s="119">
        <v>28874922</v>
      </c>
      <c r="K325" s="216">
        <v>0</v>
      </c>
      <c r="L325" s="126"/>
      <c r="M325" s="126"/>
      <c r="N325" s="119">
        <v>0</v>
      </c>
      <c r="O325" s="216">
        <v>0</v>
      </c>
      <c r="P325" s="126"/>
    </row>
    <row r="326" spans="1:16" s="40" customFormat="1" ht="15.75">
      <c r="A326" s="37">
        <v>12</v>
      </c>
      <c r="B326" s="27" t="s">
        <v>1854</v>
      </c>
      <c r="C326" s="38"/>
      <c r="D326" s="215"/>
      <c r="E326" s="47" t="s">
        <v>3642</v>
      </c>
      <c r="F326" s="107" t="s">
        <v>7215</v>
      </c>
      <c r="G326" s="119">
        <v>0</v>
      </c>
      <c r="H326" s="119">
        <v>31743931</v>
      </c>
      <c r="I326" s="216">
        <v>31743931</v>
      </c>
      <c r="J326" s="119">
        <v>31743931</v>
      </c>
      <c r="K326" s="216">
        <v>0</v>
      </c>
      <c r="L326" s="126"/>
      <c r="M326" s="126"/>
      <c r="N326" s="119">
        <v>0</v>
      </c>
      <c r="O326" s="216">
        <v>0</v>
      </c>
      <c r="P326" s="126"/>
    </row>
    <row r="327" spans="1:16" s="40" customFormat="1" ht="15.75">
      <c r="A327" s="37">
        <v>13</v>
      </c>
      <c r="B327" s="27" t="s">
        <v>1855</v>
      </c>
      <c r="C327" s="38"/>
      <c r="D327" s="215"/>
      <c r="E327" s="47" t="s">
        <v>3643</v>
      </c>
      <c r="F327" s="107" t="s">
        <v>7216</v>
      </c>
      <c r="G327" s="119">
        <v>0</v>
      </c>
      <c r="H327" s="119">
        <v>5820526</v>
      </c>
      <c r="I327" s="216">
        <v>5820526</v>
      </c>
      <c r="J327" s="119">
        <v>5820526</v>
      </c>
      <c r="K327" s="216">
        <v>0</v>
      </c>
      <c r="L327" s="126"/>
      <c r="M327" s="126"/>
      <c r="N327" s="119">
        <v>0</v>
      </c>
      <c r="O327" s="216">
        <v>0</v>
      </c>
      <c r="P327" s="126"/>
    </row>
    <row r="328" spans="1:16" s="40" customFormat="1" ht="15.75">
      <c r="A328" s="37">
        <v>14</v>
      </c>
      <c r="B328" s="27" t="s">
        <v>1897</v>
      </c>
      <c r="C328" s="38"/>
      <c r="D328" s="215"/>
      <c r="E328" s="47" t="s">
        <v>3644</v>
      </c>
      <c r="F328" s="107" t="s">
        <v>7217</v>
      </c>
      <c r="G328" s="119">
        <v>0</v>
      </c>
      <c r="H328" s="119">
        <v>3041171</v>
      </c>
      <c r="I328" s="216">
        <v>3041171</v>
      </c>
      <c r="J328" s="119">
        <v>3041171</v>
      </c>
      <c r="K328" s="216">
        <v>0</v>
      </c>
      <c r="L328" s="126"/>
      <c r="M328" s="126"/>
      <c r="N328" s="119">
        <v>0</v>
      </c>
      <c r="O328" s="216">
        <v>0</v>
      </c>
      <c r="P328" s="126"/>
    </row>
    <row r="329" spans="1:16" s="40" customFormat="1" ht="15.75">
      <c r="A329" s="37">
        <v>15</v>
      </c>
      <c r="B329" s="27" t="s">
        <v>4455</v>
      </c>
      <c r="C329" s="38"/>
      <c r="D329" s="215"/>
      <c r="E329" s="47" t="s">
        <v>4371</v>
      </c>
      <c r="F329" s="107" t="s">
        <v>7218</v>
      </c>
      <c r="G329" s="119">
        <v>0</v>
      </c>
      <c r="H329" s="119">
        <v>49650000</v>
      </c>
      <c r="I329" s="216">
        <v>49650000</v>
      </c>
      <c r="J329" s="119">
        <v>0</v>
      </c>
      <c r="K329" s="216">
        <v>49650000</v>
      </c>
      <c r="L329" s="126"/>
      <c r="M329" s="126"/>
      <c r="N329" s="119">
        <v>2500000</v>
      </c>
      <c r="O329" s="216">
        <v>2500000</v>
      </c>
      <c r="P329" s="126"/>
    </row>
    <row r="330" spans="1:16" s="40" customFormat="1" ht="15.75">
      <c r="A330" s="37">
        <v>16</v>
      </c>
      <c r="B330" s="27" t="s">
        <v>4456</v>
      </c>
      <c r="C330" s="38"/>
      <c r="D330" s="215"/>
      <c r="E330" s="47" t="s">
        <v>4372</v>
      </c>
      <c r="F330" s="107" t="s">
        <v>7219</v>
      </c>
      <c r="G330" s="119">
        <v>0</v>
      </c>
      <c r="H330" s="119">
        <v>197300000</v>
      </c>
      <c r="I330" s="216">
        <v>197300000</v>
      </c>
      <c r="J330" s="119">
        <v>0</v>
      </c>
      <c r="K330" s="216">
        <v>197300000</v>
      </c>
      <c r="L330" s="126"/>
      <c r="M330" s="126"/>
      <c r="N330" s="119">
        <v>10200000</v>
      </c>
      <c r="O330" s="216">
        <v>10200000</v>
      </c>
      <c r="P330" s="126"/>
    </row>
    <row r="331" spans="1:16" s="40" customFormat="1" ht="31.5">
      <c r="A331" s="37">
        <v>17</v>
      </c>
      <c r="B331" s="27" t="s">
        <v>775</v>
      </c>
      <c r="C331" s="38"/>
      <c r="D331" s="215"/>
      <c r="E331" s="47" t="s">
        <v>4873</v>
      </c>
      <c r="F331" s="107" t="s">
        <v>7001</v>
      </c>
      <c r="G331" s="119">
        <v>0</v>
      </c>
      <c r="H331" s="119">
        <v>36507054</v>
      </c>
      <c r="I331" s="216">
        <v>36507054</v>
      </c>
      <c r="J331" s="119">
        <v>36507054</v>
      </c>
      <c r="K331" s="216">
        <v>0</v>
      </c>
      <c r="L331" s="126"/>
      <c r="M331" s="126"/>
      <c r="N331" s="119">
        <v>0</v>
      </c>
      <c r="O331" s="216">
        <v>0</v>
      </c>
      <c r="P331" s="126"/>
    </row>
    <row r="332" spans="1:16" s="40" customFormat="1" ht="15.75">
      <c r="A332" s="37"/>
      <c r="B332" s="27"/>
      <c r="C332" s="38"/>
      <c r="D332" s="215"/>
      <c r="E332" s="47"/>
      <c r="F332" s="107"/>
      <c r="G332" s="119">
        <v>0</v>
      </c>
      <c r="H332" s="119">
        <v>0</v>
      </c>
      <c r="I332" s="216">
        <v>0</v>
      </c>
      <c r="J332" s="119">
        <v>0</v>
      </c>
      <c r="K332" s="216">
        <v>0</v>
      </c>
      <c r="L332" s="126"/>
      <c r="M332" s="126"/>
      <c r="N332" s="119">
        <v>0</v>
      </c>
      <c r="O332" s="216">
        <v>0</v>
      </c>
      <c r="P332" s="126"/>
    </row>
    <row r="333" spans="1:16" s="40" customFormat="1" ht="15.75">
      <c r="A333" s="37"/>
      <c r="B333" s="27"/>
      <c r="C333" s="38"/>
      <c r="D333" s="215"/>
      <c r="E333" s="217" t="s">
        <v>3645</v>
      </c>
      <c r="F333" s="218" t="s">
        <v>7220</v>
      </c>
      <c r="G333" s="119">
        <v>0</v>
      </c>
      <c r="H333" s="119">
        <v>1500193148</v>
      </c>
      <c r="I333" s="216">
        <v>1500193148</v>
      </c>
      <c r="J333" s="119">
        <v>911343148</v>
      </c>
      <c r="K333" s="216">
        <v>588850000</v>
      </c>
      <c r="L333" s="126"/>
      <c r="M333" s="126"/>
      <c r="N333" s="119">
        <v>232150000</v>
      </c>
      <c r="O333" s="216">
        <v>232150000</v>
      </c>
      <c r="P333" s="126"/>
    </row>
    <row r="334" spans="1:16" s="40" customFormat="1" ht="15.75">
      <c r="A334" s="37"/>
      <c r="B334" s="27"/>
      <c r="C334" s="38"/>
      <c r="D334" s="215"/>
      <c r="E334" s="47"/>
      <c r="F334" s="107"/>
      <c r="G334" s="119">
        <v>0</v>
      </c>
      <c r="H334" s="119">
        <v>0</v>
      </c>
      <c r="I334" s="216">
        <v>0</v>
      </c>
      <c r="J334" s="119">
        <v>0</v>
      </c>
      <c r="K334" s="216">
        <v>0</v>
      </c>
      <c r="L334" s="126"/>
      <c r="M334" s="126"/>
      <c r="N334" s="119">
        <v>0</v>
      </c>
      <c r="O334" s="216">
        <v>0</v>
      </c>
      <c r="P334" s="126"/>
    </row>
    <row r="335" spans="1:16" s="40" customFormat="1" ht="15.75">
      <c r="A335" s="37"/>
      <c r="B335" s="27"/>
      <c r="C335" s="38"/>
      <c r="D335" s="215"/>
      <c r="E335" s="47" t="s">
        <v>3646</v>
      </c>
      <c r="F335" s="107" t="s">
        <v>7221</v>
      </c>
      <c r="G335" s="119">
        <v>0</v>
      </c>
      <c r="H335" s="119">
        <v>0</v>
      </c>
      <c r="I335" s="216">
        <v>0</v>
      </c>
      <c r="J335" s="119">
        <v>0</v>
      </c>
      <c r="K335" s="216">
        <v>0</v>
      </c>
      <c r="L335" s="126"/>
      <c r="M335" s="126"/>
      <c r="N335" s="119">
        <v>0</v>
      </c>
      <c r="O335" s="216">
        <v>0</v>
      </c>
      <c r="P335" s="126"/>
    </row>
    <row r="336" spans="1:16" s="40" customFormat="1" ht="15.75">
      <c r="A336" s="37">
        <v>1</v>
      </c>
      <c r="B336" s="27" t="s">
        <v>609</v>
      </c>
      <c r="C336" s="38"/>
      <c r="D336" s="215"/>
      <c r="E336" s="47" t="s">
        <v>3647</v>
      </c>
      <c r="F336" s="107" t="s">
        <v>7222</v>
      </c>
      <c r="G336" s="119">
        <v>0</v>
      </c>
      <c r="H336" s="119">
        <v>101304611</v>
      </c>
      <c r="I336" s="216">
        <v>101304611</v>
      </c>
      <c r="J336" s="119">
        <v>101304611</v>
      </c>
      <c r="K336" s="216">
        <v>0</v>
      </c>
      <c r="L336" s="126"/>
      <c r="M336" s="126"/>
      <c r="N336" s="119">
        <v>0</v>
      </c>
      <c r="O336" s="216">
        <v>0</v>
      </c>
      <c r="P336" s="126"/>
    </row>
    <row r="337" spans="1:16" s="40" customFormat="1" ht="15.75">
      <c r="A337" s="37">
        <v>2</v>
      </c>
      <c r="B337" s="27" t="s">
        <v>1258</v>
      </c>
      <c r="C337" s="38">
        <v>48</v>
      </c>
      <c r="D337" s="215"/>
      <c r="E337" s="47" t="s">
        <v>3648</v>
      </c>
      <c r="F337" s="107" t="s">
        <v>7223</v>
      </c>
      <c r="G337" s="119">
        <v>0</v>
      </c>
      <c r="H337" s="119">
        <v>10378883</v>
      </c>
      <c r="I337" s="216">
        <v>10378883</v>
      </c>
      <c r="J337" s="119">
        <v>10378883</v>
      </c>
      <c r="K337" s="216">
        <v>0</v>
      </c>
      <c r="L337" s="126"/>
      <c r="M337" s="126"/>
      <c r="N337" s="119">
        <v>0</v>
      </c>
      <c r="O337" s="216">
        <v>0</v>
      </c>
      <c r="P337" s="126"/>
    </row>
    <row r="338" spans="1:16" s="40" customFormat="1" ht="31.5">
      <c r="A338" s="37">
        <v>3</v>
      </c>
      <c r="B338" s="27" t="s">
        <v>1259</v>
      </c>
      <c r="C338" s="38"/>
      <c r="D338" s="215"/>
      <c r="E338" s="47" t="s">
        <v>3649</v>
      </c>
      <c r="F338" s="107" t="s">
        <v>7224</v>
      </c>
      <c r="G338" s="119">
        <v>0</v>
      </c>
      <c r="H338" s="119">
        <v>31090300</v>
      </c>
      <c r="I338" s="216">
        <v>31090300</v>
      </c>
      <c r="J338" s="119">
        <v>31090300</v>
      </c>
      <c r="K338" s="216">
        <v>0</v>
      </c>
      <c r="L338" s="126"/>
      <c r="M338" s="126"/>
      <c r="N338" s="119">
        <v>0</v>
      </c>
      <c r="O338" s="216">
        <v>0</v>
      </c>
      <c r="P338" s="126"/>
    </row>
    <row r="339" spans="1:16" s="40" customFormat="1" ht="15.75">
      <c r="A339" s="37">
        <v>4</v>
      </c>
      <c r="B339" s="27" t="s">
        <v>1636</v>
      </c>
      <c r="C339" s="38">
        <v>10</v>
      </c>
      <c r="D339" s="215"/>
      <c r="E339" s="47" t="s">
        <v>3650</v>
      </c>
      <c r="F339" s="107" t="s">
        <v>7225</v>
      </c>
      <c r="G339" s="119">
        <v>0</v>
      </c>
      <c r="H339" s="119">
        <v>2319843</v>
      </c>
      <c r="I339" s="216">
        <v>2319843</v>
      </c>
      <c r="J339" s="119">
        <v>2319843</v>
      </c>
      <c r="K339" s="216">
        <v>0</v>
      </c>
      <c r="L339" s="126"/>
      <c r="M339" s="126"/>
      <c r="N339" s="119">
        <v>0</v>
      </c>
      <c r="O339" s="216">
        <v>0</v>
      </c>
      <c r="P339" s="126"/>
    </row>
    <row r="340" spans="1:16" s="40" customFormat="1" ht="31.5">
      <c r="A340" s="37">
        <v>5</v>
      </c>
      <c r="B340" s="27" t="s">
        <v>1637</v>
      </c>
      <c r="C340" s="38">
        <v>62</v>
      </c>
      <c r="D340" s="215"/>
      <c r="E340" s="47" t="s">
        <v>3651</v>
      </c>
      <c r="F340" s="107" t="s">
        <v>7226</v>
      </c>
      <c r="G340" s="119">
        <v>0</v>
      </c>
      <c r="H340" s="119">
        <v>4022302</v>
      </c>
      <c r="I340" s="216">
        <v>4022302</v>
      </c>
      <c r="J340" s="119">
        <v>4022302</v>
      </c>
      <c r="K340" s="216">
        <v>0</v>
      </c>
      <c r="L340" s="126"/>
      <c r="M340" s="126"/>
      <c r="N340" s="119">
        <v>0</v>
      </c>
      <c r="O340" s="216">
        <v>0</v>
      </c>
      <c r="P340" s="126"/>
    </row>
    <row r="341" spans="1:16" s="40" customFormat="1" ht="15.75">
      <c r="A341" s="37">
        <v>6</v>
      </c>
      <c r="B341" s="27" t="s">
        <v>1930</v>
      </c>
      <c r="C341" s="38"/>
      <c r="D341" s="215"/>
      <c r="E341" s="47" t="s">
        <v>3652</v>
      </c>
      <c r="F341" s="107" t="s">
        <v>7227</v>
      </c>
      <c r="G341" s="119">
        <v>0</v>
      </c>
      <c r="H341" s="119">
        <v>35106519</v>
      </c>
      <c r="I341" s="216">
        <v>35106519</v>
      </c>
      <c r="J341" s="119">
        <v>35106519</v>
      </c>
      <c r="K341" s="216">
        <v>0</v>
      </c>
      <c r="L341" s="126"/>
      <c r="M341" s="126"/>
      <c r="N341" s="119">
        <v>0</v>
      </c>
      <c r="O341" s="216">
        <v>0</v>
      </c>
      <c r="P341" s="126"/>
    </row>
    <row r="342" spans="1:16" s="40" customFormat="1" ht="15.75">
      <c r="A342" s="37">
        <v>7</v>
      </c>
      <c r="B342" s="27" t="s">
        <v>4458</v>
      </c>
      <c r="C342" s="38"/>
      <c r="D342" s="215"/>
      <c r="E342" s="47" t="s">
        <v>4374</v>
      </c>
      <c r="F342" s="107" t="s">
        <v>7228</v>
      </c>
      <c r="G342" s="119">
        <v>0</v>
      </c>
      <c r="H342" s="119">
        <v>59050000</v>
      </c>
      <c r="I342" s="216">
        <v>59050000</v>
      </c>
      <c r="J342" s="119">
        <v>0</v>
      </c>
      <c r="K342" s="216">
        <v>59050000</v>
      </c>
      <c r="L342" s="126"/>
      <c r="M342" s="126"/>
      <c r="N342" s="119">
        <v>10000000</v>
      </c>
      <c r="O342" s="216">
        <v>10000000</v>
      </c>
      <c r="P342" s="126"/>
    </row>
    <row r="343" spans="1:16" s="40" customFormat="1" ht="15.75">
      <c r="A343" s="37">
        <v>8</v>
      </c>
      <c r="B343" s="27" t="s">
        <v>4460</v>
      </c>
      <c r="C343" s="38"/>
      <c r="D343" s="215"/>
      <c r="E343" s="47" t="s">
        <v>4375</v>
      </c>
      <c r="F343" s="107" t="s">
        <v>7229</v>
      </c>
      <c r="G343" s="119">
        <v>0</v>
      </c>
      <c r="H343" s="119">
        <v>59600000</v>
      </c>
      <c r="I343" s="216">
        <v>59600000</v>
      </c>
      <c r="J343" s="119">
        <v>0</v>
      </c>
      <c r="K343" s="216">
        <v>59600000</v>
      </c>
      <c r="L343" s="126"/>
      <c r="M343" s="126"/>
      <c r="N343" s="119">
        <v>24875000</v>
      </c>
      <c r="O343" s="216">
        <v>24875000</v>
      </c>
      <c r="P343" s="126"/>
    </row>
    <row r="344" spans="1:16" s="40" customFormat="1" ht="15.75">
      <c r="A344" s="37">
        <v>9</v>
      </c>
      <c r="B344" s="27" t="s">
        <v>4462</v>
      </c>
      <c r="C344" s="38"/>
      <c r="D344" s="215"/>
      <c r="E344" s="47" t="s">
        <v>4376</v>
      </c>
      <c r="F344" s="107" t="s">
        <v>7230</v>
      </c>
      <c r="G344" s="119">
        <v>0</v>
      </c>
      <c r="H344" s="119">
        <v>11560000</v>
      </c>
      <c r="I344" s="216">
        <v>11560000</v>
      </c>
      <c r="J344" s="119">
        <v>0</v>
      </c>
      <c r="K344" s="216">
        <v>11560000</v>
      </c>
      <c r="L344" s="126"/>
      <c r="M344" s="126"/>
      <c r="N344" s="119">
        <v>7560000</v>
      </c>
      <c r="O344" s="216">
        <v>7560000</v>
      </c>
      <c r="P344" s="126"/>
    </row>
    <row r="345" spans="1:16" s="40" customFormat="1" ht="15.75">
      <c r="A345" s="37">
        <v>10</v>
      </c>
      <c r="B345" s="27" t="s">
        <v>4464</v>
      </c>
      <c r="C345" s="38"/>
      <c r="D345" s="215"/>
      <c r="E345" s="47" t="s">
        <v>4377</v>
      </c>
      <c r="F345" s="107" t="s">
        <v>7231</v>
      </c>
      <c r="G345" s="119">
        <v>0</v>
      </c>
      <c r="H345" s="119">
        <v>7000000</v>
      </c>
      <c r="I345" s="216">
        <v>7000000</v>
      </c>
      <c r="J345" s="119">
        <v>0</v>
      </c>
      <c r="K345" s="216">
        <v>7000000</v>
      </c>
      <c r="L345" s="126"/>
      <c r="M345" s="126"/>
      <c r="N345" s="119">
        <v>14000000</v>
      </c>
      <c r="O345" s="216">
        <v>14000000</v>
      </c>
      <c r="P345" s="126"/>
    </row>
    <row r="346" spans="1:16" s="40" customFormat="1" ht="31.5">
      <c r="A346" s="37">
        <v>11</v>
      </c>
      <c r="B346" s="27" t="s">
        <v>775</v>
      </c>
      <c r="C346" s="38"/>
      <c r="D346" s="215"/>
      <c r="E346" s="47" t="s">
        <v>4872</v>
      </c>
      <c r="F346" s="107" t="s">
        <v>7000</v>
      </c>
      <c r="G346" s="119">
        <v>0</v>
      </c>
      <c r="H346" s="119">
        <v>3332613</v>
      </c>
      <c r="I346" s="216">
        <v>3332613</v>
      </c>
      <c r="J346" s="119">
        <v>3332613</v>
      </c>
      <c r="K346" s="216">
        <v>0</v>
      </c>
      <c r="L346" s="126"/>
      <c r="M346" s="126"/>
      <c r="N346" s="119">
        <v>0</v>
      </c>
      <c r="O346" s="216">
        <v>0</v>
      </c>
      <c r="P346" s="126"/>
    </row>
    <row r="347" spans="1:16" s="40" customFormat="1" ht="31.5">
      <c r="A347" s="37">
        <v>12</v>
      </c>
      <c r="B347" s="27" t="s">
        <v>775</v>
      </c>
      <c r="C347" s="38"/>
      <c r="D347" s="215"/>
      <c r="E347" s="47" t="s">
        <v>4873</v>
      </c>
      <c r="F347" s="107" t="s">
        <v>7001</v>
      </c>
      <c r="G347" s="119">
        <v>0</v>
      </c>
      <c r="H347" s="119">
        <v>17807080</v>
      </c>
      <c r="I347" s="216">
        <v>17807080</v>
      </c>
      <c r="J347" s="119">
        <v>17807080</v>
      </c>
      <c r="K347" s="216">
        <v>0</v>
      </c>
      <c r="L347" s="126"/>
      <c r="M347" s="126"/>
      <c r="N347" s="119">
        <v>0</v>
      </c>
      <c r="O347" s="216">
        <v>0</v>
      </c>
      <c r="P347" s="126"/>
    </row>
    <row r="348" spans="1:16" s="40" customFormat="1" ht="15.75">
      <c r="A348" s="37"/>
      <c r="B348" s="27"/>
      <c r="C348" s="38"/>
      <c r="D348" s="215"/>
      <c r="E348" s="47"/>
      <c r="F348" s="107"/>
      <c r="G348" s="119">
        <v>0</v>
      </c>
      <c r="H348" s="119">
        <v>0</v>
      </c>
      <c r="I348" s="216">
        <v>0</v>
      </c>
      <c r="J348" s="119">
        <v>0</v>
      </c>
      <c r="K348" s="216">
        <v>0</v>
      </c>
      <c r="L348" s="126"/>
      <c r="M348" s="126"/>
      <c r="N348" s="119">
        <v>0</v>
      </c>
      <c r="O348" s="216">
        <v>0</v>
      </c>
      <c r="P348" s="126"/>
    </row>
    <row r="349" spans="1:16" s="40" customFormat="1" ht="15.75">
      <c r="A349" s="37"/>
      <c r="B349" s="27"/>
      <c r="C349" s="38"/>
      <c r="D349" s="215"/>
      <c r="E349" s="217" t="s">
        <v>3653</v>
      </c>
      <c r="F349" s="218" t="s">
        <v>7232</v>
      </c>
      <c r="G349" s="119">
        <v>0</v>
      </c>
      <c r="H349" s="119">
        <v>342572151</v>
      </c>
      <c r="I349" s="216">
        <v>342572151</v>
      </c>
      <c r="J349" s="119">
        <v>205362151</v>
      </c>
      <c r="K349" s="216">
        <v>137210000</v>
      </c>
      <c r="L349" s="126"/>
      <c r="M349" s="126"/>
      <c r="N349" s="119">
        <v>56435000</v>
      </c>
      <c r="O349" s="216">
        <v>56435000</v>
      </c>
      <c r="P349" s="126"/>
    </row>
    <row r="350" spans="1:16" s="40" customFormat="1" ht="15.75">
      <c r="A350" s="37"/>
      <c r="B350" s="27"/>
      <c r="C350" s="38"/>
      <c r="D350" s="215"/>
      <c r="E350" s="47"/>
      <c r="F350" s="107"/>
      <c r="G350" s="119">
        <v>0</v>
      </c>
      <c r="H350" s="119">
        <v>0</v>
      </c>
      <c r="I350" s="216">
        <v>0</v>
      </c>
      <c r="J350" s="119">
        <v>0</v>
      </c>
      <c r="K350" s="216">
        <v>0</v>
      </c>
      <c r="L350" s="126"/>
      <c r="M350" s="126"/>
      <c r="N350" s="119">
        <v>0</v>
      </c>
      <c r="O350" s="216">
        <v>0</v>
      </c>
      <c r="P350" s="126"/>
    </row>
    <row r="351" spans="1:16" s="40" customFormat="1" ht="15.75">
      <c r="A351" s="37"/>
      <c r="B351" s="27"/>
      <c r="C351" s="38"/>
      <c r="D351" s="215"/>
      <c r="E351" s="47"/>
      <c r="F351" s="107"/>
      <c r="G351" s="119">
        <v>0</v>
      </c>
      <c r="H351" s="119">
        <v>0</v>
      </c>
      <c r="I351" s="216">
        <v>0</v>
      </c>
      <c r="J351" s="119">
        <v>0</v>
      </c>
      <c r="K351" s="216">
        <v>0</v>
      </c>
      <c r="L351" s="126"/>
      <c r="M351" s="126"/>
      <c r="N351" s="119">
        <v>0</v>
      </c>
      <c r="O351" s="216">
        <v>0</v>
      </c>
      <c r="P351" s="126"/>
    </row>
    <row r="352" spans="1:16" s="40" customFormat="1" ht="15.75">
      <c r="A352" s="37"/>
      <c r="B352" s="27"/>
      <c r="C352" s="38"/>
      <c r="D352" s="215"/>
      <c r="E352" s="47" t="s">
        <v>3654</v>
      </c>
      <c r="F352" s="107" t="s">
        <v>7233</v>
      </c>
      <c r="G352" s="119">
        <v>0</v>
      </c>
      <c r="H352" s="119">
        <v>0</v>
      </c>
      <c r="I352" s="216">
        <v>0</v>
      </c>
      <c r="J352" s="119">
        <v>0</v>
      </c>
      <c r="K352" s="216">
        <v>0</v>
      </c>
      <c r="L352" s="126"/>
      <c r="M352" s="126"/>
      <c r="N352" s="119">
        <v>0</v>
      </c>
      <c r="O352" s="216">
        <v>0</v>
      </c>
      <c r="P352" s="126"/>
    </row>
    <row r="353" spans="1:16" s="40" customFormat="1" ht="15.75">
      <c r="A353" s="37"/>
      <c r="B353" s="27"/>
      <c r="C353" s="38"/>
      <c r="D353" s="215"/>
      <c r="E353" s="47"/>
      <c r="F353" s="107"/>
      <c r="G353" s="119">
        <v>0</v>
      </c>
      <c r="H353" s="119">
        <v>0</v>
      </c>
      <c r="I353" s="216">
        <v>0</v>
      </c>
      <c r="J353" s="119">
        <v>0</v>
      </c>
      <c r="K353" s="216">
        <v>0</v>
      </c>
      <c r="L353" s="126"/>
      <c r="M353" s="126"/>
      <c r="N353" s="119">
        <v>0</v>
      </c>
      <c r="O353" s="216">
        <v>0</v>
      </c>
      <c r="P353" s="126"/>
    </row>
    <row r="354" spans="1:16" s="40" customFormat="1" ht="15.75">
      <c r="A354" s="27" t="s">
        <v>755</v>
      </c>
      <c r="B354" s="27" t="s">
        <v>922</v>
      </c>
      <c r="C354" s="38" t="s">
        <v>610</v>
      </c>
      <c r="D354" s="215"/>
      <c r="E354" s="47" t="s">
        <v>3655</v>
      </c>
      <c r="F354" s="107" t="s">
        <v>7234</v>
      </c>
      <c r="G354" s="119">
        <v>0</v>
      </c>
      <c r="H354" s="119">
        <v>1137317112</v>
      </c>
      <c r="I354" s="216">
        <v>1137317112</v>
      </c>
      <c r="J354" s="119">
        <v>1065573862</v>
      </c>
      <c r="K354" s="216">
        <v>71743250</v>
      </c>
      <c r="L354" s="126"/>
      <c r="M354" s="126"/>
      <c r="N354" s="119">
        <v>94320000</v>
      </c>
      <c r="O354" s="216">
        <v>94320000</v>
      </c>
      <c r="P354" s="126"/>
    </row>
    <row r="355" spans="1:16" s="40" customFormat="1" ht="15.75">
      <c r="A355" s="27" t="s">
        <v>755</v>
      </c>
      <c r="B355" s="27" t="s">
        <v>636</v>
      </c>
      <c r="C355" s="38" t="s">
        <v>613</v>
      </c>
      <c r="D355" s="215"/>
      <c r="E355" s="47" t="s">
        <v>3656</v>
      </c>
      <c r="F355" s="107" t="s">
        <v>7235</v>
      </c>
      <c r="G355" s="119">
        <v>0</v>
      </c>
      <c r="H355" s="119">
        <v>471514467</v>
      </c>
      <c r="I355" s="216">
        <v>471514467</v>
      </c>
      <c r="J355" s="119">
        <v>451053467</v>
      </c>
      <c r="K355" s="216">
        <v>20461000</v>
      </c>
      <c r="L355" s="126"/>
      <c r="M355" s="126"/>
      <c r="N355" s="119">
        <v>28300000</v>
      </c>
      <c r="O355" s="216">
        <v>28300000</v>
      </c>
      <c r="P355" s="126"/>
    </row>
    <row r="356" spans="1:16" s="40" customFormat="1" ht="15.75">
      <c r="A356" s="27" t="s">
        <v>755</v>
      </c>
      <c r="B356" s="27"/>
      <c r="C356" s="38"/>
      <c r="D356" s="215"/>
      <c r="E356" s="47"/>
      <c r="F356" s="107"/>
      <c r="G356" s="119">
        <v>0</v>
      </c>
      <c r="H356" s="119">
        <v>0</v>
      </c>
      <c r="I356" s="216">
        <v>0</v>
      </c>
      <c r="J356" s="119">
        <v>0</v>
      </c>
      <c r="K356" s="216">
        <v>0</v>
      </c>
      <c r="L356" s="126"/>
      <c r="M356" s="126"/>
      <c r="N356" s="119">
        <v>0</v>
      </c>
      <c r="O356" s="216">
        <v>0</v>
      </c>
      <c r="P356" s="126"/>
    </row>
    <row r="357" spans="1:16" s="40" customFormat="1" ht="15.75">
      <c r="A357" s="27" t="s">
        <v>755</v>
      </c>
      <c r="B357" s="27" t="s">
        <v>683</v>
      </c>
      <c r="C357" s="38" t="s">
        <v>611</v>
      </c>
      <c r="D357" s="215"/>
      <c r="E357" s="47" t="s">
        <v>3657</v>
      </c>
      <c r="F357" s="107" t="s">
        <v>7236</v>
      </c>
      <c r="G357" s="119">
        <v>0</v>
      </c>
      <c r="H357" s="119">
        <v>410372236</v>
      </c>
      <c r="I357" s="216">
        <v>410372236</v>
      </c>
      <c r="J357" s="119">
        <v>369231236</v>
      </c>
      <c r="K357" s="216">
        <v>41141000</v>
      </c>
      <c r="L357" s="126"/>
      <c r="M357" s="126"/>
      <c r="N357" s="119">
        <v>15119999.999999998</v>
      </c>
      <c r="O357" s="216">
        <v>15119999.999999998</v>
      </c>
      <c r="P357" s="126"/>
    </row>
    <row r="358" spans="1:16" s="40" customFormat="1" ht="15.75">
      <c r="A358" s="27" t="s">
        <v>755</v>
      </c>
      <c r="B358" s="27" t="s">
        <v>109</v>
      </c>
      <c r="C358" s="38" t="s">
        <v>614</v>
      </c>
      <c r="D358" s="215"/>
      <c r="E358" s="47" t="s">
        <v>3658</v>
      </c>
      <c r="F358" s="107" t="s">
        <v>7237</v>
      </c>
      <c r="G358" s="119">
        <v>0</v>
      </c>
      <c r="H358" s="119">
        <v>170877491</v>
      </c>
      <c r="I358" s="216">
        <v>170877491</v>
      </c>
      <c r="J358" s="119">
        <v>158687991</v>
      </c>
      <c r="K358" s="216">
        <v>12189500</v>
      </c>
      <c r="L358" s="126"/>
      <c r="M358" s="126"/>
      <c r="N358" s="119">
        <v>16000000</v>
      </c>
      <c r="O358" s="216">
        <v>16000000</v>
      </c>
      <c r="P358" s="126"/>
    </row>
    <row r="359" spans="1:16" s="40" customFormat="1" ht="15.75">
      <c r="A359" s="27" t="s">
        <v>755</v>
      </c>
      <c r="B359" s="27"/>
      <c r="C359" s="38"/>
      <c r="D359" s="215"/>
      <c r="E359" s="47"/>
      <c r="F359" s="107"/>
      <c r="G359" s="119">
        <v>0</v>
      </c>
      <c r="H359" s="119">
        <v>0</v>
      </c>
      <c r="I359" s="216">
        <v>0</v>
      </c>
      <c r="J359" s="119">
        <v>0</v>
      </c>
      <c r="K359" s="216">
        <v>0</v>
      </c>
      <c r="L359" s="126"/>
      <c r="M359" s="126"/>
      <c r="N359" s="119">
        <v>0</v>
      </c>
      <c r="O359" s="216">
        <v>0</v>
      </c>
      <c r="P359" s="126"/>
    </row>
    <row r="360" spans="1:16" s="40" customFormat="1" ht="15.75">
      <c r="A360" s="27" t="s">
        <v>755</v>
      </c>
      <c r="B360" s="27" t="s">
        <v>65</v>
      </c>
      <c r="C360" s="38" t="s">
        <v>612</v>
      </c>
      <c r="D360" s="215"/>
      <c r="E360" s="47" t="s">
        <v>3659</v>
      </c>
      <c r="F360" s="107" t="s">
        <v>7238</v>
      </c>
      <c r="G360" s="119">
        <v>0</v>
      </c>
      <c r="H360" s="119">
        <v>244400086</v>
      </c>
      <c r="I360" s="216">
        <v>244400086</v>
      </c>
      <c r="J360" s="119">
        <v>229281836</v>
      </c>
      <c r="K360" s="216">
        <v>15118250</v>
      </c>
      <c r="L360" s="126"/>
      <c r="M360" s="126"/>
      <c r="N360" s="119">
        <v>27360000.000000004</v>
      </c>
      <c r="O360" s="216">
        <v>27360000.000000004</v>
      </c>
      <c r="P360" s="126"/>
    </row>
    <row r="361" spans="1:16" s="40" customFormat="1" ht="31.5">
      <c r="A361" s="27" t="s">
        <v>755</v>
      </c>
      <c r="B361" s="27" t="s">
        <v>731</v>
      </c>
      <c r="C361" s="38" t="s">
        <v>77</v>
      </c>
      <c r="D361" s="215"/>
      <c r="E361" s="47" t="s">
        <v>3660</v>
      </c>
      <c r="F361" s="107" t="s">
        <v>7239</v>
      </c>
      <c r="G361" s="119">
        <v>0</v>
      </c>
      <c r="H361" s="119">
        <v>73170498</v>
      </c>
      <c r="I361" s="216">
        <v>73170498</v>
      </c>
      <c r="J361" s="119">
        <v>63303498</v>
      </c>
      <c r="K361" s="216">
        <v>9867000</v>
      </c>
      <c r="L361" s="126"/>
      <c r="M361" s="126"/>
      <c r="N361" s="119">
        <v>18400000</v>
      </c>
      <c r="O361" s="216">
        <v>18400000</v>
      </c>
      <c r="P361" s="126"/>
    </row>
    <row r="362" spans="1:16" s="40" customFormat="1" ht="15.75">
      <c r="A362" s="27"/>
      <c r="B362" s="27"/>
      <c r="C362" s="38"/>
      <c r="D362" s="215"/>
      <c r="E362" s="47"/>
      <c r="F362" s="107"/>
      <c r="G362" s="119">
        <v>0</v>
      </c>
      <c r="H362" s="119">
        <v>0</v>
      </c>
      <c r="I362" s="216">
        <v>0</v>
      </c>
      <c r="J362" s="119">
        <v>0</v>
      </c>
      <c r="K362" s="216">
        <v>0</v>
      </c>
      <c r="L362" s="126"/>
      <c r="M362" s="126"/>
      <c r="N362" s="119">
        <v>0</v>
      </c>
      <c r="O362" s="216">
        <v>0</v>
      </c>
      <c r="P362" s="126"/>
    </row>
    <row r="363" spans="1:16" s="40" customFormat="1" ht="15.75">
      <c r="A363" s="37"/>
      <c r="B363" s="27"/>
      <c r="C363" s="38"/>
      <c r="D363" s="215"/>
      <c r="E363" s="47"/>
      <c r="F363" s="107"/>
      <c r="G363" s="119">
        <v>0</v>
      </c>
      <c r="H363" s="119">
        <v>0</v>
      </c>
      <c r="I363" s="216">
        <v>0</v>
      </c>
      <c r="J363" s="119">
        <v>0</v>
      </c>
      <c r="K363" s="216">
        <v>0</v>
      </c>
      <c r="L363" s="126"/>
      <c r="M363" s="126"/>
      <c r="N363" s="119">
        <v>0</v>
      </c>
      <c r="O363" s="216">
        <v>0</v>
      </c>
      <c r="P363" s="126"/>
    </row>
    <row r="364" spans="1:16" s="40" customFormat="1" ht="15.75">
      <c r="A364" s="37"/>
      <c r="B364" s="27"/>
      <c r="C364" s="38"/>
      <c r="D364" s="215"/>
      <c r="E364" s="217" t="s">
        <v>3661</v>
      </c>
      <c r="F364" s="218" t="s">
        <v>7240</v>
      </c>
      <c r="G364" s="119">
        <v>0</v>
      </c>
      <c r="H364" s="119">
        <v>3004778953</v>
      </c>
      <c r="I364" s="216">
        <v>3004778953</v>
      </c>
      <c r="J364" s="119">
        <v>2834258953</v>
      </c>
      <c r="K364" s="216">
        <v>170520000</v>
      </c>
      <c r="L364" s="126"/>
      <c r="M364" s="126"/>
      <c r="N364" s="119">
        <v>199500000</v>
      </c>
      <c r="O364" s="216">
        <v>199500000</v>
      </c>
      <c r="P364" s="126"/>
    </row>
    <row r="365" spans="1:16" s="40" customFormat="1" ht="15.75">
      <c r="A365" s="37"/>
      <c r="B365" s="27"/>
      <c r="C365" s="38"/>
      <c r="D365" s="215"/>
      <c r="E365" s="47"/>
      <c r="F365" s="107"/>
      <c r="G365" s="126"/>
      <c r="H365" s="126"/>
      <c r="I365" s="126"/>
      <c r="J365" s="126"/>
      <c r="K365" s="126"/>
      <c r="L365" s="126"/>
      <c r="M365" s="126"/>
      <c r="N365" s="126"/>
      <c r="O365" s="126"/>
      <c r="P365" s="126"/>
    </row>
    <row r="366" spans="1:16" s="40" customFormat="1" ht="15.75">
      <c r="A366" s="37"/>
      <c r="B366" s="27"/>
      <c r="C366" s="38"/>
      <c r="D366" s="215"/>
      <c r="E366" s="47"/>
      <c r="F366" s="107"/>
      <c r="G366" s="126"/>
      <c r="H366" s="126"/>
      <c r="I366" s="126"/>
      <c r="J366" s="126"/>
      <c r="K366" s="126"/>
      <c r="L366" s="126"/>
      <c r="M366" s="126"/>
      <c r="N366" s="126"/>
      <c r="O366" s="126"/>
      <c r="P366" s="126"/>
    </row>
    <row r="367" spans="1:16" s="40" customFormat="1" ht="15.75">
      <c r="A367" s="37"/>
      <c r="B367" s="27"/>
      <c r="C367" s="38"/>
      <c r="D367" s="215"/>
      <c r="E367" s="47"/>
      <c r="F367" s="107"/>
      <c r="G367" s="126"/>
      <c r="H367" s="126"/>
      <c r="I367" s="126"/>
      <c r="J367" s="126"/>
      <c r="K367" s="126"/>
      <c r="L367" s="126"/>
      <c r="M367" s="126"/>
      <c r="N367" s="126"/>
      <c r="O367" s="126"/>
      <c r="P367" s="126"/>
    </row>
    <row r="368" spans="1:16" s="40" customFormat="1" ht="15.75">
      <c r="A368" s="37"/>
      <c r="B368" s="27"/>
      <c r="C368" s="38"/>
      <c r="D368" s="215"/>
      <c r="E368" s="47"/>
      <c r="F368" s="107"/>
      <c r="G368" s="126"/>
      <c r="H368" s="126"/>
      <c r="I368" s="126"/>
      <c r="J368" s="126"/>
      <c r="K368" s="126"/>
      <c r="L368" s="126"/>
      <c r="M368" s="126"/>
      <c r="N368" s="126"/>
      <c r="O368" s="126"/>
      <c r="P368" s="126"/>
    </row>
    <row r="369" spans="1:16" s="40" customFormat="1" ht="15.75">
      <c r="A369" s="27" t="s">
        <v>755</v>
      </c>
      <c r="B369" s="27" t="s">
        <v>78</v>
      </c>
      <c r="C369" s="38" t="s">
        <v>755</v>
      </c>
      <c r="D369" s="215"/>
      <c r="E369" s="91" t="s">
        <v>4759</v>
      </c>
      <c r="F369" s="230" t="s">
        <v>6955</v>
      </c>
      <c r="G369" s="119">
        <v>0</v>
      </c>
      <c r="H369" s="119">
        <v>400492095</v>
      </c>
      <c r="I369" s="119">
        <v>400492095</v>
      </c>
      <c r="J369" s="119">
        <v>110042095</v>
      </c>
      <c r="K369" s="119">
        <v>290450000</v>
      </c>
      <c r="L369" s="119">
        <v>0</v>
      </c>
      <c r="M369" s="119">
        <v>0</v>
      </c>
      <c r="N369" s="119">
        <v>278300000</v>
      </c>
      <c r="O369" s="119">
        <v>278300000</v>
      </c>
      <c r="P369" s="119"/>
    </row>
    <row r="370" spans="1:16" s="40" customFormat="1" ht="15.75">
      <c r="A370" s="27" t="s">
        <v>755</v>
      </c>
      <c r="B370" s="27" t="s">
        <v>79</v>
      </c>
      <c r="C370" s="38" t="s">
        <v>755</v>
      </c>
      <c r="D370" s="215"/>
      <c r="E370" s="91" t="s">
        <v>3489</v>
      </c>
      <c r="F370" s="230" t="s">
        <v>7002</v>
      </c>
      <c r="G370" s="119">
        <v>0</v>
      </c>
      <c r="H370" s="119">
        <v>1910048806</v>
      </c>
      <c r="I370" s="119">
        <v>1910048806</v>
      </c>
      <c r="J370" s="119">
        <v>1258858806</v>
      </c>
      <c r="K370" s="119">
        <v>651190000</v>
      </c>
      <c r="L370" s="119">
        <v>0</v>
      </c>
      <c r="M370" s="119">
        <v>0</v>
      </c>
      <c r="N370" s="119">
        <v>127000000</v>
      </c>
      <c r="O370" s="119">
        <v>127000000</v>
      </c>
      <c r="P370" s="119"/>
    </row>
    <row r="371" spans="1:16" s="40" customFormat="1" ht="15.75">
      <c r="A371" s="27" t="s">
        <v>755</v>
      </c>
      <c r="B371" s="27" t="s">
        <v>110</v>
      </c>
      <c r="C371" s="38" t="s">
        <v>755</v>
      </c>
      <c r="D371" s="215"/>
      <c r="E371" s="91" t="s">
        <v>3517</v>
      </c>
      <c r="F371" s="230" t="s">
        <v>7032</v>
      </c>
      <c r="G371" s="119">
        <v>0</v>
      </c>
      <c r="H371" s="119">
        <v>2750876358</v>
      </c>
      <c r="I371" s="119">
        <v>2750876358</v>
      </c>
      <c r="J371" s="119">
        <v>2212276358</v>
      </c>
      <c r="K371" s="119">
        <v>538600000</v>
      </c>
      <c r="L371" s="119">
        <v>0</v>
      </c>
      <c r="M371" s="119">
        <v>0</v>
      </c>
      <c r="N371" s="119">
        <v>907500000</v>
      </c>
      <c r="O371" s="119">
        <v>907500000</v>
      </c>
      <c r="P371" s="119"/>
    </row>
    <row r="372" spans="1:16" s="40" customFormat="1" ht="15.75">
      <c r="A372" s="27" t="s">
        <v>755</v>
      </c>
      <c r="B372" s="27" t="s">
        <v>80</v>
      </c>
      <c r="C372" s="38" t="s">
        <v>755</v>
      </c>
      <c r="D372" s="215"/>
      <c r="E372" s="91" t="s">
        <v>3528</v>
      </c>
      <c r="F372" s="230" t="s">
        <v>7052</v>
      </c>
      <c r="G372" s="119">
        <v>11538000</v>
      </c>
      <c r="H372" s="119">
        <v>20963655441</v>
      </c>
      <c r="I372" s="119">
        <v>20975193441</v>
      </c>
      <c r="J372" s="119">
        <v>15516413441</v>
      </c>
      <c r="K372" s="119">
        <v>5458780000</v>
      </c>
      <c r="L372" s="119">
        <v>0</v>
      </c>
      <c r="M372" s="119">
        <v>0</v>
      </c>
      <c r="N372" s="119">
        <v>4330000000</v>
      </c>
      <c r="O372" s="119">
        <v>4330000000</v>
      </c>
      <c r="P372" s="119"/>
    </row>
    <row r="373" spans="1:16" s="40" customFormat="1" ht="15.75">
      <c r="A373" s="27" t="s">
        <v>755</v>
      </c>
      <c r="B373" s="27" t="s">
        <v>81</v>
      </c>
      <c r="C373" s="38" t="s">
        <v>755</v>
      </c>
      <c r="D373" s="215"/>
      <c r="E373" s="91" t="s">
        <v>3538</v>
      </c>
      <c r="F373" s="230" t="s">
        <v>7065</v>
      </c>
      <c r="G373" s="119">
        <v>0</v>
      </c>
      <c r="H373" s="119">
        <v>1883568192</v>
      </c>
      <c r="I373" s="119">
        <v>1883568192</v>
      </c>
      <c r="J373" s="119">
        <v>1083268192</v>
      </c>
      <c r="K373" s="119">
        <v>800300000</v>
      </c>
      <c r="L373" s="119">
        <v>0</v>
      </c>
      <c r="M373" s="119">
        <v>0</v>
      </c>
      <c r="N373" s="119">
        <v>1680000000</v>
      </c>
      <c r="O373" s="119">
        <v>1680000000</v>
      </c>
      <c r="P373" s="119"/>
    </row>
    <row r="374" spans="1:16" s="40" customFormat="1" ht="15.75">
      <c r="A374" s="27" t="s">
        <v>755</v>
      </c>
      <c r="B374" s="27" t="s">
        <v>82</v>
      </c>
      <c r="C374" s="38" t="s">
        <v>755</v>
      </c>
      <c r="D374" s="215"/>
      <c r="E374" s="91" t="s">
        <v>4246</v>
      </c>
      <c r="F374" s="230" t="s">
        <v>7103</v>
      </c>
      <c r="G374" s="119">
        <v>0</v>
      </c>
      <c r="H374" s="119">
        <v>4750510500</v>
      </c>
      <c r="I374" s="119">
        <v>4750510500</v>
      </c>
      <c r="J374" s="119">
        <v>3611410500</v>
      </c>
      <c r="K374" s="119">
        <v>1139100000</v>
      </c>
      <c r="L374" s="119">
        <v>0</v>
      </c>
      <c r="M374" s="119">
        <v>0</v>
      </c>
      <c r="N374" s="119">
        <v>237500000</v>
      </c>
      <c r="O374" s="119">
        <v>237500000</v>
      </c>
      <c r="P374" s="119"/>
    </row>
    <row r="375" spans="1:16" s="40" customFormat="1" ht="15.75">
      <c r="A375" s="27" t="s">
        <v>755</v>
      </c>
      <c r="B375" s="27" t="s">
        <v>83</v>
      </c>
      <c r="C375" s="38" t="s">
        <v>755</v>
      </c>
      <c r="D375" s="215"/>
      <c r="E375" s="91" t="s">
        <v>3571</v>
      </c>
      <c r="F375" s="230" t="s">
        <v>7118</v>
      </c>
      <c r="G375" s="119">
        <v>0</v>
      </c>
      <c r="H375" s="119">
        <v>990628358</v>
      </c>
      <c r="I375" s="119">
        <v>990628358</v>
      </c>
      <c r="J375" s="119">
        <v>296078358</v>
      </c>
      <c r="K375" s="119">
        <v>694550000</v>
      </c>
      <c r="L375" s="119">
        <v>0</v>
      </c>
      <c r="M375" s="119">
        <v>0</v>
      </c>
      <c r="N375" s="119">
        <v>868500000</v>
      </c>
      <c r="O375" s="119">
        <v>868500000</v>
      </c>
      <c r="P375" s="119"/>
    </row>
    <row r="376" spans="1:16" s="40" customFormat="1" ht="15.75">
      <c r="A376" s="27" t="s">
        <v>755</v>
      </c>
      <c r="B376" s="27" t="s">
        <v>1079</v>
      </c>
      <c r="C376" s="38" t="s">
        <v>755</v>
      </c>
      <c r="D376" s="215"/>
      <c r="E376" s="91" t="s">
        <v>3573</v>
      </c>
      <c r="F376" s="230" t="s">
        <v>7121</v>
      </c>
      <c r="G376" s="119">
        <v>0</v>
      </c>
      <c r="H376" s="119">
        <v>1343572444</v>
      </c>
      <c r="I376" s="119">
        <v>1343572444</v>
      </c>
      <c r="J376" s="119">
        <v>706072444</v>
      </c>
      <c r="K376" s="119">
        <v>637500000</v>
      </c>
      <c r="L376" s="119">
        <v>0</v>
      </c>
      <c r="M376" s="119">
        <v>0</v>
      </c>
      <c r="N376" s="119">
        <v>1251400000</v>
      </c>
      <c r="O376" s="119">
        <v>1251400000</v>
      </c>
      <c r="P376" s="119"/>
    </row>
    <row r="377" spans="1:16" s="40" customFormat="1" ht="15.75">
      <c r="A377" s="27" t="s">
        <v>755</v>
      </c>
      <c r="B377" s="27" t="s">
        <v>84</v>
      </c>
      <c r="C377" s="38" t="s">
        <v>755</v>
      </c>
      <c r="D377" s="215"/>
      <c r="E377" s="91" t="s">
        <v>3607</v>
      </c>
      <c r="F377" s="230" t="s">
        <v>7160</v>
      </c>
      <c r="G377" s="119">
        <v>0</v>
      </c>
      <c r="H377" s="119">
        <v>2700310221</v>
      </c>
      <c r="I377" s="119">
        <v>2700310221</v>
      </c>
      <c r="J377" s="119">
        <v>2074100221</v>
      </c>
      <c r="K377" s="119">
        <v>626210000</v>
      </c>
      <c r="L377" s="119">
        <v>0</v>
      </c>
      <c r="M377" s="119">
        <v>0</v>
      </c>
      <c r="N377" s="119">
        <v>522400000</v>
      </c>
      <c r="O377" s="119">
        <v>522400000</v>
      </c>
      <c r="P377" s="119"/>
    </row>
    <row r="378" spans="1:16" s="40" customFormat="1" ht="15.75">
      <c r="A378" s="27" t="s">
        <v>755</v>
      </c>
      <c r="B378" s="27" t="s">
        <v>85</v>
      </c>
      <c r="C378" s="38" t="s">
        <v>755</v>
      </c>
      <c r="D378" s="215"/>
      <c r="E378" s="91" t="s">
        <v>2676</v>
      </c>
      <c r="F378" s="230" t="s">
        <v>7168</v>
      </c>
      <c r="G378" s="119">
        <v>0</v>
      </c>
      <c r="H378" s="119">
        <v>46664531</v>
      </c>
      <c r="I378" s="119">
        <v>46664531</v>
      </c>
      <c r="J378" s="119">
        <v>24064531</v>
      </c>
      <c r="K378" s="119">
        <v>22600000</v>
      </c>
      <c r="L378" s="119">
        <v>0</v>
      </c>
      <c r="M378" s="119">
        <v>0</v>
      </c>
      <c r="N378" s="119">
        <v>27850000</v>
      </c>
      <c r="O378" s="119">
        <v>27850000</v>
      </c>
      <c r="P378" s="119"/>
    </row>
    <row r="379" spans="1:16" s="40" customFormat="1" ht="15.75">
      <c r="A379" s="27" t="s">
        <v>755</v>
      </c>
      <c r="B379" s="27" t="s">
        <v>86</v>
      </c>
      <c r="C379" s="38" t="s">
        <v>755</v>
      </c>
      <c r="D379" s="215"/>
      <c r="E379" s="91" t="s">
        <v>3684</v>
      </c>
      <c r="F379" s="230" t="s">
        <v>7192</v>
      </c>
      <c r="G379" s="119">
        <v>0</v>
      </c>
      <c r="H379" s="119">
        <v>2543011605</v>
      </c>
      <c r="I379" s="119">
        <v>2543011605</v>
      </c>
      <c r="J379" s="119">
        <v>1786911605</v>
      </c>
      <c r="K379" s="119">
        <v>756100000</v>
      </c>
      <c r="L379" s="119">
        <v>0</v>
      </c>
      <c r="M379" s="119">
        <v>0</v>
      </c>
      <c r="N379" s="119">
        <v>340000000</v>
      </c>
      <c r="O379" s="119">
        <v>340000000</v>
      </c>
      <c r="P379" s="119"/>
    </row>
    <row r="380" spans="1:16" s="40" customFormat="1" ht="15.75">
      <c r="A380" s="27" t="s">
        <v>755</v>
      </c>
      <c r="B380" s="27" t="s">
        <v>87</v>
      </c>
      <c r="C380" s="38" t="s">
        <v>755</v>
      </c>
      <c r="D380" s="215"/>
      <c r="E380" s="91" t="s">
        <v>2751</v>
      </c>
      <c r="F380" s="230" t="s">
        <v>7202</v>
      </c>
      <c r="G380" s="119">
        <v>0</v>
      </c>
      <c r="H380" s="119">
        <v>1073893477</v>
      </c>
      <c r="I380" s="119">
        <v>1073893477</v>
      </c>
      <c r="J380" s="119">
        <v>858913477</v>
      </c>
      <c r="K380" s="119">
        <v>214980000</v>
      </c>
      <c r="L380" s="119">
        <v>0</v>
      </c>
      <c r="M380" s="119">
        <v>0</v>
      </c>
      <c r="N380" s="119">
        <v>55900000</v>
      </c>
      <c r="O380" s="119">
        <v>55900000</v>
      </c>
      <c r="P380" s="119"/>
    </row>
    <row r="381" spans="1:16" s="40" customFormat="1" ht="15.75">
      <c r="A381" s="27" t="s">
        <v>755</v>
      </c>
      <c r="B381" s="27" t="s">
        <v>605</v>
      </c>
      <c r="C381" s="38" t="s">
        <v>755</v>
      </c>
      <c r="D381" s="215"/>
      <c r="E381" s="91" t="s">
        <v>3645</v>
      </c>
      <c r="F381" s="230" t="s">
        <v>7220</v>
      </c>
      <c r="G381" s="119">
        <v>0</v>
      </c>
      <c r="H381" s="119">
        <v>1500193148</v>
      </c>
      <c r="I381" s="119">
        <v>1500193148</v>
      </c>
      <c r="J381" s="119">
        <v>911343148</v>
      </c>
      <c r="K381" s="119">
        <v>588850000</v>
      </c>
      <c r="L381" s="119">
        <v>0</v>
      </c>
      <c r="M381" s="119">
        <v>0</v>
      </c>
      <c r="N381" s="119">
        <v>232150000</v>
      </c>
      <c r="O381" s="119">
        <v>232150000</v>
      </c>
      <c r="P381" s="119"/>
    </row>
    <row r="382" spans="1:16" s="40" customFormat="1" ht="15.75">
      <c r="A382" s="27" t="s">
        <v>755</v>
      </c>
      <c r="B382" s="27" t="s">
        <v>606</v>
      </c>
      <c r="C382" s="38" t="s">
        <v>755</v>
      </c>
      <c r="D382" s="215"/>
      <c r="E382" s="91" t="s">
        <v>3653</v>
      </c>
      <c r="F382" s="230" t="s">
        <v>7232</v>
      </c>
      <c r="G382" s="119">
        <v>0</v>
      </c>
      <c r="H382" s="119">
        <v>342572151</v>
      </c>
      <c r="I382" s="119">
        <v>342572151</v>
      </c>
      <c r="J382" s="119">
        <v>205362151</v>
      </c>
      <c r="K382" s="119">
        <v>137210000</v>
      </c>
      <c r="L382" s="119">
        <v>0</v>
      </c>
      <c r="M382" s="119">
        <v>0</v>
      </c>
      <c r="N382" s="119">
        <v>56435000</v>
      </c>
      <c r="O382" s="119">
        <v>56435000</v>
      </c>
      <c r="P382" s="119"/>
    </row>
    <row r="383" spans="1:16" s="40" customFormat="1" ht="15.75">
      <c r="A383" s="27" t="s">
        <v>755</v>
      </c>
      <c r="B383" s="27" t="s">
        <v>755</v>
      </c>
      <c r="C383" s="38" t="s">
        <v>755</v>
      </c>
      <c r="D383" s="215"/>
      <c r="E383" s="91" t="s">
        <v>3661</v>
      </c>
      <c r="F383" s="230" t="s">
        <v>7240</v>
      </c>
      <c r="G383" s="119">
        <v>0</v>
      </c>
      <c r="H383" s="119">
        <v>3004778953</v>
      </c>
      <c r="I383" s="119">
        <v>3004778953</v>
      </c>
      <c r="J383" s="119">
        <v>2834258953</v>
      </c>
      <c r="K383" s="119">
        <v>170520000</v>
      </c>
      <c r="L383" s="119">
        <v>0</v>
      </c>
      <c r="M383" s="119">
        <v>0</v>
      </c>
      <c r="N383" s="119">
        <v>199500000</v>
      </c>
      <c r="O383" s="119">
        <v>199500000</v>
      </c>
      <c r="P383" s="119"/>
    </row>
    <row r="384" spans="1:16" s="40" customFormat="1" ht="15.75">
      <c r="A384" s="27" t="s">
        <v>755</v>
      </c>
      <c r="B384" s="27" t="s">
        <v>755</v>
      </c>
      <c r="C384" s="38" t="s">
        <v>755</v>
      </c>
      <c r="D384" s="215"/>
      <c r="E384" s="47"/>
      <c r="F384" s="107"/>
      <c r="G384" s="126"/>
      <c r="H384" s="126"/>
      <c r="I384" s="126"/>
      <c r="J384" s="126"/>
      <c r="K384" s="126"/>
      <c r="L384" s="126"/>
      <c r="M384" s="126"/>
      <c r="N384" s="126"/>
      <c r="O384" s="126"/>
      <c r="P384" s="126"/>
    </row>
    <row r="385" spans="1:16" s="40" customFormat="1" ht="15.75">
      <c r="A385" s="27" t="s">
        <v>755</v>
      </c>
      <c r="B385" s="27" t="s">
        <v>755</v>
      </c>
      <c r="C385" s="38" t="s">
        <v>755</v>
      </c>
      <c r="D385" s="215"/>
      <c r="E385" s="217" t="s">
        <v>3674</v>
      </c>
      <c r="F385" s="218" t="s">
        <v>146</v>
      </c>
      <c r="G385" s="129">
        <v>11538000</v>
      </c>
      <c r="H385" s="129">
        <v>46204776280</v>
      </c>
      <c r="I385" s="129">
        <v>46216314280</v>
      </c>
      <c r="J385" s="129">
        <v>33489374280</v>
      </c>
      <c r="K385" s="129">
        <v>12726940000</v>
      </c>
      <c r="L385" s="129">
        <v>0</v>
      </c>
      <c r="M385" s="129">
        <v>0</v>
      </c>
      <c r="N385" s="129">
        <v>11114435000</v>
      </c>
      <c r="O385" s="129">
        <v>11114435000</v>
      </c>
      <c r="P385" s="129">
        <v>0</v>
      </c>
    </row>
    <row r="386" spans="1:16" s="40" customFormat="1" ht="15.75">
      <c r="A386" s="27" t="s">
        <v>755</v>
      </c>
      <c r="B386" s="27" t="s">
        <v>755</v>
      </c>
      <c r="C386" s="38" t="s">
        <v>755</v>
      </c>
      <c r="D386" s="215"/>
      <c r="E386" s="47"/>
      <c r="F386" s="107"/>
      <c r="G386" s="126"/>
      <c r="H386" s="126"/>
      <c r="I386" s="126"/>
      <c r="J386" s="126"/>
      <c r="K386" s="126"/>
      <c r="L386" s="126"/>
      <c r="M386" s="126"/>
      <c r="N386" s="126"/>
      <c r="O386" s="126"/>
      <c r="P386" s="126"/>
    </row>
    <row r="387" spans="1:16" s="40" customFormat="1" ht="15.75">
      <c r="A387" s="27" t="s">
        <v>755</v>
      </c>
      <c r="B387" s="27" t="s">
        <v>607</v>
      </c>
      <c r="C387" s="38" t="s">
        <v>755</v>
      </c>
      <c r="D387" s="215"/>
      <c r="E387" s="91" t="s">
        <v>2321</v>
      </c>
      <c r="F387" s="230" t="s">
        <v>6973</v>
      </c>
      <c r="G387" s="119">
        <v>0</v>
      </c>
      <c r="H387" s="119">
        <v>1643207481</v>
      </c>
      <c r="I387" s="119">
        <v>1643207481</v>
      </c>
      <c r="J387" s="119">
        <v>1189787481</v>
      </c>
      <c r="K387" s="119">
        <v>453420000</v>
      </c>
      <c r="L387" s="119">
        <v>0</v>
      </c>
      <c r="M387" s="119">
        <v>0</v>
      </c>
      <c r="N387" s="119">
        <v>101400000</v>
      </c>
      <c r="O387" s="119">
        <v>101400000</v>
      </c>
      <c r="P387" s="119"/>
    </row>
    <row r="388" spans="1:16" s="40" customFormat="1" ht="15.75">
      <c r="A388" s="27" t="s">
        <v>755</v>
      </c>
      <c r="B388" s="27" t="s">
        <v>608</v>
      </c>
      <c r="C388" s="38" t="s">
        <v>755</v>
      </c>
      <c r="D388" s="215"/>
      <c r="E388" s="91" t="s">
        <v>2342</v>
      </c>
      <c r="F388" s="230" t="s">
        <v>6976</v>
      </c>
      <c r="G388" s="119">
        <v>0</v>
      </c>
      <c r="H388" s="119">
        <v>42745481</v>
      </c>
      <c r="I388" s="119">
        <v>42745481</v>
      </c>
      <c r="J388" s="119">
        <v>41695481</v>
      </c>
      <c r="K388" s="119">
        <v>1050000</v>
      </c>
      <c r="L388" s="119">
        <v>0</v>
      </c>
      <c r="M388" s="119">
        <v>0</v>
      </c>
      <c r="N388" s="119">
        <v>2165000</v>
      </c>
      <c r="O388" s="119">
        <v>2165000</v>
      </c>
      <c r="P388" s="119"/>
    </row>
    <row r="389" spans="1:16" s="40" customFormat="1" ht="15.75">
      <c r="A389" s="27" t="s">
        <v>755</v>
      </c>
      <c r="B389" s="27" t="s">
        <v>755</v>
      </c>
      <c r="C389" s="38" t="s">
        <v>755</v>
      </c>
      <c r="D389" s="215"/>
      <c r="E389" s="47"/>
      <c r="F389" s="107"/>
      <c r="G389" s="126"/>
      <c r="H389" s="126"/>
      <c r="I389" s="126"/>
      <c r="J389" s="126"/>
      <c r="K389" s="126"/>
      <c r="L389" s="126"/>
      <c r="M389" s="126"/>
      <c r="N389" s="126"/>
      <c r="O389" s="126"/>
      <c r="P389" s="126"/>
    </row>
    <row r="390" spans="1:16" s="40" customFormat="1" ht="15.75">
      <c r="A390" s="27" t="s">
        <v>755</v>
      </c>
      <c r="B390" s="27" t="s">
        <v>145</v>
      </c>
      <c r="C390" s="38" t="s">
        <v>755</v>
      </c>
      <c r="D390" s="215"/>
      <c r="E390" s="217" t="s">
        <v>3675</v>
      </c>
      <c r="F390" s="218" t="s">
        <v>7241</v>
      </c>
      <c r="G390" s="129">
        <v>11538000</v>
      </c>
      <c r="H390" s="129">
        <v>47890729242</v>
      </c>
      <c r="I390" s="129">
        <v>47902267242</v>
      </c>
      <c r="J390" s="129">
        <v>34720857242</v>
      </c>
      <c r="K390" s="129">
        <v>13181410000</v>
      </c>
      <c r="L390" s="129">
        <v>0</v>
      </c>
      <c r="M390" s="129">
        <v>0</v>
      </c>
      <c r="N390" s="129">
        <v>11218000000</v>
      </c>
      <c r="O390" s="129">
        <v>11218000000</v>
      </c>
      <c r="P390" s="129">
        <v>0</v>
      </c>
    </row>
    <row r="391" spans="1:16" ht="15.75">
      <c r="A391" s="32"/>
      <c r="B391" s="25"/>
      <c r="C391" s="31"/>
      <c r="E391" s="45"/>
      <c r="F391" s="106"/>
      <c r="G391" s="44"/>
      <c r="H391" s="44"/>
      <c r="I391" s="44"/>
      <c r="J391" s="44"/>
      <c r="K391" s="44"/>
      <c r="L391" s="44"/>
      <c r="M391" s="44"/>
      <c r="N391" s="44"/>
      <c r="O391" s="44"/>
      <c r="P391" s="44"/>
    </row>
    <row r="392" spans="1:16" s="34" customFormat="1" ht="11.25">
      <c r="C392" s="35"/>
      <c r="D392" s="33"/>
      <c r="F392" s="108"/>
      <c r="G392" s="130"/>
      <c r="H392" s="130"/>
      <c r="I392" s="130"/>
      <c r="J392" s="130"/>
      <c r="K392" s="130"/>
      <c r="L392" s="130"/>
      <c r="M392" s="130"/>
      <c r="N392" s="130"/>
      <c r="O392" s="130"/>
      <c r="P392" s="130"/>
    </row>
    <row r="393" spans="1:16" ht="11.25">
      <c r="G393" s="28"/>
      <c r="H393" s="28"/>
      <c r="I393" s="28"/>
      <c r="J393" s="28"/>
      <c r="K393" s="28"/>
      <c r="L393" s="28"/>
      <c r="M393" s="28"/>
      <c r="N393" s="28"/>
      <c r="O393" s="28"/>
      <c r="P393" s="28"/>
    </row>
    <row r="394" spans="1:16" ht="11.25">
      <c r="G394" s="28"/>
      <c r="H394" s="28"/>
      <c r="I394" s="28"/>
      <c r="J394" s="28"/>
      <c r="K394" s="28"/>
      <c r="L394" s="28"/>
      <c r="M394" s="28"/>
      <c r="N394" s="28"/>
      <c r="O394" s="28"/>
      <c r="P394" s="28"/>
    </row>
    <row r="395" spans="1:16" ht="11.25">
      <c r="G395" s="28"/>
      <c r="H395" s="28"/>
      <c r="I395" s="28"/>
      <c r="J395" s="28"/>
      <c r="K395" s="28"/>
      <c r="L395" s="28"/>
      <c r="M395" s="28"/>
      <c r="N395" s="28"/>
      <c r="O395" s="28"/>
      <c r="P395" s="28"/>
    </row>
    <row r="396" spans="1:16" ht="11.25">
      <c r="G396" s="28"/>
      <c r="H396" s="28"/>
      <c r="I396" s="28"/>
      <c r="J396" s="28"/>
      <c r="K396" s="28"/>
      <c r="L396" s="28"/>
      <c r="M396" s="28"/>
      <c r="N396" s="28"/>
      <c r="O396" s="28"/>
      <c r="P396" s="28"/>
    </row>
  </sheetData>
  <dataConsolidate/>
  <mergeCells count="21">
    <mergeCell ref="J1:P1"/>
    <mergeCell ref="D2:D5"/>
    <mergeCell ref="M3:M5"/>
    <mergeCell ref="N3:N5"/>
    <mergeCell ref="M2:N2"/>
    <mergeCell ref="O2:O5"/>
    <mergeCell ref="P2:P5"/>
    <mergeCell ref="G3:G5"/>
    <mergeCell ref="H3:H5"/>
    <mergeCell ref="I3:I5"/>
    <mergeCell ref="J2:J5"/>
    <mergeCell ref="K2:L2"/>
    <mergeCell ref="K3:K5"/>
    <mergeCell ref="L3:L5"/>
    <mergeCell ref="A2:A5"/>
    <mergeCell ref="A1:I1"/>
    <mergeCell ref="B2:B5"/>
    <mergeCell ref="C2:C5"/>
    <mergeCell ref="E2:E5"/>
    <mergeCell ref="G2:I2"/>
    <mergeCell ref="F2:F5"/>
  </mergeCells>
  <phoneticPr fontId="8" type="noConversion"/>
  <printOptions horizontalCentered="1" gridLines="1"/>
  <pageMargins left="0.5" right="0.5" top="0.7" bottom="1.5" header="0.5" footer="0.5"/>
  <pageSetup paperSize="5" firstPageNumber="94" pageOrder="overThenDown" orientation="portrait" blackAndWhite="1" useFirstPageNumber="1" r:id="rId1"/>
  <headerFooter alignWithMargins="0">
    <oddHeader>&amp;C&amp;P</oddHeader>
  </headerFooter>
  <rowBreaks count="5" manualBreakCount="5">
    <brk id="41" max="17" man="1"/>
    <brk id="195" max="17" man="1"/>
    <brk id="271" max="17" man="1"/>
    <brk id="313" max="17" man="1"/>
    <brk id="351" max="1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5" codeName="Sheet17">
    <tabColor indexed="45"/>
  </sheetPr>
  <dimension ref="A1:F399"/>
  <sheetViews>
    <sheetView showZeros="0" zoomScaleNormal="100" zoomScaleSheetLayoutView="100" workbookViewId="0">
      <pane ySplit="4" topLeftCell="A5" activePane="bottomLeft" state="frozen"/>
      <selection pane="bottomLeft" activeCell="A5" sqref="A5"/>
    </sheetView>
  </sheetViews>
  <sheetFormatPr defaultColWidth="9.33203125" defaultRowHeight="12"/>
  <cols>
    <col min="1" max="1" width="4.83203125" style="3" customWidth="1"/>
    <col min="2" max="2" width="10.83203125" customWidth="1"/>
    <col min="3" max="3" width="74.83203125" customWidth="1"/>
    <col min="4" max="4" width="74.83203125" style="110" hidden="1" customWidth="1"/>
    <col min="5" max="5" width="14.83203125" style="49" customWidth="1"/>
    <col min="6" max="6" width="15.6640625" style="49" customWidth="1"/>
  </cols>
  <sheetData>
    <row r="1" spans="1:6" ht="16.5">
      <c r="A1" s="326" t="s">
        <v>13067</v>
      </c>
      <c r="B1" s="326"/>
      <c r="C1" s="326"/>
      <c r="D1" s="326"/>
      <c r="E1" s="326"/>
      <c r="F1" s="326"/>
    </row>
    <row r="2" spans="1:6" ht="16.5" customHeight="1">
      <c r="A2" s="317" t="s">
        <v>3663</v>
      </c>
      <c r="B2" s="317"/>
      <c r="C2" s="317" t="s">
        <v>4066</v>
      </c>
      <c r="D2" s="319" t="s">
        <v>924</v>
      </c>
      <c r="E2" s="327" t="s">
        <v>13059</v>
      </c>
      <c r="F2" s="327" t="s">
        <v>13060</v>
      </c>
    </row>
    <row r="3" spans="1:6" ht="15.75" customHeight="1">
      <c r="A3" s="317"/>
      <c r="B3" s="317"/>
      <c r="C3" s="317"/>
      <c r="D3" s="320"/>
      <c r="E3" s="327"/>
      <c r="F3" s="327"/>
    </row>
    <row r="4" spans="1:6" ht="15.75" customHeight="1">
      <c r="A4" s="317"/>
      <c r="B4" s="317"/>
      <c r="C4" s="317"/>
      <c r="D4" s="321"/>
      <c r="E4" s="327"/>
      <c r="F4" s="327"/>
    </row>
    <row r="5" spans="1:6" ht="11.25">
      <c r="E5" s="116"/>
      <c r="F5" s="116"/>
    </row>
    <row r="6" spans="1:6" ht="15.75">
      <c r="C6" s="2"/>
      <c r="D6" s="111"/>
      <c r="E6" s="116"/>
      <c r="F6" s="116"/>
    </row>
    <row r="7" spans="1:6" ht="15.75">
      <c r="A7" s="50" t="s">
        <v>4065</v>
      </c>
      <c r="B7" s="1"/>
      <c r="C7" s="48" t="s">
        <v>3715</v>
      </c>
      <c r="D7" s="111" t="s">
        <v>7242</v>
      </c>
      <c r="E7" s="116">
        <v>0</v>
      </c>
      <c r="F7" s="116">
        <v>0</v>
      </c>
    </row>
    <row r="8" spans="1:6" ht="15.75">
      <c r="A8" s="50"/>
      <c r="B8" s="1"/>
      <c r="C8" s="48"/>
      <c r="D8" s="111"/>
      <c r="E8" s="116">
        <v>0</v>
      </c>
      <c r="F8" s="116">
        <v>0</v>
      </c>
    </row>
    <row r="9" spans="1:6" ht="15.75">
      <c r="A9" s="50">
        <v>1</v>
      </c>
      <c r="B9" s="1" t="s">
        <v>754</v>
      </c>
      <c r="C9" s="48" t="s">
        <v>3716</v>
      </c>
      <c r="D9" s="111" t="s">
        <v>7243</v>
      </c>
      <c r="E9" s="116">
        <v>35000000</v>
      </c>
      <c r="F9" s="116">
        <v>50000000</v>
      </c>
    </row>
    <row r="10" spans="1:6" ht="15.75">
      <c r="A10" s="50">
        <v>2</v>
      </c>
      <c r="B10" s="1"/>
      <c r="C10" s="48" t="s">
        <v>3717</v>
      </c>
      <c r="D10" s="111" t="s">
        <v>7244</v>
      </c>
      <c r="E10" s="116">
        <v>0</v>
      </c>
      <c r="F10" s="116">
        <v>0</v>
      </c>
    </row>
    <row r="11" spans="1:6" ht="31.5">
      <c r="A11" s="50">
        <v>3</v>
      </c>
      <c r="B11" s="1"/>
      <c r="C11" s="48" t="s">
        <v>3718</v>
      </c>
      <c r="D11" s="111" t="s">
        <v>7245</v>
      </c>
      <c r="E11" s="116">
        <v>0</v>
      </c>
      <c r="F11" s="116">
        <v>0</v>
      </c>
    </row>
    <row r="12" spans="1:6" ht="15.75">
      <c r="A12" s="50">
        <v>4</v>
      </c>
      <c r="B12" s="1"/>
      <c r="C12" s="48" t="s">
        <v>3719</v>
      </c>
      <c r="D12" s="111" t="s">
        <v>7246</v>
      </c>
      <c r="E12" s="116">
        <v>0</v>
      </c>
      <c r="F12" s="116">
        <v>0</v>
      </c>
    </row>
    <row r="13" spans="1:6" ht="31.5">
      <c r="A13" s="50">
        <v>5</v>
      </c>
      <c r="B13" s="1"/>
      <c r="C13" s="48" t="s">
        <v>3720</v>
      </c>
      <c r="D13" s="111" t="s">
        <v>7247</v>
      </c>
      <c r="E13" s="116">
        <v>0</v>
      </c>
      <c r="F13" s="116">
        <v>0</v>
      </c>
    </row>
    <row r="14" spans="1:6" ht="31.5">
      <c r="A14" s="50">
        <v>6</v>
      </c>
      <c r="B14" s="1"/>
      <c r="C14" s="48" t="s">
        <v>3721</v>
      </c>
      <c r="D14" s="111" t="s">
        <v>7248</v>
      </c>
      <c r="E14" s="116">
        <v>0</v>
      </c>
      <c r="F14" s="116">
        <v>0</v>
      </c>
    </row>
    <row r="15" spans="1:6" ht="31.5">
      <c r="A15" s="50">
        <v>7</v>
      </c>
      <c r="B15" s="1"/>
      <c r="C15" s="48" t="s">
        <v>3722</v>
      </c>
      <c r="D15" s="111" t="s">
        <v>7249</v>
      </c>
      <c r="E15" s="116">
        <v>0</v>
      </c>
      <c r="F15" s="116">
        <v>0</v>
      </c>
    </row>
    <row r="16" spans="1:6" ht="15.75">
      <c r="A16" s="50">
        <v>8</v>
      </c>
      <c r="B16" s="1"/>
      <c r="C16" s="48" t="s">
        <v>3723</v>
      </c>
      <c r="D16" s="111" t="s">
        <v>7250</v>
      </c>
      <c r="E16" s="116">
        <v>0</v>
      </c>
      <c r="F16" s="116">
        <v>0</v>
      </c>
    </row>
    <row r="17" spans="1:6" ht="15.75">
      <c r="A17" s="50">
        <v>9</v>
      </c>
      <c r="B17" s="1"/>
      <c r="C17" s="48" t="s">
        <v>3724</v>
      </c>
      <c r="D17" s="111" t="s">
        <v>7251</v>
      </c>
      <c r="E17" s="116">
        <v>0</v>
      </c>
      <c r="F17" s="116">
        <v>0</v>
      </c>
    </row>
    <row r="18" spans="1:6" ht="15.75">
      <c r="A18" s="50">
        <v>10</v>
      </c>
      <c r="B18" s="1"/>
      <c r="C18" s="48" t="s">
        <v>3725</v>
      </c>
      <c r="D18" s="111" t="s">
        <v>7252</v>
      </c>
      <c r="E18" s="116">
        <v>0</v>
      </c>
      <c r="F18" s="116">
        <v>0</v>
      </c>
    </row>
    <row r="19" spans="1:6" ht="15.75">
      <c r="A19" s="50"/>
      <c r="B19" s="1"/>
      <c r="C19" s="48"/>
      <c r="D19" s="111"/>
      <c r="E19" s="116">
        <v>0</v>
      </c>
      <c r="F19" s="116">
        <v>0</v>
      </c>
    </row>
    <row r="20" spans="1:6" ht="15.75">
      <c r="A20" s="50"/>
      <c r="B20" s="1"/>
      <c r="C20" s="48" t="s">
        <v>3726</v>
      </c>
      <c r="D20" s="111" t="s">
        <v>146</v>
      </c>
      <c r="E20" s="116">
        <v>35000000</v>
      </c>
      <c r="F20" s="116">
        <v>50000000</v>
      </c>
    </row>
    <row r="21" spans="1:6" ht="15.75">
      <c r="A21" s="50"/>
      <c r="B21" s="1"/>
      <c r="C21" s="48"/>
      <c r="D21" s="111"/>
      <c r="E21" s="116">
        <v>0</v>
      </c>
      <c r="F21" s="116">
        <v>0</v>
      </c>
    </row>
    <row r="22" spans="1:6" ht="15.75">
      <c r="A22" s="50"/>
      <c r="B22" s="1"/>
      <c r="C22" s="48"/>
      <c r="D22" s="111"/>
      <c r="E22" s="116">
        <v>0</v>
      </c>
      <c r="F22" s="116">
        <v>0</v>
      </c>
    </row>
    <row r="23" spans="1:6" ht="15.75">
      <c r="A23" s="50"/>
      <c r="B23" s="1" t="s">
        <v>308</v>
      </c>
      <c r="C23" s="48" t="s">
        <v>3727</v>
      </c>
      <c r="D23" s="111" t="s">
        <v>7253</v>
      </c>
      <c r="E23" s="116">
        <v>489999999.99999994</v>
      </c>
      <c r="F23" s="116">
        <v>700000000</v>
      </c>
    </row>
    <row r="24" spans="1:6" ht="15.75">
      <c r="A24" s="50"/>
      <c r="B24" s="1"/>
      <c r="C24" s="48"/>
      <c r="D24" s="111"/>
      <c r="E24" s="116">
        <v>0</v>
      </c>
      <c r="F24" s="116">
        <v>0</v>
      </c>
    </row>
    <row r="25" spans="1:6" ht="15.75">
      <c r="A25" s="50"/>
      <c r="B25" s="1"/>
      <c r="C25" s="48" t="s">
        <v>3728</v>
      </c>
      <c r="D25" s="111" t="s">
        <v>7254</v>
      </c>
      <c r="E25" s="116">
        <v>0</v>
      </c>
      <c r="F25" s="116">
        <v>0</v>
      </c>
    </row>
    <row r="26" spans="1:6" ht="15.75">
      <c r="A26" s="50"/>
      <c r="B26" s="1"/>
      <c r="C26" s="48" t="s">
        <v>3729</v>
      </c>
      <c r="D26" s="111" t="s">
        <v>7255</v>
      </c>
      <c r="E26" s="116">
        <v>0</v>
      </c>
      <c r="F26" s="116">
        <v>0</v>
      </c>
    </row>
    <row r="27" spans="1:6" ht="15.75">
      <c r="A27" s="50"/>
      <c r="B27" s="1"/>
      <c r="C27" s="48" t="s">
        <v>3730</v>
      </c>
      <c r="D27" s="111" t="s">
        <v>7256</v>
      </c>
      <c r="E27" s="116">
        <v>0</v>
      </c>
      <c r="F27" s="116">
        <v>0</v>
      </c>
    </row>
    <row r="28" spans="1:6" ht="15.75">
      <c r="A28" s="50"/>
      <c r="B28" s="1"/>
      <c r="C28" s="48" t="s">
        <v>3731</v>
      </c>
      <c r="D28" s="111" t="s">
        <v>7257</v>
      </c>
      <c r="E28" s="116">
        <v>0</v>
      </c>
      <c r="F28" s="116">
        <v>0</v>
      </c>
    </row>
    <row r="29" spans="1:6" ht="15.75">
      <c r="A29" s="50"/>
      <c r="B29" s="1"/>
      <c r="C29" s="48" t="s">
        <v>3732</v>
      </c>
      <c r="D29" s="111" t="s">
        <v>7258</v>
      </c>
      <c r="E29" s="116">
        <v>0</v>
      </c>
      <c r="F29" s="116">
        <v>0</v>
      </c>
    </row>
    <row r="30" spans="1:6" ht="15.75">
      <c r="A30" s="50"/>
      <c r="B30" s="1"/>
      <c r="C30" s="48" t="s">
        <v>3733</v>
      </c>
      <c r="D30" s="111" t="s">
        <v>7259</v>
      </c>
      <c r="E30" s="116">
        <v>0</v>
      </c>
      <c r="F30" s="116">
        <v>0</v>
      </c>
    </row>
    <row r="31" spans="1:6" ht="15.75">
      <c r="A31" s="50"/>
      <c r="B31" s="1"/>
      <c r="C31" s="48" t="s">
        <v>3734</v>
      </c>
      <c r="D31" s="111" t="s">
        <v>7260</v>
      </c>
      <c r="E31" s="116">
        <v>0</v>
      </c>
      <c r="F31" s="116">
        <v>0</v>
      </c>
    </row>
    <row r="32" spans="1:6" ht="15.75">
      <c r="A32" s="50"/>
      <c r="B32" s="1"/>
      <c r="C32" s="48" t="s">
        <v>3735</v>
      </c>
      <c r="D32" s="111" t="s">
        <v>7261</v>
      </c>
      <c r="E32" s="116">
        <v>0</v>
      </c>
      <c r="F32" s="116">
        <v>0</v>
      </c>
    </row>
    <row r="33" spans="1:6" ht="15.75">
      <c r="A33" s="50"/>
      <c r="B33" s="1"/>
      <c r="C33" s="48" t="s">
        <v>3736</v>
      </c>
      <c r="D33" s="111" t="s">
        <v>7262</v>
      </c>
      <c r="E33" s="116">
        <v>0</v>
      </c>
      <c r="F33" s="116">
        <v>0</v>
      </c>
    </row>
    <row r="34" spans="1:6" ht="15.75">
      <c r="A34" s="50"/>
      <c r="B34" s="1"/>
      <c r="C34" s="48" t="s">
        <v>3737</v>
      </c>
      <c r="D34" s="111" t="s">
        <v>7263</v>
      </c>
      <c r="E34" s="116">
        <v>0</v>
      </c>
      <c r="F34" s="116">
        <v>0</v>
      </c>
    </row>
    <row r="35" spans="1:6" ht="15.75">
      <c r="A35" s="50"/>
      <c r="B35" s="1"/>
      <c r="C35" s="48" t="s">
        <v>3738</v>
      </c>
      <c r="D35" s="111" t="s">
        <v>7264</v>
      </c>
      <c r="E35" s="116">
        <v>0</v>
      </c>
      <c r="F35" s="116">
        <v>0</v>
      </c>
    </row>
    <row r="36" spans="1:6" ht="15.75">
      <c r="A36" s="50"/>
      <c r="B36" s="1"/>
      <c r="C36" s="48" t="s">
        <v>3739</v>
      </c>
      <c r="D36" s="111" t="s">
        <v>7265</v>
      </c>
      <c r="E36" s="116">
        <v>0</v>
      </c>
      <c r="F36" s="116">
        <v>0</v>
      </c>
    </row>
    <row r="37" spans="1:6" ht="15.75">
      <c r="A37" s="50"/>
      <c r="B37" s="1"/>
      <c r="C37" s="48" t="s">
        <v>3740</v>
      </c>
      <c r="D37" s="111" t="s">
        <v>7266</v>
      </c>
      <c r="E37" s="116">
        <v>0</v>
      </c>
      <c r="F37" s="116">
        <v>0</v>
      </c>
    </row>
    <row r="38" spans="1:6" ht="15.75">
      <c r="A38" s="50"/>
      <c r="B38" s="1"/>
      <c r="C38" s="48" t="s">
        <v>3741</v>
      </c>
      <c r="D38" s="111" t="s">
        <v>7267</v>
      </c>
      <c r="E38" s="116">
        <v>0</v>
      </c>
      <c r="F38" s="116">
        <v>0</v>
      </c>
    </row>
    <row r="39" spans="1:6" ht="15.75">
      <c r="A39" s="50"/>
      <c r="B39" s="1"/>
      <c r="C39" s="48" t="s">
        <v>3742</v>
      </c>
      <c r="D39" s="111" t="s">
        <v>7268</v>
      </c>
      <c r="E39" s="116">
        <v>0</v>
      </c>
      <c r="F39" s="116">
        <v>0</v>
      </c>
    </row>
    <row r="40" spans="1:6" ht="15.75">
      <c r="A40" s="50"/>
      <c r="B40" s="1"/>
      <c r="C40" s="48" t="s">
        <v>3743</v>
      </c>
      <c r="D40" s="111" t="s">
        <v>7269</v>
      </c>
      <c r="E40" s="116">
        <v>0</v>
      </c>
      <c r="F40" s="116">
        <v>0</v>
      </c>
    </row>
    <row r="41" spans="1:6" ht="15.75">
      <c r="A41" s="50"/>
      <c r="B41" s="1"/>
      <c r="C41" s="48" t="s">
        <v>3744</v>
      </c>
      <c r="D41" s="111" t="s">
        <v>7270</v>
      </c>
      <c r="E41" s="116">
        <v>0</v>
      </c>
      <c r="F41" s="116">
        <v>0</v>
      </c>
    </row>
    <row r="42" spans="1:6" ht="15.75">
      <c r="A42" s="50"/>
      <c r="B42" s="1"/>
      <c r="C42" s="48" t="s">
        <v>3745</v>
      </c>
      <c r="D42" s="111" t="s">
        <v>7271</v>
      </c>
      <c r="E42" s="116">
        <v>0</v>
      </c>
      <c r="F42" s="116">
        <v>0</v>
      </c>
    </row>
    <row r="43" spans="1:6" ht="15.75">
      <c r="A43" s="50"/>
      <c r="B43" s="1"/>
      <c r="C43" s="48"/>
      <c r="D43" s="111"/>
      <c r="E43" s="116">
        <v>0</v>
      </c>
      <c r="F43" s="116">
        <v>0</v>
      </c>
    </row>
    <row r="44" spans="1:6" ht="15.75">
      <c r="A44" s="50"/>
      <c r="B44" s="1"/>
      <c r="C44" s="48" t="s">
        <v>3746</v>
      </c>
      <c r="D44" s="111" t="s">
        <v>7272</v>
      </c>
      <c r="E44" s="116">
        <v>0</v>
      </c>
      <c r="F44" s="116">
        <v>0</v>
      </c>
    </row>
    <row r="45" spans="1:6" ht="15.75">
      <c r="A45" s="50"/>
      <c r="B45" s="1"/>
      <c r="C45" s="48" t="s">
        <v>3747</v>
      </c>
      <c r="D45" s="111" t="s">
        <v>7273</v>
      </c>
      <c r="E45" s="116">
        <v>0</v>
      </c>
      <c r="F45" s="116">
        <v>0</v>
      </c>
    </row>
    <row r="46" spans="1:6" ht="15.75">
      <c r="A46" s="50"/>
      <c r="B46" s="1"/>
      <c r="C46" s="48" t="s">
        <v>3748</v>
      </c>
      <c r="D46" s="111" t="s">
        <v>7274</v>
      </c>
      <c r="E46" s="116">
        <v>0</v>
      </c>
      <c r="F46" s="116">
        <v>0</v>
      </c>
    </row>
    <row r="47" spans="1:6" ht="15.75">
      <c r="A47" s="50"/>
      <c r="B47" s="1"/>
      <c r="C47" s="48" t="s">
        <v>3749</v>
      </c>
      <c r="D47" s="111" t="s">
        <v>7275</v>
      </c>
      <c r="E47" s="116">
        <v>0</v>
      </c>
      <c r="F47" s="116">
        <v>0</v>
      </c>
    </row>
    <row r="48" spans="1:6" ht="15.75">
      <c r="A48" s="50"/>
      <c r="B48" s="1"/>
      <c r="C48" s="48" t="s">
        <v>3750</v>
      </c>
      <c r="D48" s="111" t="s">
        <v>7276</v>
      </c>
      <c r="E48" s="116">
        <v>0</v>
      </c>
      <c r="F48" s="116">
        <v>0</v>
      </c>
    </row>
    <row r="49" spans="1:6" ht="15.75">
      <c r="A49" s="50"/>
      <c r="B49" s="1"/>
      <c r="C49" s="48" t="s">
        <v>3751</v>
      </c>
      <c r="D49" s="111" t="s">
        <v>7277</v>
      </c>
      <c r="E49" s="116">
        <v>0</v>
      </c>
      <c r="F49" s="116">
        <v>0</v>
      </c>
    </row>
    <row r="50" spans="1:6" ht="15.75">
      <c r="A50" s="50"/>
      <c r="B50" s="1"/>
      <c r="C50" s="48" t="s">
        <v>3752</v>
      </c>
      <c r="D50" s="111" t="s">
        <v>7278</v>
      </c>
      <c r="E50" s="116">
        <v>0</v>
      </c>
      <c r="F50" s="116">
        <v>0</v>
      </c>
    </row>
    <row r="51" spans="1:6" ht="15.75">
      <c r="A51" s="50"/>
      <c r="B51" s="1"/>
      <c r="C51" s="48" t="s">
        <v>3753</v>
      </c>
      <c r="D51" s="111" t="s">
        <v>7279</v>
      </c>
      <c r="E51" s="116">
        <v>0</v>
      </c>
      <c r="F51" s="116">
        <v>0</v>
      </c>
    </row>
    <row r="52" spans="1:6" ht="15.75">
      <c r="A52" s="50"/>
      <c r="B52" s="1"/>
      <c r="C52" s="48" t="s">
        <v>3754</v>
      </c>
      <c r="D52" s="111" t="s">
        <v>7280</v>
      </c>
      <c r="E52" s="116">
        <v>0</v>
      </c>
      <c r="F52" s="116">
        <v>0</v>
      </c>
    </row>
    <row r="53" spans="1:6" ht="15.75">
      <c r="A53" s="50"/>
      <c r="B53" s="1"/>
      <c r="C53" s="48"/>
      <c r="D53" s="111"/>
      <c r="E53" s="116">
        <v>0</v>
      </c>
      <c r="F53" s="116">
        <v>0</v>
      </c>
    </row>
    <row r="54" spans="1:6" ht="15.75">
      <c r="A54" s="50"/>
      <c r="B54" s="1"/>
      <c r="C54" s="48" t="s">
        <v>3755</v>
      </c>
      <c r="D54" s="111" t="s">
        <v>7281</v>
      </c>
      <c r="E54" s="116">
        <v>0</v>
      </c>
      <c r="F54" s="116">
        <v>0</v>
      </c>
    </row>
    <row r="55" spans="1:6" ht="15.75">
      <c r="A55" s="50"/>
      <c r="B55" s="1"/>
      <c r="C55" s="48" t="s">
        <v>3756</v>
      </c>
      <c r="D55" s="111" t="s">
        <v>7282</v>
      </c>
      <c r="E55" s="116">
        <v>0</v>
      </c>
      <c r="F55" s="116">
        <v>0</v>
      </c>
    </row>
    <row r="56" spans="1:6" ht="15.75">
      <c r="A56" s="50"/>
      <c r="B56" s="1"/>
      <c r="C56" s="48" t="s">
        <v>3757</v>
      </c>
      <c r="D56" s="111" t="s">
        <v>7283</v>
      </c>
      <c r="E56" s="116">
        <v>0</v>
      </c>
      <c r="F56" s="116">
        <v>0</v>
      </c>
    </row>
    <row r="57" spans="1:6" ht="15.75">
      <c r="A57" s="50"/>
      <c r="B57" s="1"/>
      <c r="C57" s="48" t="s">
        <v>3758</v>
      </c>
      <c r="D57" s="111" t="s">
        <v>7284</v>
      </c>
      <c r="E57" s="116">
        <v>0</v>
      </c>
      <c r="F57" s="116">
        <v>0</v>
      </c>
    </row>
    <row r="58" spans="1:6" ht="15.75">
      <c r="A58" s="50"/>
      <c r="B58" s="1"/>
      <c r="C58" s="48" t="s">
        <v>3759</v>
      </c>
      <c r="D58" s="111" t="s">
        <v>7285</v>
      </c>
      <c r="E58" s="116">
        <v>0</v>
      </c>
      <c r="F58" s="116">
        <v>0</v>
      </c>
    </row>
    <row r="59" spans="1:6" ht="15.75">
      <c r="A59" s="50"/>
      <c r="B59" s="1"/>
      <c r="C59" s="48" t="s">
        <v>3760</v>
      </c>
      <c r="D59" s="111" t="s">
        <v>7286</v>
      </c>
      <c r="E59" s="116">
        <v>0</v>
      </c>
      <c r="F59" s="116">
        <v>0</v>
      </c>
    </row>
    <row r="60" spans="1:6" ht="15.75">
      <c r="A60" s="50"/>
      <c r="B60" s="1"/>
      <c r="C60" s="48" t="s">
        <v>3761</v>
      </c>
      <c r="D60" s="111" t="s">
        <v>7287</v>
      </c>
      <c r="E60" s="116">
        <v>0</v>
      </c>
      <c r="F60" s="116">
        <v>0</v>
      </c>
    </row>
    <row r="61" spans="1:6" ht="15.75">
      <c r="A61" s="50"/>
      <c r="B61" s="1"/>
      <c r="C61" s="48" t="s">
        <v>3762</v>
      </c>
      <c r="D61" s="111" t="s">
        <v>7288</v>
      </c>
      <c r="E61" s="116">
        <v>0</v>
      </c>
      <c r="F61" s="116">
        <v>0</v>
      </c>
    </row>
    <row r="62" spans="1:6" ht="15.75">
      <c r="A62" s="50"/>
      <c r="B62" s="1"/>
      <c r="C62" s="48" t="s">
        <v>3763</v>
      </c>
      <c r="D62" s="111" t="s">
        <v>7289</v>
      </c>
      <c r="E62" s="116">
        <v>0</v>
      </c>
      <c r="F62" s="116">
        <v>0</v>
      </c>
    </row>
    <row r="63" spans="1:6" ht="15.75">
      <c r="A63" s="50"/>
      <c r="B63" s="1"/>
      <c r="C63" s="48" t="s">
        <v>3764</v>
      </c>
      <c r="D63" s="111" t="s">
        <v>7290</v>
      </c>
      <c r="E63" s="116">
        <v>0</v>
      </c>
      <c r="F63" s="116">
        <v>0</v>
      </c>
    </row>
    <row r="64" spans="1:6" ht="15.75">
      <c r="A64" s="50"/>
      <c r="B64" s="1"/>
      <c r="C64" s="48" t="s">
        <v>3765</v>
      </c>
      <c r="D64" s="111" t="s">
        <v>7291</v>
      </c>
      <c r="E64" s="116">
        <v>0</v>
      </c>
      <c r="F64" s="116">
        <v>0</v>
      </c>
    </row>
    <row r="65" spans="1:6" ht="15.75">
      <c r="A65" s="50"/>
      <c r="B65" s="1"/>
      <c r="C65" s="48" t="s">
        <v>3766</v>
      </c>
      <c r="D65" s="111" t="s">
        <v>7292</v>
      </c>
      <c r="E65" s="116">
        <v>0</v>
      </c>
      <c r="F65" s="116">
        <v>0</v>
      </c>
    </row>
    <row r="66" spans="1:6" ht="15.75">
      <c r="A66" s="50"/>
      <c r="B66" s="1"/>
      <c r="C66" s="48" t="s">
        <v>3767</v>
      </c>
      <c r="D66" s="111" t="s">
        <v>7293</v>
      </c>
      <c r="E66" s="116">
        <v>0</v>
      </c>
      <c r="F66" s="116">
        <v>0</v>
      </c>
    </row>
    <row r="67" spans="1:6" ht="15.75">
      <c r="A67" s="50"/>
      <c r="B67" s="1"/>
      <c r="C67" s="48" t="s">
        <v>3768</v>
      </c>
      <c r="D67" s="111" t="s">
        <v>7294</v>
      </c>
      <c r="E67" s="116">
        <v>0</v>
      </c>
      <c r="F67" s="116">
        <v>0</v>
      </c>
    </row>
    <row r="68" spans="1:6" ht="15.75">
      <c r="A68" s="50"/>
      <c r="B68" s="1"/>
      <c r="C68" s="48"/>
      <c r="D68" s="111"/>
      <c r="E68" s="116">
        <v>0</v>
      </c>
      <c r="F68" s="116">
        <v>0</v>
      </c>
    </row>
    <row r="69" spans="1:6" ht="15.75">
      <c r="A69" s="50"/>
      <c r="B69" s="1"/>
      <c r="C69" s="48" t="s">
        <v>3769</v>
      </c>
      <c r="D69" s="111" t="s">
        <v>7295</v>
      </c>
      <c r="E69" s="116">
        <v>0</v>
      </c>
      <c r="F69" s="116">
        <v>0</v>
      </c>
    </row>
    <row r="70" spans="1:6" ht="15.75">
      <c r="A70" s="50"/>
      <c r="B70" s="1"/>
      <c r="C70" s="48" t="s">
        <v>3770</v>
      </c>
      <c r="D70" s="111" t="s">
        <v>7296</v>
      </c>
      <c r="E70" s="116">
        <v>0</v>
      </c>
      <c r="F70" s="116">
        <v>0</v>
      </c>
    </row>
    <row r="71" spans="1:6" ht="31.5">
      <c r="A71" s="50"/>
      <c r="B71" s="1"/>
      <c r="C71" s="48" t="s">
        <v>3771</v>
      </c>
      <c r="D71" s="111" t="s">
        <v>7297</v>
      </c>
      <c r="E71" s="116">
        <v>0</v>
      </c>
      <c r="F71" s="116">
        <v>0</v>
      </c>
    </row>
    <row r="72" spans="1:6" ht="15.75">
      <c r="A72" s="50"/>
      <c r="B72" s="1"/>
      <c r="C72" s="48" t="s">
        <v>3772</v>
      </c>
      <c r="D72" s="111" t="s">
        <v>7298</v>
      </c>
      <c r="E72" s="116">
        <v>0</v>
      </c>
      <c r="F72" s="116">
        <v>0</v>
      </c>
    </row>
    <row r="73" spans="1:6" ht="15.75">
      <c r="A73" s="50"/>
      <c r="B73" s="1"/>
      <c r="C73" s="48" t="s">
        <v>3773</v>
      </c>
      <c r="D73" s="111" t="s">
        <v>7299</v>
      </c>
      <c r="E73" s="116">
        <v>0</v>
      </c>
      <c r="F73" s="116">
        <v>0</v>
      </c>
    </row>
    <row r="74" spans="1:6" ht="15.75">
      <c r="A74" s="50"/>
      <c r="B74" s="1"/>
      <c r="C74" s="48" t="s">
        <v>3774</v>
      </c>
      <c r="D74" s="111" t="s">
        <v>7300</v>
      </c>
      <c r="E74" s="116">
        <v>0</v>
      </c>
      <c r="F74" s="116">
        <v>0</v>
      </c>
    </row>
    <row r="75" spans="1:6" ht="15.75">
      <c r="A75" s="50"/>
      <c r="B75" s="1"/>
      <c r="C75" s="48" t="s">
        <v>3775</v>
      </c>
      <c r="D75" s="111" t="s">
        <v>7301</v>
      </c>
      <c r="E75" s="116">
        <v>0</v>
      </c>
      <c r="F75" s="116">
        <v>0</v>
      </c>
    </row>
    <row r="76" spans="1:6" ht="15.75">
      <c r="A76" s="50"/>
      <c r="B76" s="1"/>
      <c r="C76" s="48" t="s">
        <v>3776</v>
      </c>
      <c r="D76" s="111" t="s">
        <v>7302</v>
      </c>
      <c r="E76" s="116">
        <v>0</v>
      </c>
      <c r="F76" s="116">
        <v>0</v>
      </c>
    </row>
    <row r="77" spans="1:6" ht="15.75">
      <c r="A77" s="50"/>
      <c r="B77" s="1"/>
      <c r="C77" s="48" t="s">
        <v>3777</v>
      </c>
      <c r="D77" s="111" t="s">
        <v>7303</v>
      </c>
      <c r="E77" s="116">
        <v>0</v>
      </c>
      <c r="F77" s="116">
        <v>0</v>
      </c>
    </row>
    <row r="78" spans="1:6" ht="15.75">
      <c r="A78" s="50"/>
      <c r="B78" s="1"/>
      <c r="C78" s="48" t="s">
        <v>3778</v>
      </c>
      <c r="D78" s="111" t="s">
        <v>7304</v>
      </c>
      <c r="E78" s="116">
        <v>0</v>
      </c>
      <c r="F78" s="116">
        <v>0</v>
      </c>
    </row>
    <row r="79" spans="1:6" ht="15.75">
      <c r="A79" s="50"/>
      <c r="B79" s="1"/>
      <c r="C79" s="48" t="s">
        <v>3779</v>
      </c>
      <c r="D79" s="111" t="s">
        <v>7305</v>
      </c>
      <c r="E79" s="116">
        <v>0</v>
      </c>
      <c r="F79" s="116">
        <v>0</v>
      </c>
    </row>
    <row r="80" spans="1:6" ht="15.75">
      <c r="A80" s="50"/>
      <c r="B80" s="1"/>
      <c r="C80" s="48" t="s">
        <v>3780</v>
      </c>
      <c r="D80" s="111" t="s">
        <v>7306</v>
      </c>
      <c r="E80" s="116">
        <v>0</v>
      </c>
      <c r="F80" s="116">
        <v>0</v>
      </c>
    </row>
    <row r="81" spans="1:6" ht="15.75">
      <c r="A81" s="50"/>
      <c r="B81" s="1"/>
      <c r="C81" s="48" t="s">
        <v>3781</v>
      </c>
      <c r="D81" s="111" t="s">
        <v>7307</v>
      </c>
      <c r="E81" s="116">
        <v>0</v>
      </c>
      <c r="F81" s="116">
        <v>0</v>
      </c>
    </row>
    <row r="82" spans="1:6" ht="15.75">
      <c r="A82" s="50"/>
      <c r="B82" s="1"/>
      <c r="C82" s="48" t="s">
        <v>3782</v>
      </c>
      <c r="D82" s="111" t="s">
        <v>7308</v>
      </c>
      <c r="E82" s="116">
        <v>0</v>
      </c>
      <c r="F82" s="116">
        <v>0</v>
      </c>
    </row>
    <row r="83" spans="1:6" ht="15.75">
      <c r="A83" s="50"/>
      <c r="B83" s="1"/>
      <c r="C83" s="48" t="s">
        <v>3783</v>
      </c>
      <c r="D83" s="111" t="s">
        <v>7309</v>
      </c>
      <c r="E83" s="116">
        <v>0</v>
      </c>
      <c r="F83" s="116">
        <v>0</v>
      </c>
    </row>
    <row r="84" spans="1:6" ht="15.75">
      <c r="A84" s="50"/>
      <c r="B84" s="1"/>
      <c r="C84" s="48" t="s">
        <v>3784</v>
      </c>
      <c r="D84" s="111" t="s">
        <v>7310</v>
      </c>
      <c r="E84" s="116">
        <v>0</v>
      </c>
      <c r="F84" s="116">
        <v>0</v>
      </c>
    </row>
    <row r="85" spans="1:6" ht="15.75">
      <c r="A85" s="50"/>
      <c r="B85" s="1"/>
      <c r="C85" s="48" t="s">
        <v>3785</v>
      </c>
      <c r="D85" s="111" t="s">
        <v>7311</v>
      </c>
      <c r="E85" s="116">
        <v>0</v>
      </c>
      <c r="F85" s="116">
        <v>0</v>
      </c>
    </row>
    <row r="86" spans="1:6" ht="15.75">
      <c r="A86" s="50"/>
      <c r="B86" s="1"/>
      <c r="C86" s="48" t="s">
        <v>3786</v>
      </c>
      <c r="D86" s="111" t="s">
        <v>7312</v>
      </c>
      <c r="E86" s="116">
        <v>0</v>
      </c>
      <c r="F86" s="116">
        <v>0</v>
      </c>
    </row>
    <row r="87" spans="1:6" ht="15.75">
      <c r="A87" s="50"/>
      <c r="B87" s="1"/>
      <c r="C87" s="48" t="s">
        <v>3787</v>
      </c>
      <c r="D87" s="111" t="s">
        <v>7313</v>
      </c>
      <c r="E87" s="116">
        <v>0</v>
      </c>
      <c r="F87" s="116">
        <v>0</v>
      </c>
    </row>
    <row r="88" spans="1:6" ht="15.75">
      <c r="A88" s="50"/>
      <c r="B88" s="1"/>
      <c r="C88" s="48" t="s">
        <v>3788</v>
      </c>
      <c r="D88" s="111" t="s">
        <v>7314</v>
      </c>
      <c r="E88" s="116">
        <v>0</v>
      </c>
      <c r="F88" s="116">
        <v>0</v>
      </c>
    </row>
    <row r="89" spans="1:6" ht="15.75">
      <c r="A89" s="50"/>
      <c r="B89" s="1"/>
      <c r="C89" s="48" t="s">
        <v>3789</v>
      </c>
      <c r="D89" s="111" t="s">
        <v>7315</v>
      </c>
      <c r="E89" s="116">
        <v>0</v>
      </c>
      <c r="F89" s="116">
        <v>0</v>
      </c>
    </row>
    <row r="90" spans="1:6" ht="15.75">
      <c r="A90" s="50"/>
      <c r="B90" s="1"/>
      <c r="C90" s="48" t="s">
        <v>3790</v>
      </c>
      <c r="D90" s="111" t="s">
        <v>7316</v>
      </c>
      <c r="E90" s="116">
        <v>0</v>
      </c>
      <c r="F90" s="116">
        <v>0</v>
      </c>
    </row>
    <row r="91" spans="1:6" ht="15.75">
      <c r="A91" s="50"/>
      <c r="B91" s="1"/>
      <c r="C91" s="48" t="s">
        <v>3791</v>
      </c>
      <c r="D91" s="111" t="s">
        <v>7317</v>
      </c>
      <c r="E91" s="116">
        <v>0</v>
      </c>
      <c r="F91" s="116">
        <v>0</v>
      </c>
    </row>
    <row r="92" spans="1:6" ht="15.75">
      <c r="A92" s="50"/>
      <c r="B92" s="1"/>
      <c r="C92" s="48" t="s">
        <v>3792</v>
      </c>
      <c r="D92" s="111" t="s">
        <v>7318</v>
      </c>
      <c r="E92" s="116">
        <v>0</v>
      </c>
      <c r="F92" s="116">
        <v>0</v>
      </c>
    </row>
    <row r="93" spans="1:6" ht="15.75">
      <c r="A93" s="50"/>
      <c r="B93" s="1"/>
      <c r="C93" s="48" t="s">
        <v>3793</v>
      </c>
      <c r="D93" s="111" t="s">
        <v>7319</v>
      </c>
      <c r="E93" s="116">
        <v>0</v>
      </c>
      <c r="F93" s="116">
        <v>0</v>
      </c>
    </row>
    <row r="94" spans="1:6" ht="15.75">
      <c r="A94" s="50"/>
      <c r="B94" s="1"/>
      <c r="C94" s="48" t="s">
        <v>3794</v>
      </c>
      <c r="D94" s="111" t="s">
        <v>7320</v>
      </c>
      <c r="E94" s="116">
        <v>0</v>
      </c>
      <c r="F94" s="116">
        <v>0</v>
      </c>
    </row>
    <row r="95" spans="1:6" ht="15.75">
      <c r="A95" s="50"/>
      <c r="B95" s="1"/>
      <c r="C95" s="48" t="s">
        <v>3795</v>
      </c>
      <c r="D95" s="111" t="s">
        <v>7321</v>
      </c>
      <c r="E95" s="116">
        <v>0</v>
      </c>
      <c r="F95" s="116">
        <v>0</v>
      </c>
    </row>
    <row r="96" spans="1:6" ht="15.75">
      <c r="A96" s="50"/>
      <c r="B96" s="1"/>
      <c r="C96" s="48"/>
      <c r="D96" s="111"/>
      <c r="E96" s="116">
        <v>0</v>
      </c>
      <c r="F96" s="116">
        <v>0</v>
      </c>
    </row>
    <row r="97" spans="1:6" ht="15.75">
      <c r="A97" s="50"/>
      <c r="B97" s="1"/>
      <c r="C97" s="48"/>
      <c r="D97" s="111"/>
      <c r="E97" s="116">
        <v>0</v>
      </c>
      <c r="F97" s="116">
        <v>0</v>
      </c>
    </row>
    <row r="98" spans="1:6" ht="15.75">
      <c r="A98" s="50"/>
      <c r="B98" s="1"/>
      <c r="C98" s="48" t="s">
        <v>3796</v>
      </c>
      <c r="D98" s="111" t="s">
        <v>7322</v>
      </c>
      <c r="E98" s="116">
        <v>0</v>
      </c>
      <c r="F98" s="116">
        <v>0</v>
      </c>
    </row>
    <row r="99" spans="1:6" ht="15.75">
      <c r="A99" s="50">
        <v>1</v>
      </c>
      <c r="B99" s="1"/>
      <c r="C99" s="48" t="s">
        <v>3797</v>
      </c>
      <c r="D99" s="111" t="s">
        <v>7323</v>
      </c>
      <c r="E99" s="116">
        <v>0</v>
      </c>
      <c r="F99" s="116">
        <v>0</v>
      </c>
    </row>
    <row r="100" spans="1:6" ht="15.75">
      <c r="A100" s="50">
        <v>2</v>
      </c>
      <c r="B100" s="1"/>
      <c r="C100" s="48" t="s">
        <v>3798</v>
      </c>
      <c r="D100" s="111" t="s">
        <v>7324</v>
      </c>
      <c r="E100" s="116">
        <v>0</v>
      </c>
      <c r="F100" s="116">
        <v>0</v>
      </c>
    </row>
    <row r="101" spans="1:6" ht="15.75">
      <c r="A101" s="50"/>
      <c r="B101" s="1"/>
      <c r="C101" s="48"/>
      <c r="D101" s="111"/>
      <c r="E101" s="116">
        <v>0</v>
      </c>
      <c r="F101" s="116">
        <v>0</v>
      </c>
    </row>
    <row r="102" spans="1:6" ht="15.75">
      <c r="A102" s="50"/>
      <c r="B102" s="1"/>
      <c r="C102" s="48"/>
      <c r="D102" s="111"/>
      <c r="E102" s="116">
        <v>0</v>
      </c>
      <c r="F102" s="116">
        <v>0</v>
      </c>
    </row>
    <row r="103" spans="1:6" ht="15.75">
      <c r="A103" s="50"/>
      <c r="B103" s="1"/>
      <c r="C103" s="48" t="s">
        <v>3799</v>
      </c>
      <c r="D103" s="111" t="s">
        <v>7325</v>
      </c>
      <c r="E103" s="116">
        <v>0</v>
      </c>
      <c r="F103" s="116">
        <v>0</v>
      </c>
    </row>
    <row r="104" spans="1:6" ht="15.75">
      <c r="A104" s="50">
        <v>1</v>
      </c>
      <c r="B104" s="1"/>
      <c r="C104" s="48" t="s">
        <v>3800</v>
      </c>
      <c r="D104" s="111" t="s">
        <v>7326</v>
      </c>
      <c r="E104" s="116">
        <v>0</v>
      </c>
      <c r="F104" s="116">
        <v>0</v>
      </c>
    </row>
    <row r="105" spans="1:6" ht="15.75">
      <c r="A105" s="50">
        <v>2</v>
      </c>
      <c r="B105" s="1"/>
      <c r="C105" s="48" t="s">
        <v>3801</v>
      </c>
      <c r="D105" s="111" t="s">
        <v>7327</v>
      </c>
      <c r="E105" s="116">
        <v>0</v>
      </c>
      <c r="F105" s="116">
        <v>0</v>
      </c>
    </row>
    <row r="106" spans="1:6" ht="15.75">
      <c r="A106" s="50">
        <v>3</v>
      </c>
      <c r="B106" s="1"/>
      <c r="C106" s="48" t="s">
        <v>3802</v>
      </c>
      <c r="D106" s="111" t="s">
        <v>7328</v>
      </c>
      <c r="E106" s="116">
        <v>0</v>
      </c>
      <c r="F106" s="116">
        <v>0</v>
      </c>
    </row>
    <row r="107" spans="1:6" ht="15.75">
      <c r="A107" s="50">
        <v>4</v>
      </c>
      <c r="B107" s="1"/>
      <c r="C107" s="48" t="s">
        <v>3803</v>
      </c>
      <c r="D107" s="111" t="s">
        <v>7329</v>
      </c>
      <c r="E107" s="116">
        <v>0</v>
      </c>
      <c r="F107" s="116">
        <v>0</v>
      </c>
    </row>
    <row r="108" spans="1:6" ht="15.75">
      <c r="A108" s="50">
        <v>5</v>
      </c>
      <c r="B108" s="1"/>
      <c r="C108" s="48" t="s">
        <v>3804</v>
      </c>
      <c r="D108" s="111" t="s">
        <v>7330</v>
      </c>
      <c r="E108" s="116">
        <v>0</v>
      </c>
      <c r="F108" s="116">
        <v>0</v>
      </c>
    </row>
    <row r="109" spans="1:6" ht="15.75">
      <c r="A109" s="50">
        <v>6</v>
      </c>
      <c r="B109" s="1"/>
      <c r="C109" s="48" t="s">
        <v>3805</v>
      </c>
      <c r="D109" s="111" t="s">
        <v>7331</v>
      </c>
      <c r="E109" s="116">
        <v>0</v>
      </c>
      <c r="F109" s="116">
        <v>0</v>
      </c>
    </row>
    <row r="110" spans="1:6" ht="15.75">
      <c r="A110" s="50">
        <v>7</v>
      </c>
      <c r="B110" s="1"/>
      <c r="C110" s="48" t="s">
        <v>3806</v>
      </c>
      <c r="D110" s="111" t="s">
        <v>7332</v>
      </c>
      <c r="E110" s="116">
        <v>0</v>
      </c>
      <c r="F110" s="116">
        <v>0</v>
      </c>
    </row>
    <row r="111" spans="1:6" ht="15.75">
      <c r="A111" s="50">
        <v>8</v>
      </c>
      <c r="B111" s="1"/>
      <c r="C111" s="48" t="s">
        <v>3807</v>
      </c>
      <c r="D111" s="111" t="s">
        <v>7333</v>
      </c>
      <c r="E111" s="116">
        <v>0</v>
      </c>
      <c r="F111" s="116">
        <v>0</v>
      </c>
    </row>
    <row r="112" spans="1:6" ht="15.75">
      <c r="A112" s="50">
        <v>9</v>
      </c>
      <c r="B112" s="1"/>
      <c r="C112" s="48" t="s">
        <v>3808</v>
      </c>
      <c r="D112" s="111" t="s">
        <v>7334</v>
      </c>
      <c r="E112" s="116">
        <v>0</v>
      </c>
      <c r="F112" s="116">
        <v>0</v>
      </c>
    </row>
    <row r="113" spans="1:6" ht="15.75">
      <c r="A113" s="50">
        <v>10</v>
      </c>
      <c r="B113" s="1"/>
      <c r="C113" s="48" t="s">
        <v>3809</v>
      </c>
      <c r="D113" s="111" t="s">
        <v>7335</v>
      </c>
      <c r="E113" s="116">
        <v>0</v>
      </c>
      <c r="F113" s="116">
        <v>0</v>
      </c>
    </row>
    <row r="114" spans="1:6" ht="15.75">
      <c r="A114" s="50">
        <v>11</v>
      </c>
      <c r="B114" s="1"/>
      <c r="C114" s="48" t="s">
        <v>3810</v>
      </c>
      <c r="D114" s="111" t="s">
        <v>7336</v>
      </c>
      <c r="E114" s="116">
        <v>0</v>
      </c>
      <c r="F114" s="116">
        <v>0</v>
      </c>
    </row>
    <row r="115" spans="1:6" ht="15.75">
      <c r="A115" s="50">
        <v>12</v>
      </c>
      <c r="B115" s="1"/>
      <c r="C115" s="48" t="s">
        <v>3811</v>
      </c>
      <c r="D115" s="111" t="s">
        <v>7337</v>
      </c>
      <c r="E115" s="116">
        <v>0</v>
      </c>
      <c r="F115" s="116">
        <v>0</v>
      </c>
    </row>
    <row r="116" spans="1:6" ht="15.75">
      <c r="A116" s="50">
        <v>13</v>
      </c>
      <c r="B116" s="1"/>
      <c r="C116" s="48" t="s">
        <v>3812</v>
      </c>
      <c r="D116" s="111" t="s">
        <v>7338</v>
      </c>
      <c r="E116" s="116">
        <v>0</v>
      </c>
      <c r="F116" s="116">
        <v>0</v>
      </c>
    </row>
    <row r="117" spans="1:6" ht="15.75">
      <c r="A117" s="50">
        <v>14</v>
      </c>
      <c r="B117" s="1"/>
      <c r="C117" s="48" t="s">
        <v>3813</v>
      </c>
      <c r="D117" s="111" t="s">
        <v>7339</v>
      </c>
      <c r="E117" s="116">
        <v>0</v>
      </c>
      <c r="F117" s="116">
        <v>0</v>
      </c>
    </row>
    <row r="118" spans="1:6" ht="15.75">
      <c r="A118" s="50">
        <v>15</v>
      </c>
      <c r="B118" s="1"/>
      <c r="C118" s="48" t="s">
        <v>3814</v>
      </c>
      <c r="D118" s="111" t="s">
        <v>7340</v>
      </c>
      <c r="E118" s="116">
        <v>0</v>
      </c>
      <c r="F118" s="116">
        <v>0</v>
      </c>
    </row>
    <row r="119" spans="1:6" ht="15.75">
      <c r="A119" s="50">
        <v>16</v>
      </c>
      <c r="B119" s="1"/>
      <c r="C119" s="48" t="s">
        <v>3815</v>
      </c>
      <c r="D119" s="111" t="s">
        <v>7341</v>
      </c>
      <c r="E119" s="116">
        <v>0</v>
      </c>
      <c r="F119" s="116">
        <v>0</v>
      </c>
    </row>
    <row r="120" spans="1:6" ht="15.75">
      <c r="A120" s="50">
        <v>17</v>
      </c>
      <c r="B120" s="1"/>
      <c r="C120" s="48" t="s">
        <v>3816</v>
      </c>
      <c r="D120" s="111" t="s">
        <v>7342</v>
      </c>
      <c r="E120" s="116">
        <v>0</v>
      </c>
      <c r="F120" s="116">
        <v>0</v>
      </c>
    </row>
    <row r="121" spans="1:6" ht="15.75">
      <c r="A121" s="50">
        <v>18</v>
      </c>
      <c r="B121" s="1"/>
      <c r="C121" s="48" t="s">
        <v>3817</v>
      </c>
      <c r="D121" s="111" t="s">
        <v>7343</v>
      </c>
      <c r="E121" s="116">
        <v>0</v>
      </c>
      <c r="F121" s="116">
        <v>0</v>
      </c>
    </row>
    <row r="122" spans="1:6" ht="15.75">
      <c r="A122" s="50"/>
      <c r="B122" s="1"/>
      <c r="C122" s="48"/>
      <c r="D122" s="111"/>
      <c r="E122" s="116">
        <v>0</v>
      </c>
      <c r="F122" s="116">
        <v>0</v>
      </c>
    </row>
    <row r="123" spans="1:6" ht="15.75">
      <c r="A123" s="50"/>
      <c r="B123" s="1"/>
      <c r="C123" s="48" t="s">
        <v>3818</v>
      </c>
      <c r="D123" s="111" t="s">
        <v>7344</v>
      </c>
      <c r="E123" s="116">
        <v>0</v>
      </c>
      <c r="F123" s="116">
        <v>0</v>
      </c>
    </row>
    <row r="124" spans="1:6" ht="15.75">
      <c r="A124" s="50">
        <v>1</v>
      </c>
      <c r="B124" s="1"/>
      <c r="C124" s="48" t="s">
        <v>3819</v>
      </c>
      <c r="D124" s="111" t="s">
        <v>7345</v>
      </c>
      <c r="E124" s="116">
        <v>0</v>
      </c>
      <c r="F124" s="116">
        <v>0</v>
      </c>
    </row>
    <row r="125" spans="1:6" ht="15.75">
      <c r="A125" s="50">
        <v>2</v>
      </c>
      <c r="B125" s="1"/>
      <c r="C125" s="48" t="s">
        <v>3820</v>
      </c>
      <c r="D125" s="111" t="s">
        <v>7346</v>
      </c>
      <c r="E125" s="116">
        <v>0</v>
      </c>
      <c r="F125" s="116">
        <v>0</v>
      </c>
    </row>
    <row r="126" spans="1:6" ht="15.75">
      <c r="A126" s="50">
        <v>3</v>
      </c>
      <c r="B126" s="1"/>
      <c r="C126" s="48" t="s">
        <v>3821</v>
      </c>
      <c r="D126" s="111" t="s">
        <v>7347</v>
      </c>
      <c r="E126" s="116">
        <v>0</v>
      </c>
      <c r="F126" s="116">
        <v>0</v>
      </c>
    </row>
    <row r="127" spans="1:6" ht="15.75">
      <c r="A127" s="50">
        <v>4</v>
      </c>
      <c r="B127" s="1"/>
      <c r="C127" s="48" t="s">
        <v>3822</v>
      </c>
      <c r="D127" s="111" t="s">
        <v>7348</v>
      </c>
      <c r="E127" s="116">
        <v>0</v>
      </c>
      <c r="F127" s="116">
        <v>0</v>
      </c>
    </row>
    <row r="128" spans="1:6" ht="15.75">
      <c r="A128" s="50">
        <v>5</v>
      </c>
      <c r="B128" s="1"/>
      <c r="C128" s="48" t="s">
        <v>3823</v>
      </c>
      <c r="D128" s="111" t="s">
        <v>7349</v>
      </c>
      <c r="E128" s="116">
        <v>0</v>
      </c>
      <c r="F128" s="116">
        <v>0</v>
      </c>
    </row>
    <row r="129" spans="1:6" ht="15.75">
      <c r="A129" s="50">
        <v>6</v>
      </c>
      <c r="B129" s="1"/>
      <c r="C129" s="48" t="s">
        <v>3824</v>
      </c>
      <c r="D129" s="111" t="s">
        <v>7350</v>
      </c>
      <c r="E129" s="116">
        <v>0</v>
      </c>
      <c r="F129" s="116">
        <v>0</v>
      </c>
    </row>
    <row r="130" spans="1:6" ht="15.75">
      <c r="A130" s="50">
        <v>7</v>
      </c>
      <c r="B130" s="1"/>
      <c r="C130" s="48" t="s">
        <v>3825</v>
      </c>
      <c r="D130" s="111" t="s">
        <v>7351</v>
      </c>
      <c r="E130" s="116">
        <v>0</v>
      </c>
      <c r="F130" s="116">
        <v>0</v>
      </c>
    </row>
    <row r="131" spans="1:6" ht="15.75">
      <c r="A131" s="50"/>
      <c r="B131" s="1"/>
      <c r="C131" s="48"/>
      <c r="D131" s="111"/>
      <c r="E131" s="116">
        <v>0</v>
      </c>
      <c r="F131" s="116">
        <v>0</v>
      </c>
    </row>
    <row r="132" spans="1:6" ht="15.75">
      <c r="A132" s="50"/>
      <c r="B132" s="1"/>
      <c r="C132" s="48" t="s">
        <v>3826</v>
      </c>
      <c r="D132" s="111" t="s">
        <v>7352</v>
      </c>
      <c r="E132" s="116">
        <v>0</v>
      </c>
      <c r="F132" s="116">
        <v>0</v>
      </c>
    </row>
    <row r="133" spans="1:6" ht="15.75">
      <c r="A133" s="50">
        <v>1</v>
      </c>
      <c r="B133" s="1"/>
      <c r="C133" s="48" t="s">
        <v>3827</v>
      </c>
      <c r="D133" s="111" t="s">
        <v>7353</v>
      </c>
      <c r="E133" s="116">
        <v>0</v>
      </c>
      <c r="F133" s="116">
        <v>0</v>
      </c>
    </row>
    <row r="134" spans="1:6" ht="15.75">
      <c r="A134" s="50">
        <v>2</v>
      </c>
      <c r="B134" s="1"/>
      <c r="C134" s="48" t="s">
        <v>3828</v>
      </c>
      <c r="D134" s="111" t="s">
        <v>7354</v>
      </c>
      <c r="E134" s="116">
        <v>0</v>
      </c>
      <c r="F134" s="116">
        <v>0</v>
      </c>
    </row>
    <row r="135" spans="1:6" ht="15.75">
      <c r="A135" s="50">
        <v>3</v>
      </c>
      <c r="B135" s="1"/>
      <c r="C135" s="48" t="s">
        <v>3829</v>
      </c>
      <c r="D135" s="111" t="s">
        <v>7355</v>
      </c>
      <c r="E135" s="116">
        <v>0</v>
      </c>
      <c r="F135" s="116">
        <v>0</v>
      </c>
    </row>
    <row r="136" spans="1:6" ht="15.75">
      <c r="A136" s="50"/>
      <c r="B136" s="1"/>
      <c r="C136" s="48"/>
      <c r="D136" s="111"/>
      <c r="E136" s="116">
        <v>0</v>
      </c>
      <c r="F136" s="116">
        <v>0</v>
      </c>
    </row>
    <row r="137" spans="1:6" ht="15.75">
      <c r="A137" s="50"/>
      <c r="B137" s="1"/>
      <c r="C137" s="48" t="s">
        <v>3830</v>
      </c>
      <c r="D137" s="111" t="s">
        <v>7356</v>
      </c>
      <c r="E137" s="116">
        <v>0</v>
      </c>
      <c r="F137" s="116">
        <v>0</v>
      </c>
    </row>
    <row r="138" spans="1:6" ht="15.75">
      <c r="A138" s="50">
        <v>1</v>
      </c>
      <c r="B138" s="1"/>
      <c r="C138" s="48" t="s">
        <v>3831</v>
      </c>
      <c r="D138" s="111" t="s">
        <v>7357</v>
      </c>
      <c r="E138" s="116">
        <v>0</v>
      </c>
      <c r="F138" s="116">
        <v>0</v>
      </c>
    </row>
    <row r="139" spans="1:6" ht="15.75">
      <c r="A139" s="50">
        <v>2</v>
      </c>
      <c r="B139" s="1"/>
      <c r="C139" s="48" t="s">
        <v>3832</v>
      </c>
      <c r="D139" s="111" t="s">
        <v>7358</v>
      </c>
      <c r="E139" s="116">
        <v>0</v>
      </c>
      <c r="F139" s="116">
        <v>0</v>
      </c>
    </row>
    <row r="140" spans="1:6" ht="15.75">
      <c r="A140" s="50"/>
      <c r="B140" s="1"/>
      <c r="C140" s="48"/>
      <c r="D140" s="111"/>
      <c r="E140" s="116">
        <v>0</v>
      </c>
      <c r="F140" s="116">
        <v>0</v>
      </c>
    </row>
    <row r="141" spans="1:6" ht="15.75">
      <c r="A141" s="50"/>
      <c r="B141" s="1"/>
      <c r="C141" s="48" t="s">
        <v>3833</v>
      </c>
      <c r="D141" s="111" t="s">
        <v>6977</v>
      </c>
      <c r="E141" s="116">
        <v>0</v>
      </c>
      <c r="F141" s="116">
        <v>0</v>
      </c>
    </row>
    <row r="142" spans="1:6" ht="15.75">
      <c r="A142" s="50">
        <v>1</v>
      </c>
      <c r="B142" s="1"/>
      <c r="C142" s="48" t="s">
        <v>3834</v>
      </c>
      <c r="D142" s="111" t="s">
        <v>7359</v>
      </c>
      <c r="E142" s="116">
        <v>0</v>
      </c>
      <c r="F142" s="116">
        <v>0</v>
      </c>
    </row>
    <row r="143" spans="1:6" ht="15.75">
      <c r="A143" s="50">
        <v>2</v>
      </c>
      <c r="B143" s="1"/>
      <c r="C143" s="48" t="s">
        <v>3835</v>
      </c>
      <c r="D143" s="111" t="s">
        <v>7360</v>
      </c>
      <c r="E143" s="116">
        <v>0</v>
      </c>
      <c r="F143" s="116">
        <v>0</v>
      </c>
    </row>
    <row r="144" spans="1:6" ht="15.75">
      <c r="A144" s="50"/>
      <c r="B144" s="1"/>
      <c r="C144" s="48"/>
      <c r="D144" s="111"/>
      <c r="E144" s="116">
        <v>0</v>
      </c>
      <c r="F144" s="116">
        <v>0</v>
      </c>
    </row>
    <row r="145" spans="1:6" ht="15.75">
      <c r="A145" s="50"/>
      <c r="B145" s="1"/>
      <c r="C145" s="48"/>
      <c r="D145" s="111"/>
      <c r="E145" s="116">
        <v>0</v>
      </c>
      <c r="F145" s="116">
        <v>0</v>
      </c>
    </row>
    <row r="146" spans="1:6" ht="15.75">
      <c r="A146" s="50">
        <v>1</v>
      </c>
      <c r="B146" s="1"/>
      <c r="C146" s="48" t="s">
        <v>3836</v>
      </c>
      <c r="D146" s="111" t="s">
        <v>7361</v>
      </c>
      <c r="E146" s="116">
        <v>0</v>
      </c>
      <c r="F146" s="116">
        <v>0</v>
      </c>
    </row>
    <row r="147" spans="1:6" ht="15.75">
      <c r="A147" s="50">
        <v>2</v>
      </c>
      <c r="B147" s="1"/>
      <c r="C147" s="48" t="s">
        <v>3837</v>
      </c>
      <c r="D147" s="111" t="s">
        <v>7362</v>
      </c>
      <c r="E147" s="116">
        <v>0</v>
      </c>
      <c r="F147" s="116">
        <v>0</v>
      </c>
    </row>
    <row r="148" spans="1:6" ht="15.75">
      <c r="A148" s="50">
        <v>3</v>
      </c>
      <c r="B148" s="1"/>
      <c r="C148" s="48" t="s">
        <v>3838</v>
      </c>
      <c r="D148" s="111" t="s">
        <v>7363</v>
      </c>
      <c r="E148" s="116">
        <v>0</v>
      </c>
      <c r="F148" s="116">
        <v>0</v>
      </c>
    </row>
    <row r="149" spans="1:6" ht="15.75">
      <c r="A149" s="50">
        <v>4</v>
      </c>
      <c r="B149" s="1"/>
      <c r="C149" s="48" t="s">
        <v>3839</v>
      </c>
      <c r="D149" s="111" t="s">
        <v>7364</v>
      </c>
      <c r="E149" s="116">
        <v>0</v>
      </c>
      <c r="F149" s="116">
        <v>0</v>
      </c>
    </row>
    <row r="150" spans="1:6" ht="15.75">
      <c r="A150" s="50">
        <v>5</v>
      </c>
      <c r="B150" s="1"/>
      <c r="C150" s="48" t="s">
        <v>3840</v>
      </c>
      <c r="D150" s="111" t="s">
        <v>7365</v>
      </c>
      <c r="E150" s="116">
        <v>0</v>
      </c>
      <c r="F150" s="116">
        <v>0</v>
      </c>
    </row>
    <row r="151" spans="1:6" ht="31.5">
      <c r="A151" s="50">
        <v>6</v>
      </c>
      <c r="B151" s="1"/>
      <c r="C151" s="48" t="s">
        <v>3841</v>
      </c>
      <c r="D151" s="111" t="s">
        <v>7366</v>
      </c>
      <c r="E151" s="116">
        <v>0</v>
      </c>
      <c r="F151" s="116">
        <v>0</v>
      </c>
    </row>
    <row r="152" spans="1:6" ht="15.75">
      <c r="A152" s="50">
        <v>7</v>
      </c>
      <c r="B152" s="1"/>
      <c r="C152" s="48" t="s">
        <v>3842</v>
      </c>
      <c r="D152" s="111" t="s">
        <v>7367</v>
      </c>
      <c r="E152" s="116">
        <v>0</v>
      </c>
      <c r="F152" s="116">
        <v>0</v>
      </c>
    </row>
    <row r="153" spans="1:6" ht="15.75">
      <c r="A153" s="50">
        <v>8</v>
      </c>
      <c r="B153" s="1"/>
      <c r="C153" s="48" t="s">
        <v>3843</v>
      </c>
      <c r="D153" s="111" t="s">
        <v>7368</v>
      </c>
      <c r="E153" s="116">
        <v>0</v>
      </c>
      <c r="F153" s="116">
        <v>0</v>
      </c>
    </row>
    <row r="154" spans="1:6" ht="15.75">
      <c r="A154" s="50">
        <v>9</v>
      </c>
      <c r="B154" s="1"/>
      <c r="C154" s="48" t="s">
        <v>3844</v>
      </c>
      <c r="D154" s="111" t="s">
        <v>7369</v>
      </c>
      <c r="E154" s="116">
        <v>0</v>
      </c>
      <c r="F154" s="116">
        <v>0</v>
      </c>
    </row>
    <row r="155" spans="1:6" ht="15.75">
      <c r="A155" s="50">
        <v>10</v>
      </c>
      <c r="B155" s="1"/>
      <c r="C155" s="48" t="s">
        <v>3845</v>
      </c>
      <c r="D155" s="111" t="s">
        <v>7370</v>
      </c>
      <c r="E155" s="116">
        <v>0</v>
      </c>
      <c r="F155" s="116">
        <v>0</v>
      </c>
    </row>
    <row r="156" spans="1:6" ht="15.75">
      <c r="A156" s="50">
        <v>11</v>
      </c>
      <c r="B156" s="1"/>
      <c r="C156" s="48" t="s">
        <v>3846</v>
      </c>
      <c r="D156" s="111" t="s">
        <v>7371</v>
      </c>
      <c r="E156" s="116">
        <v>0</v>
      </c>
      <c r="F156" s="116">
        <v>0</v>
      </c>
    </row>
    <row r="157" spans="1:6" ht="15.75">
      <c r="A157" s="50">
        <v>12</v>
      </c>
      <c r="B157" s="1"/>
      <c r="C157" s="48" t="s">
        <v>3847</v>
      </c>
      <c r="D157" s="111" t="s">
        <v>7372</v>
      </c>
      <c r="E157" s="116">
        <v>0</v>
      </c>
      <c r="F157" s="116">
        <v>0</v>
      </c>
    </row>
    <row r="158" spans="1:6" ht="15.75">
      <c r="A158" s="50">
        <v>13</v>
      </c>
      <c r="B158" s="1"/>
      <c r="C158" s="48" t="s">
        <v>3848</v>
      </c>
      <c r="D158" s="111" t="s">
        <v>7373</v>
      </c>
      <c r="E158" s="116">
        <v>0</v>
      </c>
      <c r="F158" s="116">
        <v>0</v>
      </c>
    </row>
    <row r="159" spans="1:6" ht="15.75">
      <c r="A159" s="50">
        <v>14</v>
      </c>
      <c r="B159" s="1"/>
      <c r="C159" s="48" t="s">
        <v>3849</v>
      </c>
      <c r="D159" s="111" t="s">
        <v>7374</v>
      </c>
      <c r="E159" s="116">
        <v>0</v>
      </c>
      <c r="F159" s="116">
        <v>0</v>
      </c>
    </row>
    <row r="160" spans="1:6" ht="15.75">
      <c r="A160" s="50">
        <v>15</v>
      </c>
      <c r="B160" s="1"/>
      <c r="C160" s="48" t="s">
        <v>3850</v>
      </c>
      <c r="D160" s="111" t="s">
        <v>7375</v>
      </c>
      <c r="E160" s="116">
        <v>0</v>
      </c>
      <c r="F160" s="116">
        <v>0</v>
      </c>
    </row>
    <row r="161" spans="1:6" ht="15.75">
      <c r="A161" s="50">
        <v>16</v>
      </c>
      <c r="B161" s="1"/>
      <c r="C161" s="48" t="s">
        <v>3851</v>
      </c>
      <c r="D161" s="111" t="s">
        <v>7376</v>
      </c>
      <c r="E161" s="116">
        <v>0</v>
      </c>
      <c r="F161" s="116">
        <v>0</v>
      </c>
    </row>
    <row r="162" spans="1:6" ht="31.5">
      <c r="A162" s="50">
        <v>17</v>
      </c>
      <c r="B162" s="1"/>
      <c r="C162" s="48" t="s">
        <v>3852</v>
      </c>
      <c r="D162" s="111" t="s">
        <v>7377</v>
      </c>
      <c r="E162" s="116">
        <v>0</v>
      </c>
      <c r="F162" s="116">
        <v>0</v>
      </c>
    </row>
    <row r="163" spans="1:6" ht="15.75">
      <c r="A163" s="50">
        <v>18</v>
      </c>
      <c r="B163" s="1"/>
      <c r="C163" s="48" t="s">
        <v>3853</v>
      </c>
      <c r="D163" s="111" t="s">
        <v>7378</v>
      </c>
      <c r="E163" s="116">
        <v>0</v>
      </c>
      <c r="F163" s="116">
        <v>0</v>
      </c>
    </row>
    <row r="164" spans="1:6" ht="15.75">
      <c r="A164" s="50">
        <v>19</v>
      </c>
      <c r="B164" s="1"/>
      <c r="C164" s="48" t="s">
        <v>3854</v>
      </c>
      <c r="D164" s="111" t="s">
        <v>7379</v>
      </c>
      <c r="E164" s="116">
        <v>0</v>
      </c>
      <c r="F164" s="116">
        <v>0</v>
      </c>
    </row>
    <row r="165" spans="1:6" ht="15.75">
      <c r="A165" s="50">
        <v>20</v>
      </c>
      <c r="B165" s="1"/>
      <c r="C165" s="48" t="s">
        <v>3855</v>
      </c>
      <c r="D165" s="111" t="s">
        <v>7380</v>
      </c>
      <c r="E165" s="116">
        <v>0</v>
      </c>
      <c r="F165" s="116">
        <v>0</v>
      </c>
    </row>
    <row r="166" spans="1:6" ht="15.75">
      <c r="A166" s="50">
        <v>21</v>
      </c>
      <c r="B166" s="1"/>
      <c r="C166" s="48" t="s">
        <v>3856</v>
      </c>
      <c r="D166" s="111" t="s">
        <v>7381</v>
      </c>
      <c r="E166" s="116">
        <v>0</v>
      </c>
      <c r="F166" s="116">
        <v>0</v>
      </c>
    </row>
    <row r="167" spans="1:6" ht="15.75">
      <c r="A167" s="50">
        <v>22</v>
      </c>
      <c r="B167" s="1"/>
      <c r="C167" s="48" t="s">
        <v>3857</v>
      </c>
      <c r="D167" s="111" t="s">
        <v>7382</v>
      </c>
      <c r="E167" s="116">
        <v>0</v>
      </c>
      <c r="F167" s="116">
        <v>0</v>
      </c>
    </row>
    <row r="168" spans="1:6" ht="15.75">
      <c r="A168" s="50">
        <v>23</v>
      </c>
      <c r="B168" s="1"/>
      <c r="C168" s="48" t="s">
        <v>3858</v>
      </c>
      <c r="D168" s="111" t="s">
        <v>7383</v>
      </c>
      <c r="E168" s="116">
        <v>0</v>
      </c>
      <c r="F168" s="116">
        <v>0</v>
      </c>
    </row>
    <row r="169" spans="1:6" ht="15.75">
      <c r="A169" s="50">
        <v>24</v>
      </c>
      <c r="B169" s="1"/>
      <c r="C169" s="48" t="s">
        <v>3859</v>
      </c>
      <c r="D169" s="111" t="s">
        <v>7384</v>
      </c>
      <c r="E169" s="116">
        <v>0</v>
      </c>
      <c r="F169" s="116">
        <v>0</v>
      </c>
    </row>
    <row r="170" spans="1:6" ht="15.75">
      <c r="A170" s="50">
        <v>25</v>
      </c>
      <c r="B170" s="1"/>
      <c r="C170" s="48" t="s">
        <v>3860</v>
      </c>
      <c r="D170" s="111" t="s">
        <v>7385</v>
      </c>
      <c r="E170" s="116">
        <v>0</v>
      </c>
      <c r="F170" s="116">
        <v>0</v>
      </c>
    </row>
    <row r="171" spans="1:6" ht="15.75">
      <c r="A171" s="50">
        <v>26</v>
      </c>
      <c r="B171" s="1"/>
      <c r="C171" s="48" t="s">
        <v>3861</v>
      </c>
      <c r="D171" s="111" t="s">
        <v>7386</v>
      </c>
      <c r="E171" s="116">
        <v>0</v>
      </c>
      <c r="F171" s="116">
        <v>0</v>
      </c>
    </row>
    <row r="172" spans="1:6" ht="15.75">
      <c r="A172" s="50">
        <v>27</v>
      </c>
      <c r="B172" s="1"/>
      <c r="C172" s="48" t="s">
        <v>3862</v>
      </c>
      <c r="D172" s="111" t="s">
        <v>7387</v>
      </c>
      <c r="E172" s="116">
        <v>0</v>
      </c>
      <c r="F172" s="116">
        <v>0</v>
      </c>
    </row>
    <row r="173" spans="1:6" ht="15.75">
      <c r="A173" s="50">
        <v>28</v>
      </c>
      <c r="B173" s="1"/>
      <c r="C173" s="48" t="s">
        <v>3863</v>
      </c>
      <c r="D173" s="111" t="s">
        <v>7388</v>
      </c>
      <c r="E173" s="116">
        <v>0</v>
      </c>
      <c r="F173" s="116">
        <v>0</v>
      </c>
    </row>
    <row r="174" spans="1:6" ht="15.75">
      <c r="A174" s="50">
        <v>29</v>
      </c>
      <c r="B174" s="1"/>
      <c r="C174" s="48" t="s">
        <v>3864</v>
      </c>
      <c r="D174" s="111" t="s">
        <v>7389</v>
      </c>
      <c r="E174" s="116">
        <v>0</v>
      </c>
      <c r="F174" s="116">
        <v>0</v>
      </c>
    </row>
    <row r="175" spans="1:6" ht="31.5">
      <c r="A175" s="50">
        <v>30</v>
      </c>
      <c r="B175" s="1"/>
      <c r="C175" s="48" t="s">
        <v>3865</v>
      </c>
      <c r="D175" s="111" t="s">
        <v>7390</v>
      </c>
      <c r="E175" s="116">
        <v>0</v>
      </c>
      <c r="F175" s="116">
        <v>0</v>
      </c>
    </row>
    <row r="176" spans="1:6" ht="15.75">
      <c r="A176" s="50">
        <v>31</v>
      </c>
      <c r="B176" s="1"/>
      <c r="C176" s="48" t="s">
        <v>3866</v>
      </c>
      <c r="D176" s="111" t="s">
        <v>7391</v>
      </c>
      <c r="E176" s="116">
        <v>0</v>
      </c>
      <c r="F176" s="116">
        <v>0</v>
      </c>
    </row>
    <row r="177" spans="1:6" ht="15.75">
      <c r="A177" s="50">
        <v>32</v>
      </c>
      <c r="B177" s="1"/>
      <c r="C177" s="48" t="s">
        <v>3867</v>
      </c>
      <c r="D177" s="111" t="s">
        <v>7392</v>
      </c>
      <c r="E177" s="116">
        <v>0</v>
      </c>
      <c r="F177" s="116">
        <v>0</v>
      </c>
    </row>
    <row r="178" spans="1:6" ht="15.75">
      <c r="A178" s="50">
        <v>33</v>
      </c>
      <c r="B178" s="1"/>
      <c r="C178" s="48" t="s">
        <v>3868</v>
      </c>
      <c r="D178" s="111" t="s">
        <v>7393</v>
      </c>
      <c r="E178" s="116">
        <v>0</v>
      </c>
      <c r="F178" s="116">
        <v>0</v>
      </c>
    </row>
    <row r="179" spans="1:6" ht="15.75">
      <c r="A179" s="50">
        <v>34</v>
      </c>
      <c r="B179" s="1"/>
      <c r="C179" s="48" t="s">
        <v>3869</v>
      </c>
      <c r="D179" s="111" t="s">
        <v>7394</v>
      </c>
      <c r="E179" s="116">
        <v>0</v>
      </c>
      <c r="F179" s="116">
        <v>0</v>
      </c>
    </row>
    <row r="180" spans="1:6" ht="15.75">
      <c r="A180" s="50">
        <v>35</v>
      </c>
      <c r="B180" s="1"/>
      <c r="C180" s="48" t="s">
        <v>3870</v>
      </c>
      <c r="D180" s="111" t="s">
        <v>7395</v>
      </c>
      <c r="E180" s="116">
        <v>0</v>
      </c>
      <c r="F180" s="116">
        <v>0</v>
      </c>
    </row>
    <row r="181" spans="1:6" ht="15.75">
      <c r="A181" s="50">
        <v>36</v>
      </c>
      <c r="B181" s="1"/>
      <c r="C181" s="48" t="s">
        <v>3871</v>
      </c>
      <c r="D181" s="111" t="s">
        <v>7396</v>
      </c>
      <c r="E181" s="116">
        <v>0</v>
      </c>
      <c r="F181" s="116">
        <v>0</v>
      </c>
    </row>
    <row r="182" spans="1:6" ht="15.75">
      <c r="A182" s="50">
        <v>37</v>
      </c>
      <c r="B182" s="1"/>
      <c r="C182" s="48" t="s">
        <v>3872</v>
      </c>
      <c r="D182" s="111" t="s">
        <v>7397</v>
      </c>
      <c r="E182" s="116">
        <v>0</v>
      </c>
      <c r="F182" s="116">
        <v>0</v>
      </c>
    </row>
    <row r="183" spans="1:6" ht="15.75">
      <c r="A183" s="50">
        <v>38</v>
      </c>
      <c r="B183" s="1"/>
      <c r="C183" s="48" t="s">
        <v>3873</v>
      </c>
      <c r="D183" s="111" t="s">
        <v>7398</v>
      </c>
      <c r="E183" s="116">
        <v>0</v>
      </c>
      <c r="F183" s="116">
        <v>0</v>
      </c>
    </row>
    <row r="184" spans="1:6" ht="15.75">
      <c r="A184" s="50">
        <v>39</v>
      </c>
      <c r="B184" s="1"/>
      <c r="C184" s="48" t="s">
        <v>3874</v>
      </c>
      <c r="D184" s="111" t="s">
        <v>7399</v>
      </c>
      <c r="E184" s="116">
        <v>0</v>
      </c>
      <c r="F184" s="116">
        <v>0</v>
      </c>
    </row>
    <row r="185" spans="1:6" ht="15.75">
      <c r="A185" s="50">
        <v>40</v>
      </c>
      <c r="B185" s="1"/>
      <c r="C185" s="48" t="s">
        <v>3875</v>
      </c>
      <c r="D185" s="111" t="s">
        <v>7400</v>
      </c>
      <c r="E185" s="116">
        <v>0</v>
      </c>
      <c r="F185" s="116">
        <v>0</v>
      </c>
    </row>
    <row r="186" spans="1:6" ht="15.75">
      <c r="A186" s="50">
        <v>41</v>
      </c>
      <c r="B186" s="1"/>
      <c r="C186" s="48" t="s">
        <v>3876</v>
      </c>
      <c r="D186" s="111" t="s">
        <v>7401</v>
      </c>
      <c r="E186" s="116">
        <v>0</v>
      </c>
      <c r="F186" s="116">
        <v>0</v>
      </c>
    </row>
    <row r="187" spans="1:6" ht="15.75">
      <c r="A187" s="50">
        <v>42</v>
      </c>
      <c r="B187" s="1"/>
      <c r="C187" s="48" t="s">
        <v>3877</v>
      </c>
      <c r="D187" s="111" t="s">
        <v>7402</v>
      </c>
      <c r="E187" s="116">
        <v>0</v>
      </c>
      <c r="F187" s="116">
        <v>0</v>
      </c>
    </row>
    <row r="188" spans="1:6" ht="15.75">
      <c r="A188" s="50">
        <v>43</v>
      </c>
      <c r="B188" s="1"/>
      <c r="C188" s="48" t="s">
        <v>3878</v>
      </c>
      <c r="D188" s="111" t="s">
        <v>7403</v>
      </c>
      <c r="E188" s="116">
        <v>0</v>
      </c>
      <c r="F188" s="116">
        <v>0</v>
      </c>
    </row>
    <row r="189" spans="1:6" ht="15.75">
      <c r="A189" s="50">
        <v>44</v>
      </c>
      <c r="B189" s="1"/>
      <c r="C189" s="48" t="s">
        <v>3879</v>
      </c>
      <c r="D189" s="111" t="s">
        <v>7404</v>
      </c>
      <c r="E189" s="116">
        <v>0</v>
      </c>
      <c r="F189" s="116">
        <v>0</v>
      </c>
    </row>
    <row r="190" spans="1:6" ht="15.75">
      <c r="A190" s="50">
        <v>45</v>
      </c>
      <c r="B190" s="1"/>
      <c r="C190" s="48" t="s">
        <v>3880</v>
      </c>
      <c r="D190" s="111" t="s">
        <v>7405</v>
      </c>
      <c r="E190" s="116">
        <v>0</v>
      </c>
      <c r="F190" s="116">
        <v>0</v>
      </c>
    </row>
    <row r="191" spans="1:6" ht="15.75">
      <c r="A191" s="50">
        <v>46</v>
      </c>
      <c r="B191" s="1"/>
      <c r="C191" s="48" t="s">
        <v>3881</v>
      </c>
      <c r="D191" s="111" t="s">
        <v>7406</v>
      </c>
      <c r="E191" s="116">
        <v>0</v>
      </c>
      <c r="F191" s="116">
        <v>0</v>
      </c>
    </row>
    <row r="192" spans="1:6" ht="15.75">
      <c r="A192" s="50">
        <v>47</v>
      </c>
      <c r="B192" s="1"/>
      <c r="C192" s="48" t="s">
        <v>3882</v>
      </c>
      <c r="D192" s="111" t="s">
        <v>7407</v>
      </c>
      <c r="E192" s="116">
        <v>0</v>
      </c>
      <c r="F192" s="116">
        <v>0</v>
      </c>
    </row>
    <row r="193" spans="1:6" ht="15.75">
      <c r="A193" s="50">
        <v>48</v>
      </c>
      <c r="B193" s="1"/>
      <c r="C193" s="48" t="s">
        <v>3883</v>
      </c>
      <c r="D193" s="111" t="s">
        <v>7408</v>
      </c>
      <c r="E193" s="116">
        <v>0</v>
      </c>
      <c r="F193" s="116">
        <v>0</v>
      </c>
    </row>
    <row r="194" spans="1:6" ht="15.75">
      <c r="A194" s="50">
        <v>49</v>
      </c>
      <c r="B194" s="1"/>
      <c r="C194" s="48" t="s">
        <v>3884</v>
      </c>
      <c r="D194" s="111" t="s">
        <v>7409</v>
      </c>
      <c r="E194" s="116">
        <v>0</v>
      </c>
      <c r="F194" s="116">
        <v>0</v>
      </c>
    </row>
    <row r="195" spans="1:6" ht="15.75">
      <c r="A195" s="50">
        <v>50</v>
      </c>
      <c r="B195" s="1"/>
      <c r="C195" s="48" t="s">
        <v>3885</v>
      </c>
      <c r="D195" s="111" t="s">
        <v>7410</v>
      </c>
      <c r="E195" s="116">
        <v>0</v>
      </c>
      <c r="F195" s="116">
        <v>0</v>
      </c>
    </row>
    <row r="196" spans="1:6" ht="15.75">
      <c r="A196" s="50">
        <v>51</v>
      </c>
      <c r="B196" s="1"/>
      <c r="C196" s="48" t="s">
        <v>3886</v>
      </c>
      <c r="D196" s="111" t="s">
        <v>7411</v>
      </c>
      <c r="E196" s="116">
        <v>0</v>
      </c>
      <c r="F196" s="116">
        <v>0</v>
      </c>
    </row>
    <row r="197" spans="1:6" ht="15.75">
      <c r="A197" s="50">
        <v>52</v>
      </c>
      <c r="B197" s="1"/>
      <c r="C197" s="48" t="s">
        <v>3887</v>
      </c>
      <c r="D197" s="111" t="s">
        <v>7412</v>
      </c>
      <c r="E197" s="116">
        <v>0</v>
      </c>
      <c r="F197" s="116">
        <v>0</v>
      </c>
    </row>
    <row r="198" spans="1:6" ht="15.75">
      <c r="A198" s="50">
        <v>53</v>
      </c>
      <c r="B198" s="1"/>
      <c r="C198" s="48" t="s">
        <v>3888</v>
      </c>
      <c r="D198" s="111" t="s">
        <v>7413</v>
      </c>
      <c r="E198" s="116">
        <v>0</v>
      </c>
      <c r="F198" s="116">
        <v>0</v>
      </c>
    </row>
    <row r="199" spans="1:6" ht="15.75">
      <c r="A199" s="50">
        <v>54</v>
      </c>
      <c r="B199" s="1"/>
      <c r="C199" s="48" t="s">
        <v>3889</v>
      </c>
      <c r="D199" s="111" t="s">
        <v>7414</v>
      </c>
      <c r="E199" s="116">
        <v>0</v>
      </c>
      <c r="F199" s="116">
        <v>0</v>
      </c>
    </row>
    <row r="200" spans="1:6" ht="15.75">
      <c r="A200" s="50">
        <v>55</v>
      </c>
      <c r="B200" s="1"/>
      <c r="C200" s="48" t="s">
        <v>3890</v>
      </c>
      <c r="D200" s="111" t="s">
        <v>7415</v>
      </c>
      <c r="E200" s="116">
        <v>0</v>
      </c>
      <c r="F200" s="116">
        <v>0</v>
      </c>
    </row>
    <row r="201" spans="1:6" ht="15.75">
      <c r="A201" s="50">
        <v>56</v>
      </c>
      <c r="B201" s="1"/>
      <c r="C201" s="48" t="s">
        <v>3891</v>
      </c>
      <c r="D201" s="111" t="s">
        <v>7416</v>
      </c>
      <c r="E201" s="116">
        <v>0</v>
      </c>
      <c r="F201" s="116">
        <v>0</v>
      </c>
    </row>
    <row r="202" spans="1:6" ht="15.75">
      <c r="A202" s="50">
        <v>57</v>
      </c>
      <c r="B202" s="1"/>
      <c r="C202" s="48" t="s">
        <v>3892</v>
      </c>
      <c r="D202" s="111" t="s">
        <v>7417</v>
      </c>
      <c r="E202" s="116">
        <v>0</v>
      </c>
      <c r="F202" s="116">
        <v>0</v>
      </c>
    </row>
    <row r="203" spans="1:6" ht="15.75">
      <c r="A203" s="50">
        <v>58</v>
      </c>
      <c r="B203" s="1"/>
      <c r="C203" s="48" t="s">
        <v>3893</v>
      </c>
      <c r="D203" s="111" t="s">
        <v>7418</v>
      </c>
      <c r="E203" s="116">
        <v>0</v>
      </c>
      <c r="F203" s="116">
        <v>0</v>
      </c>
    </row>
    <row r="204" spans="1:6" ht="15.75">
      <c r="A204" s="50">
        <v>59</v>
      </c>
      <c r="B204" s="1"/>
      <c r="C204" s="48" t="s">
        <v>3894</v>
      </c>
      <c r="D204" s="111" t="s">
        <v>7419</v>
      </c>
      <c r="E204" s="116">
        <v>0</v>
      </c>
      <c r="F204" s="116">
        <v>0</v>
      </c>
    </row>
    <row r="205" spans="1:6" ht="15.75">
      <c r="A205" s="50">
        <v>60</v>
      </c>
      <c r="B205" s="1"/>
      <c r="C205" s="48" t="s">
        <v>3895</v>
      </c>
      <c r="D205" s="111" t="s">
        <v>7420</v>
      </c>
      <c r="E205" s="116">
        <v>0</v>
      </c>
      <c r="F205" s="116">
        <v>0</v>
      </c>
    </row>
    <row r="206" spans="1:6" ht="15.75">
      <c r="A206" s="50">
        <v>61</v>
      </c>
      <c r="B206" s="1"/>
      <c r="C206" s="48" t="s">
        <v>3896</v>
      </c>
      <c r="D206" s="111" t="s">
        <v>7421</v>
      </c>
      <c r="E206" s="116">
        <v>0</v>
      </c>
      <c r="F206" s="116">
        <v>0</v>
      </c>
    </row>
    <row r="207" spans="1:6" ht="15.75">
      <c r="A207" s="50">
        <v>62</v>
      </c>
      <c r="B207" s="1"/>
      <c r="C207" s="48" t="s">
        <v>3897</v>
      </c>
      <c r="D207" s="111" t="s">
        <v>7422</v>
      </c>
      <c r="E207" s="116">
        <v>0</v>
      </c>
      <c r="F207" s="116">
        <v>0</v>
      </c>
    </row>
    <row r="208" spans="1:6" ht="15.75">
      <c r="A208" s="50">
        <v>63</v>
      </c>
      <c r="B208" s="1"/>
      <c r="C208" s="48" t="s">
        <v>3898</v>
      </c>
      <c r="D208" s="111" t="s">
        <v>7423</v>
      </c>
      <c r="E208" s="116">
        <v>0</v>
      </c>
      <c r="F208" s="116">
        <v>0</v>
      </c>
    </row>
    <row r="209" spans="1:6" ht="15.75">
      <c r="A209" s="50">
        <v>64</v>
      </c>
      <c r="B209" s="1"/>
      <c r="C209" s="48" t="s">
        <v>3899</v>
      </c>
      <c r="D209" s="111" t="s">
        <v>7424</v>
      </c>
      <c r="E209" s="116">
        <v>0</v>
      </c>
      <c r="F209" s="116">
        <v>0</v>
      </c>
    </row>
    <row r="210" spans="1:6" ht="15.75">
      <c r="A210" s="50">
        <v>65</v>
      </c>
      <c r="B210" s="1"/>
      <c r="C210" s="48" t="s">
        <v>3900</v>
      </c>
      <c r="D210" s="111" t="s">
        <v>7425</v>
      </c>
      <c r="E210" s="116">
        <v>0</v>
      </c>
      <c r="F210" s="116">
        <v>0</v>
      </c>
    </row>
    <row r="211" spans="1:6" ht="15.75">
      <c r="A211" s="50">
        <v>66</v>
      </c>
      <c r="B211" s="1"/>
      <c r="C211" s="48" t="s">
        <v>3901</v>
      </c>
      <c r="D211" s="111" t="s">
        <v>7426</v>
      </c>
      <c r="E211" s="116">
        <v>0</v>
      </c>
      <c r="F211" s="116">
        <v>0</v>
      </c>
    </row>
    <row r="212" spans="1:6" ht="15.75">
      <c r="A212" s="50">
        <v>67</v>
      </c>
      <c r="B212" s="1"/>
      <c r="C212" s="48" t="s">
        <v>3902</v>
      </c>
      <c r="D212" s="111" t="s">
        <v>7427</v>
      </c>
      <c r="E212" s="116">
        <v>0</v>
      </c>
      <c r="F212" s="116">
        <v>0</v>
      </c>
    </row>
    <row r="213" spans="1:6" ht="15.75">
      <c r="A213" s="50">
        <v>68</v>
      </c>
      <c r="B213" s="1"/>
      <c r="C213" s="48" t="s">
        <v>3903</v>
      </c>
      <c r="D213" s="111" t="s">
        <v>7428</v>
      </c>
      <c r="E213" s="116">
        <v>0</v>
      </c>
      <c r="F213" s="116">
        <v>0</v>
      </c>
    </row>
    <row r="214" spans="1:6" ht="15.75">
      <c r="A214" s="50">
        <v>69</v>
      </c>
      <c r="B214" s="1"/>
      <c r="C214" s="48" t="s">
        <v>3904</v>
      </c>
      <c r="D214" s="111" t="s">
        <v>7429</v>
      </c>
      <c r="E214" s="116">
        <v>0</v>
      </c>
      <c r="F214" s="116">
        <v>0</v>
      </c>
    </row>
    <row r="215" spans="1:6" ht="15.75">
      <c r="A215" s="50">
        <v>70</v>
      </c>
      <c r="B215" s="1"/>
      <c r="C215" s="48" t="s">
        <v>3905</v>
      </c>
      <c r="D215" s="111" t="s">
        <v>7430</v>
      </c>
      <c r="E215" s="116">
        <v>0</v>
      </c>
      <c r="F215" s="116">
        <v>0</v>
      </c>
    </row>
    <row r="216" spans="1:6" ht="15.75">
      <c r="A216" s="50">
        <v>71</v>
      </c>
      <c r="B216" s="1"/>
      <c r="C216" s="48" t="s">
        <v>3906</v>
      </c>
      <c r="D216" s="111" t="s">
        <v>7431</v>
      </c>
      <c r="E216" s="116">
        <v>0</v>
      </c>
      <c r="F216" s="116">
        <v>0</v>
      </c>
    </row>
    <row r="217" spans="1:6" ht="15.75">
      <c r="A217" s="50">
        <v>72</v>
      </c>
      <c r="B217" s="1"/>
      <c r="C217" s="48" t="s">
        <v>3907</v>
      </c>
      <c r="D217" s="111" t="s">
        <v>7432</v>
      </c>
      <c r="E217" s="116">
        <v>0</v>
      </c>
      <c r="F217" s="116">
        <v>0</v>
      </c>
    </row>
    <row r="218" spans="1:6" ht="15.75">
      <c r="A218" s="50">
        <v>73</v>
      </c>
      <c r="B218" s="1"/>
      <c r="C218" s="48" t="s">
        <v>3908</v>
      </c>
      <c r="D218" s="111" t="s">
        <v>7433</v>
      </c>
      <c r="E218" s="116">
        <v>0</v>
      </c>
      <c r="F218" s="116">
        <v>0</v>
      </c>
    </row>
    <row r="219" spans="1:6" ht="15.75">
      <c r="A219" s="50">
        <v>74</v>
      </c>
      <c r="B219" s="1"/>
      <c r="C219" s="48" t="s">
        <v>3909</v>
      </c>
      <c r="D219" s="111" t="s">
        <v>7434</v>
      </c>
      <c r="E219" s="116">
        <v>0</v>
      </c>
      <c r="F219" s="116">
        <v>0</v>
      </c>
    </row>
    <row r="220" spans="1:6" ht="15.75">
      <c r="A220" s="50">
        <v>75</v>
      </c>
      <c r="B220" s="1"/>
      <c r="C220" s="48" t="s">
        <v>3910</v>
      </c>
      <c r="D220" s="111" t="s">
        <v>7435</v>
      </c>
      <c r="E220" s="116">
        <v>0</v>
      </c>
      <c r="F220" s="116">
        <v>0</v>
      </c>
    </row>
    <row r="221" spans="1:6" ht="15.75">
      <c r="A221" s="50">
        <v>76</v>
      </c>
      <c r="B221" s="1"/>
      <c r="C221" s="48" t="s">
        <v>3911</v>
      </c>
      <c r="D221" s="111" t="s">
        <v>7436</v>
      </c>
      <c r="E221" s="116">
        <v>0</v>
      </c>
      <c r="F221" s="116">
        <v>0</v>
      </c>
    </row>
    <row r="222" spans="1:6" ht="15.75">
      <c r="A222" s="50">
        <v>77</v>
      </c>
      <c r="B222" s="1"/>
      <c r="C222" s="48" t="s">
        <v>3912</v>
      </c>
      <c r="D222" s="111" t="s">
        <v>7437</v>
      </c>
      <c r="E222" s="116">
        <v>0</v>
      </c>
      <c r="F222" s="116">
        <v>0</v>
      </c>
    </row>
    <row r="223" spans="1:6" ht="15.75">
      <c r="A223" s="50">
        <v>78</v>
      </c>
      <c r="B223" s="1"/>
      <c r="C223" s="48" t="s">
        <v>3913</v>
      </c>
      <c r="D223" s="111" t="s">
        <v>7438</v>
      </c>
      <c r="E223" s="116">
        <v>0</v>
      </c>
      <c r="F223" s="116">
        <v>0</v>
      </c>
    </row>
    <row r="224" spans="1:6" ht="15.75">
      <c r="A224" s="50">
        <v>79</v>
      </c>
      <c r="B224" s="1"/>
      <c r="C224" s="48" t="s">
        <v>3914</v>
      </c>
      <c r="D224" s="111" t="s">
        <v>7439</v>
      </c>
      <c r="E224" s="116">
        <v>0</v>
      </c>
      <c r="F224" s="116">
        <v>0</v>
      </c>
    </row>
    <row r="225" spans="1:6" ht="15.75">
      <c r="A225" s="50">
        <v>80</v>
      </c>
      <c r="B225" s="1"/>
      <c r="C225" s="48" t="s">
        <v>3915</v>
      </c>
      <c r="D225" s="111" t="s">
        <v>7440</v>
      </c>
      <c r="E225" s="116">
        <v>0</v>
      </c>
      <c r="F225" s="116">
        <v>0</v>
      </c>
    </row>
    <row r="226" spans="1:6" ht="15.75">
      <c r="A226" s="50">
        <v>81</v>
      </c>
      <c r="B226" s="1"/>
      <c r="C226" s="48" t="s">
        <v>3916</v>
      </c>
      <c r="D226" s="111" t="s">
        <v>7441</v>
      </c>
      <c r="E226" s="116">
        <v>0</v>
      </c>
      <c r="F226" s="116">
        <v>0</v>
      </c>
    </row>
    <row r="227" spans="1:6" ht="15.75">
      <c r="A227" s="50">
        <v>82</v>
      </c>
      <c r="B227" s="1"/>
      <c r="C227" s="48" t="s">
        <v>3917</v>
      </c>
      <c r="D227" s="111" t="s">
        <v>7442</v>
      </c>
      <c r="E227" s="116">
        <v>0</v>
      </c>
      <c r="F227" s="116">
        <v>0</v>
      </c>
    </row>
    <row r="228" spans="1:6" ht="15.75">
      <c r="A228" s="50">
        <v>83</v>
      </c>
      <c r="B228" s="1"/>
      <c r="C228" s="48" t="s">
        <v>3918</v>
      </c>
      <c r="D228" s="111" t="s">
        <v>7443</v>
      </c>
      <c r="E228" s="116">
        <v>0</v>
      </c>
      <c r="F228" s="116">
        <v>0</v>
      </c>
    </row>
    <row r="229" spans="1:6" ht="15.75">
      <c r="A229" s="50">
        <v>84</v>
      </c>
      <c r="B229" s="1"/>
      <c r="C229" s="48" t="s">
        <v>3919</v>
      </c>
      <c r="D229" s="111" t="s">
        <v>7444</v>
      </c>
      <c r="E229" s="116">
        <v>0</v>
      </c>
      <c r="F229" s="116">
        <v>0</v>
      </c>
    </row>
    <row r="230" spans="1:6" ht="15.75">
      <c r="A230" s="50">
        <v>85</v>
      </c>
      <c r="B230" s="1"/>
      <c r="C230" s="48" t="s">
        <v>3920</v>
      </c>
      <c r="D230" s="111" t="s">
        <v>7445</v>
      </c>
      <c r="E230" s="116">
        <v>0</v>
      </c>
      <c r="F230" s="116">
        <v>0</v>
      </c>
    </row>
    <row r="231" spans="1:6" ht="15.75">
      <c r="A231" s="50">
        <v>86</v>
      </c>
      <c r="B231" s="1"/>
      <c r="C231" s="48" t="s">
        <v>3921</v>
      </c>
      <c r="D231" s="111" t="s">
        <v>7446</v>
      </c>
      <c r="E231" s="116">
        <v>0</v>
      </c>
      <c r="F231" s="116">
        <v>0</v>
      </c>
    </row>
    <row r="232" spans="1:6" ht="15.75">
      <c r="A232" s="50">
        <v>87</v>
      </c>
      <c r="B232" s="1"/>
      <c r="C232" s="48" t="s">
        <v>3922</v>
      </c>
      <c r="D232" s="111" t="s">
        <v>7447</v>
      </c>
      <c r="E232" s="116">
        <v>0</v>
      </c>
      <c r="F232" s="116">
        <v>0</v>
      </c>
    </row>
    <row r="233" spans="1:6" ht="15.75">
      <c r="A233" s="50">
        <v>88</v>
      </c>
      <c r="B233" s="1"/>
      <c r="C233" s="48" t="s">
        <v>3923</v>
      </c>
      <c r="D233" s="111" t="s">
        <v>7448</v>
      </c>
      <c r="E233" s="116">
        <v>0</v>
      </c>
      <c r="F233" s="116">
        <v>0</v>
      </c>
    </row>
    <row r="234" spans="1:6" ht="15.75">
      <c r="A234" s="50">
        <v>89</v>
      </c>
      <c r="B234" s="1"/>
      <c r="C234" s="48" t="s">
        <v>3924</v>
      </c>
      <c r="D234" s="111" t="s">
        <v>7449</v>
      </c>
      <c r="E234" s="116">
        <v>0</v>
      </c>
      <c r="F234" s="116">
        <v>0</v>
      </c>
    </row>
    <row r="235" spans="1:6" ht="15.75">
      <c r="A235" s="50">
        <v>90</v>
      </c>
      <c r="B235" s="1"/>
      <c r="C235" s="48" t="s">
        <v>3925</v>
      </c>
      <c r="D235" s="111" t="s">
        <v>7450</v>
      </c>
      <c r="E235" s="116">
        <v>0</v>
      </c>
      <c r="F235" s="116">
        <v>0</v>
      </c>
    </row>
    <row r="236" spans="1:6" ht="15.75">
      <c r="A236" s="50">
        <v>91</v>
      </c>
      <c r="B236" s="1"/>
      <c r="C236" s="48" t="s">
        <v>3926</v>
      </c>
      <c r="D236" s="111" t="s">
        <v>7451</v>
      </c>
      <c r="E236" s="116">
        <v>0</v>
      </c>
      <c r="F236" s="116">
        <v>0</v>
      </c>
    </row>
    <row r="237" spans="1:6" ht="15.75">
      <c r="A237" s="50">
        <v>92</v>
      </c>
      <c r="B237" s="1"/>
      <c r="C237" s="48" t="s">
        <v>3927</v>
      </c>
      <c r="D237" s="111" t="s">
        <v>7452</v>
      </c>
      <c r="E237" s="116">
        <v>0</v>
      </c>
      <c r="F237" s="116">
        <v>0</v>
      </c>
    </row>
    <row r="238" spans="1:6" ht="15.75">
      <c r="A238" s="50">
        <v>93</v>
      </c>
      <c r="B238" s="1"/>
      <c r="C238" s="48" t="s">
        <v>3928</v>
      </c>
      <c r="D238" s="111" t="s">
        <v>7453</v>
      </c>
      <c r="E238" s="116">
        <v>0</v>
      </c>
      <c r="F238" s="116">
        <v>0</v>
      </c>
    </row>
    <row r="239" spans="1:6" ht="15.75">
      <c r="A239" s="50">
        <v>94</v>
      </c>
      <c r="B239" s="1"/>
      <c r="C239" s="48" t="s">
        <v>3929</v>
      </c>
      <c r="D239" s="111" t="s">
        <v>7454</v>
      </c>
      <c r="E239" s="116">
        <v>0</v>
      </c>
      <c r="F239" s="116">
        <v>0</v>
      </c>
    </row>
    <row r="240" spans="1:6" ht="15.75">
      <c r="A240" s="50">
        <v>95</v>
      </c>
      <c r="B240" s="1"/>
      <c r="C240" s="48" t="s">
        <v>3930</v>
      </c>
      <c r="D240" s="111" t="s">
        <v>7455</v>
      </c>
      <c r="E240" s="116">
        <v>0</v>
      </c>
      <c r="F240" s="116">
        <v>0</v>
      </c>
    </row>
    <row r="241" spans="1:6" ht="15.75">
      <c r="A241" s="50">
        <v>96</v>
      </c>
      <c r="B241" s="1"/>
      <c r="C241" s="48" t="s">
        <v>3931</v>
      </c>
      <c r="D241" s="111" t="s">
        <v>7456</v>
      </c>
      <c r="E241" s="116">
        <v>0</v>
      </c>
      <c r="F241" s="116">
        <v>0</v>
      </c>
    </row>
    <row r="242" spans="1:6" ht="15.75">
      <c r="A242" s="50">
        <v>97</v>
      </c>
      <c r="B242" s="1"/>
      <c r="C242" s="48" t="s">
        <v>3932</v>
      </c>
      <c r="D242" s="111" t="s">
        <v>7457</v>
      </c>
      <c r="E242" s="116">
        <v>0</v>
      </c>
      <c r="F242" s="116">
        <v>0</v>
      </c>
    </row>
    <row r="243" spans="1:6" ht="15.75">
      <c r="A243" s="50">
        <v>98</v>
      </c>
      <c r="B243" s="1"/>
      <c r="C243" s="48" t="s">
        <v>3933</v>
      </c>
      <c r="D243" s="111" t="s">
        <v>7458</v>
      </c>
      <c r="E243" s="116">
        <v>0</v>
      </c>
      <c r="F243" s="116">
        <v>0</v>
      </c>
    </row>
    <row r="244" spans="1:6" ht="15.75">
      <c r="A244" s="50">
        <v>99</v>
      </c>
      <c r="B244" s="1"/>
      <c r="C244" s="48" t="s">
        <v>3934</v>
      </c>
      <c r="D244" s="111" t="s">
        <v>7459</v>
      </c>
      <c r="E244" s="116">
        <v>0</v>
      </c>
      <c r="F244" s="116">
        <v>0</v>
      </c>
    </row>
    <row r="245" spans="1:6" ht="15.75">
      <c r="A245" s="50">
        <v>100</v>
      </c>
      <c r="B245" s="1"/>
      <c r="C245" s="48" t="s">
        <v>3935</v>
      </c>
      <c r="D245" s="111" t="s">
        <v>7460</v>
      </c>
      <c r="E245" s="116">
        <v>0</v>
      </c>
      <c r="F245" s="116">
        <v>0</v>
      </c>
    </row>
    <row r="246" spans="1:6" ht="15.75">
      <c r="A246" s="50">
        <v>101</v>
      </c>
      <c r="B246" s="1"/>
      <c r="C246" s="48" t="s">
        <v>3936</v>
      </c>
      <c r="D246" s="111" t="s">
        <v>7461</v>
      </c>
      <c r="E246" s="116">
        <v>0</v>
      </c>
      <c r="F246" s="116">
        <v>0</v>
      </c>
    </row>
    <row r="247" spans="1:6" ht="15.75">
      <c r="A247" s="50">
        <v>102</v>
      </c>
      <c r="B247" s="1"/>
      <c r="C247" s="48" t="s">
        <v>3937</v>
      </c>
      <c r="D247" s="111" t="s">
        <v>7462</v>
      </c>
      <c r="E247" s="116">
        <v>0</v>
      </c>
      <c r="F247" s="116">
        <v>0</v>
      </c>
    </row>
    <row r="248" spans="1:6" ht="15.75">
      <c r="A248" s="50">
        <v>103</v>
      </c>
      <c r="B248" s="1"/>
      <c r="C248" s="48" t="s">
        <v>3938</v>
      </c>
      <c r="D248" s="111" t="s">
        <v>7463</v>
      </c>
      <c r="E248" s="116">
        <v>0</v>
      </c>
      <c r="F248" s="116">
        <v>0</v>
      </c>
    </row>
    <row r="249" spans="1:6" ht="15.75">
      <c r="A249" s="50">
        <v>104</v>
      </c>
      <c r="B249" s="1"/>
      <c r="C249" s="48" t="s">
        <v>3939</v>
      </c>
      <c r="D249" s="111" t="s">
        <v>7464</v>
      </c>
      <c r="E249" s="116">
        <v>0</v>
      </c>
      <c r="F249" s="116">
        <v>0</v>
      </c>
    </row>
    <row r="250" spans="1:6" ht="15.75">
      <c r="A250" s="50">
        <v>105</v>
      </c>
      <c r="B250" s="1"/>
      <c r="C250" s="48" t="s">
        <v>3940</v>
      </c>
      <c r="D250" s="111" t="s">
        <v>7465</v>
      </c>
      <c r="E250" s="116">
        <v>0</v>
      </c>
      <c r="F250" s="116">
        <v>0</v>
      </c>
    </row>
    <row r="251" spans="1:6" ht="15.75">
      <c r="A251" s="50">
        <v>106</v>
      </c>
      <c r="B251" s="1"/>
      <c r="C251" s="48" t="s">
        <v>3941</v>
      </c>
      <c r="D251" s="111" t="s">
        <v>7466</v>
      </c>
      <c r="E251" s="116">
        <v>0</v>
      </c>
      <c r="F251" s="116">
        <v>0</v>
      </c>
    </row>
    <row r="252" spans="1:6" ht="15.75">
      <c r="A252" s="50">
        <v>107</v>
      </c>
      <c r="B252" s="1"/>
      <c r="C252" s="48" t="s">
        <v>3942</v>
      </c>
      <c r="D252" s="111" t="s">
        <v>7467</v>
      </c>
      <c r="E252" s="116">
        <v>0</v>
      </c>
      <c r="F252" s="116">
        <v>0</v>
      </c>
    </row>
    <row r="253" spans="1:6" ht="15.75">
      <c r="A253" s="50">
        <v>108</v>
      </c>
      <c r="B253" s="1"/>
      <c r="C253" s="48" t="s">
        <v>3943</v>
      </c>
      <c r="D253" s="111" t="s">
        <v>7468</v>
      </c>
      <c r="E253" s="116">
        <v>0</v>
      </c>
      <c r="F253" s="116">
        <v>0</v>
      </c>
    </row>
    <row r="254" spans="1:6" ht="15.75">
      <c r="A254" s="50">
        <v>109</v>
      </c>
      <c r="B254" s="1"/>
      <c r="C254" s="48" t="s">
        <v>3944</v>
      </c>
      <c r="D254" s="111" t="s">
        <v>7469</v>
      </c>
      <c r="E254" s="116">
        <v>0</v>
      </c>
      <c r="F254" s="116">
        <v>0</v>
      </c>
    </row>
    <row r="255" spans="1:6" ht="15.75">
      <c r="A255" s="50">
        <v>110</v>
      </c>
      <c r="B255" s="1"/>
      <c r="C255" s="48" t="s">
        <v>3945</v>
      </c>
      <c r="D255" s="111" t="s">
        <v>7470</v>
      </c>
      <c r="E255" s="116">
        <v>0</v>
      </c>
      <c r="F255" s="116">
        <v>0</v>
      </c>
    </row>
    <row r="256" spans="1:6" ht="15.75">
      <c r="A256" s="50">
        <v>111</v>
      </c>
      <c r="B256" s="1"/>
      <c r="C256" s="48" t="s">
        <v>3946</v>
      </c>
      <c r="D256" s="111" t="s">
        <v>7471</v>
      </c>
      <c r="E256" s="116">
        <v>0</v>
      </c>
      <c r="F256" s="116">
        <v>0</v>
      </c>
    </row>
    <row r="257" spans="1:6" ht="15.75">
      <c r="A257" s="50">
        <v>112</v>
      </c>
      <c r="B257" s="1"/>
      <c r="C257" s="48" t="s">
        <v>3947</v>
      </c>
      <c r="D257" s="111" t="s">
        <v>7472</v>
      </c>
      <c r="E257" s="116">
        <v>0</v>
      </c>
      <c r="F257" s="116">
        <v>0</v>
      </c>
    </row>
    <row r="258" spans="1:6" ht="15.75">
      <c r="A258" s="50">
        <v>113</v>
      </c>
      <c r="B258" s="1"/>
      <c r="C258" s="48" t="s">
        <v>3948</v>
      </c>
      <c r="D258" s="111" t="s">
        <v>7473</v>
      </c>
      <c r="E258" s="116">
        <v>0</v>
      </c>
      <c r="F258" s="116">
        <v>0</v>
      </c>
    </row>
    <row r="259" spans="1:6" ht="15.75">
      <c r="A259" s="50">
        <v>114</v>
      </c>
      <c r="B259" s="1"/>
      <c r="C259" s="48" t="s">
        <v>3949</v>
      </c>
      <c r="D259" s="111" t="s">
        <v>7474</v>
      </c>
      <c r="E259" s="116">
        <v>0</v>
      </c>
      <c r="F259" s="116">
        <v>0</v>
      </c>
    </row>
    <row r="260" spans="1:6" ht="15.75">
      <c r="A260" s="50">
        <v>115</v>
      </c>
      <c r="B260" s="1"/>
      <c r="C260" s="48" t="s">
        <v>3950</v>
      </c>
      <c r="D260" s="111" t="s">
        <v>7475</v>
      </c>
      <c r="E260" s="116">
        <v>0</v>
      </c>
      <c r="F260" s="116">
        <v>0</v>
      </c>
    </row>
    <row r="261" spans="1:6" ht="15.75">
      <c r="A261" s="50">
        <v>116</v>
      </c>
      <c r="B261" s="1"/>
      <c r="C261" s="48" t="s">
        <v>3951</v>
      </c>
      <c r="D261" s="111" t="s">
        <v>7476</v>
      </c>
      <c r="E261" s="116">
        <v>0</v>
      </c>
      <c r="F261" s="116">
        <v>0</v>
      </c>
    </row>
    <row r="262" spans="1:6" ht="15.75">
      <c r="A262" s="50">
        <v>117</v>
      </c>
      <c r="B262" s="1"/>
      <c r="C262" s="48" t="s">
        <v>3952</v>
      </c>
      <c r="D262" s="111" t="s">
        <v>7477</v>
      </c>
      <c r="E262" s="116">
        <v>0</v>
      </c>
      <c r="F262" s="116">
        <v>0</v>
      </c>
    </row>
    <row r="263" spans="1:6" ht="15.75">
      <c r="A263" s="50">
        <v>118</v>
      </c>
      <c r="B263" s="1"/>
      <c r="C263" s="48" t="s">
        <v>3953</v>
      </c>
      <c r="D263" s="111" t="s">
        <v>7478</v>
      </c>
      <c r="E263" s="116">
        <v>0</v>
      </c>
      <c r="F263" s="116">
        <v>0</v>
      </c>
    </row>
    <row r="264" spans="1:6" ht="15.75">
      <c r="A264" s="50">
        <v>119</v>
      </c>
      <c r="B264" s="1"/>
      <c r="C264" s="48" t="s">
        <v>3954</v>
      </c>
      <c r="D264" s="111" t="s">
        <v>7479</v>
      </c>
      <c r="E264" s="116">
        <v>0</v>
      </c>
      <c r="F264" s="116">
        <v>0</v>
      </c>
    </row>
    <row r="265" spans="1:6" ht="15.75">
      <c r="A265" s="50">
        <v>120</v>
      </c>
      <c r="B265" s="1"/>
      <c r="C265" s="48" t="s">
        <v>3955</v>
      </c>
      <c r="D265" s="111" t="s">
        <v>7480</v>
      </c>
      <c r="E265" s="116">
        <v>0</v>
      </c>
      <c r="F265" s="116">
        <v>0</v>
      </c>
    </row>
    <row r="266" spans="1:6" ht="15.75">
      <c r="A266" s="50">
        <v>121</v>
      </c>
      <c r="B266" s="1"/>
      <c r="C266" s="48" t="s">
        <v>3956</v>
      </c>
      <c r="D266" s="111" t="s">
        <v>7481</v>
      </c>
      <c r="E266" s="116">
        <v>0</v>
      </c>
      <c r="F266" s="116">
        <v>0</v>
      </c>
    </row>
    <row r="267" spans="1:6" ht="15.75">
      <c r="A267" s="50">
        <v>122</v>
      </c>
      <c r="B267" s="1"/>
      <c r="C267" s="48" t="s">
        <v>3957</v>
      </c>
      <c r="D267" s="111" t="s">
        <v>7482</v>
      </c>
      <c r="E267" s="116">
        <v>0</v>
      </c>
      <c r="F267" s="116">
        <v>0</v>
      </c>
    </row>
    <row r="268" spans="1:6" ht="15.75">
      <c r="A268" s="50">
        <v>123</v>
      </c>
      <c r="B268" s="1"/>
      <c r="C268" s="48" t="s">
        <v>3958</v>
      </c>
      <c r="D268" s="111" t="s">
        <v>7483</v>
      </c>
      <c r="E268" s="116">
        <v>0</v>
      </c>
      <c r="F268" s="116">
        <v>0</v>
      </c>
    </row>
    <row r="269" spans="1:6" ht="15.75">
      <c r="A269" s="50">
        <v>124</v>
      </c>
      <c r="B269" s="1"/>
      <c r="C269" s="48" t="s">
        <v>3959</v>
      </c>
      <c r="D269" s="111" t="s">
        <v>7484</v>
      </c>
      <c r="E269" s="116">
        <v>0</v>
      </c>
      <c r="F269" s="116">
        <v>0</v>
      </c>
    </row>
    <row r="270" spans="1:6" ht="15.75">
      <c r="A270" s="50">
        <v>125</v>
      </c>
      <c r="B270" s="1"/>
      <c r="C270" s="48" t="s">
        <v>3960</v>
      </c>
      <c r="D270" s="111" t="s">
        <v>7485</v>
      </c>
      <c r="E270" s="116">
        <v>0</v>
      </c>
      <c r="F270" s="116">
        <v>0</v>
      </c>
    </row>
    <row r="271" spans="1:6" ht="15.75">
      <c r="A271" s="50">
        <v>126</v>
      </c>
      <c r="B271" s="1"/>
      <c r="C271" s="48" t="s">
        <v>3961</v>
      </c>
      <c r="D271" s="111" t="s">
        <v>7486</v>
      </c>
      <c r="E271" s="116">
        <v>0</v>
      </c>
      <c r="F271" s="116">
        <v>0</v>
      </c>
    </row>
    <row r="272" spans="1:6" ht="15.75">
      <c r="A272" s="50">
        <v>127</v>
      </c>
      <c r="B272" s="1"/>
      <c r="C272" s="48" t="s">
        <v>3962</v>
      </c>
      <c r="D272" s="111" t="s">
        <v>7487</v>
      </c>
      <c r="E272" s="116">
        <v>0</v>
      </c>
      <c r="F272" s="116">
        <v>0</v>
      </c>
    </row>
    <row r="273" spans="1:6" ht="15.75">
      <c r="A273" s="50">
        <v>128</v>
      </c>
      <c r="B273" s="1"/>
      <c r="C273" s="48" t="s">
        <v>3963</v>
      </c>
      <c r="D273" s="111" t="s">
        <v>7488</v>
      </c>
      <c r="E273" s="116">
        <v>0</v>
      </c>
      <c r="F273" s="116">
        <v>0</v>
      </c>
    </row>
    <row r="274" spans="1:6" ht="15.75">
      <c r="A274" s="50">
        <v>129</v>
      </c>
      <c r="B274" s="1"/>
      <c r="C274" s="48" t="s">
        <v>3964</v>
      </c>
      <c r="D274" s="111" t="s">
        <v>7489</v>
      </c>
      <c r="E274" s="116">
        <v>0</v>
      </c>
      <c r="F274" s="116">
        <v>0</v>
      </c>
    </row>
    <row r="275" spans="1:6" ht="15.75">
      <c r="A275" s="50">
        <v>130</v>
      </c>
      <c r="B275" s="1"/>
      <c r="C275" s="48" t="s">
        <v>3965</v>
      </c>
      <c r="D275" s="111" t="s">
        <v>7490</v>
      </c>
      <c r="E275" s="116">
        <v>0</v>
      </c>
      <c r="F275" s="116">
        <v>0</v>
      </c>
    </row>
    <row r="276" spans="1:6" ht="15.75">
      <c r="A276" s="50">
        <v>131</v>
      </c>
      <c r="B276" s="1"/>
      <c r="C276" s="48" t="s">
        <v>3966</v>
      </c>
      <c r="D276" s="111" t="s">
        <v>7491</v>
      </c>
      <c r="E276" s="116">
        <v>0</v>
      </c>
      <c r="F276" s="116">
        <v>0</v>
      </c>
    </row>
    <row r="277" spans="1:6" ht="15.75">
      <c r="A277" s="50">
        <v>132</v>
      </c>
      <c r="B277" s="1"/>
      <c r="C277" s="48" t="s">
        <v>3967</v>
      </c>
      <c r="D277" s="111" t="s">
        <v>7492</v>
      </c>
      <c r="E277" s="116">
        <v>0</v>
      </c>
      <c r="F277" s="116">
        <v>0</v>
      </c>
    </row>
    <row r="278" spans="1:6" ht="15.75">
      <c r="A278" s="50">
        <v>133</v>
      </c>
      <c r="B278" s="1"/>
      <c r="C278" s="48" t="s">
        <v>3968</v>
      </c>
      <c r="D278" s="111" t="s">
        <v>7493</v>
      </c>
      <c r="E278" s="116">
        <v>0</v>
      </c>
      <c r="F278" s="116">
        <v>0</v>
      </c>
    </row>
    <row r="279" spans="1:6" ht="15.75">
      <c r="A279" s="50">
        <v>134</v>
      </c>
      <c r="B279" s="1"/>
      <c r="C279" s="48" t="s">
        <v>3969</v>
      </c>
      <c r="D279" s="111" t="s">
        <v>7494</v>
      </c>
      <c r="E279" s="116">
        <v>0</v>
      </c>
      <c r="F279" s="116">
        <v>0</v>
      </c>
    </row>
    <row r="280" spans="1:6" ht="15.75">
      <c r="A280" s="50">
        <v>135</v>
      </c>
      <c r="B280" s="1"/>
      <c r="C280" s="48" t="s">
        <v>3970</v>
      </c>
      <c r="D280" s="111" t="s">
        <v>7495</v>
      </c>
      <c r="E280" s="116">
        <v>0</v>
      </c>
      <c r="F280" s="116">
        <v>0</v>
      </c>
    </row>
    <row r="281" spans="1:6" ht="15.75">
      <c r="A281" s="50">
        <v>136</v>
      </c>
      <c r="B281" s="1"/>
      <c r="C281" s="48" t="s">
        <v>3971</v>
      </c>
      <c r="D281" s="111" t="s">
        <v>7496</v>
      </c>
      <c r="E281" s="116">
        <v>0</v>
      </c>
      <c r="F281" s="116">
        <v>0</v>
      </c>
    </row>
    <row r="282" spans="1:6" ht="15.75">
      <c r="A282" s="50">
        <v>137</v>
      </c>
      <c r="B282" s="1"/>
      <c r="C282" s="48" t="s">
        <v>3972</v>
      </c>
      <c r="D282" s="111" t="s">
        <v>7497</v>
      </c>
      <c r="E282" s="116">
        <v>0</v>
      </c>
      <c r="F282" s="116">
        <v>0</v>
      </c>
    </row>
    <row r="283" spans="1:6" ht="15.75">
      <c r="A283" s="50">
        <v>138</v>
      </c>
      <c r="B283" s="1"/>
      <c r="C283" s="48" t="s">
        <v>3973</v>
      </c>
      <c r="D283" s="111" t="s">
        <v>7498</v>
      </c>
      <c r="E283" s="116">
        <v>0</v>
      </c>
      <c r="F283" s="116">
        <v>0</v>
      </c>
    </row>
    <row r="284" spans="1:6" ht="15.75">
      <c r="A284" s="50">
        <v>139</v>
      </c>
      <c r="B284" s="1"/>
      <c r="C284" s="48" t="s">
        <v>3974</v>
      </c>
      <c r="D284" s="111" t="s">
        <v>7499</v>
      </c>
      <c r="E284" s="116">
        <v>0</v>
      </c>
      <c r="F284" s="116">
        <v>0</v>
      </c>
    </row>
    <row r="285" spans="1:6" ht="15.75">
      <c r="A285" s="50">
        <v>140</v>
      </c>
      <c r="B285" s="1"/>
      <c r="C285" s="48" t="s">
        <v>3975</v>
      </c>
      <c r="D285" s="111" t="s">
        <v>7500</v>
      </c>
      <c r="E285" s="116">
        <v>0</v>
      </c>
      <c r="F285" s="116">
        <v>0</v>
      </c>
    </row>
    <row r="286" spans="1:6" ht="15.75">
      <c r="A286" s="50">
        <v>141</v>
      </c>
      <c r="B286" s="1"/>
      <c r="C286" s="48" t="s">
        <v>3976</v>
      </c>
      <c r="D286" s="111" t="s">
        <v>7501</v>
      </c>
      <c r="E286" s="116">
        <v>0</v>
      </c>
      <c r="F286" s="116">
        <v>0</v>
      </c>
    </row>
    <row r="287" spans="1:6" ht="15.75">
      <c r="A287" s="50">
        <v>142</v>
      </c>
      <c r="B287" s="1"/>
      <c r="C287" s="48" t="s">
        <v>3977</v>
      </c>
      <c r="D287" s="111" t="s">
        <v>7502</v>
      </c>
      <c r="E287" s="116">
        <v>0</v>
      </c>
      <c r="F287" s="116">
        <v>0</v>
      </c>
    </row>
    <row r="288" spans="1:6" ht="15.75">
      <c r="A288" s="50">
        <v>143</v>
      </c>
      <c r="B288" s="1"/>
      <c r="C288" s="48" t="s">
        <v>3978</v>
      </c>
      <c r="D288" s="111" t="s">
        <v>7503</v>
      </c>
      <c r="E288" s="116">
        <v>0</v>
      </c>
      <c r="F288" s="116">
        <v>0</v>
      </c>
    </row>
    <row r="289" spans="1:6" ht="15.75">
      <c r="A289" s="50"/>
      <c r="B289" s="1"/>
      <c r="C289" s="48"/>
      <c r="D289" s="111"/>
      <c r="E289" s="116">
        <v>0</v>
      </c>
      <c r="F289" s="116">
        <v>0</v>
      </c>
    </row>
    <row r="290" spans="1:6" ht="15.75">
      <c r="A290" s="50"/>
      <c r="B290" s="1"/>
      <c r="C290" s="48"/>
      <c r="D290" s="111"/>
      <c r="E290" s="116">
        <v>0</v>
      </c>
      <c r="F290" s="116">
        <v>0</v>
      </c>
    </row>
    <row r="291" spans="1:6" ht="15.75">
      <c r="A291" s="50"/>
      <c r="B291" s="1" t="s">
        <v>1001</v>
      </c>
      <c r="C291" s="48" t="s">
        <v>3979</v>
      </c>
      <c r="D291" s="111" t="s">
        <v>7504</v>
      </c>
      <c r="E291" s="116">
        <v>0</v>
      </c>
      <c r="F291" s="116">
        <v>0</v>
      </c>
    </row>
    <row r="292" spans="1:6" ht="15.75">
      <c r="A292" s="50"/>
      <c r="B292" s="1"/>
      <c r="C292" s="48"/>
      <c r="D292" s="111"/>
      <c r="E292" s="116">
        <v>0</v>
      </c>
      <c r="F292" s="116">
        <v>0</v>
      </c>
    </row>
    <row r="293" spans="1:6" ht="15.75">
      <c r="A293" s="50"/>
      <c r="B293" s="1"/>
      <c r="C293" s="48" t="s">
        <v>3980</v>
      </c>
      <c r="D293" s="111" t="s">
        <v>7505</v>
      </c>
      <c r="E293" s="116">
        <v>0</v>
      </c>
      <c r="F293" s="116">
        <v>0</v>
      </c>
    </row>
    <row r="294" spans="1:6" ht="15.75">
      <c r="A294" s="50"/>
      <c r="B294" s="1"/>
      <c r="C294" s="48"/>
      <c r="D294" s="111"/>
      <c r="E294" s="116">
        <v>0</v>
      </c>
      <c r="F294" s="116">
        <v>0</v>
      </c>
    </row>
    <row r="295" spans="1:6" ht="15.75">
      <c r="A295" s="50">
        <v>1</v>
      </c>
      <c r="B295" s="1"/>
      <c r="C295" s="48" t="s">
        <v>3981</v>
      </c>
      <c r="D295" s="111" t="s">
        <v>7506</v>
      </c>
      <c r="E295" s="116">
        <v>0</v>
      </c>
      <c r="F295" s="116">
        <v>0</v>
      </c>
    </row>
    <row r="296" spans="1:6" ht="15.75">
      <c r="A296" s="50">
        <v>2</v>
      </c>
      <c r="B296" s="1"/>
      <c r="C296" s="48" t="s">
        <v>3982</v>
      </c>
      <c r="D296" s="111" t="s">
        <v>7507</v>
      </c>
      <c r="E296" s="116">
        <v>0</v>
      </c>
      <c r="F296" s="116">
        <v>0</v>
      </c>
    </row>
    <row r="297" spans="1:6" ht="15.75">
      <c r="A297" s="50">
        <v>3</v>
      </c>
      <c r="B297" s="1"/>
      <c r="C297" s="48" t="s">
        <v>3983</v>
      </c>
      <c r="D297" s="111" t="s">
        <v>7508</v>
      </c>
      <c r="E297" s="116">
        <v>0</v>
      </c>
      <c r="F297" s="116">
        <v>0</v>
      </c>
    </row>
    <row r="298" spans="1:6" ht="15.75">
      <c r="A298" s="50">
        <v>4</v>
      </c>
      <c r="B298" s="1"/>
      <c r="C298" s="48" t="s">
        <v>3984</v>
      </c>
      <c r="D298" s="111" t="s">
        <v>7509</v>
      </c>
      <c r="E298" s="116">
        <v>0</v>
      </c>
      <c r="F298" s="116">
        <v>0</v>
      </c>
    </row>
    <row r="299" spans="1:6" ht="15.75">
      <c r="A299" s="50">
        <v>5</v>
      </c>
      <c r="B299" s="1"/>
      <c r="C299" s="48" t="s">
        <v>3985</v>
      </c>
      <c r="D299" s="111" t="s">
        <v>7510</v>
      </c>
      <c r="E299" s="116">
        <v>0</v>
      </c>
      <c r="F299" s="116">
        <v>0</v>
      </c>
    </row>
    <row r="300" spans="1:6" ht="15.75">
      <c r="A300" s="50">
        <v>6</v>
      </c>
      <c r="B300" s="1"/>
      <c r="C300" s="48" t="s">
        <v>3986</v>
      </c>
      <c r="D300" s="111" t="s">
        <v>7511</v>
      </c>
      <c r="E300" s="116">
        <v>0</v>
      </c>
      <c r="F300" s="116">
        <v>0</v>
      </c>
    </row>
    <row r="301" spans="1:6" ht="15.75">
      <c r="A301" s="50">
        <v>7</v>
      </c>
      <c r="B301" s="1"/>
      <c r="C301" s="48" t="s">
        <v>3987</v>
      </c>
      <c r="D301" s="111" t="s">
        <v>7512</v>
      </c>
      <c r="E301" s="116">
        <v>0</v>
      </c>
      <c r="F301" s="116">
        <v>0</v>
      </c>
    </row>
    <row r="302" spans="1:6" ht="15.75">
      <c r="A302" s="50">
        <v>8</v>
      </c>
      <c r="B302" s="1"/>
      <c r="C302" s="48" t="s">
        <v>3988</v>
      </c>
      <c r="D302" s="111" t="s">
        <v>7513</v>
      </c>
      <c r="E302" s="116">
        <v>0</v>
      </c>
      <c r="F302" s="116">
        <v>0</v>
      </c>
    </row>
    <row r="303" spans="1:6" ht="15.75">
      <c r="A303" s="50">
        <v>9</v>
      </c>
      <c r="B303" s="1"/>
      <c r="C303" s="48" t="s">
        <v>3989</v>
      </c>
      <c r="D303" s="111" t="s">
        <v>7514</v>
      </c>
      <c r="E303" s="116">
        <v>0</v>
      </c>
      <c r="F303" s="116">
        <v>0</v>
      </c>
    </row>
    <row r="304" spans="1:6" ht="15.75">
      <c r="A304" s="50">
        <v>10</v>
      </c>
      <c r="B304" s="1"/>
      <c r="C304" s="48" t="s">
        <v>3990</v>
      </c>
      <c r="D304" s="111" t="s">
        <v>7515</v>
      </c>
      <c r="E304" s="116">
        <v>0</v>
      </c>
      <c r="F304" s="116">
        <v>0</v>
      </c>
    </row>
    <row r="305" spans="1:6" ht="15.75">
      <c r="A305" s="50">
        <v>11</v>
      </c>
      <c r="B305" s="1"/>
      <c r="C305" s="48" t="s">
        <v>3991</v>
      </c>
      <c r="D305" s="111" t="s">
        <v>7516</v>
      </c>
      <c r="E305" s="116">
        <v>0</v>
      </c>
      <c r="F305" s="116">
        <v>0</v>
      </c>
    </row>
    <row r="306" spans="1:6" ht="15.75">
      <c r="A306" s="50">
        <v>12</v>
      </c>
      <c r="B306" s="1"/>
      <c r="C306" s="48" t="s">
        <v>3992</v>
      </c>
      <c r="D306" s="111" t="s">
        <v>7517</v>
      </c>
      <c r="E306" s="116">
        <v>0</v>
      </c>
      <c r="F306" s="116">
        <v>0</v>
      </c>
    </row>
    <row r="307" spans="1:6" ht="15.75">
      <c r="A307" s="50">
        <v>13</v>
      </c>
      <c r="B307" s="1"/>
      <c r="C307" s="48" t="s">
        <v>3993</v>
      </c>
      <c r="D307" s="111" t="s">
        <v>7518</v>
      </c>
      <c r="E307" s="116">
        <v>0</v>
      </c>
      <c r="F307" s="116">
        <v>0</v>
      </c>
    </row>
    <row r="308" spans="1:6" ht="15.75">
      <c r="A308" s="50">
        <v>14</v>
      </c>
      <c r="B308" s="1"/>
      <c r="C308" s="48" t="s">
        <v>3994</v>
      </c>
      <c r="D308" s="111" t="s">
        <v>7519</v>
      </c>
      <c r="E308" s="116">
        <v>0</v>
      </c>
      <c r="F308" s="116">
        <v>0</v>
      </c>
    </row>
    <row r="309" spans="1:6" ht="15.75">
      <c r="A309" s="50">
        <v>15</v>
      </c>
      <c r="B309" s="1"/>
      <c r="C309" s="48" t="s">
        <v>3995</v>
      </c>
      <c r="D309" s="111" t="s">
        <v>7520</v>
      </c>
      <c r="E309" s="116">
        <v>0</v>
      </c>
      <c r="F309" s="116">
        <v>0</v>
      </c>
    </row>
    <row r="310" spans="1:6" ht="15.75">
      <c r="A310" s="50">
        <v>16</v>
      </c>
      <c r="B310" s="1"/>
      <c r="C310" s="48" t="s">
        <v>3996</v>
      </c>
      <c r="D310" s="111" t="s">
        <v>7521</v>
      </c>
      <c r="E310" s="116">
        <v>0</v>
      </c>
      <c r="F310" s="116">
        <v>0</v>
      </c>
    </row>
    <row r="311" spans="1:6" ht="31.5">
      <c r="A311" s="50">
        <v>17</v>
      </c>
      <c r="B311" s="1"/>
      <c r="C311" s="48" t="s">
        <v>3997</v>
      </c>
      <c r="D311" s="111" t="s">
        <v>7522</v>
      </c>
      <c r="E311" s="116">
        <v>0</v>
      </c>
      <c r="F311" s="116">
        <v>0</v>
      </c>
    </row>
    <row r="312" spans="1:6" ht="15.75">
      <c r="A312" s="50">
        <v>18</v>
      </c>
      <c r="B312" s="1"/>
      <c r="C312" s="48" t="s">
        <v>3998</v>
      </c>
      <c r="D312" s="111" t="s">
        <v>7523</v>
      </c>
      <c r="E312" s="116">
        <v>0</v>
      </c>
      <c r="F312" s="116">
        <v>0</v>
      </c>
    </row>
    <row r="313" spans="1:6" ht="15.75">
      <c r="A313" s="50">
        <v>19</v>
      </c>
      <c r="B313" s="1"/>
      <c r="C313" s="48" t="s">
        <v>3999</v>
      </c>
      <c r="D313" s="111" t="s">
        <v>7524</v>
      </c>
      <c r="E313" s="116">
        <v>0</v>
      </c>
      <c r="F313" s="116">
        <v>0</v>
      </c>
    </row>
    <row r="314" spans="1:6" ht="15.75">
      <c r="A314" s="50">
        <v>20</v>
      </c>
      <c r="B314" s="1"/>
      <c r="C314" s="48" t="s">
        <v>4000</v>
      </c>
      <c r="D314" s="111" t="s">
        <v>7525</v>
      </c>
      <c r="E314" s="116">
        <v>0</v>
      </c>
      <c r="F314" s="116">
        <v>0</v>
      </c>
    </row>
    <row r="315" spans="1:6" ht="15.75">
      <c r="A315" s="50">
        <v>21</v>
      </c>
      <c r="B315" s="1"/>
      <c r="C315" s="48" t="s">
        <v>4001</v>
      </c>
      <c r="D315" s="111" t="s">
        <v>7526</v>
      </c>
      <c r="E315" s="116">
        <v>0</v>
      </c>
      <c r="F315" s="116">
        <v>0</v>
      </c>
    </row>
    <row r="316" spans="1:6" ht="15.75">
      <c r="A316" s="50">
        <v>22</v>
      </c>
      <c r="B316" s="1"/>
      <c r="C316" s="48" t="s">
        <v>4002</v>
      </c>
      <c r="D316" s="111" t="s">
        <v>7527</v>
      </c>
      <c r="E316" s="116">
        <v>0</v>
      </c>
      <c r="F316" s="116">
        <v>0</v>
      </c>
    </row>
    <row r="317" spans="1:6" ht="15.75">
      <c r="A317" s="50">
        <v>23</v>
      </c>
      <c r="B317" s="1"/>
      <c r="C317" s="48" t="s">
        <v>4003</v>
      </c>
      <c r="D317" s="111" t="s">
        <v>7528</v>
      </c>
      <c r="E317" s="116">
        <v>0</v>
      </c>
      <c r="F317" s="116">
        <v>0</v>
      </c>
    </row>
    <row r="318" spans="1:6" ht="15.75">
      <c r="A318" s="50">
        <v>24</v>
      </c>
      <c r="B318" s="1"/>
      <c r="C318" s="48" t="s">
        <v>4004</v>
      </c>
      <c r="D318" s="111" t="s">
        <v>7529</v>
      </c>
      <c r="E318" s="116">
        <v>0</v>
      </c>
      <c r="F318" s="116">
        <v>0</v>
      </c>
    </row>
    <row r="319" spans="1:6" ht="15.75">
      <c r="A319" s="50">
        <v>25</v>
      </c>
      <c r="B319" s="1"/>
      <c r="C319" s="48" t="s">
        <v>4005</v>
      </c>
      <c r="D319" s="111" t="s">
        <v>7530</v>
      </c>
      <c r="E319" s="116">
        <v>0</v>
      </c>
      <c r="F319" s="116">
        <v>0</v>
      </c>
    </row>
    <row r="320" spans="1:6" ht="15.75">
      <c r="A320" s="50">
        <v>26</v>
      </c>
      <c r="B320" s="1"/>
      <c r="C320" s="48" t="s">
        <v>4006</v>
      </c>
      <c r="D320" s="111" t="s">
        <v>7531</v>
      </c>
      <c r="E320" s="116">
        <v>0</v>
      </c>
      <c r="F320" s="116">
        <v>0</v>
      </c>
    </row>
    <row r="321" spans="1:6" ht="15.75">
      <c r="A321" s="50">
        <v>27</v>
      </c>
      <c r="B321" s="1"/>
      <c r="C321" s="48" t="s">
        <v>4007</v>
      </c>
      <c r="D321" s="111" t="s">
        <v>7532</v>
      </c>
      <c r="E321" s="116">
        <v>0</v>
      </c>
      <c r="F321" s="116">
        <v>0</v>
      </c>
    </row>
    <row r="322" spans="1:6" ht="15.75">
      <c r="A322" s="50">
        <v>28</v>
      </c>
      <c r="B322" s="1"/>
      <c r="C322" s="48" t="s">
        <v>4008</v>
      </c>
      <c r="D322" s="111" t="s">
        <v>7533</v>
      </c>
      <c r="E322" s="116">
        <v>0</v>
      </c>
      <c r="F322" s="116">
        <v>0</v>
      </c>
    </row>
    <row r="323" spans="1:6" ht="15.75">
      <c r="A323" s="50">
        <v>29</v>
      </c>
      <c r="B323" s="1"/>
      <c r="C323" s="48" t="s">
        <v>4009</v>
      </c>
      <c r="D323" s="111" t="s">
        <v>7534</v>
      </c>
      <c r="E323" s="116">
        <v>0</v>
      </c>
      <c r="F323" s="116">
        <v>0</v>
      </c>
    </row>
    <row r="324" spans="1:6" ht="15.75">
      <c r="A324" s="50">
        <v>30</v>
      </c>
      <c r="B324" s="1"/>
      <c r="C324" s="48" t="s">
        <v>4010</v>
      </c>
      <c r="D324" s="111" t="s">
        <v>7535</v>
      </c>
      <c r="E324" s="116">
        <v>0</v>
      </c>
      <c r="F324" s="116">
        <v>0</v>
      </c>
    </row>
    <row r="325" spans="1:6" ht="15.75">
      <c r="A325" s="50">
        <v>31</v>
      </c>
      <c r="B325" s="1"/>
      <c r="C325" s="48" t="s">
        <v>4011</v>
      </c>
      <c r="D325" s="111" t="s">
        <v>7536</v>
      </c>
      <c r="E325" s="116">
        <v>0</v>
      </c>
      <c r="F325" s="116">
        <v>0</v>
      </c>
    </row>
    <row r="326" spans="1:6" ht="15.75">
      <c r="A326" s="50">
        <v>32</v>
      </c>
      <c r="B326" s="1"/>
      <c r="C326" s="48" t="s">
        <v>4012</v>
      </c>
      <c r="D326" s="111" t="s">
        <v>7537</v>
      </c>
      <c r="E326" s="116">
        <v>0</v>
      </c>
      <c r="F326" s="116">
        <v>0</v>
      </c>
    </row>
    <row r="327" spans="1:6" ht="15.75">
      <c r="A327" s="50">
        <v>33</v>
      </c>
      <c r="B327" s="1"/>
      <c r="C327" s="48" t="s">
        <v>4013</v>
      </c>
      <c r="D327" s="111" t="s">
        <v>7538</v>
      </c>
      <c r="E327" s="116">
        <v>0</v>
      </c>
      <c r="F327" s="116">
        <v>0</v>
      </c>
    </row>
    <row r="328" spans="1:6" ht="15.75">
      <c r="A328" s="50">
        <v>34</v>
      </c>
      <c r="B328" s="1"/>
      <c r="C328" s="48" t="s">
        <v>4014</v>
      </c>
      <c r="D328" s="111" t="s">
        <v>7539</v>
      </c>
      <c r="E328" s="116">
        <v>0</v>
      </c>
      <c r="F328" s="116">
        <v>0</v>
      </c>
    </row>
    <row r="329" spans="1:6" ht="15.75">
      <c r="A329" s="50">
        <v>35</v>
      </c>
      <c r="B329" s="1"/>
      <c r="C329" s="48" t="s">
        <v>4015</v>
      </c>
      <c r="D329" s="111" t="s">
        <v>7540</v>
      </c>
      <c r="E329" s="116">
        <v>0</v>
      </c>
      <c r="F329" s="116">
        <v>0</v>
      </c>
    </row>
    <row r="330" spans="1:6" ht="15.75">
      <c r="A330" s="50">
        <v>36</v>
      </c>
      <c r="B330" s="1"/>
      <c r="C330" s="48" t="s">
        <v>4016</v>
      </c>
      <c r="D330" s="111" t="s">
        <v>7541</v>
      </c>
      <c r="E330" s="116">
        <v>0</v>
      </c>
      <c r="F330" s="116">
        <v>0</v>
      </c>
    </row>
    <row r="331" spans="1:6" ht="15.75">
      <c r="A331" s="50">
        <v>37</v>
      </c>
      <c r="B331" s="1"/>
      <c r="C331" s="48" t="s">
        <v>4017</v>
      </c>
      <c r="D331" s="111" t="s">
        <v>7542</v>
      </c>
      <c r="E331" s="116">
        <v>0</v>
      </c>
      <c r="F331" s="116">
        <v>0</v>
      </c>
    </row>
    <row r="332" spans="1:6" ht="15.75">
      <c r="A332" s="50">
        <v>38</v>
      </c>
      <c r="B332" s="1"/>
      <c r="C332" s="48" t="s">
        <v>4018</v>
      </c>
      <c r="D332" s="111" t="s">
        <v>7543</v>
      </c>
      <c r="E332" s="116">
        <v>0</v>
      </c>
      <c r="F332" s="116">
        <v>0</v>
      </c>
    </row>
    <row r="333" spans="1:6" ht="15.75">
      <c r="A333" s="50">
        <v>39</v>
      </c>
      <c r="B333" s="1"/>
      <c r="C333" s="48" t="s">
        <v>4019</v>
      </c>
      <c r="D333" s="111" t="s">
        <v>7544</v>
      </c>
      <c r="E333" s="116">
        <v>0</v>
      </c>
      <c r="F333" s="116">
        <v>0</v>
      </c>
    </row>
    <row r="334" spans="1:6" ht="15.75">
      <c r="A334" s="50">
        <v>40</v>
      </c>
      <c r="B334" s="1"/>
      <c r="C334" s="48" t="s">
        <v>4020</v>
      </c>
      <c r="D334" s="111" t="s">
        <v>7545</v>
      </c>
      <c r="E334" s="116">
        <v>0</v>
      </c>
      <c r="F334" s="116">
        <v>0</v>
      </c>
    </row>
    <row r="335" spans="1:6" ht="15.75">
      <c r="A335" s="50">
        <v>41</v>
      </c>
      <c r="B335" s="1"/>
      <c r="C335" s="48" t="s">
        <v>4021</v>
      </c>
      <c r="D335" s="111" t="s">
        <v>7546</v>
      </c>
      <c r="E335" s="116">
        <v>0</v>
      </c>
      <c r="F335" s="116">
        <v>0</v>
      </c>
    </row>
    <row r="336" spans="1:6" ht="15.75">
      <c r="A336" s="50">
        <v>42</v>
      </c>
      <c r="B336" s="1"/>
      <c r="C336" s="48" t="s">
        <v>4022</v>
      </c>
      <c r="D336" s="111" t="s">
        <v>7547</v>
      </c>
      <c r="E336" s="116">
        <v>0</v>
      </c>
      <c r="F336" s="116">
        <v>0</v>
      </c>
    </row>
    <row r="337" spans="1:6" ht="15.75">
      <c r="A337" s="50">
        <v>43</v>
      </c>
      <c r="B337" s="1"/>
      <c r="C337" s="48" t="s">
        <v>4023</v>
      </c>
      <c r="D337" s="111" t="s">
        <v>7548</v>
      </c>
      <c r="E337" s="116">
        <v>0</v>
      </c>
      <c r="F337" s="116">
        <v>0</v>
      </c>
    </row>
    <row r="338" spans="1:6" ht="15.75">
      <c r="A338" s="50">
        <v>44</v>
      </c>
      <c r="B338" s="1"/>
      <c r="C338" s="48" t="s">
        <v>4024</v>
      </c>
      <c r="D338" s="111" t="s">
        <v>7549</v>
      </c>
      <c r="E338" s="116">
        <v>0</v>
      </c>
      <c r="F338" s="116">
        <v>0</v>
      </c>
    </row>
    <row r="339" spans="1:6" ht="15.75">
      <c r="A339" s="50">
        <v>45</v>
      </c>
      <c r="B339" s="1"/>
      <c r="C339" s="48" t="s">
        <v>4025</v>
      </c>
      <c r="D339" s="111" t="s">
        <v>7550</v>
      </c>
      <c r="E339" s="116">
        <v>0</v>
      </c>
      <c r="F339" s="116">
        <v>0</v>
      </c>
    </row>
    <row r="340" spans="1:6" ht="15.75">
      <c r="A340" s="50">
        <v>46</v>
      </c>
      <c r="B340" s="1"/>
      <c r="C340" s="48" t="s">
        <v>4026</v>
      </c>
      <c r="D340" s="111" t="s">
        <v>7551</v>
      </c>
      <c r="E340" s="116">
        <v>0</v>
      </c>
      <c r="F340" s="116">
        <v>0</v>
      </c>
    </row>
    <row r="341" spans="1:6" ht="15.75">
      <c r="A341" s="50">
        <v>47</v>
      </c>
      <c r="B341" s="1"/>
      <c r="C341" s="48" t="s">
        <v>4027</v>
      </c>
      <c r="D341" s="111" t="s">
        <v>7552</v>
      </c>
      <c r="E341" s="116">
        <v>0</v>
      </c>
      <c r="F341" s="116">
        <v>0</v>
      </c>
    </row>
    <row r="342" spans="1:6" ht="15.75">
      <c r="A342" s="50">
        <v>48</v>
      </c>
      <c r="B342" s="1"/>
      <c r="C342" s="48" t="s">
        <v>4028</v>
      </c>
      <c r="D342" s="111" t="s">
        <v>7553</v>
      </c>
      <c r="E342" s="116">
        <v>0</v>
      </c>
      <c r="F342" s="116">
        <v>0</v>
      </c>
    </row>
    <row r="343" spans="1:6" ht="15.75">
      <c r="A343" s="50">
        <v>49</v>
      </c>
      <c r="B343" s="1"/>
      <c r="C343" s="48" t="s">
        <v>4029</v>
      </c>
      <c r="D343" s="111" t="s">
        <v>7521</v>
      </c>
      <c r="E343" s="116">
        <v>0</v>
      </c>
      <c r="F343" s="116">
        <v>0</v>
      </c>
    </row>
    <row r="344" spans="1:6" ht="15.75">
      <c r="A344" s="50">
        <v>50</v>
      </c>
      <c r="B344" s="1"/>
      <c r="C344" s="48" t="s">
        <v>4030</v>
      </c>
      <c r="D344" s="111" t="s">
        <v>7554</v>
      </c>
      <c r="E344" s="116">
        <v>0</v>
      </c>
      <c r="F344" s="116">
        <v>0</v>
      </c>
    </row>
    <row r="345" spans="1:6" ht="15.75">
      <c r="A345" s="50">
        <v>51</v>
      </c>
      <c r="B345" s="1"/>
      <c r="C345" s="48" t="s">
        <v>4031</v>
      </c>
      <c r="D345" s="111" t="s">
        <v>7555</v>
      </c>
      <c r="E345" s="116">
        <v>0</v>
      </c>
      <c r="F345" s="116">
        <v>0</v>
      </c>
    </row>
    <row r="346" spans="1:6" ht="15.75">
      <c r="A346" s="50">
        <v>52</v>
      </c>
      <c r="B346" s="1"/>
      <c r="C346" s="48" t="s">
        <v>4032</v>
      </c>
      <c r="D346" s="111" t="s">
        <v>7556</v>
      </c>
      <c r="E346" s="116">
        <v>0</v>
      </c>
      <c r="F346" s="116">
        <v>0</v>
      </c>
    </row>
    <row r="347" spans="1:6" ht="31.5">
      <c r="A347" s="50">
        <v>53</v>
      </c>
      <c r="B347" s="1"/>
      <c r="C347" s="48" t="s">
        <v>4033</v>
      </c>
      <c r="D347" s="111" t="s">
        <v>7557</v>
      </c>
      <c r="E347" s="116">
        <v>0</v>
      </c>
      <c r="F347" s="116">
        <v>0</v>
      </c>
    </row>
    <row r="348" spans="1:6" ht="15.75">
      <c r="A348" s="50">
        <v>54</v>
      </c>
      <c r="B348" s="1"/>
      <c r="C348" s="48" t="s">
        <v>4034</v>
      </c>
      <c r="D348" s="111" t="s">
        <v>7558</v>
      </c>
      <c r="E348" s="116">
        <v>0</v>
      </c>
      <c r="F348" s="116">
        <v>0</v>
      </c>
    </row>
    <row r="349" spans="1:6" ht="31.5">
      <c r="A349" s="50">
        <v>55</v>
      </c>
      <c r="B349" s="1"/>
      <c r="C349" s="48" t="s">
        <v>4035</v>
      </c>
      <c r="D349" s="111" t="s">
        <v>7559</v>
      </c>
      <c r="E349" s="116">
        <v>0</v>
      </c>
      <c r="F349" s="116">
        <v>0</v>
      </c>
    </row>
    <row r="350" spans="1:6" ht="15.75">
      <c r="A350" s="50">
        <v>56</v>
      </c>
      <c r="B350" s="1"/>
      <c r="C350" s="48" t="s">
        <v>4036</v>
      </c>
      <c r="D350" s="111" t="s">
        <v>7560</v>
      </c>
      <c r="E350" s="116">
        <v>0</v>
      </c>
      <c r="F350" s="116">
        <v>0</v>
      </c>
    </row>
    <row r="351" spans="1:6" ht="15.75">
      <c r="A351" s="50">
        <v>57</v>
      </c>
      <c r="B351" s="1"/>
      <c r="C351" s="48" t="s">
        <v>4037</v>
      </c>
      <c r="D351" s="111" t="s">
        <v>7561</v>
      </c>
      <c r="E351" s="116">
        <v>0</v>
      </c>
      <c r="F351" s="116">
        <v>0</v>
      </c>
    </row>
    <row r="352" spans="1:6" ht="15.75">
      <c r="A352" s="50">
        <v>58</v>
      </c>
      <c r="B352" s="1"/>
      <c r="C352" s="48" t="s">
        <v>4038</v>
      </c>
      <c r="D352" s="111" t="s">
        <v>7562</v>
      </c>
      <c r="E352" s="116">
        <v>0</v>
      </c>
      <c r="F352" s="116">
        <v>0</v>
      </c>
    </row>
    <row r="353" spans="1:6" ht="31.5">
      <c r="A353" s="50">
        <v>59</v>
      </c>
      <c r="B353" s="1"/>
      <c r="C353" s="48" t="s">
        <v>4039</v>
      </c>
      <c r="D353" s="111" t="s">
        <v>7563</v>
      </c>
      <c r="E353" s="116">
        <v>0</v>
      </c>
      <c r="F353" s="116">
        <v>0</v>
      </c>
    </row>
    <row r="354" spans="1:6" ht="15.75">
      <c r="A354" s="50">
        <v>60</v>
      </c>
      <c r="B354" s="1"/>
      <c r="C354" s="48" t="s">
        <v>4040</v>
      </c>
      <c r="D354" s="111" t="s">
        <v>7564</v>
      </c>
      <c r="E354" s="116">
        <v>0</v>
      </c>
      <c r="F354" s="116">
        <v>0</v>
      </c>
    </row>
    <row r="355" spans="1:6" ht="15.75">
      <c r="A355" s="50">
        <v>61</v>
      </c>
      <c r="B355" s="1"/>
      <c r="C355" s="48" t="s">
        <v>4041</v>
      </c>
      <c r="D355" s="111" t="s">
        <v>7565</v>
      </c>
      <c r="E355" s="116">
        <v>0</v>
      </c>
      <c r="F355" s="116">
        <v>0</v>
      </c>
    </row>
    <row r="356" spans="1:6" ht="15.75">
      <c r="A356" s="50">
        <v>62</v>
      </c>
      <c r="B356" s="1"/>
      <c r="C356" s="48" t="s">
        <v>4042</v>
      </c>
      <c r="D356" s="111" t="s">
        <v>7566</v>
      </c>
      <c r="E356" s="116">
        <v>0</v>
      </c>
      <c r="F356" s="116">
        <v>0</v>
      </c>
    </row>
    <row r="357" spans="1:6" ht="31.5">
      <c r="A357" s="50">
        <v>63</v>
      </c>
      <c r="B357" s="1"/>
      <c r="C357" s="48" t="s">
        <v>4043</v>
      </c>
      <c r="D357" s="111" t="s">
        <v>7567</v>
      </c>
      <c r="E357" s="116">
        <v>0</v>
      </c>
      <c r="F357" s="116">
        <v>0</v>
      </c>
    </row>
    <row r="358" spans="1:6" ht="15.75">
      <c r="A358" s="50">
        <v>64</v>
      </c>
      <c r="B358" s="1"/>
      <c r="C358" s="48" t="s">
        <v>4044</v>
      </c>
      <c r="D358" s="111" t="s">
        <v>7503</v>
      </c>
      <c r="E358" s="116">
        <v>0</v>
      </c>
      <c r="F358" s="116">
        <v>0</v>
      </c>
    </row>
    <row r="359" spans="1:6" ht="15.75">
      <c r="A359" s="50">
        <v>65</v>
      </c>
      <c r="B359" s="1"/>
      <c r="C359" s="48" t="s">
        <v>4045</v>
      </c>
      <c r="D359" s="111" t="s">
        <v>7568</v>
      </c>
      <c r="E359" s="116">
        <v>0</v>
      </c>
      <c r="F359" s="116">
        <v>0</v>
      </c>
    </row>
    <row r="360" spans="1:6" ht="15.75">
      <c r="A360" s="50">
        <v>66</v>
      </c>
      <c r="B360" s="1"/>
      <c r="C360" s="48" t="s">
        <v>4046</v>
      </c>
      <c r="D360" s="111" t="s">
        <v>7569</v>
      </c>
      <c r="E360" s="116">
        <v>0</v>
      </c>
      <c r="F360" s="116">
        <v>0</v>
      </c>
    </row>
    <row r="361" spans="1:6" ht="15.75">
      <c r="A361" s="50">
        <v>67</v>
      </c>
      <c r="B361" s="1"/>
      <c r="C361" s="48" t="s">
        <v>4047</v>
      </c>
      <c r="D361" s="111" t="s">
        <v>7570</v>
      </c>
      <c r="E361" s="116">
        <v>0</v>
      </c>
      <c r="F361" s="116">
        <v>0</v>
      </c>
    </row>
    <row r="362" spans="1:6" ht="31.5">
      <c r="A362" s="50">
        <v>68</v>
      </c>
      <c r="B362" s="1"/>
      <c r="C362" s="48" t="s">
        <v>4048</v>
      </c>
      <c r="D362" s="111" t="s">
        <v>7571</v>
      </c>
      <c r="E362" s="116">
        <v>0</v>
      </c>
      <c r="F362" s="116">
        <v>0</v>
      </c>
    </row>
    <row r="363" spans="1:6" ht="15.75">
      <c r="A363" s="50">
        <v>69</v>
      </c>
      <c r="B363" s="1"/>
      <c r="C363" s="48" t="s">
        <v>4049</v>
      </c>
      <c r="D363" s="111" t="s">
        <v>7572</v>
      </c>
      <c r="E363" s="116">
        <v>0</v>
      </c>
      <c r="F363" s="116">
        <v>0</v>
      </c>
    </row>
    <row r="364" spans="1:6" ht="31.5">
      <c r="A364" s="50">
        <v>70</v>
      </c>
      <c r="B364" s="1"/>
      <c r="C364" s="48" t="s">
        <v>4050</v>
      </c>
      <c r="D364" s="111" t="s">
        <v>7573</v>
      </c>
      <c r="E364" s="116">
        <v>0</v>
      </c>
      <c r="F364" s="116">
        <v>0</v>
      </c>
    </row>
    <row r="365" spans="1:6" ht="15.75">
      <c r="A365" s="50">
        <v>71</v>
      </c>
      <c r="B365" s="1"/>
      <c r="C365" s="48" t="s">
        <v>4051</v>
      </c>
      <c r="D365" s="111" t="s">
        <v>7574</v>
      </c>
      <c r="E365" s="116">
        <v>0</v>
      </c>
      <c r="F365" s="116">
        <v>0</v>
      </c>
    </row>
    <row r="366" spans="1:6" ht="15.75">
      <c r="A366" s="50">
        <v>72</v>
      </c>
      <c r="B366" s="1"/>
      <c r="C366" s="48" t="s">
        <v>4052</v>
      </c>
      <c r="D366" s="111" t="s">
        <v>7575</v>
      </c>
      <c r="E366" s="116">
        <v>0</v>
      </c>
      <c r="F366" s="116">
        <v>0</v>
      </c>
    </row>
    <row r="367" spans="1:6" ht="15.75">
      <c r="A367" s="50">
        <v>73</v>
      </c>
      <c r="B367" s="1"/>
      <c r="C367" s="48" t="s">
        <v>4053</v>
      </c>
      <c r="D367" s="111" t="s">
        <v>7576</v>
      </c>
      <c r="E367" s="116">
        <v>0</v>
      </c>
      <c r="F367" s="116">
        <v>0</v>
      </c>
    </row>
    <row r="368" spans="1:6" ht="15.75">
      <c r="A368" s="50">
        <v>74</v>
      </c>
      <c r="B368" s="1"/>
      <c r="C368" s="48" t="s">
        <v>4054</v>
      </c>
      <c r="D368" s="111" t="s">
        <v>7577</v>
      </c>
      <c r="E368" s="116">
        <v>0</v>
      </c>
      <c r="F368" s="116">
        <v>0</v>
      </c>
    </row>
    <row r="369" spans="1:6" ht="15.75">
      <c r="A369" s="50">
        <v>75</v>
      </c>
      <c r="B369" s="1"/>
      <c r="C369" s="48" t="s">
        <v>4055</v>
      </c>
      <c r="D369" s="111" t="s">
        <v>7578</v>
      </c>
      <c r="E369" s="116">
        <v>0</v>
      </c>
      <c r="F369" s="116">
        <v>0</v>
      </c>
    </row>
    <row r="370" spans="1:6" ht="15.75">
      <c r="A370" s="50"/>
      <c r="B370" s="1"/>
      <c r="C370" s="48"/>
      <c r="D370" s="111"/>
      <c r="E370" s="116">
        <v>0</v>
      </c>
      <c r="F370" s="116">
        <v>0</v>
      </c>
    </row>
    <row r="371" spans="1:6" ht="15.75">
      <c r="A371" s="50"/>
      <c r="B371" s="1"/>
      <c r="C371" s="48" t="s">
        <v>4056</v>
      </c>
      <c r="D371" s="111" t="s">
        <v>7579</v>
      </c>
      <c r="E371" s="116">
        <v>489999999.99999994</v>
      </c>
      <c r="F371" s="116">
        <v>700000000</v>
      </c>
    </row>
    <row r="372" spans="1:6" ht="15.75">
      <c r="A372" s="50"/>
      <c r="B372" s="1"/>
      <c r="C372" s="48"/>
      <c r="D372" s="111"/>
      <c r="E372" s="116">
        <v>0</v>
      </c>
      <c r="F372" s="116">
        <v>0</v>
      </c>
    </row>
    <row r="373" spans="1:6" ht="15.75">
      <c r="A373" s="50"/>
      <c r="B373" s="1" t="s">
        <v>68</v>
      </c>
      <c r="C373" s="48" t="s">
        <v>4057</v>
      </c>
      <c r="D373" s="111" t="s">
        <v>7580</v>
      </c>
      <c r="E373" s="116">
        <v>0</v>
      </c>
      <c r="F373" s="116">
        <v>0</v>
      </c>
    </row>
    <row r="374" spans="1:6" ht="15.75">
      <c r="A374" s="50"/>
      <c r="B374" s="1" t="s">
        <v>69</v>
      </c>
      <c r="C374" s="48" t="s">
        <v>4058</v>
      </c>
      <c r="D374" s="111" t="s">
        <v>7581</v>
      </c>
      <c r="E374" s="116">
        <v>0</v>
      </c>
      <c r="F374" s="116">
        <v>0</v>
      </c>
    </row>
    <row r="375" spans="1:6" ht="15.75">
      <c r="A375" s="50"/>
      <c r="B375" s="1" t="s">
        <v>70</v>
      </c>
      <c r="C375" s="48" t="s">
        <v>4059</v>
      </c>
      <c r="D375" s="111" t="s">
        <v>7582</v>
      </c>
      <c r="E375" s="116">
        <v>0</v>
      </c>
      <c r="F375" s="116">
        <v>0</v>
      </c>
    </row>
    <row r="376" spans="1:6" ht="15.75">
      <c r="A376" s="50"/>
      <c r="B376" s="1" t="s">
        <v>71</v>
      </c>
      <c r="C376" s="48" t="s">
        <v>4060</v>
      </c>
      <c r="D376" s="111" t="s">
        <v>7583</v>
      </c>
      <c r="E376" s="116">
        <v>0</v>
      </c>
      <c r="F376" s="116">
        <v>0</v>
      </c>
    </row>
    <row r="377" spans="1:6" ht="15.75">
      <c r="A377" s="50"/>
      <c r="B377" s="1" t="s">
        <v>1061</v>
      </c>
      <c r="C377" s="48" t="s">
        <v>4061</v>
      </c>
      <c r="D377" s="111" t="s">
        <v>7584</v>
      </c>
      <c r="E377" s="116">
        <v>0</v>
      </c>
      <c r="F377" s="116">
        <v>0</v>
      </c>
    </row>
    <row r="378" spans="1:6" ht="15.75">
      <c r="A378" s="50"/>
      <c r="B378" s="1" t="s">
        <v>1062</v>
      </c>
      <c r="C378" s="48" t="s">
        <v>4062</v>
      </c>
      <c r="D378" s="111" t="s">
        <v>7585</v>
      </c>
      <c r="E378" s="116">
        <v>0</v>
      </c>
      <c r="F378" s="116">
        <v>0</v>
      </c>
    </row>
    <row r="379" spans="1:6" ht="15.75">
      <c r="A379" s="50"/>
      <c r="B379" s="1" t="s">
        <v>1285</v>
      </c>
      <c r="C379" s="48" t="s">
        <v>4063</v>
      </c>
      <c r="D379" s="111" t="s">
        <v>7586</v>
      </c>
      <c r="E379" s="116">
        <v>0</v>
      </c>
      <c r="F379" s="116">
        <v>0</v>
      </c>
    </row>
    <row r="380" spans="1:6" ht="15.75">
      <c r="A380" s="50"/>
      <c r="B380" s="1" t="s">
        <v>1352</v>
      </c>
      <c r="C380" s="48" t="s">
        <v>4064</v>
      </c>
      <c r="D380" s="111" t="s">
        <v>7587</v>
      </c>
      <c r="E380" s="116">
        <v>0</v>
      </c>
      <c r="F380" s="116">
        <v>0</v>
      </c>
    </row>
    <row r="381" spans="1:6" ht="15.75">
      <c r="A381" s="50"/>
      <c r="B381" s="1" t="s">
        <v>5178</v>
      </c>
      <c r="C381" s="48" t="s">
        <v>5179</v>
      </c>
      <c r="D381" s="111" t="s">
        <v>7588</v>
      </c>
      <c r="E381" s="116">
        <v>470000000</v>
      </c>
      <c r="F381" s="116">
        <v>0</v>
      </c>
    </row>
    <row r="382" spans="1:6" ht="15.75">
      <c r="A382" s="50"/>
      <c r="B382" s="1"/>
      <c r="C382" s="48"/>
      <c r="D382" s="111"/>
      <c r="E382" s="116">
        <v>0</v>
      </c>
      <c r="F382" s="116">
        <v>0</v>
      </c>
    </row>
    <row r="383" spans="1:6" ht="15.75">
      <c r="A383" s="50"/>
      <c r="B383" s="1"/>
      <c r="C383" s="53" t="s">
        <v>3674</v>
      </c>
      <c r="D383" s="112" t="s">
        <v>7589</v>
      </c>
      <c r="E383" s="116">
        <v>995000000</v>
      </c>
      <c r="F383" s="116">
        <v>750000000</v>
      </c>
    </row>
    <row r="384" spans="1:6" ht="11.25">
      <c r="E384" s="7"/>
      <c r="F384" s="7"/>
    </row>
    <row r="385" spans="5:6" ht="11.25">
      <c r="E385" s="7"/>
      <c r="F385" s="7"/>
    </row>
    <row r="386" spans="5:6" ht="11.25">
      <c r="E386" s="7"/>
      <c r="F386" s="7"/>
    </row>
    <row r="387" spans="5:6" ht="11.25">
      <c r="E387" s="7"/>
      <c r="F387" s="7"/>
    </row>
    <row r="388" spans="5:6" ht="11.25">
      <c r="E388" s="7"/>
      <c r="F388" s="7"/>
    </row>
    <row r="389" spans="5:6" ht="11.25">
      <c r="E389" s="7"/>
      <c r="F389" s="7"/>
    </row>
    <row r="390" spans="5:6" ht="11.25">
      <c r="E390" s="7"/>
      <c r="F390" s="7"/>
    </row>
    <row r="391" spans="5:6" ht="11.25">
      <c r="E391" s="7"/>
      <c r="F391" s="7"/>
    </row>
    <row r="392" spans="5:6" ht="11.25">
      <c r="E392" s="7"/>
      <c r="F392" s="7"/>
    </row>
    <row r="393" spans="5:6" ht="11.25">
      <c r="E393" s="7"/>
      <c r="F393" s="7"/>
    </row>
    <row r="394" spans="5:6" ht="11.25">
      <c r="E394" s="7"/>
      <c r="F394" s="7"/>
    </row>
    <row r="395" spans="5:6" ht="11.25">
      <c r="E395" s="7"/>
      <c r="F395" s="7"/>
    </row>
    <row r="396" spans="5:6" ht="11.25">
      <c r="E396" s="7"/>
      <c r="F396" s="7"/>
    </row>
    <row r="397" spans="5:6" ht="11.25">
      <c r="E397" s="7"/>
      <c r="F397" s="7"/>
    </row>
    <row r="398" spans="5:6" ht="11.25">
      <c r="E398" s="7"/>
      <c r="F398" s="7"/>
    </row>
    <row r="399" spans="5:6" ht="11.25">
      <c r="E399" s="7"/>
      <c r="F399" s="7"/>
    </row>
  </sheetData>
  <mergeCells count="6">
    <mergeCell ref="A1:F1"/>
    <mergeCell ref="A2:B4"/>
    <mergeCell ref="C2:C4"/>
    <mergeCell ref="F2:F4"/>
    <mergeCell ref="E2:E4"/>
    <mergeCell ref="D2:D4"/>
  </mergeCells>
  <phoneticPr fontId="8" type="noConversion"/>
  <printOptions horizontalCentered="1" gridLines="1"/>
  <pageMargins left="0.5" right="0.5" top="0.7" bottom="1.5" header="0.5" footer="0.5"/>
  <pageSetup paperSize="5" firstPageNumber="126" pageOrder="overThenDown" orientation="portrait" blackAndWhite="1" useFirstPageNumber="1" r:id="rId1"/>
  <headerFooter alignWithMargins="0">
    <oddHeader>&amp;C&amp;P</oddHeader>
  </headerFooter>
  <rowBreaks count="4" manualBreakCount="4">
    <brk id="53" max="5" man="1"/>
    <brk id="97" max="5" man="1"/>
    <brk id="145" max="5" man="1"/>
    <brk id="290"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18">
    <tabColor indexed="45"/>
  </sheetPr>
  <dimension ref="A1:P115"/>
  <sheetViews>
    <sheetView showZeros="0" zoomScaleNormal="100" zoomScaleSheetLayoutView="100" workbookViewId="0">
      <pane ySplit="5" topLeftCell="A6" activePane="bottomLeft" state="frozen"/>
      <selection pane="bottomLeft" activeCell="A6" sqref="A6"/>
    </sheetView>
  </sheetViews>
  <sheetFormatPr defaultColWidth="9.33203125" defaultRowHeight="11.25"/>
  <cols>
    <col min="1" max="1" width="4.83203125" style="26" customWidth="1"/>
    <col min="2" max="2" width="10.5" style="26" customWidth="1"/>
    <col min="3" max="3" width="4.33203125" style="26" customWidth="1"/>
    <col min="4" max="4" width="3.33203125" style="41" customWidth="1"/>
    <col min="5" max="5" width="56.83203125" style="26" customWidth="1"/>
    <col min="6" max="6" width="56.83203125" style="109" hidden="1" customWidth="1"/>
    <col min="7" max="7" width="11.83203125" style="26" customWidth="1"/>
    <col min="8" max="9" width="14.83203125" style="26" customWidth="1"/>
    <col min="10" max="15" width="16.83203125" style="26" customWidth="1"/>
    <col min="16" max="16" width="18.83203125" style="26" customWidth="1"/>
    <col min="17" max="16384" width="9.33203125" style="26"/>
  </cols>
  <sheetData>
    <row r="1" spans="1:16" ht="15.75" customHeight="1">
      <c r="A1" s="316" t="s">
        <v>13068</v>
      </c>
      <c r="B1" s="316"/>
      <c r="C1" s="316"/>
      <c r="D1" s="316"/>
      <c r="E1" s="316"/>
      <c r="F1" s="316"/>
      <c r="G1" s="316"/>
      <c r="H1" s="316"/>
      <c r="I1" s="316"/>
      <c r="J1" s="322" t="s">
        <v>4067</v>
      </c>
      <c r="K1" s="322"/>
      <c r="L1" s="322"/>
      <c r="M1" s="322"/>
      <c r="N1" s="322"/>
      <c r="O1" s="322"/>
      <c r="P1" s="322"/>
    </row>
    <row r="2" spans="1:16" ht="16.5" customHeight="1">
      <c r="A2" s="328" t="s">
        <v>3663</v>
      </c>
      <c r="B2" s="329" t="s">
        <v>3664</v>
      </c>
      <c r="C2" s="328" t="s">
        <v>3665</v>
      </c>
      <c r="D2" s="330" t="s">
        <v>1045</v>
      </c>
      <c r="E2" s="331" t="s">
        <v>3662</v>
      </c>
      <c r="F2" s="319" t="s">
        <v>924</v>
      </c>
      <c r="G2" s="318" t="s">
        <v>13062</v>
      </c>
      <c r="H2" s="318"/>
      <c r="I2" s="318"/>
      <c r="J2" s="318" t="s">
        <v>13069</v>
      </c>
      <c r="K2" s="325" t="s">
        <v>13070</v>
      </c>
      <c r="L2" s="325" t="s">
        <v>13071</v>
      </c>
      <c r="M2" s="333" t="s">
        <v>13065</v>
      </c>
      <c r="N2" s="333"/>
      <c r="O2" s="333" t="s">
        <v>13072</v>
      </c>
      <c r="P2" s="324" t="s">
        <v>3148</v>
      </c>
    </row>
    <row r="3" spans="1:16" ht="15.75" customHeight="1">
      <c r="A3" s="328"/>
      <c r="B3" s="329"/>
      <c r="C3" s="328"/>
      <c r="D3" s="330"/>
      <c r="E3" s="331"/>
      <c r="F3" s="320"/>
      <c r="G3" s="332" t="s">
        <v>3666</v>
      </c>
      <c r="H3" s="332" t="s">
        <v>3667</v>
      </c>
      <c r="I3" s="332" t="s">
        <v>3668</v>
      </c>
      <c r="J3" s="318"/>
      <c r="K3" s="325"/>
      <c r="L3" s="325"/>
      <c r="M3" s="324" t="s">
        <v>3666</v>
      </c>
      <c r="N3" s="324" t="s">
        <v>3672</v>
      </c>
      <c r="O3" s="333"/>
      <c r="P3" s="324"/>
    </row>
    <row r="4" spans="1:16" ht="15.75" customHeight="1">
      <c r="A4" s="328"/>
      <c r="B4" s="329"/>
      <c r="C4" s="328"/>
      <c r="D4" s="330"/>
      <c r="E4" s="331"/>
      <c r="F4" s="320"/>
      <c r="G4" s="332"/>
      <c r="H4" s="332"/>
      <c r="I4" s="332"/>
      <c r="J4" s="318"/>
      <c r="K4" s="325"/>
      <c r="L4" s="325"/>
      <c r="M4" s="324"/>
      <c r="N4" s="324"/>
      <c r="O4" s="333"/>
      <c r="P4" s="324"/>
    </row>
    <row r="5" spans="1:16" ht="15.75" customHeight="1">
      <c r="A5" s="328"/>
      <c r="B5" s="329"/>
      <c r="C5" s="328"/>
      <c r="D5" s="330"/>
      <c r="E5" s="331"/>
      <c r="F5" s="321"/>
      <c r="G5" s="332"/>
      <c r="H5" s="332"/>
      <c r="I5" s="332"/>
      <c r="J5" s="318"/>
      <c r="K5" s="325"/>
      <c r="L5" s="325"/>
      <c r="M5" s="324"/>
      <c r="N5" s="324"/>
      <c r="O5" s="333"/>
      <c r="P5" s="324"/>
    </row>
    <row r="6" spans="1:16" s="40" customFormat="1" ht="15.75" customHeight="1">
      <c r="A6" s="37"/>
      <c r="B6" s="27"/>
      <c r="C6" s="38"/>
      <c r="D6" s="39"/>
      <c r="E6" s="231"/>
      <c r="F6" s="107"/>
    </row>
    <row r="7" spans="1:16" s="40" customFormat="1" ht="15.75" customHeight="1">
      <c r="A7" s="37"/>
      <c r="B7" s="27"/>
      <c r="C7" s="38"/>
      <c r="D7" s="39"/>
      <c r="E7" s="231"/>
      <c r="F7" s="107"/>
    </row>
    <row r="8" spans="1:16" s="40" customFormat="1" ht="15.75">
      <c r="A8" s="37"/>
      <c r="B8" s="27"/>
      <c r="C8" s="38"/>
      <c r="D8" s="39"/>
      <c r="E8" s="231"/>
      <c r="F8" s="107"/>
      <c r="G8" s="119"/>
      <c r="H8" s="119"/>
      <c r="I8" s="216"/>
      <c r="J8" s="119"/>
      <c r="K8" s="119"/>
      <c r="L8" s="119"/>
      <c r="M8" s="126"/>
      <c r="N8" s="119"/>
      <c r="O8" s="216"/>
      <c r="P8" s="131"/>
    </row>
    <row r="9" spans="1:16" s="40" customFormat="1" ht="15.75">
      <c r="A9" s="37"/>
      <c r="B9" s="27"/>
      <c r="C9" s="38"/>
      <c r="D9" s="39"/>
      <c r="E9" s="47" t="s">
        <v>4068</v>
      </c>
      <c r="F9" s="107" t="s">
        <v>7590</v>
      </c>
      <c r="G9" s="119">
        <v>0</v>
      </c>
      <c r="H9" s="119">
        <v>0</v>
      </c>
      <c r="I9" s="216">
        <v>0</v>
      </c>
      <c r="J9" s="119">
        <v>0</v>
      </c>
      <c r="K9" s="119">
        <v>0</v>
      </c>
      <c r="L9" s="216">
        <v>0</v>
      </c>
      <c r="M9" s="126"/>
      <c r="N9" s="119">
        <v>0</v>
      </c>
      <c r="O9" s="216">
        <v>0</v>
      </c>
      <c r="P9" s="131"/>
    </row>
    <row r="10" spans="1:16" s="40" customFormat="1" ht="15.75">
      <c r="A10" s="37">
        <v>1</v>
      </c>
      <c r="B10" s="27" t="s">
        <v>250</v>
      </c>
      <c r="C10" s="38"/>
      <c r="D10" s="39" t="s">
        <v>597</v>
      </c>
      <c r="E10" s="47" t="s">
        <v>4069</v>
      </c>
      <c r="F10" s="107" t="s">
        <v>7591</v>
      </c>
      <c r="G10" s="119">
        <v>33377000</v>
      </c>
      <c r="H10" s="119">
        <v>1252920612</v>
      </c>
      <c r="I10" s="216">
        <v>1286297612</v>
      </c>
      <c r="J10" s="119">
        <v>986581249</v>
      </c>
      <c r="K10" s="119">
        <v>199722001</v>
      </c>
      <c r="L10" s="216">
        <v>99994362</v>
      </c>
      <c r="M10" s="126"/>
      <c r="N10" s="119">
        <v>0</v>
      </c>
      <c r="O10" s="216">
        <v>0</v>
      </c>
      <c r="P10" s="131"/>
    </row>
    <row r="11" spans="1:16" s="40" customFormat="1" ht="15.75">
      <c r="A11" s="37">
        <v>2</v>
      </c>
      <c r="B11" s="27" t="s">
        <v>599</v>
      </c>
      <c r="C11" s="38"/>
      <c r="D11" s="39" t="s">
        <v>597</v>
      </c>
      <c r="E11" s="47" t="s">
        <v>4070</v>
      </c>
      <c r="F11" s="107" t="s">
        <v>7592</v>
      </c>
      <c r="G11" s="119">
        <v>0</v>
      </c>
      <c r="H11" s="119">
        <v>196176655</v>
      </c>
      <c r="I11" s="216">
        <v>196176655</v>
      </c>
      <c r="J11" s="119">
        <v>190669858</v>
      </c>
      <c r="K11" s="119">
        <v>3532138</v>
      </c>
      <c r="L11" s="216">
        <v>1974659</v>
      </c>
      <c r="M11" s="126"/>
      <c r="N11" s="119">
        <v>12000000</v>
      </c>
      <c r="O11" s="216">
        <v>12000000</v>
      </c>
      <c r="P11" s="131"/>
    </row>
    <row r="12" spans="1:16" s="40" customFormat="1" ht="15.75">
      <c r="A12" s="37">
        <v>3</v>
      </c>
      <c r="B12" s="27" t="s">
        <v>600</v>
      </c>
      <c r="C12" s="38"/>
      <c r="D12" s="39" t="s">
        <v>597</v>
      </c>
      <c r="E12" s="47" t="s">
        <v>4071</v>
      </c>
      <c r="F12" s="107" t="s">
        <v>7593</v>
      </c>
      <c r="G12" s="119">
        <v>0</v>
      </c>
      <c r="H12" s="119">
        <v>1054608803</v>
      </c>
      <c r="I12" s="216">
        <v>1054608803</v>
      </c>
      <c r="J12" s="119">
        <v>871597075</v>
      </c>
      <c r="K12" s="119">
        <v>88294222</v>
      </c>
      <c r="L12" s="216">
        <v>94717506</v>
      </c>
      <c r="M12" s="126"/>
      <c r="N12" s="119">
        <v>0</v>
      </c>
      <c r="O12" s="216">
        <v>0</v>
      </c>
      <c r="P12" s="131"/>
    </row>
    <row r="13" spans="1:16" s="40" customFormat="1" ht="15.75">
      <c r="A13" s="37">
        <v>4</v>
      </c>
      <c r="B13" s="27" t="s">
        <v>601</v>
      </c>
      <c r="C13" s="38"/>
      <c r="D13" s="39" t="s">
        <v>597</v>
      </c>
      <c r="E13" s="47" t="s">
        <v>4072</v>
      </c>
      <c r="F13" s="107" t="s">
        <v>7594</v>
      </c>
      <c r="G13" s="119">
        <v>0</v>
      </c>
      <c r="H13" s="119">
        <v>145765667</v>
      </c>
      <c r="I13" s="216">
        <v>145765667</v>
      </c>
      <c r="J13" s="119">
        <v>123657962</v>
      </c>
      <c r="K13" s="119">
        <v>19633554</v>
      </c>
      <c r="L13" s="216">
        <v>2474151</v>
      </c>
      <c r="M13" s="126"/>
      <c r="N13" s="119">
        <v>50000000</v>
      </c>
      <c r="O13" s="216">
        <v>50000000</v>
      </c>
      <c r="P13" s="131"/>
    </row>
    <row r="14" spans="1:16" s="40" customFormat="1" ht="15.75">
      <c r="A14" s="37">
        <v>5</v>
      </c>
      <c r="B14" s="27" t="s">
        <v>1260</v>
      </c>
      <c r="C14" s="38"/>
      <c r="D14" s="39" t="s">
        <v>1046</v>
      </c>
      <c r="E14" s="47" t="s">
        <v>4073</v>
      </c>
      <c r="F14" s="107" t="s">
        <v>7595</v>
      </c>
      <c r="G14" s="119">
        <v>0</v>
      </c>
      <c r="H14" s="119">
        <v>32577915</v>
      </c>
      <c r="I14" s="216">
        <v>32577915</v>
      </c>
      <c r="J14" s="119">
        <v>22030200</v>
      </c>
      <c r="K14" s="119">
        <v>6443726</v>
      </c>
      <c r="L14" s="216">
        <v>4103989</v>
      </c>
      <c r="M14" s="126"/>
      <c r="N14" s="119">
        <v>12000000</v>
      </c>
      <c r="O14" s="216">
        <v>12000000</v>
      </c>
      <c r="P14" s="131"/>
    </row>
    <row r="15" spans="1:16" s="40" customFormat="1" ht="15.75">
      <c r="A15" s="37">
        <v>6</v>
      </c>
      <c r="B15" s="27" t="s">
        <v>1261</v>
      </c>
      <c r="C15" s="38"/>
      <c r="D15" s="39" t="s">
        <v>1046</v>
      </c>
      <c r="E15" s="47" t="s">
        <v>4074</v>
      </c>
      <c r="F15" s="107" t="s">
        <v>7596</v>
      </c>
      <c r="G15" s="119">
        <v>0</v>
      </c>
      <c r="H15" s="119">
        <v>19470174</v>
      </c>
      <c r="I15" s="216">
        <v>19470174</v>
      </c>
      <c r="J15" s="119">
        <v>10952631</v>
      </c>
      <c r="K15" s="119">
        <v>6397957</v>
      </c>
      <c r="L15" s="216">
        <v>2119586</v>
      </c>
      <c r="M15" s="126"/>
      <c r="N15" s="119">
        <v>12000000</v>
      </c>
      <c r="O15" s="216">
        <v>12000000</v>
      </c>
      <c r="P15" s="131"/>
    </row>
    <row r="16" spans="1:16" s="40" customFormat="1" ht="15.75">
      <c r="A16" s="37">
        <v>7</v>
      </c>
      <c r="B16" s="27" t="s">
        <v>1856</v>
      </c>
      <c r="C16" s="38">
        <v>71</v>
      </c>
      <c r="D16" s="39"/>
      <c r="E16" s="47" t="s">
        <v>4075</v>
      </c>
      <c r="F16" s="107" t="s">
        <v>7597</v>
      </c>
      <c r="G16" s="119">
        <v>0</v>
      </c>
      <c r="H16" s="119">
        <v>1702765</v>
      </c>
      <c r="I16" s="216">
        <v>1702765</v>
      </c>
      <c r="J16" s="119">
        <v>0</v>
      </c>
      <c r="K16" s="119">
        <v>1702765</v>
      </c>
      <c r="L16" s="216">
        <v>0</v>
      </c>
      <c r="M16" s="126"/>
      <c r="N16" s="119">
        <v>0</v>
      </c>
      <c r="O16" s="216">
        <v>0</v>
      </c>
      <c r="P16" s="131"/>
    </row>
    <row r="17" spans="1:16" s="40" customFormat="1" ht="15.75">
      <c r="A17" s="37">
        <v>8</v>
      </c>
      <c r="B17" s="27" t="s">
        <v>1857</v>
      </c>
      <c r="C17" s="38">
        <v>18</v>
      </c>
      <c r="D17" s="39"/>
      <c r="E17" s="47" t="s">
        <v>4076</v>
      </c>
      <c r="F17" s="107" t="s">
        <v>7598</v>
      </c>
      <c r="G17" s="119">
        <v>0</v>
      </c>
      <c r="H17" s="119">
        <v>339297</v>
      </c>
      <c r="I17" s="216">
        <v>339297</v>
      </c>
      <c r="J17" s="119">
        <v>0</v>
      </c>
      <c r="K17" s="119">
        <v>339297</v>
      </c>
      <c r="L17" s="216">
        <v>0</v>
      </c>
      <c r="M17" s="126"/>
      <c r="N17" s="119">
        <v>0</v>
      </c>
      <c r="O17" s="216">
        <v>0</v>
      </c>
      <c r="P17" s="131"/>
    </row>
    <row r="18" spans="1:16" s="40" customFormat="1" ht="15.75">
      <c r="A18" s="37">
        <v>9</v>
      </c>
      <c r="B18" s="27" t="s">
        <v>775</v>
      </c>
      <c r="C18" s="38"/>
      <c r="D18" s="39"/>
      <c r="E18" s="226" t="s">
        <v>4872</v>
      </c>
      <c r="F18" s="107"/>
      <c r="G18" s="119">
        <v>0</v>
      </c>
      <c r="H18" s="119">
        <v>2386100</v>
      </c>
      <c r="I18" s="216">
        <v>2386100</v>
      </c>
      <c r="J18" s="119">
        <v>1193050</v>
      </c>
      <c r="K18" s="119">
        <v>0</v>
      </c>
      <c r="L18" s="216">
        <v>1193050</v>
      </c>
      <c r="M18" s="126"/>
      <c r="N18" s="119">
        <v>0</v>
      </c>
      <c r="O18" s="216">
        <v>0</v>
      </c>
      <c r="P18" s="131"/>
    </row>
    <row r="19" spans="1:16" s="40" customFormat="1" ht="31.5">
      <c r="A19" s="37">
        <v>10</v>
      </c>
      <c r="B19" s="27" t="s">
        <v>5360</v>
      </c>
      <c r="C19" s="38"/>
      <c r="D19" s="39"/>
      <c r="E19" s="47" t="s">
        <v>5388</v>
      </c>
      <c r="F19" s="107"/>
      <c r="G19" s="119">
        <v>0</v>
      </c>
      <c r="H19" s="119">
        <v>2567092</v>
      </c>
      <c r="I19" s="216">
        <v>2567092</v>
      </c>
      <c r="J19" s="119">
        <v>0</v>
      </c>
      <c r="K19" s="119">
        <v>2567092</v>
      </c>
      <c r="L19" s="216">
        <v>0</v>
      </c>
      <c r="M19" s="126"/>
      <c r="N19" s="119">
        <v>0</v>
      </c>
      <c r="O19" s="216">
        <v>0</v>
      </c>
      <c r="P19" s="131"/>
    </row>
    <row r="20" spans="1:16" s="40" customFormat="1" ht="15.75">
      <c r="A20" s="37"/>
      <c r="B20" s="27"/>
      <c r="C20" s="38"/>
      <c r="D20" s="39"/>
      <c r="E20" s="232"/>
      <c r="F20" s="233"/>
      <c r="G20" s="119">
        <v>0</v>
      </c>
      <c r="H20" s="119">
        <v>0</v>
      </c>
      <c r="I20" s="216">
        <v>0</v>
      </c>
      <c r="J20" s="119">
        <v>0</v>
      </c>
      <c r="K20" s="119">
        <v>0</v>
      </c>
      <c r="L20" s="216">
        <v>0</v>
      </c>
      <c r="M20" s="126"/>
      <c r="N20" s="119">
        <v>0</v>
      </c>
      <c r="O20" s="216">
        <v>0</v>
      </c>
      <c r="P20" s="131"/>
    </row>
    <row r="21" spans="1:16" s="40" customFormat="1" ht="15.75">
      <c r="A21" s="37"/>
      <c r="B21" s="27"/>
      <c r="C21" s="38"/>
      <c r="D21" s="39"/>
      <c r="E21" s="217" t="s">
        <v>4077</v>
      </c>
      <c r="F21" s="234" t="s">
        <v>7599</v>
      </c>
      <c r="G21" s="119">
        <v>33377000</v>
      </c>
      <c r="H21" s="119">
        <v>2708515080</v>
      </c>
      <c r="I21" s="216">
        <v>2741892080</v>
      </c>
      <c r="J21" s="119">
        <v>2206682025</v>
      </c>
      <c r="K21" s="119">
        <v>328632752</v>
      </c>
      <c r="L21" s="216">
        <v>206577303</v>
      </c>
      <c r="M21" s="126"/>
      <c r="N21" s="119">
        <v>86000000</v>
      </c>
      <c r="O21" s="216">
        <v>86000000</v>
      </c>
      <c r="P21" s="131"/>
    </row>
    <row r="22" spans="1:16" s="40" customFormat="1" ht="15.75">
      <c r="A22" s="37"/>
      <c r="B22" s="27"/>
      <c r="C22" s="38"/>
      <c r="D22" s="39"/>
      <c r="E22" s="47"/>
      <c r="F22" s="107"/>
      <c r="G22" s="119">
        <v>0</v>
      </c>
      <c r="H22" s="119">
        <v>0</v>
      </c>
      <c r="I22" s="216">
        <v>0</v>
      </c>
      <c r="J22" s="119">
        <v>0</v>
      </c>
      <c r="K22" s="119">
        <v>0</v>
      </c>
      <c r="L22" s="216">
        <v>0</v>
      </c>
      <c r="M22" s="126"/>
      <c r="N22" s="119">
        <v>0</v>
      </c>
      <c r="O22" s="216">
        <v>0</v>
      </c>
      <c r="P22" s="131"/>
    </row>
    <row r="23" spans="1:16" s="40" customFormat="1" ht="15.75">
      <c r="A23" s="37"/>
      <c r="B23" s="27"/>
      <c r="C23" s="38"/>
      <c r="D23" s="39"/>
      <c r="E23" s="47" t="s">
        <v>3654</v>
      </c>
      <c r="F23" s="107" t="s">
        <v>7600</v>
      </c>
      <c r="G23" s="119">
        <v>0</v>
      </c>
      <c r="H23" s="119">
        <v>0</v>
      </c>
      <c r="I23" s="216">
        <v>0</v>
      </c>
      <c r="J23" s="119">
        <v>0</v>
      </c>
      <c r="K23" s="119">
        <v>0</v>
      </c>
      <c r="L23" s="216">
        <v>0</v>
      </c>
      <c r="M23" s="126"/>
      <c r="N23" s="119">
        <v>0</v>
      </c>
      <c r="O23" s="216">
        <v>0</v>
      </c>
      <c r="P23" s="131"/>
    </row>
    <row r="24" spans="1:16" s="40" customFormat="1" ht="15.75">
      <c r="A24" s="37"/>
      <c r="B24" s="27"/>
      <c r="C24" s="38"/>
      <c r="D24" s="39"/>
      <c r="E24" s="47"/>
      <c r="F24" s="107"/>
      <c r="G24" s="119">
        <v>0</v>
      </c>
      <c r="H24" s="119">
        <v>0</v>
      </c>
      <c r="I24" s="216">
        <v>0</v>
      </c>
      <c r="J24" s="119">
        <v>0</v>
      </c>
      <c r="K24" s="119">
        <v>0</v>
      </c>
      <c r="L24" s="216">
        <v>0</v>
      </c>
      <c r="M24" s="126"/>
      <c r="N24" s="119">
        <v>0</v>
      </c>
      <c r="O24" s="216">
        <v>0</v>
      </c>
      <c r="P24" s="131"/>
    </row>
    <row r="25" spans="1:16" s="40" customFormat="1" ht="15.75">
      <c r="A25" s="27" t="s">
        <v>755</v>
      </c>
      <c r="B25" s="27" t="s">
        <v>602</v>
      </c>
      <c r="C25" s="38" t="s">
        <v>681</v>
      </c>
      <c r="D25" s="39" t="s">
        <v>597</v>
      </c>
      <c r="E25" s="47" t="s">
        <v>4078</v>
      </c>
      <c r="F25" s="107" t="s">
        <v>7601</v>
      </c>
      <c r="G25" s="119">
        <v>0</v>
      </c>
      <c r="H25" s="119">
        <v>246486857</v>
      </c>
      <c r="I25" s="216">
        <v>246486857</v>
      </c>
      <c r="J25" s="119">
        <v>198667229</v>
      </c>
      <c r="K25" s="119">
        <v>32241606</v>
      </c>
      <c r="L25" s="216">
        <v>15578022</v>
      </c>
      <c r="M25" s="126"/>
      <c r="N25" s="119">
        <v>13360000</v>
      </c>
      <c r="O25" s="216">
        <v>13360000</v>
      </c>
      <c r="P25" s="131"/>
    </row>
    <row r="26" spans="1:16" s="40" customFormat="1" ht="31.5">
      <c r="A26" s="27" t="s">
        <v>755</v>
      </c>
      <c r="B26" s="27" t="s">
        <v>680</v>
      </c>
      <c r="C26" s="38" t="s">
        <v>199</v>
      </c>
      <c r="D26" s="39" t="s">
        <v>597</v>
      </c>
      <c r="E26" s="47" t="s">
        <v>4079</v>
      </c>
      <c r="F26" s="107" t="s">
        <v>7602</v>
      </c>
      <c r="G26" s="119">
        <v>0</v>
      </c>
      <c r="H26" s="119">
        <v>128974685</v>
      </c>
      <c r="I26" s="216">
        <v>128974685</v>
      </c>
      <c r="J26" s="119">
        <v>130818254</v>
      </c>
      <c r="K26" s="119">
        <v>1777900</v>
      </c>
      <c r="L26" s="216">
        <v>-3621469</v>
      </c>
      <c r="M26" s="126"/>
      <c r="N26" s="119">
        <v>3200000</v>
      </c>
      <c r="O26" s="216">
        <v>3200000</v>
      </c>
      <c r="P26" s="131"/>
    </row>
    <row r="27" spans="1:16" s="40" customFormat="1" ht="15.75">
      <c r="A27" s="37"/>
      <c r="B27" s="27"/>
      <c r="C27" s="38"/>
      <c r="D27" s="39"/>
      <c r="E27" s="47"/>
      <c r="F27" s="107"/>
      <c r="G27" s="119">
        <v>0</v>
      </c>
      <c r="H27" s="119">
        <v>0</v>
      </c>
      <c r="I27" s="216">
        <v>0</v>
      </c>
      <c r="J27" s="119">
        <v>0</v>
      </c>
      <c r="K27" s="119">
        <v>0</v>
      </c>
      <c r="L27" s="216">
        <v>0</v>
      </c>
      <c r="M27" s="126"/>
      <c r="N27" s="119">
        <v>0</v>
      </c>
      <c r="O27" s="216">
        <v>0</v>
      </c>
      <c r="P27" s="131"/>
    </row>
    <row r="28" spans="1:16" s="40" customFormat="1" ht="15.75">
      <c r="A28" s="37"/>
      <c r="B28" s="27"/>
      <c r="C28" s="38"/>
      <c r="D28" s="39"/>
      <c r="E28" s="217" t="s">
        <v>3661</v>
      </c>
      <c r="F28" s="234" t="s">
        <v>7603</v>
      </c>
      <c r="G28" s="119">
        <v>0</v>
      </c>
      <c r="H28" s="119">
        <v>375461542</v>
      </c>
      <c r="I28" s="216">
        <v>375461542</v>
      </c>
      <c r="J28" s="119">
        <v>329485483</v>
      </c>
      <c r="K28" s="119">
        <v>34019506</v>
      </c>
      <c r="L28" s="216">
        <v>11956553</v>
      </c>
      <c r="M28" s="126"/>
      <c r="N28" s="119">
        <v>16560000</v>
      </c>
      <c r="O28" s="216">
        <v>16560000</v>
      </c>
      <c r="P28" s="131"/>
    </row>
    <row r="29" spans="1:16" s="40" customFormat="1" ht="15.75">
      <c r="A29" s="37"/>
      <c r="B29" s="27"/>
      <c r="C29" s="38"/>
      <c r="D29" s="39"/>
      <c r="E29" s="47"/>
      <c r="F29" s="107"/>
      <c r="G29" s="119">
        <v>0</v>
      </c>
      <c r="H29" s="119">
        <v>0</v>
      </c>
      <c r="I29" s="216">
        <v>0</v>
      </c>
      <c r="J29" s="119">
        <v>0</v>
      </c>
      <c r="K29" s="119">
        <v>0</v>
      </c>
      <c r="L29" s="216">
        <v>0</v>
      </c>
      <c r="M29" s="126"/>
      <c r="N29" s="119">
        <v>0</v>
      </c>
      <c r="O29" s="216">
        <v>0</v>
      </c>
      <c r="P29" s="131"/>
    </row>
    <row r="30" spans="1:16" s="40" customFormat="1" ht="31.5">
      <c r="A30" s="37"/>
      <c r="B30" s="27"/>
      <c r="C30" s="38"/>
      <c r="D30" s="39"/>
      <c r="E30" s="217" t="s">
        <v>4080</v>
      </c>
      <c r="F30" s="234" t="s">
        <v>7604</v>
      </c>
      <c r="G30" s="119">
        <v>33377000</v>
      </c>
      <c r="H30" s="119">
        <v>3083976622</v>
      </c>
      <c r="I30" s="216">
        <v>3117353622</v>
      </c>
      <c r="J30" s="119">
        <v>2536167508</v>
      </c>
      <c r="K30" s="119">
        <v>362652258</v>
      </c>
      <c r="L30" s="216">
        <v>218533856</v>
      </c>
      <c r="M30" s="126"/>
      <c r="N30" s="119">
        <v>102560000</v>
      </c>
      <c r="O30" s="216">
        <v>102560000</v>
      </c>
      <c r="P30" s="131"/>
    </row>
    <row r="31" spans="1:16" s="40" customFormat="1" ht="15.75">
      <c r="A31" s="37"/>
      <c r="B31" s="27"/>
      <c r="C31" s="38"/>
      <c r="D31" s="39"/>
      <c r="E31" s="47"/>
      <c r="F31" s="107"/>
      <c r="G31" s="119">
        <v>0</v>
      </c>
      <c r="H31" s="119">
        <v>0</v>
      </c>
      <c r="I31" s="216">
        <v>0</v>
      </c>
      <c r="J31" s="119">
        <v>0</v>
      </c>
      <c r="K31" s="119">
        <v>0</v>
      </c>
      <c r="L31" s="216">
        <v>0</v>
      </c>
      <c r="M31" s="126"/>
      <c r="N31" s="119">
        <v>0</v>
      </c>
      <c r="O31" s="216">
        <v>0</v>
      </c>
      <c r="P31" s="131"/>
    </row>
    <row r="32" spans="1:16" s="40" customFormat="1" ht="15.75">
      <c r="A32" s="37"/>
      <c r="B32" s="27"/>
      <c r="C32" s="38"/>
      <c r="D32" s="39"/>
      <c r="E32" s="47" t="s">
        <v>4081</v>
      </c>
      <c r="F32" s="107" t="s">
        <v>7605</v>
      </c>
      <c r="G32" s="119">
        <v>0</v>
      </c>
      <c r="H32" s="119">
        <v>0</v>
      </c>
      <c r="I32" s="216">
        <v>0</v>
      </c>
      <c r="J32" s="119">
        <v>0</v>
      </c>
      <c r="K32" s="119">
        <v>0</v>
      </c>
      <c r="L32" s="216">
        <v>0</v>
      </c>
      <c r="M32" s="126"/>
      <c r="N32" s="119">
        <v>0</v>
      </c>
      <c r="O32" s="216">
        <v>0</v>
      </c>
      <c r="P32" s="131"/>
    </row>
    <row r="33" spans="1:16" s="40" customFormat="1" ht="15.75">
      <c r="A33" s="37">
        <v>1</v>
      </c>
      <c r="B33" s="27" t="s">
        <v>642</v>
      </c>
      <c r="C33" s="38"/>
      <c r="D33" s="39" t="s">
        <v>597</v>
      </c>
      <c r="E33" s="47" t="s">
        <v>4082</v>
      </c>
      <c r="F33" s="107" t="s">
        <v>7606</v>
      </c>
      <c r="G33" s="119">
        <v>0</v>
      </c>
      <c r="H33" s="119">
        <v>393874458</v>
      </c>
      <c r="I33" s="216">
        <v>393874458</v>
      </c>
      <c r="J33" s="119">
        <v>332459481</v>
      </c>
      <c r="K33" s="119">
        <v>31994710</v>
      </c>
      <c r="L33" s="216">
        <v>29420267</v>
      </c>
      <c r="M33" s="126"/>
      <c r="N33" s="119">
        <v>35000000</v>
      </c>
      <c r="O33" s="216">
        <v>35000000</v>
      </c>
      <c r="P33" s="131"/>
    </row>
    <row r="34" spans="1:16" s="40" customFormat="1" ht="15.75">
      <c r="A34" s="37">
        <v>2</v>
      </c>
      <c r="B34" s="27" t="s">
        <v>643</v>
      </c>
      <c r="C34" s="38"/>
      <c r="D34" s="39" t="s">
        <v>597</v>
      </c>
      <c r="E34" s="47" t="s">
        <v>4083</v>
      </c>
      <c r="F34" s="107" t="s">
        <v>7607</v>
      </c>
      <c r="G34" s="119">
        <v>0</v>
      </c>
      <c r="H34" s="119">
        <v>120580564</v>
      </c>
      <c r="I34" s="216">
        <v>120580564</v>
      </c>
      <c r="J34" s="119">
        <v>80342082</v>
      </c>
      <c r="K34" s="119">
        <v>21650000</v>
      </c>
      <c r="L34" s="216">
        <v>18588482</v>
      </c>
      <c r="M34" s="126"/>
      <c r="N34" s="119">
        <v>30000000</v>
      </c>
      <c r="O34" s="216">
        <v>30000000</v>
      </c>
      <c r="P34" s="131"/>
    </row>
    <row r="35" spans="1:16" s="40" customFormat="1" ht="15.75">
      <c r="A35" s="37">
        <v>3</v>
      </c>
      <c r="B35" s="27" t="s">
        <v>644</v>
      </c>
      <c r="C35" s="38"/>
      <c r="D35" s="39" t="s">
        <v>597</v>
      </c>
      <c r="E35" s="47" t="s">
        <v>4907</v>
      </c>
      <c r="F35" s="107" t="s">
        <v>7608</v>
      </c>
      <c r="G35" s="119">
        <v>0</v>
      </c>
      <c r="H35" s="119">
        <v>262727028</v>
      </c>
      <c r="I35" s="216">
        <v>262727028</v>
      </c>
      <c r="J35" s="119">
        <v>165748546</v>
      </c>
      <c r="K35" s="119">
        <v>49230000</v>
      </c>
      <c r="L35" s="216">
        <v>47748482</v>
      </c>
      <c r="M35" s="126"/>
      <c r="N35" s="119">
        <v>50000000</v>
      </c>
      <c r="O35" s="216">
        <v>50000000</v>
      </c>
      <c r="P35" s="131"/>
    </row>
    <row r="36" spans="1:16" s="40" customFormat="1" ht="15.75">
      <c r="A36" s="37">
        <v>4</v>
      </c>
      <c r="B36" s="30" t="s">
        <v>45</v>
      </c>
      <c r="C36" s="38"/>
      <c r="D36" s="39" t="s">
        <v>597</v>
      </c>
      <c r="E36" s="47" t="s">
        <v>4908</v>
      </c>
      <c r="F36" s="107" t="s">
        <v>7609</v>
      </c>
      <c r="G36" s="119">
        <v>0</v>
      </c>
      <c r="H36" s="119">
        <v>6518284</v>
      </c>
      <c r="I36" s="216">
        <v>6518284</v>
      </c>
      <c r="J36" s="119">
        <v>3323784</v>
      </c>
      <c r="K36" s="119">
        <v>1483112</v>
      </c>
      <c r="L36" s="216">
        <v>1711388</v>
      </c>
      <c r="M36" s="126"/>
      <c r="N36" s="119">
        <v>2000000</v>
      </c>
      <c r="O36" s="216">
        <v>2000000</v>
      </c>
      <c r="P36" s="131"/>
    </row>
    <row r="37" spans="1:16" s="40" customFormat="1" ht="15.75">
      <c r="A37" s="37">
        <v>5</v>
      </c>
      <c r="B37" s="30" t="s">
        <v>46</v>
      </c>
      <c r="C37" s="38"/>
      <c r="D37" s="39" t="s">
        <v>597</v>
      </c>
      <c r="E37" s="47" t="s">
        <v>4084</v>
      </c>
      <c r="F37" s="107" t="s">
        <v>7610</v>
      </c>
      <c r="G37" s="119">
        <v>0</v>
      </c>
      <c r="H37" s="119">
        <v>7448962</v>
      </c>
      <c r="I37" s="216">
        <v>7448962</v>
      </c>
      <c r="J37" s="119">
        <v>3860140</v>
      </c>
      <c r="K37" s="119">
        <v>2126056</v>
      </c>
      <c r="L37" s="216">
        <v>1462766</v>
      </c>
      <c r="M37" s="126"/>
      <c r="N37" s="119">
        <v>2500000</v>
      </c>
      <c r="O37" s="216">
        <v>2500000</v>
      </c>
      <c r="P37" s="131"/>
    </row>
    <row r="38" spans="1:16" s="40" customFormat="1" ht="31.5">
      <c r="A38" s="37">
        <v>6</v>
      </c>
      <c r="B38" s="30" t="s">
        <v>1262</v>
      </c>
      <c r="C38" s="38"/>
      <c r="D38" s="39" t="s">
        <v>597</v>
      </c>
      <c r="E38" s="47" t="s">
        <v>4085</v>
      </c>
      <c r="F38" s="107" t="s">
        <v>7611</v>
      </c>
      <c r="G38" s="119">
        <v>0</v>
      </c>
      <c r="H38" s="119">
        <v>18835462</v>
      </c>
      <c r="I38" s="216">
        <v>18835462</v>
      </c>
      <c r="J38" s="119">
        <v>12876688</v>
      </c>
      <c r="K38" s="119">
        <v>3152940</v>
      </c>
      <c r="L38" s="216">
        <v>2805834</v>
      </c>
      <c r="M38" s="126"/>
      <c r="N38" s="119">
        <v>3500000</v>
      </c>
      <c r="O38" s="216">
        <v>3500000</v>
      </c>
      <c r="P38" s="131"/>
    </row>
    <row r="39" spans="1:16" s="40" customFormat="1" ht="63">
      <c r="A39" s="37">
        <v>7</v>
      </c>
      <c r="B39" s="30" t="s">
        <v>5184</v>
      </c>
      <c r="C39" s="38"/>
      <c r="D39" s="39"/>
      <c r="E39" s="47" t="s">
        <v>5185</v>
      </c>
      <c r="F39" s="107" t="s">
        <v>7612</v>
      </c>
      <c r="G39" s="119">
        <v>0</v>
      </c>
      <c r="H39" s="119">
        <v>878788</v>
      </c>
      <c r="I39" s="216">
        <v>878788</v>
      </c>
      <c r="J39" s="119">
        <v>0</v>
      </c>
      <c r="K39" s="119">
        <v>878788</v>
      </c>
      <c r="L39" s="216">
        <v>0</v>
      </c>
      <c r="M39" s="126"/>
      <c r="N39" s="119">
        <v>10000000</v>
      </c>
      <c r="O39" s="216">
        <v>10000000</v>
      </c>
      <c r="P39" s="131"/>
    </row>
    <row r="40" spans="1:16" s="40" customFormat="1" ht="15.75">
      <c r="A40" s="37">
        <v>8</v>
      </c>
      <c r="B40" s="30" t="s">
        <v>12683</v>
      </c>
      <c r="C40" s="38"/>
      <c r="D40" s="39"/>
      <c r="E40" s="47" t="s">
        <v>8779</v>
      </c>
      <c r="F40" s="107"/>
      <c r="G40" s="119">
        <v>0</v>
      </c>
      <c r="H40" s="119">
        <v>0</v>
      </c>
      <c r="I40" s="216">
        <v>0</v>
      </c>
      <c r="J40" s="119">
        <v>0</v>
      </c>
      <c r="K40" s="119">
        <v>0</v>
      </c>
      <c r="L40" s="216">
        <v>0</v>
      </c>
      <c r="M40" s="126"/>
      <c r="N40" s="119">
        <v>10000000</v>
      </c>
      <c r="O40" s="216">
        <v>10000000</v>
      </c>
      <c r="P40" s="131"/>
    </row>
    <row r="41" spans="1:16" s="40" customFormat="1" ht="15.75">
      <c r="A41" s="37"/>
      <c r="B41" s="27"/>
      <c r="C41" s="38"/>
      <c r="D41" s="39"/>
      <c r="E41" s="47"/>
      <c r="F41" s="107"/>
      <c r="G41" s="119">
        <v>0</v>
      </c>
      <c r="H41" s="119">
        <v>0</v>
      </c>
      <c r="I41" s="216">
        <v>0</v>
      </c>
      <c r="J41" s="119">
        <v>0</v>
      </c>
      <c r="K41" s="119">
        <v>0</v>
      </c>
      <c r="L41" s="216">
        <v>0</v>
      </c>
      <c r="M41" s="126"/>
      <c r="N41" s="119">
        <v>0</v>
      </c>
      <c r="O41" s="216">
        <v>0</v>
      </c>
      <c r="P41" s="131"/>
    </row>
    <row r="42" spans="1:16" s="40" customFormat="1" ht="15.75">
      <c r="A42" s="37"/>
      <c r="B42" s="27"/>
      <c r="C42" s="38"/>
      <c r="D42" s="39"/>
      <c r="E42" s="217" t="s">
        <v>4087</v>
      </c>
      <c r="F42" s="234" t="s">
        <v>7613</v>
      </c>
      <c r="G42" s="119">
        <v>0</v>
      </c>
      <c r="H42" s="119">
        <v>810863546</v>
      </c>
      <c r="I42" s="216">
        <v>810863546</v>
      </c>
      <c r="J42" s="119">
        <v>598610721</v>
      </c>
      <c r="K42" s="119">
        <v>110515606</v>
      </c>
      <c r="L42" s="216">
        <v>101737219</v>
      </c>
      <c r="M42" s="126"/>
      <c r="N42" s="119">
        <v>144000000</v>
      </c>
      <c r="O42" s="216">
        <v>144000000</v>
      </c>
      <c r="P42" s="131"/>
    </row>
    <row r="43" spans="1:16" s="40" customFormat="1" ht="15.75">
      <c r="A43" s="37"/>
      <c r="B43" s="27"/>
      <c r="C43" s="38"/>
      <c r="D43" s="39"/>
      <c r="E43" s="47"/>
      <c r="F43" s="107"/>
      <c r="G43" s="119">
        <v>0</v>
      </c>
      <c r="H43" s="119">
        <v>0</v>
      </c>
      <c r="I43" s="216">
        <v>0</v>
      </c>
      <c r="J43" s="119">
        <v>0</v>
      </c>
      <c r="K43" s="119">
        <v>0</v>
      </c>
      <c r="L43" s="216">
        <v>0</v>
      </c>
      <c r="M43" s="126"/>
      <c r="N43" s="119">
        <v>0</v>
      </c>
      <c r="O43" s="216">
        <v>0</v>
      </c>
      <c r="P43" s="131"/>
    </row>
    <row r="44" spans="1:16" s="40" customFormat="1" ht="15.75">
      <c r="A44" s="37"/>
      <c r="B44" s="27"/>
      <c r="C44" s="38"/>
      <c r="D44" s="39"/>
      <c r="E44" s="47" t="s">
        <v>4088</v>
      </c>
      <c r="F44" s="107" t="s">
        <v>7614</v>
      </c>
      <c r="G44" s="119">
        <v>0</v>
      </c>
      <c r="H44" s="119">
        <v>0</v>
      </c>
      <c r="I44" s="216">
        <v>0</v>
      </c>
      <c r="J44" s="119">
        <v>0</v>
      </c>
      <c r="K44" s="119">
        <v>0</v>
      </c>
      <c r="L44" s="216">
        <v>0</v>
      </c>
      <c r="M44" s="126"/>
      <c r="N44" s="119">
        <v>0</v>
      </c>
      <c r="O44" s="216">
        <v>0</v>
      </c>
      <c r="P44" s="131"/>
    </row>
    <row r="45" spans="1:16" s="40" customFormat="1" ht="15.75">
      <c r="A45" s="37">
        <v>1</v>
      </c>
      <c r="B45" s="27" t="s">
        <v>197</v>
      </c>
      <c r="C45" s="38"/>
      <c r="D45" s="39" t="s">
        <v>1046</v>
      </c>
      <c r="E45" s="47" t="s">
        <v>4089</v>
      </c>
      <c r="F45" s="107" t="s">
        <v>7615</v>
      </c>
      <c r="G45" s="119">
        <v>0</v>
      </c>
      <c r="H45" s="119">
        <v>338208538</v>
      </c>
      <c r="I45" s="216">
        <v>338208538</v>
      </c>
      <c r="J45" s="119">
        <v>287232829</v>
      </c>
      <c r="K45" s="119">
        <v>27005825</v>
      </c>
      <c r="L45" s="216">
        <v>23969884</v>
      </c>
      <c r="M45" s="126"/>
      <c r="N45" s="119">
        <v>35000000</v>
      </c>
      <c r="O45" s="216">
        <v>35000000</v>
      </c>
      <c r="P45" s="131"/>
    </row>
    <row r="46" spans="1:16" s="40" customFormat="1" ht="15.75">
      <c r="A46" s="37">
        <v>2</v>
      </c>
      <c r="B46" s="27" t="s">
        <v>198</v>
      </c>
      <c r="C46" s="38"/>
      <c r="D46" s="39" t="s">
        <v>1046</v>
      </c>
      <c r="E46" s="47" t="s">
        <v>4090</v>
      </c>
      <c r="F46" s="107" t="s">
        <v>7616</v>
      </c>
      <c r="G46" s="119">
        <v>0</v>
      </c>
      <c r="H46" s="119">
        <v>142357659</v>
      </c>
      <c r="I46" s="216">
        <v>142357659</v>
      </c>
      <c r="J46" s="119">
        <v>118663020</v>
      </c>
      <c r="K46" s="119">
        <v>15999758</v>
      </c>
      <c r="L46" s="216">
        <v>7694881</v>
      </c>
      <c r="M46" s="126"/>
      <c r="N46" s="119">
        <v>16000000</v>
      </c>
      <c r="O46" s="216">
        <v>16000000</v>
      </c>
      <c r="P46" s="131"/>
    </row>
    <row r="47" spans="1:16" s="40" customFormat="1" ht="15.75">
      <c r="A47" s="37">
        <v>3</v>
      </c>
      <c r="B47" s="27" t="s">
        <v>267</v>
      </c>
      <c r="C47" s="38">
        <v>123</v>
      </c>
      <c r="D47" s="39" t="s">
        <v>1046</v>
      </c>
      <c r="E47" s="47" t="s">
        <v>4091</v>
      </c>
      <c r="F47" s="107" t="s">
        <v>7617</v>
      </c>
      <c r="G47" s="119">
        <v>0</v>
      </c>
      <c r="H47" s="119">
        <v>14206031</v>
      </c>
      <c r="I47" s="216">
        <v>14206031</v>
      </c>
      <c r="J47" s="119">
        <v>12278733</v>
      </c>
      <c r="K47" s="119">
        <v>373948</v>
      </c>
      <c r="L47" s="216">
        <v>1553350</v>
      </c>
      <c r="M47" s="126"/>
      <c r="N47" s="119">
        <v>1000000</v>
      </c>
      <c r="O47" s="216">
        <v>1000000</v>
      </c>
      <c r="P47" s="131"/>
    </row>
    <row r="48" spans="1:16" s="40" customFormat="1" ht="15.75">
      <c r="A48" s="37">
        <v>4</v>
      </c>
      <c r="B48" s="27" t="s">
        <v>879</v>
      </c>
      <c r="C48" s="38"/>
      <c r="D48" s="39" t="s">
        <v>1046</v>
      </c>
      <c r="E48" s="47" t="s">
        <v>4092</v>
      </c>
      <c r="F48" s="107" t="s">
        <v>7618</v>
      </c>
      <c r="G48" s="119">
        <v>0</v>
      </c>
      <c r="H48" s="119">
        <v>3726160</v>
      </c>
      <c r="I48" s="216">
        <v>3726160</v>
      </c>
      <c r="J48" s="119">
        <v>2396160</v>
      </c>
      <c r="K48" s="119">
        <v>580000</v>
      </c>
      <c r="L48" s="216">
        <v>750000</v>
      </c>
      <c r="M48" s="126"/>
      <c r="N48" s="119">
        <v>600000</v>
      </c>
      <c r="O48" s="216">
        <v>600000</v>
      </c>
      <c r="P48" s="131"/>
    </row>
    <row r="49" spans="1:16" s="40" customFormat="1" ht="15.75">
      <c r="A49" s="37">
        <v>5</v>
      </c>
      <c r="B49" s="27" t="s">
        <v>880</v>
      </c>
      <c r="C49" s="38"/>
      <c r="D49" s="39" t="s">
        <v>1046</v>
      </c>
      <c r="E49" s="47" t="s">
        <v>4909</v>
      </c>
      <c r="F49" s="107" t="s">
        <v>7619</v>
      </c>
      <c r="G49" s="119">
        <v>0</v>
      </c>
      <c r="H49" s="119">
        <v>3962910</v>
      </c>
      <c r="I49" s="216">
        <v>3962910</v>
      </c>
      <c r="J49" s="119">
        <v>3340360</v>
      </c>
      <c r="K49" s="119">
        <v>224080</v>
      </c>
      <c r="L49" s="216">
        <v>398470</v>
      </c>
      <c r="M49" s="126"/>
      <c r="N49" s="119">
        <v>1000000</v>
      </c>
      <c r="O49" s="216">
        <v>1000000</v>
      </c>
      <c r="P49" s="131"/>
    </row>
    <row r="50" spans="1:16" s="40" customFormat="1" ht="15.75">
      <c r="A50" s="37">
        <v>6</v>
      </c>
      <c r="B50" s="30" t="s">
        <v>47</v>
      </c>
      <c r="C50" s="38"/>
      <c r="D50" s="39" t="s">
        <v>1046</v>
      </c>
      <c r="E50" s="47" t="s">
        <v>4094</v>
      </c>
      <c r="F50" s="107" t="s">
        <v>7620</v>
      </c>
      <c r="G50" s="119">
        <v>0</v>
      </c>
      <c r="H50" s="119">
        <v>49931907</v>
      </c>
      <c r="I50" s="216">
        <v>49931907</v>
      </c>
      <c r="J50" s="119">
        <v>38196621</v>
      </c>
      <c r="K50" s="119">
        <v>5796501</v>
      </c>
      <c r="L50" s="216">
        <v>5938785</v>
      </c>
      <c r="M50" s="126"/>
      <c r="N50" s="119">
        <v>12500000</v>
      </c>
      <c r="O50" s="216">
        <v>12500000</v>
      </c>
      <c r="P50" s="131"/>
    </row>
    <row r="51" spans="1:16" s="40" customFormat="1" ht="15.75">
      <c r="A51" s="37">
        <v>7</v>
      </c>
      <c r="B51" s="30" t="s">
        <v>48</v>
      </c>
      <c r="C51" s="38"/>
      <c r="D51" s="39" t="s">
        <v>1046</v>
      </c>
      <c r="E51" s="47" t="s">
        <v>4095</v>
      </c>
      <c r="F51" s="107" t="s">
        <v>7621</v>
      </c>
      <c r="G51" s="119">
        <v>0</v>
      </c>
      <c r="H51" s="119">
        <v>876000</v>
      </c>
      <c r="I51" s="216">
        <v>876000</v>
      </c>
      <c r="J51" s="119">
        <v>744000</v>
      </c>
      <c r="K51" s="119">
        <v>6000</v>
      </c>
      <c r="L51" s="216">
        <v>126000</v>
      </c>
      <c r="M51" s="126"/>
      <c r="N51" s="119">
        <v>300000</v>
      </c>
      <c r="O51" s="216">
        <v>300000</v>
      </c>
      <c r="P51" s="131"/>
    </row>
    <row r="52" spans="1:16" s="40" customFormat="1" ht="15.75">
      <c r="A52" s="37">
        <v>8</v>
      </c>
      <c r="B52" s="30" t="s">
        <v>49</v>
      </c>
      <c r="C52" s="38"/>
      <c r="D52" s="39" t="s">
        <v>1046</v>
      </c>
      <c r="E52" s="47" t="s">
        <v>4096</v>
      </c>
      <c r="F52" s="107" t="s">
        <v>7622</v>
      </c>
      <c r="G52" s="119">
        <v>0</v>
      </c>
      <c r="H52" s="119">
        <v>1506610</v>
      </c>
      <c r="I52" s="216">
        <v>1506610</v>
      </c>
      <c r="J52" s="119">
        <v>1500610</v>
      </c>
      <c r="K52" s="119">
        <v>6000</v>
      </c>
      <c r="L52" s="216">
        <v>0</v>
      </c>
      <c r="M52" s="126"/>
      <c r="N52" s="119">
        <v>0</v>
      </c>
      <c r="O52" s="216">
        <v>0</v>
      </c>
      <c r="P52" s="131"/>
    </row>
    <row r="53" spans="1:16" s="40" customFormat="1" ht="31.5">
      <c r="A53" s="37">
        <v>9</v>
      </c>
      <c r="B53" s="30" t="s">
        <v>1063</v>
      </c>
      <c r="C53" s="38"/>
      <c r="D53" s="39" t="s">
        <v>1046</v>
      </c>
      <c r="E53" s="47" t="s">
        <v>4097</v>
      </c>
      <c r="F53" s="107" t="s">
        <v>7623</v>
      </c>
      <c r="G53" s="119">
        <v>0</v>
      </c>
      <c r="H53" s="119">
        <v>8119365</v>
      </c>
      <c r="I53" s="216">
        <v>8119365</v>
      </c>
      <c r="J53" s="119">
        <v>5901055</v>
      </c>
      <c r="K53" s="119">
        <v>1900000</v>
      </c>
      <c r="L53" s="216">
        <v>318310</v>
      </c>
      <c r="M53" s="126"/>
      <c r="N53" s="119">
        <v>0</v>
      </c>
      <c r="O53" s="216">
        <v>0</v>
      </c>
      <c r="P53" s="131"/>
    </row>
    <row r="54" spans="1:16" s="40" customFormat="1" ht="31.5">
      <c r="A54" s="37">
        <v>10</v>
      </c>
      <c r="B54" s="30" t="s">
        <v>1263</v>
      </c>
      <c r="C54" s="38"/>
      <c r="D54" s="39" t="s">
        <v>1046</v>
      </c>
      <c r="E54" s="47" t="s">
        <v>4098</v>
      </c>
      <c r="F54" s="107" t="s">
        <v>7624</v>
      </c>
      <c r="G54" s="119">
        <v>0</v>
      </c>
      <c r="H54" s="119">
        <v>6850428</v>
      </c>
      <c r="I54" s="216">
        <v>6850428</v>
      </c>
      <c r="J54" s="119">
        <v>2550403</v>
      </c>
      <c r="K54" s="119">
        <v>2528531</v>
      </c>
      <c r="L54" s="216">
        <v>1771494</v>
      </c>
      <c r="M54" s="126"/>
      <c r="N54" s="119">
        <v>3000000</v>
      </c>
      <c r="O54" s="216">
        <v>3000000</v>
      </c>
      <c r="P54" s="131"/>
    </row>
    <row r="55" spans="1:16" s="40" customFormat="1" ht="15.75">
      <c r="A55" s="37">
        <v>11</v>
      </c>
      <c r="B55" s="30" t="s">
        <v>1264</v>
      </c>
      <c r="C55" s="38"/>
      <c r="D55" s="39" t="s">
        <v>1046</v>
      </c>
      <c r="E55" s="47" t="s">
        <v>4099</v>
      </c>
      <c r="F55" s="107" t="s">
        <v>7625</v>
      </c>
      <c r="G55" s="119">
        <v>0</v>
      </c>
      <c r="H55" s="119">
        <v>837935</v>
      </c>
      <c r="I55" s="216">
        <v>837935</v>
      </c>
      <c r="J55" s="119">
        <v>530121</v>
      </c>
      <c r="K55" s="119">
        <v>143745</v>
      </c>
      <c r="L55" s="216">
        <v>164069</v>
      </c>
      <c r="M55" s="126"/>
      <c r="N55" s="119">
        <v>1000000</v>
      </c>
      <c r="O55" s="216">
        <v>1000000</v>
      </c>
      <c r="P55" s="131"/>
    </row>
    <row r="56" spans="1:16" s="40" customFormat="1" ht="47.25">
      <c r="A56" s="37">
        <v>12</v>
      </c>
      <c r="B56" s="30" t="s">
        <v>1265</v>
      </c>
      <c r="C56" s="38"/>
      <c r="D56" s="39" t="s">
        <v>1046</v>
      </c>
      <c r="E56" s="47" t="s">
        <v>4910</v>
      </c>
      <c r="F56" s="107" t="s">
        <v>7626</v>
      </c>
      <c r="G56" s="119">
        <v>0</v>
      </c>
      <c r="H56" s="119">
        <v>3185285</v>
      </c>
      <c r="I56" s="216">
        <v>3185285</v>
      </c>
      <c r="J56" s="119">
        <v>1797518</v>
      </c>
      <c r="K56" s="119">
        <v>589497</v>
      </c>
      <c r="L56" s="216">
        <v>798270</v>
      </c>
      <c r="M56" s="126"/>
      <c r="N56" s="119">
        <v>1500000</v>
      </c>
      <c r="O56" s="216">
        <v>1500000</v>
      </c>
      <c r="P56" s="131"/>
    </row>
    <row r="57" spans="1:16" s="40" customFormat="1" ht="31.5">
      <c r="A57" s="37">
        <v>13</v>
      </c>
      <c r="B57" s="30" t="s">
        <v>1266</v>
      </c>
      <c r="C57" s="38"/>
      <c r="D57" s="39" t="s">
        <v>1046</v>
      </c>
      <c r="E57" s="47" t="s">
        <v>4100</v>
      </c>
      <c r="F57" s="107" t="s">
        <v>7627</v>
      </c>
      <c r="G57" s="119">
        <v>0</v>
      </c>
      <c r="H57" s="119">
        <v>8718705</v>
      </c>
      <c r="I57" s="216">
        <v>8718705</v>
      </c>
      <c r="J57" s="119">
        <v>5618502</v>
      </c>
      <c r="K57" s="119">
        <v>1519991</v>
      </c>
      <c r="L57" s="216">
        <v>1580212</v>
      </c>
      <c r="M57" s="126"/>
      <c r="N57" s="119">
        <v>2000000</v>
      </c>
      <c r="O57" s="216">
        <v>2000000</v>
      </c>
      <c r="P57" s="131"/>
    </row>
    <row r="58" spans="1:16" s="40" customFormat="1" ht="15.75">
      <c r="A58" s="37">
        <v>14</v>
      </c>
      <c r="B58" s="30" t="s">
        <v>1356</v>
      </c>
      <c r="C58" s="38"/>
      <c r="D58" s="39" t="s">
        <v>1046</v>
      </c>
      <c r="E58" s="47" t="s">
        <v>4101</v>
      </c>
      <c r="F58" s="107" t="s">
        <v>7628</v>
      </c>
      <c r="G58" s="119">
        <v>0</v>
      </c>
      <c r="H58" s="119">
        <v>86240890</v>
      </c>
      <c r="I58" s="216">
        <v>86240890</v>
      </c>
      <c r="J58" s="119">
        <v>48294208</v>
      </c>
      <c r="K58" s="119">
        <v>14955348</v>
      </c>
      <c r="L58" s="216">
        <v>22991334</v>
      </c>
      <c r="M58" s="126"/>
      <c r="N58" s="119">
        <v>35000000</v>
      </c>
      <c r="O58" s="216">
        <v>35000000</v>
      </c>
      <c r="P58" s="131"/>
    </row>
    <row r="59" spans="1:16" s="40" customFormat="1" ht="31.5">
      <c r="A59" s="37">
        <v>15</v>
      </c>
      <c r="B59" s="30" t="s">
        <v>1357</v>
      </c>
      <c r="C59" s="38"/>
      <c r="D59" s="39" t="s">
        <v>1046</v>
      </c>
      <c r="E59" s="47" t="s">
        <v>4102</v>
      </c>
      <c r="F59" s="107" t="s">
        <v>7629</v>
      </c>
      <c r="G59" s="119">
        <v>0</v>
      </c>
      <c r="H59" s="119">
        <v>3168880</v>
      </c>
      <c r="I59" s="216">
        <v>3168880</v>
      </c>
      <c r="J59" s="119">
        <v>2371273</v>
      </c>
      <c r="K59" s="119">
        <v>0</v>
      </c>
      <c r="L59" s="216">
        <v>797607</v>
      </c>
      <c r="M59" s="126"/>
      <c r="N59" s="119">
        <v>500000</v>
      </c>
      <c r="O59" s="216">
        <v>500000</v>
      </c>
      <c r="P59" s="131"/>
    </row>
    <row r="60" spans="1:16" s="40" customFormat="1" ht="15.75">
      <c r="A60" s="37">
        <v>16</v>
      </c>
      <c r="B60" s="30" t="s">
        <v>1484</v>
      </c>
      <c r="C60" s="38"/>
      <c r="D60" s="39" t="s">
        <v>1046</v>
      </c>
      <c r="E60" s="47" t="s">
        <v>4103</v>
      </c>
      <c r="F60" s="107" t="s">
        <v>7630</v>
      </c>
      <c r="G60" s="119">
        <v>0</v>
      </c>
      <c r="H60" s="119">
        <v>132084</v>
      </c>
      <c r="I60" s="216">
        <v>132084</v>
      </c>
      <c r="J60" s="119">
        <v>66042</v>
      </c>
      <c r="K60" s="119">
        <v>0</v>
      </c>
      <c r="L60" s="216">
        <v>66042</v>
      </c>
      <c r="M60" s="126"/>
      <c r="N60" s="119">
        <v>1500000</v>
      </c>
      <c r="O60" s="216">
        <v>1500000</v>
      </c>
      <c r="P60" s="131"/>
    </row>
    <row r="61" spans="1:16" s="40" customFormat="1" ht="15.75">
      <c r="A61" s="37">
        <v>17</v>
      </c>
      <c r="B61" s="30" t="s">
        <v>1485</v>
      </c>
      <c r="C61" s="38"/>
      <c r="D61" s="39" t="s">
        <v>1046</v>
      </c>
      <c r="E61" s="47" t="s">
        <v>4104</v>
      </c>
      <c r="F61" s="107" t="s">
        <v>7631</v>
      </c>
      <c r="G61" s="119">
        <v>0</v>
      </c>
      <c r="H61" s="119">
        <v>1758380</v>
      </c>
      <c r="I61" s="216">
        <v>1758380</v>
      </c>
      <c r="J61" s="119">
        <v>886710</v>
      </c>
      <c r="K61" s="119">
        <v>224400</v>
      </c>
      <c r="L61" s="216">
        <v>647270</v>
      </c>
      <c r="M61" s="126"/>
      <c r="N61" s="119">
        <v>1000000</v>
      </c>
      <c r="O61" s="216">
        <v>1000000</v>
      </c>
      <c r="P61" s="131"/>
    </row>
    <row r="62" spans="1:16" s="40" customFormat="1" ht="15.75">
      <c r="A62" s="37">
        <v>18</v>
      </c>
      <c r="B62" s="30" t="s">
        <v>1506</v>
      </c>
      <c r="C62" s="38"/>
      <c r="D62" s="39" t="s">
        <v>1046</v>
      </c>
      <c r="E62" s="47" t="s">
        <v>4105</v>
      </c>
      <c r="F62" s="107" t="s">
        <v>7632</v>
      </c>
      <c r="G62" s="119">
        <v>0</v>
      </c>
      <c r="H62" s="119">
        <v>12337000</v>
      </c>
      <c r="I62" s="216">
        <v>12337000</v>
      </c>
      <c r="J62" s="119">
        <v>3497000</v>
      </c>
      <c r="K62" s="119">
        <v>5460000</v>
      </c>
      <c r="L62" s="216">
        <v>3380000</v>
      </c>
      <c r="M62" s="126"/>
      <c r="N62" s="119">
        <v>8000000</v>
      </c>
      <c r="O62" s="216">
        <v>8000000</v>
      </c>
      <c r="P62" s="131"/>
    </row>
    <row r="63" spans="1:16" s="40" customFormat="1" ht="15.75">
      <c r="A63" s="37">
        <v>19</v>
      </c>
      <c r="B63" s="30" t="s">
        <v>1665</v>
      </c>
      <c r="C63" s="38"/>
      <c r="D63" s="39" t="s">
        <v>1046</v>
      </c>
      <c r="E63" s="47" t="s">
        <v>4106</v>
      </c>
      <c r="F63" s="107" t="s">
        <v>7633</v>
      </c>
      <c r="G63" s="119">
        <v>0</v>
      </c>
      <c r="H63" s="119">
        <v>1013360</v>
      </c>
      <c r="I63" s="216">
        <v>1013360</v>
      </c>
      <c r="J63" s="119">
        <v>506680</v>
      </c>
      <c r="K63" s="119">
        <v>0</v>
      </c>
      <c r="L63" s="216">
        <v>506680</v>
      </c>
      <c r="M63" s="126"/>
      <c r="N63" s="119">
        <v>0</v>
      </c>
      <c r="O63" s="216">
        <v>0</v>
      </c>
      <c r="P63" s="131"/>
    </row>
    <row r="64" spans="1:16" s="40" customFormat="1" ht="15.75">
      <c r="A64" s="37">
        <v>20</v>
      </c>
      <c r="B64" s="30" t="s">
        <v>1666</v>
      </c>
      <c r="C64" s="38"/>
      <c r="D64" s="39" t="s">
        <v>1046</v>
      </c>
      <c r="E64" s="47" t="s">
        <v>4107</v>
      </c>
      <c r="F64" s="107" t="s">
        <v>7634</v>
      </c>
      <c r="G64" s="119">
        <v>0</v>
      </c>
      <c r="H64" s="119">
        <v>6133357</v>
      </c>
      <c r="I64" s="216">
        <v>6133357</v>
      </c>
      <c r="J64" s="119">
        <v>1817181</v>
      </c>
      <c r="K64" s="119">
        <v>2498995</v>
      </c>
      <c r="L64" s="216">
        <v>1817181</v>
      </c>
      <c r="M64" s="126"/>
      <c r="N64" s="119">
        <v>0</v>
      </c>
      <c r="O64" s="216">
        <v>0</v>
      </c>
      <c r="P64" s="131"/>
    </row>
    <row r="65" spans="1:16" s="40" customFormat="1" ht="15.75">
      <c r="A65" s="37">
        <v>21</v>
      </c>
      <c r="B65" s="30" t="s">
        <v>1667</v>
      </c>
      <c r="C65" s="38"/>
      <c r="D65" s="39" t="s">
        <v>1046</v>
      </c>
      <c r="E65" s="47" t="s">
        <v>4108</v>
      </c>
      <c r="F65" s="107" t="s">
        <v>7635</v>
      </c>
      <c r="G65" s="119">
        <v>0</v>
      </c>
      <c r="H65" s="119">
        <v>2931398</v>
      </c>
      <c r="I65" s="216">
        <v>2931398</v>
      </c>
      <c r="J65" s="119">
        <v>1149283</v>
      </c>
      <c r="K65" s="119">
        <v>632832</v>
      </c>
      <c r="L65" s="216">
        <v>1149283</v>
      </c>
      <c r="M65" s="126"/>
      <c r="N65" s="119">
        <v>0</v>
      </c>
      <c r="O65" s="216">
        <v>0</v>
      </c>
      <c r="P65" s="131"/>
    </row>
    <row r="66" spans="1:16" s="40" customFormat="1" ht="15.75">
      <c r="A66" s="37">
        <v>22</v>
      </c>
      <c r="B66" s="30" t="s">
        <v>1668</v>
      </c>
      <c r="C66" s="38"/>
      <c r="D66" s="39" t="s">
        <v>1046</v>
      </c>
      <c r="E66" s="47" t="s">
        <v>4109</v>
      </c>
      <c r="F66" s="107"/>
      <c r="G66" s="119">
        <v>0</v>
      </c>
      <c r="H66" s="119">
        <v>698672</v>
      </c>
      <c r="I66" s="216">
        <v>698672</v>
      </c>
      <c r="J66" s="119">
        <v>349336</v>
      </c>
      <c r="K66" s="119">
        <v>0</v>
      </c>
      <c r="L66" s="216">
        <v>349336</v>
      </c>
      <c r="M66" s="126"/>
      <c r="N66" s="119">
        <v>0</v>
      </c>
      <c r="O66" s="216">
        <v>0</v>
      </c>
      <c r="P66" s="131"/>
    </row>
    <row r="67" spans="1:16" s="40" customFormat="1" ht="15.75">
      <c r="A67" s="37">
        <v>23</v>
      </c>
      <c r="B67" s="30" t="s">
        <v>1858</v>
      </c>
      <c r="C67" s="38"/>
      <c r="D67" s="39" t="s">
        <v>1046</v>
      </c>
      <c r="E67" s="47" t="s">
        <v>4110</v>
      </c>
      <c r="F67" s="107" t="s">
        <v>7636</v>
      </c>
      <c r="G67" s="119">
        <v>0</v>
      </c>
      <c r="H67" s="119">
        <v>2699359</v>
      </c>
      <c r="I67" s="216">
        <v>2699359</v>
      </c>
      <c r="J67" s="119">
        <v>436712</v>
      </c>
      <c r="K67" s="119">
        <v>1825935</v>
      </c>
      <c r="L67" s="216">
        <v>436712</v>
      </c>
      <c r="M67" s="126"/>
      <c r="N67" s="119">
        <v>4000000</v>
      </c>
      <c r="O67" s="216">
        <v>4000000</v>
      </c>
      <c r="P67" s="131"/>
    </row>
    <row r="68" spans="1:16" s="40" customFormat="1" ht="15.75">
      <c r="A68" s="37">
        <v>24</v>
      </c>
      <c r="B68" s="30" t="s">
        <v>1859</v>
      </c>
      <c r="C68" s="38"/>
      <c r="D68" s="39" t="s">
        <v>1046</v>
      </c>
      <c r="E68" s="47" t="s">
        <v>4111</v>
      </c>
      <c r="F68" s="107" t="s">
        <v>7637</v>
      </c>
      <c r="G68" s="119">
        <v>0</v>
      </c>
      <c r="H68" s="119">
        <v>0</v>
      </c>
      <c r="I68" s="216">
        <v>0</v>
      </c>
      <c r="J68" s="119">
        <v>0</v>
      </c>
      <c r="K68" s="119">
        <v>0</v>
      </c>
      <c r="L68" s="216">
        <v>0</v>
      </c>
      <c r="M68" s="126"/>
      <c r="N68" s="119">
        <v>500000</v>
      </c>
      <c r="O68" s="216">
        <v>500000</v>
      </c>
      <c r="P68" s="131"/>
    </row>
    <row r="69" spans="1:16" s="40" customFormat="1" ht="31.5">
      <c r="A69" s="37">
        <v>25</v>
      </c>
      <c r="B69" s="30" t="s">
        <v>1860</v>
      </c>
      <c r="C69" s="38"/>
      <c r="D69" s="39" t="s">
        <v>1046</v>
      </c>
      <c r="E69" s="47" t="s">
        <v>4112</v>
      </c>
      <c r="F69" s="107" t="s">
        <v>7638</v>
      </c>
      <c r="G69" s="119">
        <v>0</v>
      </c>
      <c r="H69" s="119">
        <v>0</v>
      </c>
      <c r="I69" s="216">
        <v>0</v>
      </c>
      <c r="J69" s="119">
        <v>0</v>
      </c>
      <c r="K69" s="119">
        <v>0</v>
      </c>
      <c r="L69" s="216">
        <v>0</v>
      </c>
      <c r="M69" s="126"/>
      <c r="N69" s="119">
        <v>500000</v>
      </c>
      <c r="O69" s="216">
        <v>500000</v>
      </c>
      <c r="P69" s="131"/>
    </row>
    <row r="70" spans="1:16" s="40" customFormat="1" ht="15.75">
      <c r="A70" s="37">
        <v>26</v>
      </c>
      <c r="B70" s="30" t="s">
        <v>1898</v>
      </c>
      <c r="C70" s="229" t="s">
        <v>1886</v>
      </c>
      <c r="D70" s="39" t="s">
        <v>1046</v>
      </c>
      <c r="E70" s="47" t="s">
        <v>4113</v>
      </c>
      <c r="F70" s="107" t="s">
        <v>7639</v>
      </c>
      <c r="G70" s="119">
        <v>0</v>
      </c>
      <c r="H70" s="119">
        <v>947525</v>
      </c>
      <c r="I70" s="216">
        <v>947525</v>
      </c>
      <c r="J70" s="119">
        <v>0</v>
      </c>
      <c r="K70" s="119">
        <v>947525</v>
      </c>
      <c r="L70" s="216">
        <v>0</v>
      </c>
      <c r="M70" s="126"/>
      <c r="N70" s="119">
        <v>0</v>
      </c>
      <c r="O70" s="216">
        <v>0</v>
      </c>
      <c r="P70" s="131"/>
    </row>
    <row r="71" spans="1:16" s="40" customFormat="1" ht="31.5">
      <c r="A71" s="37">
        <v>27</v>
      </c>
      <c r="B71" s="30" t="s">
        <v>1899</v>
      </c>
      <c r="C71" s="229" t="s">
        <v>1891</v>
      </c>
      <c r="D71" s="39" t="s">
        <v>1046</v>
      </c>
      <c r="E71" s="47" t="s">
        <v>4911</v>
      </c>
      <c r="F71" s="107" t="s">
        <v>7640</v>
      </c>
      <c r="G71" s="119">
        <v>0</v>
      </c>
      <c r="H71" s="119">
        <v>104653</v>
      </c>
      <c r="I71" s="216">
        <v>104653</v>
      </c>
      <c r="J71" s="119">
        <v>0</v>
      </c>
      <c r="K71" s="119">
        <v>104653</v>
      </c>
      <c r="L71" s="216">
        <v>0</v>
      </c>
      <c r="M71" s="126"/>
      <c r="N71" s="119">
        <v>0</v>
      </c>
      <c r="O71" s="216">
        <v>0</v>
      </c>
      <c r="P71" s="131"/>
    </row>
    <row r="72" spans="1:16" s="40" customFormat="1" ht="15.75">
      <c r="A72" s="37">
        <v>28</v>
      </c>
      <c r="B72" s="30" t="s">
        <v>1900</v>
      </c>
      <c r="C72" s="229" t="s">
        <v>1888</v>
      </c>
      <c r="D72" s="39" t="s">
        <v>1046</v>
      </c>
      <c r="E72" s="47" t="s">
        <v>4114</v>
      </c>
      <c r="F72" s="107" t="s">
        <v>7641</v>
      </c>
      <c r="G72" s="119">
        <v>0</v>
      </c>
      <c r="H72" s="119">
        <v>957564</v>
      </c>
      <c r="I72" s="216">
        <v>957564</v>
      </c>
      <c r="J72" s="119">
        <v>0</v>
      </c>
      <c r="K72" s="119">
        <v>957564</v>
      </c>
      <c r="L72" s="216">
        <v>0</v>
      </c>
      <c r="M72" s="126"/>
      <c r="N72" s="119">
        <v>0</v>
      </c>
      <c r="O72" s="216">
        <v>0</v>
      </c>
      <c r="P72" s="131"/>
    </row>
    <row r="73" spans="1:16" s="40" customFormat="1" ht="15.75">
      <c r="A73" s="37">
        <v>29</v>
      </c>
      <c r="B73" s="30" t="s">
        <v>12684</v>
      </c>
      <c r="C73" s="229"/>
      <c r="D73" s="39" t="s">
        <v>1046</v>
      </c>
      <c r="E73" s="47" t="s">
        <v>10541</v>
      </c>
      <c r="F73" s="107"/>
      <c r="G73" s="119">
        <v>0</v>
      </c>
      <c r="H73" s="119">
        <v>0</v>
      </c>
      <c r="I73" s="216">
        <v>0</v>
      </c>
      <c r="J73" s="119">
        <v>0</v>
      </c>
      <c r="K73" s="119">
        <v>0</v>
      </c>
      <c r="L73" s="216">
        <v>0</v>
      </c>
      <c r="M73" s="126"/>
      <c r="N73" s="119">
        <v>100000000</v>
      </c>
      <c r="O73" s="216">
        <v>100000000</v>
      </c>
      <c r="P73" s="131"/>
    </row>
    <row r="74" spans="1:16" s="40" customFormat="1" ht="15.75">
      <c r="A74" s="37"/>
      <c r="B74" s="27"/>
      <c r="C74" s="38"/>
      <c r="D74" s="39"/>
      <c r="E74" s="47"/>
      <c r="F74" s="107"/>
      <c r="G74" s="119">
        <v>0</v>
      </c>
      <c r="H74" s="119">
        <v>0</v>
      </c>
      <c r="I74" s="216">
        <v>0</v>
      </c>
      <c r="J74" s="119">
        <v>0</v>
      </c>
      <c r="K74" s="119">
        <v>0</v>
      </c>
      <c r="L74" s="216">
        <v>0</v>
      </c>
      <c r="M74" s="126"/>
      <c r="N74" s="119">
        <v>0</v>
      </c>
      <c r="O74" s="216">
        <v>0</v>
      </c>
      <c r="P74" s="131"/>
    </row>
    <row r="75" spans="1:16" s="40" customFormat="1" ht="15.75">
      <c r="A75" s="37"/>
      <c r="B75" s="27"/>
      <c r="C75" s="38"/>
      <c r="D75" s="39"/>
      <c r="E75" s="217" t="s">
        <v>4115</v>
      </c>
      <c r="F75" s="234" t="s">
        <v>7642</v>
      </c>
      <c r="G75" s="119">
        <v>0</v>
      </c>
      <c r="H75" s="119">
        <v>701610655</v>
      </c>
      <c r="I75" s="216">
        <v>701610655</v>
      </c>
      <c r="J75" s="119">
        <v>540124357</v>
      </c>
      <c r="K75" s="119">
        <v>84281128</v>
      </c>
      <c r="L75" s="216">
        <v>77205170</v>
      </c>
      <c r="M75" s="126"/>
      <c r="N75" s="119">
        <v>264900000</v>
      </c>
      <c r="O75" s="216">
        <v>264900000</v>
      </c>
      <c r="P75" s="131"/>
    </row>
    <row r="76" spans="1:16" s="40" customFormat="1" ht="15.75">
      <c r="A76" s="37"/>
      <c r="B76" s="27"/>
      <c r="C76" s="38"/>
      <c r="D76" s="39"/>
      <c r="E76" s="47"/>
      <c r="F76" s="107"/>
      <c r="G76" s="119">
        <v>0</v>
      </c>
      <c r="H76" s="119">
        <v>0</v>
      </c>
      <c r="I76" s="216">
        <v>0</v>
      </c>
      <c r="J76" s="119">
        <v>0</v>
      </c>
      <c r="K76" s="119">
        <v>0</v>
      </c>
      <c r="L76" s="216">
        <v>0</v>
      </c>
      <c r="M76" s="126"/>
      <c r="N76" s="119">
        <v>0</v>
      </c>
      <c r="O76" s="216">
        <v>0</v>
      </c>
      <c r="P76" s="131"/>
    </row>
    <row r="77" spans="1:16" s="40" customFormat="1" ht="15.75">
      <c r="A77" s="37"/>
      <c r="B77" s="27"/>
      <c r="C77" s="38"/>
      <c r="D77" s="39"/>
      <c r="E77" s="47"/>
      <c r="F77" s="107"/>
      <c r="G77" s="119">
        <v>0</v>
      </c>
      <c r="H77" s="119">
        <v>0</v>
      </c>
      <c r="I77" s="216">
        <v>0</v>
      </c>
      <c r="J77" s="119">
        <v>0</v>
      </c>
      <c r="K77" s="119">
        <v>0</v>
      </c>
      <c r="L77" s="216">
        <v>0</v>
      </c>
      <c r="M77" s="126"/>
      <c r="N77" s="119">
        <v>0</v>
      </c>
      <c r="O77" s="216">
        <v>0</v>
      </c>
      <c r="P77" s="131"/>
    </row>
    <row r="78" spans="1:16" s="40" customFormat="1" ht="15.75">
      <c r="A78" s="37"/>
      <c r="B78" s="27"/>
      <c r="C78" s="38"/>
      <c r="D78" s="39"/>
      <c r="E78" s="47" t="s">
        <v>4116</v>
      </c>
      <c r="F78" s="107" t="s">
        <v>7643</v>
      </c>
      <c r="G78" s="119">
        <v>0</v>
      </c>
      <c r="H78" s="119">
        <v>0</v>
      </c>
      <c r="I78" s="216">
        <v>0</v>
      </c>
      <c r="J78" s="119">
        <v>0</v>
      </c>
      <c r="K78" s="119">
        <v>0</v>
      </c>
      <c r="L78" s="216">
        <v>0</v>
      </c>
      <c r="M78" s="126"/>
      <c r="N78" s="119">
        <v>0</v>
      </c>
      <c r="O78" s="216">
        <v>0</v>
      </c>
      <c r="P78" s="131"/>
    </row>
    <row r="79" spans="1:16" s="40" customFormat="1" ht="15.75">
      <c r="A79" s="37">
        <v>1</v>
      </c>
      <c r="B79" s="27" t="s">
        <v>67</v>
      </c>
      <c r="C79" s="38"/>
      <c r="D79" s="39" t="s">
        <v>863</v>
      </c>
      <c r="E79" s="47" t="s">
        <v>4117</v>
      </c>
      <c r="F79" s="107" t="s">
        <v>7644</v>
      </c>
      <c r="G79" s="119">
        <v>0</v>
      </c>
      <c r="H79" s="119">
        <v>95698654</v>
      </c>
      <c r="I79" s="216">
        <v>95698654</v>
      </c>
      <c r="J79" s="119">
        <v>69647841</v>
      </c>
      <c r="K79" s="119">
        <v>15735013</v>
      </c>
      <c r="L79" s="216">
        <v>10315800</v>
      </c>
      <c r="M79" s="126"/>
      <c r="N79" s="119">
        <v>11500000</v>
      </c>
      <c r="O79" s="216">
        <v>11500000</v>
      </c>
      <c r="P79" s="131"/>
    </row>
    <row r="80" spans="1:16" s="40" customFormat="1" ht="31.5">
      <c r="A80" s="37">
        <v>2</v>
      </c>
      <c r="B80" s="30" t="s">
        <v>249</v>
      </c>
      <c r="C80" s="38"/>
      <c r="D80" s="39" t="s">
        <v>863</v>
      </c>
      <c r="E80" s="47" t="s">
        <v>4118</v>
      </c>
      <c r="F80" s="107" t="s">
        <v>7645</v>
      </c>
      <c r="G80" s="119">
        <v>0</v>
      </c>
      <c r="H80" s="119">
        <v>751249070</v>
      </c>
      <c r="I80" s="216">
        <v>751249070</v>
      </c>
      <c r="J80" s="119">
        <v>511255588</v>
      </c>
      <c r="K80" s="119">
        <v>122130000</v>
      </c>
      <c r="L80" s="216">
        <v>117863482</v>
      </c>
      <c r="M80" s="126"/>
      <c r="N80" s="119">
        <v>50000000</v>
      </c>
      <c r="O80" s="216">
        <v>50000000</v>
      </c>
      <c r="P80" s="131"/>
    </row>
    <row r="81" spans="1:16" s="40" customFormat="1" ht="15.75">
      <c r="A81" s="37">
        <v>3</v>
      </c>
      <c r="B81" s="30" t="s">
        <v>1486</v>
      </c>
      <c r="C81" s="38"/>
      <c r="D81" s="39"/>
      <c r="E81" s="47" t="s">
        <v>4119</v>
      </c>
      <c r="F81" s="107" t="s">
        <v>7646</v>
      </c>
      <c r="G81" s="119">
        <v>0</v>
      </c>
      <c r="H81" s="119">
        <v>0</v>
      </c>
      <c r="I81" s="216">
        <v>0</v>
      </c>
      <c r="J81" s="119">
        <v>0</v>
      </c>
      <c r="K81" s="119">
        <v>0</v>
      </c>
      <c r="L81" s="216">
        <v>0</v>
      </c>
      <c r="M81" s="126"/>
      <c r="N81" s="119">
        <v>1500000</v>
      </c>
      <c r="O81" s="216">
        <v>1500000</v>
      </c>
      <c r="P81" s="131"/>
    </row>
    <row r="82" spans="1:16" s="40" customFormat="1" ht="15.75">
      <c r="A82" s="37">
        <v>4</v>
      </c>
      <c r="B82" s="30" t="s">
        <v>1638</v>
      </c>
      <c r="C82" s="38"/>
      <c r="D82" s="39"/>
      <c r="E82" s="47" t="s">
        <v>4086</v>
      </c>
      <c r="F82" s="107" t="s">
        <v>7647</v>
      </c>
      <c r="G82" s="119">
        <v>0</v>
      </c>
      <c r="H82" s="119">
        <v>5882017</v>
      </c>
      <c r="I82" s="216">
        <v>5882017</v>
      </c>
      <c r="J82" s="119">
        <v>1684081</v>
      </c>
      <c r="K82" s="119">
        <v>2513855</v>
      </c>
      <c r="L82" s="216">
        <v>1684081</v>
      </c>
      <c r="M82" s="126"/>
      <c r="N82" s="119">
        <v>8000000</v>
      </c>
      <c r="O82" s="216">
        <v>8000000</v>
      </c>
      <c r="P82" s="131"/>
    </row>
    <row r="83" spans="1:16" s="40" customFormat="1" ht="15.75">
      <c r="A83" s="37">
        <v>5</v>
      </c>
      <c r="B83" s="30" t="s">
        <v>1861</v>
      </c>
      <c r="C83" s="38"/>
      <c r="D83" s="39" t="s">
        <v>863</v>
      </c>
      <c r="E83" s="47" t="s">
        <v>4120</v>
      </c>
      <c r="F83" s="107" t="s">
        <v>7648</v>
      </c>
      <c r="G83" s="119">
        <v>0</v>
      </c>
      <c r="H83" s="119">
        <v>2591333</v>
      </c>
      <c r="I83" s="216">
        <v>2591333</v>
      </c>
      <c r="J83" s="119">
        <v>0</v>
      </c>
      <c r="K83" s="119">
        <v>2591333</v>
      </c>
      <c r="L83" s="216">
        <v>0</v>
      </c>
      <c r="M83" s="126"/>
      <c r="N83" s="119">
        <v>2500000</v>
      </c>
      <c r="O83" s="216">
        <v>2500000</v>
      </c>
      <c r="P83" s="131"/>
    </row>
    <row r="84" spans="1:16" s="40" customFormat="1" ht="15.75">
      <c r="A84" s="37">
        <v>6</v>
      </c>
      <c r="B84" s="30" t="s">
        <v>1862</v>
      </c>
      <c r="C84" s="38"/>
      <c r="D84" s="39" t="s">
        <v>863</v>
      </c>
      <c r="E84" s="47" t="s">
        <v>4121</v>
      </c>
      <c r="F84" s="107" t="s">
        <v>7649</v>
      </c>
      <c r="G84" s="119">
        <v>0</v>
      </c>
      <c r="H84" s="119">
        <v>0</v>
      </c>
      <c r="I84" s="216">
        <v>0</v>
      </c>
      <c r="J84" s="119">
        <v>0</v>
      </c>
      <c r="K84" s="119">
        <v>0</v>
      </c>
      <c r="L84" s="216">
        <v>0</v>
      </c>
      <c r="M84" s="126"/>
      <c r="N84" s="119">
        <v>1000000</v>
      </c>
      <c r="O84" s="216">
        <v>1000000</v>
      </c>
      <c r="P84" s="131"/>
    </row>
    <row r="85" spans="1:16" s="40" customFormat="1" ht="15.75">
      <c r="A85" s="37">
        <v>7</v>
      </c>
      <c r="B85" s="30" t="s">
        <v>1863</v>
      </c>
      <c r="C85" s="38"/>
      <c r="D85" s="39" t="s">
        <v>863</v>
      </c>
      <c r="E85" s="47" t="s">
        <v>4122</v>
      </c>
      <c r="F85" s="107" t="s">
        <v>7650</v>
      </c>
      <c r="G85" s="119">
        <v>0</v>
      </c>
      <c r="H85" s="119">
        <v>289510</v>
      </c>
      <c r="I85" s="216">
        <v>289510</v>
      </c>
      <c r="J85" s="119">
        <v>0</v>
      </c>
      <c r="K85" s="119">
        <v>289510</v>
      </c>
      <c r="L85" s="216">
        <v>0</v>
      </c>
      <c r="M85" s="126"/>
      <c r="N85" s="119">
        <v>600000</v>
      </c>
      <c r="O85" s="216">
        <v>600000</v>
      </c>
      <c r="P85" s="131"/>
    </row>
    <row r="86" spans="1:16" s="40" customFormat="1" ht="31.5">
      <c r="A86" s="37">
        <v>8</v>
      </c>
      <c r="B86" s="30" t="s">
        <v>1864</v>
      </c>
      <c r="C86" s="38"/>
      <c r="D86" s="39"/>
      <c r="E86" s="47" t="s">
        <v>4123</v>
      </c>
      <c r="F86" s="107" t="s">
        <v>7651</v>
      </c>
      <c r="G86" s="119">
        <v>0</v>
      </c>
      <c r="H86" s="119">
        <v>0</v>
      </c>
      <c r="I86" s="216">
        <v>0</v>
      </c>
      <c r="J86" s="119">
        <v>0</v>
      </c>
      <c r="K86" s="119">
        <v>0</v>
      </c>
      <c r="L86" s="216">
        <v>0</v>
      </c>
      <c r="M86" s="126"/>
      <c r="N86" s="119">
        <v>1500000</v>
      </c>
      <c r="O86" s="216">
        <v>1500000</v>
      </c>
      <c r="P86" s="131"/>
    </row>
    <row r="87" spans="1:16" s="40" customFormat="1" ht="31.5">
      <c r="A87" s="37">
        <v>9</v>
      </c>
      <c r="B87" s="30" t="s">
        <v>1901</v>
      </c>
      <c r="C87" s="38"/>
      <c r="D87" s="39"/>
      <c r="E87" s="47" t="s">
        <v>4124</v>
      </c>
      <c r="F87" s="107" t="s">
        <v>7652</v>
      </c>
      <c r="G87" s="119">
        <v>0</v>
      </c>
      <c r="H87" s="119">
        <v>1407275</v>
      </c>
      <c r="I87" s="216">
        <v>1407275</v>
      </c>
      <c r="J87" s="119">
        <v>0</v>
      </c>
      <c r="K87" s="119">
        <v>1407275</v>
      </c>
      <c r="L87" s="216">
        <v>0</v>
      </c>
      <c r="M87" s="126"/>
      <c r="N87" s="119">
        <v>0</v>
      </c>
      <c r="O87" s="216">
        <v>0</v>
      </c>
      <c r="P87" s="131"/>
    </row>
    <row r="88" spans="1:16" s="40" customFormat="1" ht="15.75">
      <c r="A88" s="37">
        <v>10</v>
      </c>
      <c r="B88" s="30" t="s">
        <v>4903</v>
      </c>
      <c r="C88" s="38"/>
      <c r="D88" s="39"/>
      <c r="E88" s="47" t="s">
        <v>8783</v>
      </c>
      <c r="F88" s="107" t="s">
        <v>7653</v>
      </c>
      <c r="G88" s="119">
        <v>0</v>
      </c>
      <c r="H88" s="119">
        <v>0</v>
      </c>
      <c r="I88" s="216">
        <v>0</v>
      </c>
      <c r="J88" s="119">
        <v>0</v>
      </c>
      <c r="K88" s="119">
        <v>0</v>
      </c>
      <c r="L88" s="216">
        <v>0</v>
      </c>
      <c r="M88" s="126"/>
      <c r="N88" s="119">
        <v>1000000</v>
      </c>
      <c r="O88" s="216">
        <v>1000000</v>
      </c>
      <c r="P88" s="131"/>
    </row>
    <row r="89" spans="1:16" s="40" customFormat="1" ht="31.5">
      <c r="A89" s="37">
        <v>11</v>
      </c>
      <c r="B89" s="30" t="s">
        <v>5186</v>
      </c>
      <c r="C89" s="38"/>
      <c r="D89" s="39"/>
      <c r="E89" s="47" t="s">
        <v>5187</v>
      </c>
      <c r="F89" s="107" t="s">
        <v>7654</v>
      </c>
      <c r="G89" s="119">
        <v>0</v>
      </c>
      <c r="H89" s="119">
        <v>0</v>
      </c>
      <c r="I89" s="216">
        <v>0</v>
      </c>
      <c r="J89" s="119">
        <v>0</v>
      </c>
      <c r="K89" s="119">
        <v>0</v>
      </c>
      <c r="L89" s="216">
        <v>0</v>
      </c>
      <c r="M89" s="126"/>
      <c r="N89" s="119">
        <v>20000000</v>
      </c>
      <c r="O89" s="216">
        <v>20000000</v>
      </c>
      <c r="P89" s="131"/>
    </row>
    <row r="90" spans="1:16" s="40" customFormat="1" ht="15.75">
      <c r="A90" s="37">
        <v>12</v>
      </c>
      <c r="B90" s="30" t="s">
        <v>12685</v>
      </c>
      <c r="C90" s="38"/>
      <c r="D90" s="39"/>
      <c r="E90" s="47" t="s">
        <v>8634</v>
      </c>
      <c r="F90" s="107"/>
      <c r="G90" s="119">
        <v>0</v>
      </c>
      <c r="H90" s="119">
        <v>0</v>
      </c>
      <c r="I90" s="216">
        <v>0</v>
      </c>
      <c r="J90" s="119">
        <v>0</v>
      </c>
      <c r="K90" s="119">
        <v>0</v>
      </c>
      <c r="L90" s="216">
        <v>0</v>
      </c>
      <c r="M90" s="126"/>
      <c r="N90" s="119">
        <v>5000000</v>
      </c>
      <c r="O90" s="216">
        <v>5000000</v>
      </c>
      <c r="P90" s="131"/>
    </row>
    <row r="91" spans="1:16" s="40" customFormat="1" ht="31.5">
      <c r="A91" s="37">
        <v>13</v>
      </c>
      <c r="B91" s="30" t="s">
        <v>12686</v>
      </c>
      <c r="C91" s="38"/>
      <c r="D91" s="39"/>
      <c r="E91" s="47" t="s">
        <v>8784</v>
      </c>
      <c r="F91" s="107"/>
      <c r="G91" s="119">
        <v>0</v>
      </c>
      <c r="H91" s="119">
        <v>0</v>
      </c>
      <c r="I91" s="216">
        <v>0</v>
      </c>
      <c r="J91" s="119">
        <v>0</v>
      </c>
      <c r="K91" s="119">
        <v>0</v>
      </c>
      <c r="L91" s="216">
        <v>0</v>
      </c>
      <c r="M91" s="126"/>
      <c r="N91" s="119">
        <v>3000000</v>
      </c>
      <c r="O91" s="216">
        <v>3000000</v>
      </c>
      <c r="P91" s="131"/>
    </row>
    <row r="92" spans="1:16" s="40" customFormat="1" ht="15.75">
      <c r="A92" s="37">
        <v>14</v>
      </c>
      <c r="B92" s="30" t="s">
        <v>12687</v>
      </c>
      <c r="C92" s="38"/>
      <c r="D92" s="39"/>
      <c r="E92" s="47" t="s">
        <v>8785</v>
      </c>
      <c r="F92" s="107"/>
      <c r="G92" s="119">
        <v>0</v>
      </c>
      <c r="H92" s="119">
        <v>0</v>
      </c>
      <c r="I92" s="216">
        <v>0</v>
      </c>
      <c r="J92" s="119">
        <v>0</v>
      </c>
      <c r="K92" s="119">
        <v>0</v>
      </c>
      <c r="L92" s="216">
        <v>0</v>
      </c>
      <c r="M92" s="126"/>
      <c r="N92" s="119">
        <v>50000000</v>
      </c>
      <c r="O92" s="216">
        <v>50000000</v>
      </c>
      <c r="P92" s="131"/>
    </row>
    <row r="93" spans="1:16" s="40" customFormat="1" ht="15.75">
      <c r="A93" s="37"/>
      <c r="B93" s="27"/>
      <c r="C93" s="38"/>
      <c r="D93" s="39"/>
      <c r="E93" s="47"/>
      <c r="F93" s="107"/>
      <c r="G93" s="119">
        <v>0</v>
      </c>
      <c r="H93" s="119">
        <v>0</v>
      </c>
      <c r="I93" s="216">
        <v>0</v>
      </c>
      <c r="J93" s="119">
        <v>0</v>
      </c>
      <c r="K93" s="119">
        <v>0</v>
      </c>
      <c r="L93" s="216">
        <v>0</v>
      </c>
      <c r="M93" s="126"/>
      <c r="N93" s="119">
        <v>0</v>
      </c>
      <c r="O93" s="216">
        <v>0</v>
      </c>
      <c r="P93" s="131"/>
    </row>
    <row r="94" spans="1:16" s="40" customFormat="1" ht="15.75">
      <c r="A94" s="37"/>
      <c r="B94" s="27"/>
      <c r="C94" s="38"/>
      <c r="D94" s="39"/>
      <c r="E94" s="217" t="s">
        <v>4125</v>
      </c>
      <c r="F94" s="234" t="s">
        <v>7655</v>
      </c>
      <c r="G94" s="119">
        <v>0</v>
      </c>
      <c r="H94" s="119">
        <v>857117859</v>
      </c>
      <c r="I94" s="216">
        <v>857117859</v>
      </c>
      <c r="J94" s="119">
        <v>582587510</v>
      </c>
      <c r="K94" s="119">
        <v>144666986</v>
      </c>
      <c r="L94" s="216">
        <v>129863363</v>
      </c>
      <c r="M94" s="126"/>
      <c r="N94" s="119">
        <v>155600000</v>
      </c>
      <c r="O94" s="216">
        <v>155600000</v>
      </c>
      <c r="P94" s="131"/>
    </row>
    <row r="95" spans="1:16" s="40" customFormat="1" ht="15.75">
      <c r="A95" s="37"/>
      <c r="B95" s="27"/>
      <c r="C95" s="38"/>
      <c r="D95" s="39"/>
      <c r="E95" s="47"/>
      <c r="F95" s="107"/>
      <c r="G95" s="119">
        <v>0</v>
      </c>
      <c r="H95" s="119">
        <v>0</v>
      </c>
      <c r="I95" s="216">
        <v>0</v>
      </c>
      <c r="J95" s="119">
        <v>0</v>
      </c>
      <c r="K95" s="119">
        <v>0</v>
      </c>
      <c r="L95" s="216">
        <v>0</v>
      </c>
      <c r="M95" s="126"/>
      <c r="N95" s="119">
        <v>0</v>
      </c>
      <c r="O95" s="216">
        <v>0</v>
      </c>
      <c r="P95" s="131"/>
    </row>
    <row r="96" spans="1:16" s="40" customFormat="1" ht="15.75">
      <c r="A96" s="37"/>
      <c r="B96" s="27"/>
      <c r="C96" s="38"/>
      <c r="D96" s="39"/>
      <c r="E96" s="47" t="s">
        <v>4126</v>
      </c>
      <c r="F96" s="107" t="s">
        <v>7656</v>
      </c>
      <c r="G96" s="119">
        <v>0</v>
      </c>
      <c r="H96" s="119">
        <v>0</v>
      </c>
      <c r="I96" s="216">
        <v>0</v>
      </c>
      <c r="J96" s="119">
        <v>0</v>
      </c>
      <c r="K96" s="119">
        <v>0</v>
      </c>
      <c r="L96" s="216">
        <v>0</v>
      </c>
      <c r="M96" s="126"/>
      <c r="N96" s="119">
        <v>0</v>
      </c>
      <c r="O96" s="216">
        <v>0</v>
      </c>
      <c r="P96" s="131"/>
    </row>
    <row r="97" spans="1:16" s="40" customFormat="1" ht="15.75">
      <c r="A97" s="37">
        <v>1</v>
      </c>
      <c r="B97" s="30" t="s">
        <v>175</v>
      </c>
      <c r="C97" s="38"/>
      <c r="D97" s="39"/>
      <c r="E97" s="47" t="s">
        <v>4127</v>
      </c>
      <c r="F97" s="107" t="s">
        <v>7657</v>
      </c>
      <c r="G97" s="119">
        <v>0</v>
      </c>
      <c r="H97" s="119">
        <v>189285932</v>
      </c>
      <c r="I97" s="216">
        <v>189285932</v>
      </c>
      <c r="J97" s="119">
        <v>114000095</v>
      </c>
      <c r="K97" s="119">
        <v>51309635</v>
      </c>
      <c r="L97" s="216">
        <v>23976202</v>
      </c>
      <c r="M97" s="126"/>
      <c r="N97" s="119">
        <v>100000000</v>
      </c>
      <c r="O97" s="216">
        <v>100000000</v>
      </c>
      <c r="P97" s="131"/>
    </row>
    <row r="98" spans="1:16" s="40" customFormat="1" ht="31.5">
      <c r="A98" s="37">
        <v>2</v>
      </c>
      <c r="B98" s="30" t="s">
        <v>1669</v>
      </c>
      <c r="C98" s="38"/>
      <c r="D98" s="39"/>
      <c r="E98" s="47" t="s">
        <v>4912</v>
      </c>
      <c r="F98" s="107" t="s">
        <v>7658</v>
      </c>
      <c r="G98" s="119">
        <v>0</v>
      </c>
      <c r="H98" s="119">
        <v>0</v>
      </c>
      <c r="I98" s="216">
        <v>0</v>
      </c>
      <c r="J98" s="119">
        <v>0</v>
      </c>
      <c r="K98" s="119">
        <v>0</v>
      </c>
      <c r="L98" s="216">
        <v>0</v>
      </c>
      <c r="M98" s="126"/>
      <c r="N98" s="119">
        <v>2500000</v>
      </c>
      <c r="O98" s="216">
        <v>2500000</v>
      </c>
      <c r="P98" s="131"/>
    </row>
    <row r="99" spans="1:16" s="40" customFormat="1" ht="31.5">
      <c r="A99" s="37">
        <v>3</v>
      </c>
      <c r="B99" s="30" t="s">
        <v>1902</v>
      </c>
      <c r="C99" s="38"/>
      <c r="D99" s="39"/>
      <c r="E99" s="47" t="s">
        <v>4913</v>
      </c>
      <c r="F99" s="107" t="s">
        <v>7659</v>
      </c>
      <c r="G99" s="119">
        <v>0</v>
      </c>
      <c r="H99" s="119">
        <v>1732874</v>
      </c>
      <c r="I99" s="216">
        <v>1732874</v>
      </c>
      <c r="J99" s="119">
        <v>0</v>
      </c>
      <c r="K99" s="119">
        <v>1732874</v>
      </c>
      <c r="L99" s="216">
        <v>0</v>
      </c>
      <c r="M99" s="126"/>
      <c r="N99" s="119">
        <v>1000000</v>
      </c>
      <c r="O99" s="216">
        <v>1000000</v>
      </c>
      <c r="P99" s="131"/>
    </row>
    <row r="100" spans="1:16" s="40" customFormat="1" ht="31.5">
      <c r="A100" s="37">
        <v>4</v>
      </c>
      <c r="B100" s="30" t="s">
        <v>4904</v>
      </c>
      <c r="C100" s="38"/>
      <c r="D100" s="39"/>
      <c r="E100" s="47" t="s">
        <v>4128</v>
      </c>
      <c r="F100" s="107" t="s">
        <v>7660</v>
      </c>
      <c r="G100" s="119">
        <v>0</v>
      </c>
      <c r="H100" s="119">
        <v>0</v>
      </c>
      <c r="I100" s="216">
        <v>0</v>
      </c>
      <c r="J100" s="119">
        <v>0</v>
      </c>
      <c r="K100" s="119">
        <v>0</v>
      </c>
      <c r="L100" s="216">
        <v>0</v>
      </c>
      <c r="M100" s="126"/>
      <c r="N100" s="119">
        <v>3000000</v>
      </c>
      <c r="O100" s="216">
        <v>3000000</v>
      </c>
      <c r="P100" s="131"/>
    </row>
    <row r="101" spans="1:16" s="40" customFormat="1" ht="15.75">
      <c r="A101" s="37">
        <v>5</v>
      </c>
      <c r="B101" s="30" t="s">
        <v>4905</v>
      </c>
      <c r="C101" s="38"/>
      <c r="D101" s="39"/>
      <c r="E101" s="47" t="s">
        <v>4906</v>
      </c>
      <c r="F101" s="107" t="s">
        <v>7661</v>
      </c>
      <c r="G101" s="119">
        <v>0</v>
      </c>
      <c r="H101" s="119">
        <v>0</v>
      </c>
      <c r="I101" s="216">
        <v>0</v>
      </c>
      <c r="J101" s="119">
        <v>0</v>
      </c>
      <c r="K101" s="119">
        <v>0</v>
      </c>
      <c r="L101" s="216">
        <v>0</v>
      </c>
      <c r="M101" s="126"/>
      <c r="N101" s="119">
        <v>3000000</v>
      </c>
      <c r="O101" s="216">
        <v>3000000</v>
      </c>
      <c r="P101" s="131"/>
    </row>
    <row r="102" spans="1:16" s="40" customFormat="1" ht="31.5">
      <c r="A102" s="37">
        <v>6</v>
      </c>
      <c r="B102" s="27" t="s">
        <v>5254</v>
      </c>
      <c r="C102" s="38"/>
      <c r="D102" s="39"/>
      <c r="E102" s="47" t="s">
        <v>5253</v>
      </c>
      <c r="F102" s="107" t="s">
        <v>7662</v>
      </c>
      <c r="G102" s="119">
        <v>0</v>
      </c>
      <c r="H102" s="119">
        <v>0</v>
      </c>
      <c r="I102" s="216">
        <v>0</v>
      </c>
      <c r="J102" s="119">
        <v>0</v>
      </c>
      <c r="K102" s="119">
        <v>0</v>
      </c>
      <c r="L102" s="216">
        <v>0</v>
      </c>
      <c r="M102" s="126"/>
      <c r="N102" s="119">
        <v>15000000</v>
      </c>
      <c r="O102" s="216">
        <v>15000000</v>
      </c>
      <c r="P102" s="131"/>
    </row>
    <row r="103" spans="1:16" s="40" customFormat="1" ht="15.75">
      <c r="A103" s="37"/>
      <c r="B103" s="27"/>
      <c r="C103" s="38"/>
      <c r="D103" s="39"/>
      <c r="E103" s="47"/>
      <c r="F103" s="107"/>
      <c r="G103" s="119">
        <v>0</v>
      </c>
      <c r="H103" s="119">
        <v>0</v>
      </c>
      <c r="I103" s="216">
        <v>0</v>
      </c>
      <c r="J103" s="119">
        <v>0</v>
      </c>
      <c r="K103" s="119">
        <v>0</v>
      </c>
      <c r="L103" s="216">
        <v>0</v>
      </c>
      <c r="M103" s="126"/>
      <c r="N103" s="119">
        <v>0</v>
      </c>
      <c r="O103" s="216">
        <v>0</v>
      </c>
      <c r="P103" s="131"/>
    </row>
    <row r="104" spans="1:16" s="40" customFormat="1" ht="15.75">
      <c r="A104" s="37"/>
      <c r="B104" s="27"/>
      <c r="C104" s="38"/>
      <c r="D104" s="39"/>
      <c r="E104" s="217" t="s">
        <v>4129</v>
      </c>
      <c r="F104" s="234" t="s">
        <v>7663</v>
      </c>
      <c r="G104" s="119">
        <v>0</v>
      </c>
      <c r="H104" s="119">
        <v>191018806</v>
      </c>
      <c r="I104" s="216">
        <v>191018806</v>
      </c>
      <c r="J104" s="119">
        <v>114000095</v>
      </c>
      <c r="K104" s="119">
        <v>53042509</v>
      </c>
      <c r="L104" s="216">
        <v>23976202</v>
      </c>
      <c r="M104" s="126"/>
      <c r="N104" s="119">
        <v>124500000</v>
      </c>
      <c r="O104" s="216">
        <v>124500000</v>
      </c>
      <c r="P104" s="131"/>
    </row>
    <row r="105" spans="1:16" s="40" customFormat="1" ht="15.75">
      <c r="A105" s="37"/>
      <c r="B105" s="27"/>
      <c r="C105" s="38"/>
      <c r="D105" s="39"/>
      <c r="E105" s="231"/>
      <c r="F105" s="107"/>
      <c r="G105" s="119"/>
      <c r="H105" s="119"/>
      <c r="I105" s="216"/>
      <c r="J105" s="119"/>
      <c r="K105" s="119"/>
      <c r="L105" s="216"/>
      <c r="M105" s="126"/>
      <c r="N105" s="119"/>
      <c r="O105" s="216"/>
      <c r="P105" s="131"/>
    </row>
    <row r="106" spans="1:16" s="40" customFormat="1" ht="15.75">
      <c r="A106" s="37"/>
      <c r="B106" s="27"/>
      <c r="C106" s="38"/>
      <c r="D106" s="39"/>
      <c r="E106" s="231"/>
      <c r="F106" s="107"/>
      <c r="G106" s="131"/>
      <c r="H106" s="131"/>
      <c r="I106" s="131"/>
      <c r="J106" s="131"/>
      <c r="K106" s="131"/>
      <c r="L106" s="131"/>
      <c r="M106" s="131"/>
      <c r="N106" s="131"/>
      <c r="O106" s="131"/>
      <c r="P106" s="131"/>
    </row>
    <row r="107" spans="1:16" s="40" customFormat="1" ht="15.75">
      <c r="A107" s="27" t="s">
        <v>755</v>
      </c>
      <c r="B107" s="27" t="s">
        <v>521</v>
      </c>
      <c r="C107" s="38" t="s">
        <v>755</v>
      </c>
      <c r="D107" s="38" t="s">
        <v>755</v>
      </c>
      <c r="E107" s="91" t="s">
        <v>4077</v>
      </c>
      <c r="F107" s="230" t="s">
        <v>7599</v>
      </c>
      <c r="G107" s="119">
        <v>33377000</v>
      </c>
      <c r="H107" s="119">
        <v>2708515080</v>
      </c>
      <c r="I107" s="119">
        <v>2741892080</v>
      </c>
      <c r="J107" s="119">
        <v>2206682025</v>
      </c>
      <c r="K107" s="119">
        <v>328632752</v>
      </c>
      <c r="L107" s="119">
        <v>206577303</v>
      </c>
      <c r="M107" s="119">
        <v>0</v>
      </c>
      <c r="N107" s="119">
        <v>86000000</v>
      </c>
      <c r="O107" s="119">
        <v>86000000</v>
      </c>
      <c r="P107" s="119"/>
    </row>
    <row r="108" spans="1:16" s="40" customFormat="1" ht="15.75">
      <c r="A108" s="27" t="s">
        <v>755</v>
      </c>
      <c r="B108" s="27" t="s">
        <v>755</v>
      </c>
      <c r="C108" s="38" t="s">
        <v>755</v>
      </c>
      <c r="D108" s="38" t="s">
        <v>755</v>
      </c>
      <c r="E108" s="91" t="s">
        <v>3661</v>
      </c>
      <c r="F108" s="230" t="s">
        <v>7600</v>
      </c>
      <c r="G108" s="119">
        <v>0</v>
      </c>
      <c r="H108" s="119">
        <v>375461542</v>
      </c>
      <c r="I108" s="119">
        <v>375461542</v>
      </c>
      <c r="J108" s="119">
        <v>329485483</v>
      </c>
      <c r="K108" s="119">
        <v>34019506</v>
      </c>
      <c r="L108" s="119">
        <v>11956553</v>
      </c>
      <c r="M108" s="119">
        <v>0</v>
      </c>
      <c r="N108" s="119">
        <v>16560000</v>
      </c>
      <c r="O108" s="119">
        <v>16560000</v>
      </c>
      <c r="P108" s="119"/>
    </row>
    <row r="109" spans="1:16" s="40" customFormat="1" ht="15.75">
      <c r="A109" s="27" t="s">
        <v>755</v>
      </c>
      <c r="B109" s="27" t="s">
        <v>259</v>
      </c>
      <c r="C109" s="38" t="s">
        <v>755</v>
      </c>
      <c r="D109" s="38" t="s">
        <v>755</v>
      </c>
      <c r="E109" s="91" t="s">
        <v>4087</v>
      </c>
      <c r="F109" s="230" t="s">
        <v>7613</v>
      </c>
      <c r="G109" s="119">
        <v>0</v>
      </c>
      <c r="H109" s="119">
        <v>810863546</v>
      </c>
      <c r="I109" s="119">
        <v>810863546</v>
      </c>
      <c r="J109" s="119">
        <v>598610721</v>
      </c>
      <c r="K109" s="119">
        <v>110515606</v>
      </c>
      <c r="L109" s="119">
        <v>101737219</v>
      </c>
      <c r="M109" s="119">
        <v>0</v>
      </c>
      <c r="N109" s="119">
        <v>144000000</v>
      </c>
      <c r="O109" s="119">
        <v>144000000</v>
      </c>
      <c r="P109" s="119"/>
    </row>
    <row r="110" spans="1:16" s="40" customFormat="1" ht="15.75">
      <c r="A110" s="27" t="s">
        <v>755</v>
      </c>
      <c r="B110" s="27" t="s">
        <v>260</v>
      </c>
      <c r="C110" s="38" t="s">
        <v>755</v>
      </c>
      <c r="D110" s="38" t="s">
        <v>755</v>
      </c>
      <c r="E110" s="91" t="s">
        <v>4115</v>
      </c>
      <c r="F110" s="230" t="s">
        <v>7642</v>
      </c>
      <c r="G110" s="119">
        <v>0</v>
      </c>
      <c r="H110" s="119">
        <v>701610655</v>
      </c>
      <c r="I110" s="119">
        <v>701610655</v>
      </c>
      <c r="J110" s="119">
        <v>540124357</v>
      </c>
      <c r="K110" s="119">
        <v>84281128</v>
      </c>
      <c r="L110" s="119">
        <v>77205170</v>
      </c>
      <c r="M110" s="119">
        <v>0</v>
      </c>
      <c r="N110" s="119">
        <v>264900000</v>
      </c>
      <c r="O110" s="119">
        <v>264900000</v>
      </c>
      <c r="P110" s="119"/>
    </row>
    <row r="111" spans="1:16" s="40" customFormat="1" ht="15.75">
      <c r="A111" s="27" t="s">
        <v>755</v>
      </c>
      <c r="B111" s="27" t="s">
        <v>261</v>
      </c>
      <c r="C111" s="38" t="s">
        <v>755</v>
      </c>
      <c r="D111" s="38" t="s">
        <v>755</v>
      </c>
      <c r="E111" s="91" t="s">
        <v>4125</v>
      </c>
      <c r="F111" s="230" t="s">
        <v>7655</v>
      </c>
      <c r="G111" s="119">
        <v>0</v>
      </c>
      <c r="H111" s="119">
        <v>857117859</v>
      </c>
      <c r="I111" s="119">
        <v>857117859</v>
      </c>
      <c r="J111" s="119">
        <v>582587510</v>
      </c>
      <c r="K111" s="119">
        <v>144666986</v>
      </c>
      <c r="L111" s="119">
        <v>129863363</v>
      </c>
      <c r="M111" s="119">
        <v>0</v>
      </c>
      <c r="N111" s="119">
        <v>155600000</v>
      </c>
      <c r="O111" s="119">
        <v>155600000</v>
      </c>
      <c r="P111" s="119"/>
    </row>
    <row r="112" spans="1:16" s="40" customFormat="1" ht="15.75">
      <c r="A112" s="27" t="s">
        <v>755</v>
      </c>
      <c r="B112" s="30" t="s">
        <v>174</v>
      </c>
      <c r="C112" s="38" t="s">
        <v>755</v>
      </c>
      <c r="D112" s="38" t="s">
        <v>755</v>
      </c>
      <c r="E112" s="91" t="s">
        <v>4129</v>
      </c>
      <c r="F112" s="230" t="s">
        <v>7663</v>
      </c>
      <c r="G112" s="119">
        <v>0</v>
      </c>
      <c r="H112" s="119">
        <v>191018806</v>
      </c>
      <c r="I112" s="119">
        <v>191018806</v>
      </c>
      <c r="J112" s="119">
        <v>114000095</v>
      </c>
      <c r="K112" s="119">
        <v>53042509</v>
      </c>
      <c r="L112" s="119">
        <v>23976202</v>
      </c>
      <c r="M112" s="119">
        <v>0</v>
      </c>
      <c r="N112" s="119">
        <v>124500000</v>
      </c>
      <c r="O112" s="119">
        <v>124500000</v>
      </c>
      <c r="P112" s="119"/>
    </row>
    <row r="113" spans="1:16" s="40" customFormat="1" ht="15.75">
      <c r="A113" s="27" t="s">
        <v>755</v>
      </c>
      <c r="B113" s="27" t="s">
        <v>755</v>
      </c>
      <c r="C113" s="38" t="s">
        <v>755</v>
      </c>
      <c r="D113" s="38" t="s">
        <v>755</v>
      </c>
      <c r="E113" s="91"/>
      <c r="F113" s="230"/>
      <c r="G113" s="119"/>
      <c r="H113" s="119"/>
      <c r="I113" s="119"/>
      <c r="J113" s="119"/>
      <c r="K113" s="119"/>
      <c r="L113" s="119"/>
      <c r="M113" s="119"/>
      <c r="N113" s="119"/>
      <c r="O113" s="119"/>
      <c r="P113" s="119"/>
    </row>
    <row r="114" spans="1:16" s="40" customFormat="1" ht="15.75">
      <c r="A114" s="27" t="s">
        <v>755</v>
      </c>
      <c r="B114" s="27" t="s">
        <v>262</v>
      </c>
      <c r="C114" s="38" t="s">
        <v>755</v>
      </c>
      <c r="D114" s="38" t="s">
        <v>755</v>
      </c>
      <c r="E114" s="235" t="s">
        <v>3674</v>
      </c>
      <c r="F114" s="234" t="s">
        <v>5478</v>
      </c>
      <c r="G114" s="129">
        <v>33377000</v>
      </c>
      <c r="H114" s="129">
        <v>5644587488</v>
      </c>
      <c r="I114" s="129">
        <v>5677964488</v>
      </c>
      <c r="J114" s="129">
        <v>4371490191</v>
      </c>
      <c r="K114" s="129">
        <v>755158487</v>
      </c>
      <c r="L114" s="129">
        <v>551315810</v>
      </c>
      <c r="M114" s="129">
        <v>0</v>
      </c>
      <c r="N114" s="129">
        <v>791560000</v>
      </c>
      <c r="O114" s="129">
        <v>791560000</v>
      </c>
      <c r="P114" s="129">
        <v>0</v>
      </c>
    </row>
    <row r="115" spans="1:16" s="40" customFormat="1" ht="15.75">
      <c r="A115" s="37"/>
      <c r="B115" s="27"/>
      <c r="C115" s="38"/>
      <c r="D115" s="39"/>
      <c r="E115" s="231"/>
      <c r="F115" s="107"/>
      <c r="G115" s="131"/>
      <c r="H115" s="131"/>
      <c r="I115" s="131"/>
      <c r="J115" s="131"/>
      <c r="K115" s="131"/>
      <c r="L115" s="131"/>
      <c r="M115" s="131"/>
      <c r="N115" s="131"/>
      <c r="O115" s="131"/>
      <c r="P115" s="131"/>
    </row>
  </sheetData>
  <mergeCells count="20">
    <mergeCell ref="N3:N5"/>
    <mergeCell ref="L2:L5"/>
    <mergeCell ref="M2:N2"/>
    <mergeCell ref="J1:P1"/>
    <mergeCell ref="J2:J5"/>
    <mergeCell ref="K2:K5"/>
    <mergeCell ref="O2:O5"/>
    <mergeCell ref="P2:P5"/>
    <mergeCell ref="M3:M5"/>
    <mergeCell ref="A1:I1"/>
    <mergeCell ref="A2:A5"/>
    <mergeCell ref="B2:B5"/>
    <mergeCell ref="C2:C5"/>
    <mergeCell ref="D2:D5"/>
    <mergeCell ref="E2:E5"/>
    <mergeCell ref="G2:I2"/>
    <mergeCell ref="G3:G5"/>
    <mergeCell ref="H3:H5"/>
    <mergeCell ref="I3:I5"/>
    <mergeCell ref="F2:F5"/>
  </mergeCells>
  <phoneticPr fontId="8" type="noConversion"/>
  <printOptions horizontalCentered="1" gridLines="1"/>
  <pageMargins left="0.5" right="0.5" top="0.7" bottom="1.5" header="0.5" footer="0.5"/>
  <pageSetup paperSize="5" firstPageNumber="134" pageOrder="overThenDown" orientation="portrait" blackAndWhite="1" useFirstPageNumber="1" r:id="rId1"/>
  <headerFooter alignWithMargins="0">
    <oddHeader>&amp;C&amp;P</oddHeader>
  </headerFooter>
  <rowBreaks count="2" manualBreakCount="2">
    <brk id="43" max="17" man="1"/>
    <brk id="77"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7" codeName="Sheet19">
    <tabColor indexed="45"/>
  </sheetPr>
  <dimension ref="A1:I161"/>
  <sheetViews>
    <sheetView showZeros="0" zoomScaleNormal="100" zoomScaleSheetLayoutView="100" workbookViewId="0">
      <pane ySplit="6" topLeftCell="A7" activePane="bottomLeft" state="frozen"/>
      <selection pane="bottomLeft" activeCell="A7" sqref="A7"/>
    </sheetView>
  </sheetViews>
  <sheetFormatPr defaultColWidth="9.33203125" defaultRowHeight="12"/>
  <cols>
    <col min="1" max="1" width="4.83203125" customWidth="1"/>
    <col min="2" max="2" width="12.83203125" customWidth="1"/>
    <col min="3" max="3" width="36.83203125" customWidth="1"/>
    <col min="4" max="4" width="36.83203125" style="110" hidden="1" customWidth="1"/>
    <col min="5" max="9" width="13" style="49" customWidth="1"/>
  </cols>
  <sheetData>
    <row r="1" spans="1:9" ht="16.5">
      <c r="A1" s="326" t="s">
        <v>13073</v>
      </c>
      <c r="B1" s="326"/>
      <c r="C1" s="326"/>
      <c r="D1" s="326"/>
      <c r="E1" s="326"/>
      <c r="F1" s="326"/>
      <c r="G1" s="326"/>
      <c r="H1" s="326"/>
      <c r="I1" s="326"/>
    </row>
    <row r="2" spans="1:9" ht="15.75" customHeight="1">
      <c r="A2" s="315" t="s">
        <v>3663</v>
      </c>
      <c r="B2" s="317" t="s">
        <v>2071</v>
      </c>
      <c r="C2" s="317"/>
      <c r="D2" s="335" t="s">
        <v>924</v>
      </c>
      <c r="E2" s="334" t="s">
        <v>3142</v>
      </c>
      <c r="F2" s="334"/>
      <c r="G2" s="334"/>
      <c r="H2" s="327" t="s">
        <v>13059</v>
      </c>
      <c r="I2" s="327" t="s">
        <v>13060</v>
      </c>
    </row>
    <row r="3" spans="1:9" ht="15.75" customHeight="1">
      <c r="A3" s="315"/>
      <c r="B3" s="317"/>
      <c r="C3" s="317"/>
      <c r="D3" s="336"/>
      <c r="E3" s="327" t="s">
        <v>1727</v>
      </c>
      <c r="F3" s="327" t="s">
        <v>2069</v>
      </c>
      <c r="G3" s="327" t="s">
        <v>1762</v>
      </c>
      <c r="H3" s="327"/>
      <c r="I3" s="327"/>
    </row>
    <row r="4" spans="1:9" ht="15.75" customHeight="1">
      <c r="A4" s="315"/>
      <c r="B4" s="317"/>
      <c r="C4" s="317"/>
      <c r="D4" s="336"/>
      <c r="E4" s="327"/>
      <c r="F4" s="327"/>
      <c r="G4" s="327"/>
      <c r="H4" s="327"/>
      <c r="I4" s="327"/>
    </row>
    <row r="5" spans="1:9" ht="15.75" customHeight="1">
      <c r="A5" s="315"/>
      <c r="B5" s="317"/>
      <c r="C5" s="317"/>
      <c r="D5" s="337"/>
      <c r="E5" s="327"/>
      <c r="F5" s="327"/>
      <c r="G5" s="327"/>
      <c r="H5" s="327"/>
      <c r="I5" s="327"/>
    </row>
    <row r="6" spans="1:9" ht="15.75">
      <c r="A6" s="5"/>
      <c r="B6" s="1"/>
      <c r="C6" s="2"/>
      <c r="D6" s="111"/>
      <c r="E6" s="116"/>
      <c r="F6" s="116"/>
      <c r="G6" s="116"/>
      <c r="H6" s="116"/>
      <c r="I6" s="116"/>
    </row>
    <row r="7" spans="1:9" s="4" customFormat="1" ht="15.75">
      <c r="A7" s="237"/>
      <c r="B7" s="9"/>
      <c r="C7" s="238" t="s">
        <v>4130</v>
      </c>
      <c r="D7" s="239" t="s">
        <v>7664</v>
      </c>
      <c r="E7" s="240"/>
      <c r="F7" s="240"/>
      <c r="G7" s="240"/>
      <c r="H7" s="240"/>
      <c r="I7" s="240"/>
    </row>
    <row r="8" spans="1:9" s="4" customFormat="1" ht="15.75">
      <c r="A8" s="237"/>
      <c r="B8" s="9"/>
      <c r="C8" s="238" t="s">
        <v>4131</v>
      </c>
      <c r="D8" s="239" t="s">
        <v>7665</v>
      </c>
      <c r="E8" s="240"/>
      <c r="F8" s="240"/>
      <c r="G8" s="240"/>
      <c r="H8" s="240"/>
      <c r="I8" s="240"/>
    </row>
    <row r="9" spans="1:9" s="4" customFormat="1" ht="15.75">
      <c r="A9" s="237">
        <v>1</v>
      </c>
      <c r="B9" s="9" t="s">
        <v>263</v>
      </c>
      <c r="C9" s="241" t="s">
        <v>4132</v>
      </c>
      <c r="D9" s="239" t="s">
        <v>7666</v>
      </c>
      <c r="E9" s="240">
        <v>0</v>
      </c>
      <c r="F9" s="240">
        <v>0</v>
      </c>
      <c r="G9" s="240">
        <v>0</v>
      </c>
      <c r="H9" s="240">
        <v>3500000</v>
      </c>
      <c r="I9" s="240">
        <v>5000000</v>
      </c>
    </row>
    <row r="10" spans="1:9" s="4" customFormat="1" ht="15.75">
      <c r="A10" s="237">
        <v>2</v>
      </c>
      <c r="B10" s="9" t="s">
        <v>264</v>
      </c>
      <c r="C10" s="241" t="s">
        <v>4133</v>
      </c>
      <c r="D10" s="239" t="s">
        <v>7667</v>
      </c>
      <c r="E10" s="240">
        <v>7532054</v>
      </c>
      <c r="F10" s="240">
        <v>13029718</v>
      </c>
      <c r="G10" s="240">
        <v>10537543</v>
      </c>
      <c r="H10" s="240">
        <v>3500000</v>
      </c>
      <c r="I10" s="240">
        <v>5000000</v>
      </c>
    </row>
    <row r="11" spans="1:9" s="4" customFormat="1" ht="15.75">
      <c r="A11" s="237">
        <v>3</v>
      </c>
      <c r="B11" s="9" t="s">
        <v>265</v>
      </c>
      <c r="C11" s="241" t="s">
        <v>4134</v>
      </c>
      <c r="D11" s="239" t="s">
        <v>7668</v>
      </c>
      <c r="E11" s="240">
        <v>9635820</v>
      </c>
      <c r="F11" s="240">
        <v>2017582</v>
      </c>
      <c r="G11" s="240">
        <v>3329762</v>
      </c>
      <c r="H11" s="240">
        <v>3500000</v>
      </c>
      <c r="I11" s="240">
        <v>5000000</v>
      </c>
    </row>
    <row r="12" spans="1:9" s="4" customFormat="1" ht="15.75">
      <c r="A12" s="237">
        <v>4</v>
      </c>
      <c r="B12" s="9" t="s">
        <v>266</v>
      </c>
      <c r="C12" s="241" t="s">
        <v>4135</v>
      </c>
      <c r="D12" s="239" t="s">
        <v>7669</v>
      </c>
      <c r="E12" s="240">
        <v>14151588</v>
      </c>
      <c r="F12" s="240">
        <v>12514432</v>
      </c>
      <c r="G12" s="240">
        <v>16963092</v>
      </c>
      <c r="H12" s="240">
        <v>3500000</v>
      </c>
      <c r="I12" s="240">
        <v>5000000</v>
      </c>
    </row>
    <row r="13" spans="1:9" s="4" customFormat="1" ht="15.75">
      <c r="A13" s="237">
        <v>5</v>
      </c>
      <c r="B13" s="9" t="s">
        <v>629</v>
      </c>
      <c r="C13" s="241" t="s">
        <v>4136</v>
      </c>
      <c r="D13" s="239" t="s">
        <v>7670</v>
      </c>
      <c r="E13" s="240">
        <v>0</v>
      </c>
      <c r="F13" s="240">
        <v>0</v>
      </c>
      <c r="G13" s="240">
        <v>0</v>
      </c>
      <c r="H13" s="240">
        <v>3500000</v>
      </c>
      <c r="I13" s="240">
        <v>5000000</v>
      </c>
    </row>
    <row r="14" spans="1:9" s="4" customFormat="1" ht="15.75">
      <c r="A14" s="237">
        <v>6</v>
      </c>
      <c r="B14" s="9" t="s">
        <v>630</v>
      </c>
      <c r="C14" s="241" t="s">
        <v>4137</v>
      </c>
      <c r="D14" s="239" t="s">
        <v>7671</v>
      </c>
      <c r="E14" s="240">
        <v>6538428</v>
      </c>
      <c r="F14" s="240">
        <v>8828578</v>
      </c>
      <c r="G14" s="240">
        <v>2055269</v>
      </c>
      <c r="H14" s="240">
        <v>3500000</v>
      </c>
      <c r="I14" s="240">
        <v>5000000</v>
      </c>
    </row>
    <row r="15" spans="1:9" s="4" customFormat="1" ht="15.75">
      <c r="A15" s="237">
        <v>7</v>
      </c>
      <c r="B15" s="9" t="s">
        <v>631</v>
      </c>
      <c r="C15" s="241" t="s">
        <v>4138</v>
      </c>
      <c r="D15" s="239" t="s">
        <v>7672</v>
      </c>
      <c r="E15" s="240">
        <v>6077326</v>
      </c>
      <c r="F15" s="240">
        <v>669792</v>
      </c>
      <c r="G15" s="240">
        <v>4063280</v>
      </c>
      <c r="H15" s="240">
        <v>700000</v>
      </c>
      <c r="I15" s="240">
        <v>2500000</v>
      </c>
    </row>
    <row r="16" spans="1:9" s="4" customFormat="1" ht="15.75">
      <c r="A16" s="237"/>
      <c r="B16" s="9"/>
      <c r="C16" s="241"/>
      <c r="D16" s="239"/>
      <c r="E16" s="240">
        <v>0</v>
      </c>
      <c r="F16" s="240">
        <v>0</v>
      </c>
      <c r="G16" s="240">
        <v>0</v>
      </c>
      <c r="H16" s="240">
        <v>0</v>
      </c>
      <c r="I16" s="240">
        <v>0</v>
      </c>
    </row>
    <row r="17" spans="1:9" s="4" customFormat="1" ht="31.5">
      <c r="A17" s="237">
        <v>8</v>
      </c>
      <c r="B17" s="9" t="s">
        <v>632</v>
      </c>
      <c r="C17" s="241" t="s">
        <v>4139</v>
      </c>
      <c r="D17" s="239" t="s">
        <v>7673</v>
      </c>
      <c r="E17" s="240">
        <v>4501132</v>
      </c>
      <c r="F17" s="240">
        <v>3109500</v>
      </c>
      <c r="G17" s="240">
        <v>1785256</v>
      </c>
      <c r="H17" s="240">
        <v>21000000</v>
      </c>
      <c r="I17" s="240">
        <v>20000000</v>
      </c>
    </row>
    <row r="18" spans="1:9" s="4" customFormat="1" ht="15.75">
      <c r="A18" s="237"/>
      <c r="B18" s="9"/>
      <c r="C18" s="241"/>
      <c r="D18" s="239"/>
      <c r="E18" s="240">
        <v>0</v>
      </c>
      <c r="F18" s="240">
        <v>0</v>
      </c>
      <c r="G18" s="240">
        <v>0</v>
      </c>
      <c r="H18" s="240">
        <v>0</v>
      </c>
      <c r="I18" s="240">
        <v>0</v>
      </c>
    </row>
    <row r="19" spans="1:9" s="4" customFormat="1" ht="31.5">
      <c r="A19" s="237">
        <v>9</v>
      </c>
      <c r="B19" s="9" t="s">
        <v>788</v>
      </c>
      <c r="C19" s="241" t="s">
        <v>4140</v>
      </c>
      <c r="D19" s="239" t="s">
        <v>7674</v>
      </c>
      <c r="E19" s="240">
        <v>19144878</v>
      </c>
      <c r="F19" s="240">
        <v>21871594</v>
      </c>
      <c r="G19" s="240">
        <v>56938302</v>
      </c>
      <c r="H19" s="240">
        <v>0</v>
      </c>
      <c r="I19" s="240">
        <v>0</v>
      </c>
    </row>
    <row r="20" spans="1:9" s="4" customFormat="1" ht="15.75">
      <c r="A20" s="237">
        <v>10</v>
      </c>
      <c r="B20" s="9" t="s">
        <v>139</v>
      </c>
      <c r="C20" s="241" t="s">
        <v>4141</v>
      </c>
      <c r="D20" s="239" t="s">
        <v>7675</v>
      </c>
      <c r="E20" s="240">
        <v>0</v>
      </c>
      <c r="F20" s="240">
        <v>0</v>
      </c>
      <c r="G20" s="240">
        <v>0</v>
      </c>
      <c r="H20" s="240">
        <v>700000</v>
      </c>
      <c r="I20" s="240">
        <v>2500000</v>
      </c>
    </row>
    <row r="21" spans="1:9" s="4" customFormat="1" ht="15.75">
      <c r="A21" s="237">
        <v>11</v>
      </c>
      <c r="B21" s="9" t="s">
        <v>1293</v>
      </c>
      <c r="C21" s="241" t="s">
        <v>4142</v>
      </c>
      <c r="D21" s="239" t="s">
        <v>7676</v>
      </c>
      <c r="E21" s="240">
        <v>9852858</v>
      </c>
      <c r="F21" s="240">
        <v>4018776</v>
      </c>
      <c r="G21" s="240">
        <v>1965863</v>
      </c>
      <c r="H21" s="240">
        <v>3500000</v>
      </c>
      <c r="I21" s="240">
        <v>5000000</v>
      </c>
    </row>
    <row r="22" spans="1:9" s="4" customFormat="1" ht="15.75">
      <c r="A22" s="237">
        <v>12</v>
      </c>
      <c r="B22" s="9" t="s">
        <v>1379</v>
      </c>
      <c r="C22" s="241" t="s">
        <v>4143</v>
      </c>
      <c r="D22" s="239" t="s">
        <v>7677</v>
      </c>
      <c r="E22" s="240">
        <v>701627</v>
      </c>
      <c r="F22" s="240">
        <v>2705850</v>
      </c>
      <c r="G22" s="240">
        <v>231750</v>
      </c>
      <c r="H22" s="240">
        <v>3500000</v>
      </c>
      <c r="I22" s="240">
        <v>5000000</v>
      </c>
    </row>
    <row r="23" spans="1:9" s="4" customFormat="1" ht="15.75">
      <c r="A23" s="237">
        <v>13</v>
      </c>
      <c r="B23" s="9" t="s">
        <v>1380</v>
      </c>
      <c r="C23" s="241" t="s">
        <v>4144</v>
      </c>
      <c r="D23" s="239" t="s">
        <v>7678</v>
      </c>
      <c r="E23" s="240">
        <v>202985</v>
      </c>
      <c r="F23" s="240">
        <v>249992</v>
      </c>
      <c r="G23" s="240">
        <v>1258089</v>
      </c>
      <c r="H23" s="240">
        <v>3500000</v>
      </c>
      <c r="I23" s="240">
        <v>5000000</v>
      </c>
    </row>
    <row r="24" spans="1:9" s="4" customFormat="1" ht="15.75">
      <c r="A24" s="237">
        <v>14</v>
      </c>
      <c r="B24" s="9" t="s">
        <v>1687</v>
      </c>
      <c r="C24" s="241" t="s">
        <v>4145</v>
      </c>
      <c r="D24" s="239" t="s">
        <v>7679</v>
      </c>
      <c r="E24" s="240">
        <v>1381004</v>
      </c>
      <c r="F24" s="240">
        <v>254896</v>
      </c>
      <c r="G24" s="240">
        <v>698976</v>
      </c>
      <c r="H24" s="240">
        <v>2100000</v>
      </c>
      <c r="I24" s="240">
        <v>5000000</v>
      </c>
    </row>
    <row r="25" spans="1:9" s="4" customFormat="1" ht="31.5">
      <c r="A25" s="237">
        <v>15</v>
      </c>
      <c r="B25" s="9" t="s">
        <v>1712</v>
      </c>
      <c r="C25" s="241" t="s">
        <v>4146</v>
      </c>
      <c r="D25" s="239" t="s">
        <v>7680</v>
      </c>
      <c r="E25" s="240">
        <v>1499720</v>
      </c>
      <c r="F25" s="240">
        <v>0</v>
      </c>
      <c r="G25" s="240">
        <v>0</v>
      </c>
      <c r="H25" s="240">
        <v>0</v>
      </c>
      <c r="I25" s="240">
        <v>0</v>
      </c>
    </row>
    <row r="26" spans="1:9" s="4" customFormat="1" ht="15.75">
      <c r="A26" s="237"/>
      <c r="B26" s="9"/>
      <c r="C26" s="241"/>
      <c r="D26" s="239"/>
      <c r="E26" s="240">
        <v>0</v>
      </c>
      <c r="F26" s="240">
        <v>0</v>
      </c>
      <c r="G26" s="240">
        <v>0</v>
      </c>
      <c r="H26" s="240">
        <v>0</v>
      </c>
      <c r="I26" s="240">
        <v>0</v>
      </c>
    </row>
    <row r="27" spans="1:9" s="4" customFormat="1" ht="31.5">
      <c r="A27" s="237"/>
      <c r="B27" s="9"/>
      <c r="C27" s="242" t="s">
        <v>4147</v>
      </c>
      <c r="D27" s="243" t="s">
        <v>7681</v>
      </c>
      <c r="E27" s="240">
        <v>81219420</v>
      </c>
      <c r="F27" s="240">
        <v>69270710</v>
      </c>
      <c r="G27" s="240">
        <v>99827182</v>
      </c>
      <c r="H27" s="240">
        <v>56000000</v>
      </c>
      <c r="I27" s="240">
        <v>75000000</v>
      </c>
    </row>
    <row r="28" spans="1:9" s="4" customFormat="1" ht="15.75">
      <c r="A28" s="237"/>
      <c r="B28" s="9"/>
      <c r="C28" s="241"/>
      <c r="D28" s="239"/>
      <c r="E28" s="240">
        <v>0</v>
      </c>
      <c r="F28" s="240">
        <v>0</v>
      </c>
      <c r="G28" s="240">
        <v>0</v>
      </c>
      <c r="H28" s="240">
        <v>0</v>
      </c>
      <c r="I28" s="240">
        <v>0</v>
      </c>
    </row>
    <row r="29" spans="1:9" s="4" customFormat="1" ht="27">
      <c r="A29" s="237"/>
      <c r="B29" s="9"/>
      <c r="C29" s="244" t="s">
        <v>4148</v>
      </c>
      <c r="D29" s="239" t="s">
        <v>7682</v>
      </c>
      <c r="E29" s="240">
        <v>0</v>
      </c>
      <c r="F29" s="240">
        <v>0</v>
      </c>
      <c r="G29" s="240">
        <v>0</v>
      </c>
      <c r="H29" s="240">
        <v>0</v>
      </c>
      <c r="I29" s="240">
        <v>0</v>
      </c>
    </row>
    <row r="30" spans="1:9" s="4" customFormat="1" ht="15.75">
      <c r="A30" s="11"/>
      <c r="B30" s="9"/>
      <c r="C30" s="244" t="s">
        <v>4149</v>
      </c>
      <c r="D30" s="239" t="s">
        <v>7683</v>
      </c>
      <c r="E30" s="240">
        <v>0</v>
      </c>
      <c r="F30" s="240">
        <v>0</v>
      </c>
      <c r="G30" s="240">
        <v>0</v>
      </c>
      <c r="H30" s="240">
        <v>0</v>
      </c>
      <c r="I30" s="240">
        <v>0</v>
      </c>
    </row>
    <row r="31" spans="1:9" s="4" customFormat="1" ht="15.75">
      <c r="A31" s="11"/>
      <c r="B31" s="9" t="s">
        <v>218</v>
      </c>
      <c r="C31" s="244" t="s">
        <v>4244</v>
      </c>
      <c r="D31" s="239" t="s">
        <v>7684</v>
      </c>
      <c r="E31" s="240">
        <v>6087913</v>
      </c>
      <c r="F31" s="240">
        <v>0</v>
      </c>
      <c r="G31" s="240">
        <v>3921953</v>
      </c>
      <c r="H31" s="240">
        <v>7000000</v>
      </c>
      <c r="I31" s="240">
        <v>14000000</v>
      </c>
    </row>
    <row r="32" spans="1:9" s="4" customFormat="1" ht="15.75">
      <c r="A32" s="11"/>
      <c r="B32" s="9" t="s">
        <v>176</v>
      </c>
      <c r="C32" s="244" t="s">
        <v>4150</v>
      </c>
      <c r="D32" s="239" t="s">
        <v>7685</v>
      </c>
      <c r="E32" s="240">
        <v>2786000</v>
      </c>
      <c r="F32" s="240">
        <v>24000000</v>
      </c>
      <c r="G32" s="240">
        <v>20520000</v>
      </c>
      <c r="H32" s="240">
        <v>21000000</v>
      </c>
      <c r="I32" s="240">
        <v>16000000</v>
      </c>
    </row>
    <row r="33" spans="1:9" s="4" customFormat="1" ht="15.75">
      <c r="A33" s="11"/>
      <c r="B33" s="9" t="s">
        <v>177</v>
      </c>
      <c r="C33" s="244" t="s">
        <v>4151</v>
      </c>
      <c r="D33" s="239" t="s">
        <v>7686</v>
      </c>
      <c r="E33" s="240">
        <v>0</v>
      </c>
      <c r="F33" s="240">
        <v>0</v>
      </c>
      <c r="G33" s="240">
        <v>0</v>
      </c>
      <c r="H33" s="240">
        <v>0</v>
      </c>
      <c r="I33" s="240">
        <v>25000000</v>
      </c>
    </row>
    <row r="34" spans="1:9" s="4" customFormat="1" ht="15.75">
      <c r="A34" s="11"/>
      <c r="B34" s="9" t="s">
        <v>178</v>
      </c>
      <c r="C34" s="244" t="s">
        <v>4152</v>
      </c>
      <c r="D34" s="239" t="s">
        <v>7687</v>
      </c>
      <c r="E34" s="240">
        <v>0</v>
      </c>
      <c r="F34" s="240">
        <v>11319330</v>
      </c>
      <c r="G34" s="240">
        <v>0</v>
      </c>
      <c r="H34" s="240">
        <v>0</v>
      </c>
      <c r="I34" s="240">
        <v>20000000</v>
      </c>
    </row>
    <row r="35" spans="1:9" s="4" customFormat="1" ht="15.75">
      <c r="A35" s="11"/>
      <c r="B35" s="9" t="s">
        <v>50</v>
      </c>
      <c r="C35" s="244" t="s">
        <v>4153</v>
      </c>
      <c r="D35" s="239" t="s">
        <v>7688</v>
      </c>
      <c r="E35" s="240">
        <v>916854</v>
      </c>
      <c r="F35" s="240">
        <v>0</v>
      </c>
      <c r="G35" s="240">
        <v>0</v>
      </c>
      <c r="H35" s="240">
        <v>0</v>
      </c>
      <c r="I35" s="240">
        <v>0</v>
      </c>
    </row>
    <row r="36" spans="1:9" s="4" customFormat="1" ht="15.75">
      <c r="A36" s="11"/>
      <c r="B36" s="9" t="s">
        <v>1639</v>
      </c>
      <c r="C36" s="244" t="s">
        <v>4154</v>
      </c>
      <c r="D36" s="239" t="s">
        <v>7689</v>
      </c>
      <c r="E36" s="240">
        <v>0</v>
      </c>
      <c r="F36" s="240">
        <v>5991000</v>
      </c>
      <c r="G36" s="240">
        <v>0</v>
      </c>
      <c r="H36" s="240">
        <v>0</v>
      </c>
      <c r="I36" s="240">
        <v>0</v>
      </c>
    </row>
    <row r="37" spans="1:9" s="4" customFormat="1" ht="27">
      <c r="A37" s="11"/>
      <c r="B37" s="9" t="s">
        <v>4914</v>
      </c>
      <c r="C37" s="244" t="s">
        <v>3713</v>
      </c>
      <c r="D37" s="239" t="s">
        <v>7690</v>
      </c>
      <c r="E37" s="240">
        <v>0</v>
      </c>
      <c r="F37" s="240">
        <v>0</v>
      </c>
      <c r="G37" s="240">
        <v>0</v>
      </c>
      <c r="H37" s="240">
        <v>700000</v>
      </c>
      <c r="I37" s="240">
        <v>0</v>
      </c>
    </row>
    <row r="38" spans="1:9" s="4" customFormat="1" ht="15.75">
      <c r="A38" s="11"/>
      <c r="B38" s="9" t="s">
        <v>12688</v>
      </c>
      <c r="C38" s="244" t="s">
        <v>8501</v>
      </c>
      <c r="D38" s="239"/>
      <c r="E38" s="240">
        <v>0</v>
      </c>
      <c r="F38" s="240">
        <v>0</v>
      </c>
      <c r="G38" s="240">
        <v>0</v>
      </c>
      <c r="H38" s="240">
        <v>0</v>
      </c>
      <c r="I38" s="240">
        <v>20000000</v>
      </c>
    </row>
    <row r="39" spans="1:9" s="4" customFormat="1" ht="15.75">
      <c r="A39" s="11"/>
      <c r="B39" s="9" t="s">
        <v>1288</v>
      </c>
      <c r="C39" s="244" t="s">
        <v>4155</v>
      </c>
      <c r="D39" s="239" t="s">
        <v>7691</v>
      </c>
      <c r="E39" s="240">
        <v>1329804</v>
      </c>
      <c r="F39" s="240">
        <v>0</v>
      </c>
      <c r="G39" s="240">
        <v>0</v>
      </c>
      <c r="H39" s="240">
        <v>0</v>
      </c>
      <c r="I39" s="240">
        <v>0</v>
      </c>
    </row>
    <row r="40" spans="1:9" s="4" customFormat="1" ht="27">
      <c r="A40" s="11"/>
      <c r="B40" s="9" t="s">
        <v>1931</v>
      </c>
      <c r="C40" s="244" t="s">
        <v>4156</v>
      </c>
      <c r="D40" s="239" t="s">
        <v>7692</v>
      </c>
      <c r="E40" s="240">
        <v>0</v>
      </c>
      <c r="F40" s="240">
        <v>0</v>
      </c>
      <c r="G40" s="240">
        <v>2054871</v>
      </c>
      <c r="H40" s="240">
        <v>5250000</v>
      </c>
      <c r="I40" s="240">
        <v>0</v>
      </c>
    </row>
    <row r="41" spans="1:9" s="4" customFormat="1" ht="15.75">
      <c r="A41" s="11"/>
      <c r="B41" s="9" t="s">
        <v>219</v>
      </c>
      <c r="C41" s="244" t="s">
        <v>4157</v>
      </c>
      <c r="D41" s="239" t="s">
        <v>7693</v>
      </c>
      <c r="E41" s="240">
        <v>1090124</v>
      </c>
      <c r="F41" s="240">
        <v>0</v>
      </c>
      <c r="G41" s="240">
        <v>0</v>
      </c>
      <c r="H41" s="240">
        <v>0</v>
      </c>
      <c r="I41" s="240">
        <v>0</v>
      </c>
    </row>
    <row r="42" spans="1:9" s="4" customFormat="1" ht="15.75">
      <c r="A42" s="11"/>
      <c r="B42" s="9" t="s">
        <v>776</v>
      </c>
      <c r="C42" s="244" t="s">
        <v>4158</v>
      </c>
      <c r="D42" s="239" t="s">
        <v>7694</v>
      </c>
      <c r="E42" s="240">
        <v>1920000</v>
      </c>
      <c r="F42" s="240">
        <v>0</v>
      </c>
      <c r="G42" s="240">
        <v>0</v>
      </c>
      <c r="H42" s="240">
        <v>0</v>
      </c>
      <c r="I42" s="240">
        <v>6000000</v>
      </c>
    </row>
    <row r="43" spans="1:9" s="4" customFormat="1" ht="15.75">
      <c r="A43" s="11"/>
      <c r="B43" s="9" t="s">
        <v>1353</v>
      </c>
      <c r="C43" s="244" t="s">
        <v>4159</v>
      </c>
      <c r="D43" s="239" t="s">
        <v>7695</v>
      </c>
      <c r="E43" s="240">
        <v>5760000</v>
      </c>
      <c r="F43" s="240">
        <v>0</v>
      </c>
      <c r="G43" s="240">
        <v>0</v>
      </c>
      <c r="H43" s="240">
        <v>0</v>
      </c>
      <c r="I43" s="240">
        <v>81000000</v>
      </c>
    </row>
    <row r="44" spans="1:9" s="4" customFormat="1" ht="27">
      <c r="A44" s="11"/>
      <c r="B44" s="9" t="s">
        <v>9088</v>
      </c>
      <c r="C44" s="244" t="s">
        <v>9089</v>
      </c>
      <c r="D44" s="239"/>
      <c r="E44" s="240">
        <v>0</v>
      </c>
      <c r="F44" s="240">
        <v>0</v>
      </c>
      <c r="G44" s="240">
        <v>0</v>
      </c>
      <c r="H44" s="240">
        <v>0</v>
      </c>
      <c r="I44" s="240">
        <v>35000000</v>
      </c>
    </row>
    <row r="45" spans="1:9" s="4" customFormat="1" ht="15.75">
      <c r="A45" s="11"/>
      <c r="B45" s="9" t="s">
        <v>777</v>
      </c>
      <c r="C45" s="244" t="s">
        <v>4160</v>
      </c>
      <c r="D45" s="239" t="s">
        <v>7696</v>
      </c>
      <c r="E45" s="240">
        <v>800000</v>
      </c>
      <c r="F45" s="240">
        <v>441000</v>
      </c>
      <c r="G45" s="240">
        <v>684000</v>
      </c>
      <c r="H45" s="240">
        <v>1050000</v>
      </c>
      <c r="I45" s="240">
        <v>1000000</v>
      </c>
    </row>
    <row r="46" spans="1:9" s="4" customFormat="1" ht="27">
      <c r="A46" s="11"/>
      <c r="B46" s="9" t="s">
        <v>778</v>
      </c>
      <c r="C46" s="244" t="s">
        <v>4161</v>
      </c>
      <c r="D46" s="239" t="s">
        <v>7697</v>
      </c>
      <c r="E46" s="240">
        <v>2642419</v>
      </c>
      <c r="F46" s="240">
        <v>1164638</v>
      </c>
      <c r="G46" s="240">
        <v>2262117</v>
      </c>
      <c r="H46" s="240">
        <v>0</v>
      </c>
      <c r="I46" s="240">
        <v>10000000</v>
      </c>
    </row>
    <row r="47" spans="1:9" s="4" customFormat="1" ht="15.75">
      <c r="A47" s="11"/>
      <c r="B47" s="9" t="s">
        <v>356</v>
      </c>
      <c r="C47" s="244" t="s">
        <v>4162</v>
      </c>
      <c r="D47" s="239" t="s">
        <v>7698</v>
      </c>
      <c r="E47" s="240">
        <v>1129075</v>
      </c>
      <c r="F47" s="240">
        <v>1238933</v>
      </c>
      <c r="G47" s="240">
        <v>1025999</v>
      </c>
      <c r="H47" s="240">
        <v>1750000</v>
      </c>
      <c r="I47" s="240">
        <v>2500000</v>
      </c>
    </row>
    <row r="48" spans="1:9" s="4" customFormat="1" ht="15.75">
      <c r="A48" s="11"/>
      <c r="B48" s="9" t="s">
        <v>357</v>
      </c>
      <c r="C48" s="244" t="s">
        <v>4163</v>
      </c>
      <c r="D48" s="239" t="s">
        <v>7699</v>
      </c>
      <c r="E48" s="240">
        <v>782167</v>
      </c>
      <c r="F48" s="240">
        <v>51267</v>
      </c>
      <c r="G48" s="240">
        <v>341892</v>
      </c>
      <c r="H48" s="240">
        <v>700000</v>
      </c>
      <c r="I48" s="240">
        <v>1000000</v>
      </c>
    </row>
    <row r="49" spans="1:9" s="4" customFormat="1" ht="15.75">
      <c r="A49" s="11"/>
      <c r="B49" s="9" t="s">
        <v>152</v>
      </c>
      <c r="C49" s="244" t="s">
        <v>10478</v>
      </c>
      <c r="D49" s="239" t="s">
        <v>7700</v>
      </c>
      <c r="E49" s="240">
        <v>11240157</v>
      </c>
      <c r="F49" s="240">
        <v>11321930</v>
      </c>
      <c r="G49" s="240">
        <v>18671985</v>
      </c>
      <c r="H49" s="240">
        <v>7000000</v>
      </c>
      <c r="I49" s="240">
        <v>20000000</v>
      </c>
    </row>
    <row r="50" spans="1:9" s="4" customFormat="1" ht="40.5">
      <c r="A50" s="11"/>
      <c r="B50" s="9" t="s">
        <v>1354</v>
      </c>
      <c r="C50" s="244" t="s">
        <v>4164</v>
      </c>
      <c r="D50" s="239" t="s">
        <v>7701</v>
      </c>
      <c r="E50" s="240">
        <v>2384224</v>
      </c>
      <c r="F50" s="240">
        <v>0</v>
      </c>
      <c r="G50" s="240">
        <v>1272807</v>
      </c>
      <c r="H50" s="240">
        <v>0</v>
      </c>
      <c r="I50" s="240">
        <v>0</v>
      </c>
    </row>
    <row r="51" spans="1:9" s="4" customFormat="1" ht="15.75">
      <c r="A51" s="11"/>
      <c r="B51" s="9" t="s">
        <v>407</v>
      </c>
      <c r="C51" s="244" t="s">
        <v>4165</v>
      </c>
      <c r="D51" s="239" t="s">
        <v>7702</v>
      </c>
      <c r="E51" s="240">
        <v>1552500</v>
      </c>
      <c r="F51" s="240">
        <v>1274634</v>
      </c>
      <c r="G51" s="240">
        <v>1025993</v>
      </c>
      <c r="H51" s="240">
        <v>1750000</v>
      </c>
      <c r="I51" s="240">
        <v>1740000</v>
      </c>
    </row>
    <row r="52" spans="1:9" s="4" customFormat="1" ht="27">
      <c r="A52" s="11"/>
      <c r="B52" s="9" t="s">
        <v>1064</v>
      </c>
      <c r="C52" s="244" t="s">
        <v>4166</v>
      </c>
      <c r="D52" s="239" t="s">
        <v>7703</v>
      </c>
      <c r="E52" s="240">
        <v>25757792</v>
      </c>
      <c r="F52" s="240">
        <v>4289471</v>
      </c>
      <c r="G52" s="240">
        <v>6596794</v>
      </c>
      <c r="H52" s="240">
        <v>77500000</v>
      </c>
      <c r="I52" s="240">
        <v>0</v>
      </c>
    </row>
    <row r="53" spans="1:9" s="4" customFormat="1" ht="15.75">
      <c r="A53" s="11"/>
      <c r="B53" s="9" t="s">
        <v>1355</v>
      </c>
      <c r="C53" s="244" t="s">
        <v>4167</v>
      </c>
      <c r="D53" s="239" t="s">
        <v>7704</v>
      </c>
      <c r="E53" s="240">
        <v>5039781</v>
      </c>
      <c r="F53" s="240">
        <v>0</v>
      </c>
      <c r="G53" s="240">
        <v>8806613</v>
      </c>
      <c r="H53" s="240">
        <v>0</v>
      </c>
      <c r="I53" s="240">
        <v>0</v>
      </c>
    </row>
    <row r="54" spans="1:9" s="4" customFormat="1" ht="15.75">
      <c r="A54" s="11"/>
      <c r="B54" s="9" t="s">
        <v>1376</v>
      </c>
      <c r="C54" s="244" t="s">
        <v>4168</v>
      </c>
      <c r="D54" s="239" t="s">
        <v>7705</v>
      </c>
      <c r="E54" s="240">
        <v>996660</v>
      </c>
      <c r="F54" s="240">
        <v>0</v>
      </c>
      <c r="G54" s="240">
        <v>0</v>
      </c>
      <c r="H54" s="240">
        <v>0</v>
      </c>
      <c r="I54" s="240">
        <v>0</v>
      </c>
    </row>
    <row r="55" spans="1:9" s="4" customFormat="1" ht="15.75">
      <c r="A55" s="11"/>
      <c r="B55" s="9" t="s">
        <v>1487</v>
      </c>
      <c r="C55" s="244" t="s">
        <v>4169</v>
      </c>
      <c r="D55" s="239" t="s">
        <v>7706</v>
      </c>
      <c r="E55" s="240">
        <v>5216676</v>
      </c>
      <c r="F55" s="240">
        <v>0</v>
      </c>
      <c r="G55" s="240">
        <v>0</v>
      </c>
      <c r="H55" s="240">
        <v>0</v>
      </c>
      <c r="I55" s="240">
        <v>0</v>
      </c>
    </row>
    <row r="56" spans="1:9" s="4" customFormat="1" ht="15.75">
      <c r="A56" s="11"/>
      <c r="B56" s="9" t="s">
        <v>1488</v>
      </c>
      <c r="C56" s="244" t="s">
        <v>4170</v>
      </c>
      <c r="D56" s="239" t="s">
        <v>7707</v>
      </c>
      <c r="E56" s="240">
        <v>202007</v>
      </c>
      <c r="F56" s="240">
        <v>0</v>
      </c>
      <c r="G56" s="240">
        <v>0</v>
      </c>
      <c r="H56" s="240">
        <v>0</v>
      </c>
      <c r="I56" s="240">
        <v>0</v>
      </c>
    </row>
    <row r="57" spans="1:9" s="4" customFormat="1" ht="27">
      <c r="A57" s="11"/>
      <c r="B57" s="9" t="s">
        <v>1489</v>
      </c>
      <c r="C57" s="244" t="s">
        <v>4171</v>
      </c>
      <c r="D57" s="239" t="s">
        <v>7708</v>
      </c>
      <c r="E57" s="240">
        <v>0</v>
      </c>
      <c r="F57" s="240">
        <v>0</v>
      </c>
      <c r="G57" s="240">
        <v>0</v>
      </c>
      <c r="H57" s="240">
        <v>10500000</v>
      </c>
      <c r="I57" s="240">
        <v>0</v>
      </c>
    </row>
    <row r="58" spans="1:9" s="4" customFormat="1" ht="27">
      <c r="A58" s="11"/>
      <c r="B58" s="9" t="s">
        <v>1490</v>
      </c>
      <c r="C58" s="244" t="s">
        <v>4172</v>
      </c>
      <c r="D58" s="239" t="s">
        <v>7709</v>
      </c>
      <c r="E58" s="240">
        <v>2555183</v>
      </c>
      <c r="F58" s="240">
        <v>0</v>
      </c>
      <c r="G58" s="240">
        <v>5392262</v>
      </c>
      <c r="H58" s="240">
        <v>0</v>
      </c>
      <c r="I58" s="240">
        <v>0</v>
      </c>
    </row>
    <row r="59" spans="1:9" s="4" customFormat="1" ht="15.75">
      <c r="A59" s="11"/>
      <c r="B59" s="9" t="s">
        <v>1491</v>
      </c>
      <c r="C59" s="244" t="s">
        <v>4173</v>
      </c>
      <c r="D59" s="239" t="s">
        <v>7710</v>
      </c>
      <c r="E59" s="240">
        <v>12000000</v>
      </c>
      <c r="F59" s="240">
        <v>0</v>
      </c>
      <c r="G59" s="240">
        <v>16622514</v>
      </c>
      <c r="H59" s="240">
        <v>0</v>
      </c>
      <c r="I59" s="240">
        <v>0</v>
      </c>
    </row>
    <row r="60" spans="1:9" s="4" customFormat="1" ht="15.75">
      <c r="A60" s="11"/>
      <c r="B60" s="9" t="s">
        <v>1492</v>
      </c>
      <c r="C60" s="244" t="s">
        <v>4174</v>
      </c>
      <c r="D60" s="239" t="s">
        <v>7711</v>
      </c>
      <c r="E60" s="240">
        <v>400000</v>
      </c>
      <c r="F60" s="240">
        <v>0</v>
      </c>
      <c r="G60" s="240">
        <v>0</v>
      </c>
      <c r="H60" s="240">
        <v>0</v>
      </c>
      <c r="I60" s="240">
        <v>0</v>
      </c>
    </row>
    <row r="61" spans="1:9" s="4" customFormat="1" ht="27">
      <c r="A61" s="11"/>
      <c r="B61" s="9" t="s">
        <v>1493</v>
      </c>
      <c r="C61" s="244" t="s">
        <v>4175</v>
      </c>
      <c r="D61" s="239" t="s">
        <v>7712</v>
      </c>
      <c r="E61" s="240">
        <v>2800000</v>
      </c>
      <c r="F61" s="240">
        <v>0</v>
      </c>
      <c r="G61" s="240">
        <v>0</v>
      </c>
      <c r="H61" s="240">
        <v>0</v>
      </c>
      <c r="I61" s="240">
        <v>0</v>
      </c>
    </row>
    <row r="62" spans="1:9" s="4" customFormat="1" ht="40.5">
      <c r="A62" s="11"/>
      <c r="B62" s="9" t="s">
        <v>1494</v>
      </c>
      <c r="C62" s="244" t="s">
        <v>4176</v>
      </c>
      <c r="D62" s="239" t="s">
        <v>7713</v>
      </c>
      <c r="E62" s="240">
        <v>0</v>
      </c>
      <c r="F62" s="240">
        <v>0</v>
      </c>
      <c r="G62" s="240">
        <v>227260</v>
      </c>
      <c r="H62" s="240">
        <v>0</v>
      </c>
      <c r="I62" s="240">
        <v>0</v>
      </c>
    </row>
    <row r="63" spans="1:9" s="4" customFormat="1" ht="15.75">
      <c r="A63" s="11"/>
      <c r="B63" s="9" t="s">
        <v>1504</v>
      </c>
      <c r="C63" s="244" t="s">
        <v>4177</v>
      </c>
      <c r="D63" s="239"/>
      <c r="E63" s="240">
        <v>44452</v>
      </c>
      <c r="F63" s="240">
        <v>0</v>
      </c>
      <c r="G63" s="240">
        <v>0</v>
      </c>
      <c r="H63" s="240">
        <v>0</v>
      </c>
      <c r="I63" s="240">
        <v>0</v>
      </c>
    </row>
    <row r="64" spans="1:9" s="4" customFormat="1" ht="15.75">
      <c r="A64" s="11"/>
      <c r="B64" s="9" t="s">
        <v>1640</v>
      </c>
      <c r="C64" s="244" t="s">
        <v>4178</v>
      </c>
      <c r="D64" s="239" t="s">
        <v>7714</v>
      </c>
      <c r="E64" s="240">
        <v>0</v>
      </c>
      <c r="F64" s="240">
        <v>499500</v>
      </c>
      <c r="G64" s="240">
        <v>0</v>
      </c>
      <c r="H64" s="240">
        <v>0</v>
      </c>
      <c r="I64" s="240">
        <v>0</v>
      </c>
    </row>
    <row r="65" spans="1:9" s="4" customFormat="1" ht="27">
      <c r="A65" s="11"/>
      <c r="B65" s="9" t="s">
        <v>1641</v>
      </c>
      <c r="C65" s="244" t="s">
        <v>4179</v>
      </c>
      <c r="D65" s="239" t="s">
        <v>7715</v>
      </c>
      <c r="E65" s="240">
        <v>0</v>
      </c>
      <c r="F65" s="240">
        <v>1800850</v>
      </c>
      <c r="G65" s="240">
        <v>0</v>
      </c>
      <c r="H65" s="240">
        <v>0</v>
      </c>
      <c r="I65" s="240">
        <v>0</v>
      </c>
    </row>
    <row r="66" spans="1:9" s="4" customFormat="1" ht="40.5">
      <c r="A66" s="11"/>
      <c r="B66" s="9" t="s">
        <v>1642</v>
      </c>
      <c r="C66" s="244" t="s">
        <v>4180</v>
      </c>
      <c r="D66" s="239" t="s">
        <v>7716</v>
      </c>
      <c r="E66" s="240">
        <v>0</v>
      </c>
      <c r="F66" s="240">
        <v>665518</v>
      </c>
      <c r="G66" s="240">
        <v>0</v>
      </c>
      <c r="H66" s="240">
        <v>0</v>
      </c>
      <c r="I66" s="240">
        <v>0</v>
      </c>
    </row>
    <row r="67" spans="1:9" s="4" customFormat="1" ht="40.5">
      <c r="A67" s="11"/>
      <c r="B67" s="9" t="s">
        <v>1670</v>
      </c>
      <c r="C67" s="244" t="s">
        <v>4181</v>
      </c>
      <c r="D67" s="239" t="s">
        <v>7717</v>
      </c>
      <c r="E67" s="240">
        <v>0</v>
      </c>
      <c r="F67" s="240">
        <v>1600000</v>
      </c>
      <c r="G67" s="240">
        <v>0</v>
      </c>
      <c r="H67" s="240">
        <v>0</v>
      </c>
      <c r="I67" s="240">
        <v>0</v>
      </c>
    </row>
    <row r="68" spans="1:9" s="4" customFormat="1" ht="27">
      <c r="A68" s="11"/>
      <c r="B68" s="9" t="s">
        <v>1671</v>
      </c>
      <c r="C68" s="244" t="s">
        <v>4182</v>
      </c>
      <c r="D68" s="239" t="s">
        <v>7718</v>
      </c>
      <c r="E68" s="240">
        <v>0</v>
      </c>
      <c r="F68" s="240">
        <v>500000</v>
      </c>
      <c r="G68" s="240">
        <v>0</v>
      </c>
      <c r="H68" s="240">
        <v>0</v>
      </c>
      <c r="I68" s="240">
        <v>0</v>
      </c>
    </row>
    <row r="69" spans="1:9" s="4" customFormat="1" ht="27">
      <c r="A69" s="11"/>
      <c r="B69" s="9" t="s">
        <v>1672</v>
      </c>
      <c r="C69" s="244" t="s">
        <v>4183</v>
      </c>
      <c r="D69" s="239" t="s">
        <v>7719</v>
      </c>
      <c r="E69" s="240">
        <v>0</v>
      </c>
      <c r="F69" s="240">
        <v>500000</v>
      </c>
      <c r="G69" s="240">
        <v>0</v>
      </c>
      <c r="H69" s="240">
        <v>0</v>
      </c>
      <c r="I69" s="240">
        <v>0</v>
      </c>
    </row>
    <row r="70" spans="1:9" s="4" customFormat="1" ht="27">
      <c r="A70" s="11"/>
      <c r="B70" s="9" t="s">
        <v>1673</v>
      </c>
      <c r="C70" s="244" t="s">
        <v>4184</v>
      </c>
      <c r="D70" s="239" t="s">
        <v>7720</v>
      </c>
      <c r="E70" s="240">
        <v>0</v>
      </c>
      <c r="F70" s="240">
        <v>171000</v>
      </c>
      <c r="G70" s="240">
        <v>0</v>
      </c>
      <c r="H70" s="240">
        <v>0</v>
      </c>
      <c r="I70" s="240">
        <v>0</v>
      </c>
    </row>
    <row r="71" spans="1:9" s="4" customFormat="1" ht="15.75">
      <c r="A71" s="11"/>
      <c r="B71" s="9" t="s">
        <v>1674</v>
      </c>
      <c r="C71" s="244" t="s">
        <v>5393</v>
      </c>
      <c r="D71" s="239" t="s">
        <v>7721</v>
      </c>
      <c r="E71" s="240">
        <v>0</v>
      </c>
      <c r="F71" s="240">
        <v>1000000</v>
      </c>
      <c r="G71" s="240">
        <v>0</v>
      </c>
      <c r="H71" s="240">
        <v>0</v>
      </c>
      <c r="I71" s="240">
        <v>0</v>
      </c>
    </row>
    <row r="72" spans="1:9" s="4" customFormat="1" ht="27">
      <c r="A72" s="11"/>
      <c r="B72" s="9" t="s">
        <v>1675</v>
      </c>
      <c r="C72" s="244" t="s">
        <v>4185</v>
      </c>
      <c r="D72" s="239" t="s">
        <v>7722</v>
      </c>
      <c r="E72" s="240">
        <v>0</v>
      </c>
      <c r="F72" s="240">
        <v>394400</v>
      </c>
      <c r="G72" s="240">
        <v>0</v>
      </c>
      <c r="H72" s="240">
        <v>0</v>
      </c>
      <c r="I72" s="240">
        <v>0</v>
      </c>
    </row>
    <row r="73" spans="1:9" s="4" customFormat="1" ht="27">
      <c r="A73" s="11"/>
      <c r="B73" s="9" t="s">
        <v>1676</v>
      </c>
      <c r="C73" s="244" t="s">
        <v>4186</v>
      </c>
      <c r="D73" s="239" t="s">
        <v>7723</v>
      </c>
      <c r="E73" s="240">
        <v>0</v>
      </c>
      <c r="F73" s="240">
        <v>1930141</v>
      </c>
      <c r="G73" s="240">
        <v>5301990</v>
      </c>
      <c r="H73" s="240">
        <v>0</v>
      </c>
      <c r="I73" s="240">
        <v>0</v>
      </c>
    </row>
    <row r="74" spans="1:9" s="4" customFormat="1" ht="40.5">
      <c r="A74" s="11"/>
      <c r="B74" s="9" t="s">
        <v>1865</v>
      </c>
      <c r="C74" s="244" t="s">
        <v>4187</v>
      </c>
      <c r="D74" s="239" t="s">
        <v>7724</v>
      </c>
      <c r="E74" s="240">
        <v>0</v>
      </c>
      <c r="F74" s="240">
        <v>5693996</v>
      </c>
      <c r="G74" s="240">
        <v>0</v>
      </c>
      <c r="H74" s="240">
        <v>0</v>
      </c>
      <c r="I74" s="240">
        <v>0</v>
      </c>
    </row>
    <row r="75" spans="1:9" s="4" customFormat="1" ht="15.75">
      <c r="A75" s="11"/>
      <c r="B75" s="9" t="s">
        <v>1903</v>
      </c>
      <c r="C75" s="244" t="s">
        <v>4188</v>
      </c>
      <c r="D75" s="239" t="s">
        <v>7725</v>
      </c>
      <c r="E75" s="240">
        <v>0</v>
      </c>
      <c r="F75" s="240">
        <v>1098687</v>
      </c>
      <c r="G75" s="240">
        <v>466088</v>
      </c>
      <c r="H75" s="240">
        <v>0</v>
      </c>
      <c r="I75" s="240">
        <v>0</v>
      </c>
    </row>
    <row r="76" spans="1:9" s="4" customFormat="1" ht="40.5">
      <c r="A76" s="11"/>
      <c r="B76" s="9" t="s">
        <v>1904</v>
      </c>
      <c r="C76" s="244" t="s">
        <v>4189</v>
      </c>
      <c r="D76" s="239" t="s">
        <v>7726</v>
      </c>
      <c r="E76" s="240">
        <v>0</v>
      </c>
      <c r="F76" s="240">
        <v>0</v>
      </c>
      <c r="G76" s="240">
        <v>803768</v>
      </c>
      <c r="H76" s="240">
        <v>0</v>
      </c>
      <c r="I76" s="240">
        <v>0</v>
      </c>
    </row>
    <row r="77" spans="1:9" s="4" customFormat="1" ht="27">
      <c r="A77" s="11"/>
      <c r="B77" s="9" t="s">
        <v>1905</v>
      </c>
      <c r="C77" s="244" t="s">
        <v>4190</v>
      </c>
      <c r="D77" s="239" t="s">
        <v>7727</v>
      </c>
      <c r="E77" s="240">
        <v>0</v>
      </c>
      <c r="F77" s="240">
        <v>0</v>
      </c>
      <c r="G77" s="240">
        <v>705214</v>
      </c>
      <c r="H77" s="240">
        <v>0</v>
      </c>
      <c r="I77" s="240">
        <v>0</v>
      </c>
    </row>
    <row r="78" spans="1:9" s="4" customFormat="1" ht="15.75">
      <c r="A78" s="11"/>
      <c r="B78" s="9" t="s">
        <v>1906</v>
      </c>
      <c r="C78" s="244" t="s">
        <v>5392</v>
      </c>
      <c r="D78" s="239" t="s">
        <v>7728</v>
      </c>
      <c r="E78" s="240">
        <v>0</v>
      </c>
      <c r="F78" s="240">
        <v>0</v>
      </c>
      <c r="G78" s="240">
        <v>843413</v>
      </c>
      <c r="H78" s="240">
        <v>0</v>
      </c>
      <c r="I78" s="240">
        <v>0</v>
      </c>
    </row>
    <row r="79" spans="1:9" s="4" customFormat="1" ht="40.5">
      <c r="A79" s="11"/>
      <c r="B79" s="9" t="s">
        <v>1907</v>
      </c>
      <c r="C79" s="244" t="s">
        <v>4191</v>
      </c>
      <c r="D79" s="239" t="s">
        <v>7729</v>
      </c>
      <c r="E79" s="240">
        <v>0</v>
      </c>
      <c r="F79" s="240">
        <v>0</v>
      </c>
      <c r="G79" s="240">
        <v>1555313</v>
      </c>
      <c r="H79" s="240">
        <v>0</v>
      </c>
      <c r="I79" s="240">
        <v>0</v>
      </c>
    </row>
    <row r="80" spans="1:9" s="4" customFormat="1" ht="27">
      <c r="A80" s="11"/>
      <c r="B80" s="9" t="s">
        <v>1908</v>
      </c>
      <c r="C80" s="244" t="s">
        <v>4192</v>
      </c>
      <c r="D80" s="239" t="s">
        <v>7730</v>
      </c>
      <c r="E80" s="240">
        <v>0</v>
      </c>
      <c r="F80" s="240">
        <v>0</v>
      </c>
      <c r="G80" s="240">
        <v>466088</v>
      </c>
      <c r="H80" s="240">
        <v>0</v>
      </c>
      <c r="I80" s="240">
        <v>0</v>
      </c>
    </row>
    <row r="81" spans="1:9" s="4" customFormat="1" ht="40.5">
      <c r="A81" s="11"/>
      <c r="B81" s="9" t="s">
        <v>1909</v>
      </c>
      <c r="C81" s="244" t="s">
        <v>5394</v>
      </c>
      <c r="D81" s="239" t="s">
        <v>7731</v>
      </c>
      <c r="E81" s="240">
        <v>0</v>
      </c>
      <c r="F81" s="240">
        <v>0</v>
      </c>
      <c r="G81" s="240">
        <v>1238288</v>
      </c>
      <c r="H81" s="240">
        <v>0</v>
      </c>
      <c r="I81" s="240">
        <v>0</v>
      </c>
    </row>
    <row r="82" spans="1:9" s="4" customFormat="1" ht="15.75">
      <c r="A82" s="11"/>
      <c r="B82" s="9" t="s">
        <v>1910</v>
      </c>
      <c r="C82" s="244" t="s">
        <v>4193</v>
      </c>
      <c r="D82" s="239" t="s">
        <v>7732</v>
      </c>
      <c r="E82" s="240">
        <v>0</v>
      </c>
      <c r="F82" s="240">
        <v>0</v>
      </c>
      <c r="G82" s="240">
        <v>640913</v>
      </c>
      <c r="H82" s="240">
        <v>0</v>
      </c>
      <c r="I82" s="240">
        <v>0</v>
      </c>
    </row>
    <row r="83" spans="1:9" s="4" customFormat="1" ht="27">
      <c r="A83" s="11"/>
      <c r="B83" s="9" t="s">
        <v>1911</v>
      </c>
      <c r="C83" s="244" t="s">
        <v>5395</v>
      </c>
      <c r="D83" s="239" t="s">
        <v>7733</v>
      </c>
      <c r="E83" s="240">
        <v>0</v>
      </c>
      <c r="F83" s="240">
        <v>0</v>
      </c>
      <c r="G83" s="240">
        <v>950000</v>
      </c>
      <c r="H83" s="240">
        <v>0</v>
      </c>
      <c r="I83" s="240">
        <v>0</v>
      </c>
    </row>
    <row r="84" spans="1:9" s="4" customFormat="1" ht="27">
      <c r="A84" s="11"/>
      <c r="B84" s="9" t="s">
        <v>1912</v>
      </c>
      <c r="C84" s="244" t="s">
        <v>4194</v>
      </c>
      <c r="D84" s="239" t="s">
        <v>7734</v>
      </c>
      <c r="E84" s="240">
        <v>0</v>
      </c>
      <c r="F84" s="240">
        <v>0</v>
      </c>
      <c r="G84" s="240">
        <v>380600</v>
      </c>
      <c r="H84" s="240">
        <v>0</v>
      </c>
      <c r="I84" s="240">
        <v>0</v>
      </c>
    </row>
    <row r="85" spans="1:9" s="4" customFormat="1" ht="54">
      <c r="A85" s="11"/>
      <c r="B85" s="9" t="s">
        <v>1913</v>
      </c>
      <c r="C85" s="244" t="s">
        <v>4195</v>
      </c>
      <c r="D85" s="239" t="s">
        <v>7735</v>
      </c>
      <c r="E85" s="240">
        <v>0</v>
      </c>
      <c r="F85" s="240">
        <v>0</v>
      </c>
      <c r="G85" s="240">
        <v>1857260</v>
      </c>
      <c r="H85" s="240">
        <v>0</v>
      </c>
      <c r="I85" s="240">
        <v>0</v>
      </c>
    </row>
    <row r="86" spans="1:9" s="4" customFormat="1" ht="27">
      <c r="A86" s="11"/>
      <c r="B86" s="9" t="s">
        <v>1914</v>
      </c>
      <c r="C86" s="244" t="s">
        <v>4196</v>
      </c>
      <c r="D86" s="239" t="s">
        <v>7736</v>
      </c>
      <c r="E86" s="240">
        <v>0</v>
      </c>
      <c r="F86" s="240">
        <v>0</v>
      </c>
      <c r="G86" s="240">
        <v>464315</v>
      </c>
      <c r="H86" s="240">
        <v>0</v>
      </c>
      <c r="I86" s="240">
        <v>0</v>
      </c>
    </row>
    <row r="87" spans="1:9" s="4" customFormat="1" ht="27">
      <c r="A87" s="11"/>
      <c r="B87" s="9" t="s">
        <v>1915</v>
      </c>
      <c r="C87" s="244" t="s">
        <v>4197</v>
      </c>
      <c r="D87" s="239" t="s">
        <v>7737</v>
      </c>
      <c r="E87" s="240">
        <v>0</v>
      </c>
      <c r="F87" s="240">
        <v>0</v>
      </c>
      <c r="G87" s="240">
        <v>378675</v>
      </c>
      <c r="H87" s="240">
        <v>0</v>
      </c>
      <c r="I87" s="240">
        <v>0</v>
      </c>
    </row>
    <row r="88" spans="1:9" s="4" customFormat="1" ht="27">
      <c r="A88" s="11"/>
      <c r="B88" s="9" t="s">
        <v>1916</v>
      </c>
      <c r="C88" s="244" t="s">
        <v>4198</v>
      </c>
      <c r="D88" s="239" t="s">
        <v>7738</v>
      </c>
      <c r="E88" s="240">
        <v>0</v>
      </c>
      <c r="F88" s="240">
        <v>0</v>
      </c>
      <c r="G88" s="240">
        <v>464315</v>
      </c>
      <c r="H88" s="240">
        <v>0</v>
      </c>
      <c r="I88" s="240">
        <v>0</v>
      </c>
    </row>
    <row r="89" spans="1:9" s="4" customFormat="1" ht="15.75">
      <c r="A89" s="11"/>
      <c r="B89" s="9" t="s">
        <v>1917</v>
      </c>
      <c r="C89" s="244" t="s">
        <v>4199</v>
      </c>
      <c r="D89" s="239" t="s">
        <v>7739</v>
      </c>
      <c r="E89" s="240">
        <v>0</v>
      </c>
      <c r="F89" s="240">
        <v>0</v>
      </c>
      <c r="G89" s="240">
        <v>1491750</v>
      </c>
      <c r="H89" s="240">
        <v>0</v>
      </c>
      <c r="I89" s="240">
        <v>0</v>
      </c>
    </row>
    <row r="90" spans="1:9" s="4" customFormat="1" ht="27">
      <c r="A90" s="11"/>
      <c r="B90" s="9" t="s">
        <v>1918</v>
      </c>
      <c r="C90" s="244" t="s">
        <v>4200</v>
      </c>
      <c r="D90" s="239" t="s">
        <v>7740</v>
      </c>
      <c r="E90" s="240">
        <v>0</v>
      </c>
      <c r="F90" s="240">
        <v>0</v>
      </c>
      <c r="G90" s="240">
        <v>928628</v>
      </c>
      <c r="H90" s="240">
        <v>0</v>
      </c>
      <c r="I90" s="240">
        <v>0</v>
      </c>
    </row>
    <row r="91" spans="1:9" s="4" customFormat="1" ht="15.75">
      <c r="A91" s="11"/>
      <c r="B91" s="9" t="s">
        <v>1919</v>
      </c>
      <c r="C91" s="244" t="s">
        <v>5396</v>
      </c>
      <c r="D91" s="239" t="s">
        <v>7741</v>
      </c>
      <c r="E91" s="240">
        <v>0</v>
      </c>
      <c r="F91" s="240">
        <v>0</v>
      </c>
      <c r="G91" s="240">
        <v>464315</v>
      </c>
      <c r="H91" s="240">
        <v>0</v>
      </c>
      <c r="I91" s="240">
        <v>0</v>
      </c>
    </row>
    <row r="92" spans="1:9" s="4" customFormat="1" ht="27">
      <c r="A92" s="11"/>
      <c r="B92" s="9" t="s">
        <v>1920</v>
      </c>
      <c r="C92" s="244" t="s">
        <v>4201</v>
      </c>
      <c r="D92" s="239" t="s">
        <v>7742</v>
      </c>
      <c r="E92" s="240">
        <v>0</v>
      </c>
      <c r="F92" s="240">
        <v>0</v>
      </c>
      <c r="G92" s="240">
        <v>474975</v>
      </c>
      <c r="H92" s="240">
        <v>0</v>
      </c>
      <c r="I92" s="240">
        <v>0</v>
      </c>
    </row>
    <row r="93" spans="1:9" s="4" customFormat="1" ht="27">
      <c r="A93" s="11"/>
      <c r="B93" s="9" t="s">
        <v>1921</v>
      </c>
      <c r="C93" s="244" t="s">
        <v>4202</v>
      </c>
      <c r="D93" s="239" t="s">
        <v>7743</v>
      </c>
      <c r="E93" s="240">
        <v>0</v>
      </c>
      <c r="F93" s="240">
        <v>0</v>
      </c>
      <c r="G93" s="240">
        <v>803768</v>
      </c>
      <c r="H93" s="240">
        <v>0</v>
      </c>
      <c r="I93" s="240">
        <v>0</v>
      </c>
    </row>
    <row r="94" spans="1:9" s="4" customFormat="1" ht="15.75">
      <c r="A94" s="11"/>
      <c r="B94" s="9" t="s">
        <v>1922</v>
      </c>
      <c r="C94" s="244" t="s">
        <v>4203</v>
      </c>
      <c r="D94" s="239" t="s">
        <v>7744</v>
      </c>
      <c r="E94" s="240">
        <v>0</v>
      </c>
      <c r="F94" s="240">
        <v>0</v>
      </c>
      <c r="G94" s="240">
        <v>1136025</v>
      </c>
      <c r="H94" s="240">
        <v>0</v>
      </c>
      <c r="I94" s="240">
        <v>0</v>
      </c>
    </row>
    <row r="95" spans="1:9" s="4" customFormat="1" ht="27">
      <c r="A95" s="11"/>
      <c r="B95" s="9" t="s">
        <v>1923</v>
      </c>
      <c r="C95" s="244" t="s">
        <v>4204</v>
      </c>
      <c r="D95" s="239" t="s">
        <v>7745</v>
      </c>
      <c r="E95" s="240">
        <v>0</v>
      </c>
      <c r="F95" s="240">
        <v>0</v>
      </c>
      <c r="G95" s="240">
        <v>474863</v>
      </c>
      <c r="H95" s="240">
        <v>0</v>
      </c>
      <c r="I95" s="240">
        <v>0</v>
      </c>
    </row>
    <row r="96" spans="1:9" s="4" customFormat="1" ht="27">
      <c r="A96" s="11"/>
      <c r="B96" s="9" t="s">
        <v>4915</v>
      </c>
      <c r="C96" s="244" t="s">
        <v>3714</v>
      </c>
      <c r="D96" s="239" t="s">
        <v>7746</v>
      </c>
      <c r="E96" s="240">
        <v>0</v>
      </c>
      <c r="F96" s="240">
        <v>0</v>
      </c>
      <c r="G96" s="240">
        <v>1661171</v>
      </c>
      <c r="H96" s="240">
        <v>35000000</v>
      </c>
      <c r="I96" s="240">
        <v>50000000</v>
      </c>
    </row>
    <row r="97" spans="1:9" s="4" customFormat="1" ht="15.75">
      <c r="A97" s="11"/>
      <c r="B97" s="9" t="s">
        <v>4916</v>
      </c>
      <c r="C97" s="244" t="s">
        <v>4300</v>
      </c>
      <c r="D97" s="239" t="s">
        <v>7747</v>
      </c>
      <c r="E97" s="240">
        <v>0</v>
      </c>
      <c r="F97" s="240">
        <v>0</v>
      </c>
      <c r="G97" s="240">
        <v>2148471</v>
      </c>
      <c r="H97" s="240">
        <v>10500000</v>
      </c>
      <c r="I97" s="240">
        <v>0</v>
      </c>
    </row>
    <row r="98" spans="1:9" s="4" customFormat="1" ht="15.75">
      <c r="A98" s="11"/>
      <c r="B98" s="9" t="s">
        <v>5181</v>
      </c>
      <c r="C98" s="244" t="s">
        <v>5182</v>
      </c>
      <c r="D98" s="239" t="s">
        <v>7748</v>
      </c>
      <c r="E98" s="240">
        <v>0</v>
      </c>
      <c r="F98" s="240">
        <v>0</v>
      </c>
      <c r="G98" s="240">
        <v>0</v>
      </c>
      <c r="H98" s="240">
        <v>125500000</v>
      </c>
      <c r="I98" s="240">
        <v>30000000</v>
      </c>
    </row>
    <row r="99" spans="1:9" s="4" customFormat="1" ht="27">
      <c r="A99" s="11"/>
      <c r="B99" s="9" t="s">
        <v>5361</v>
      </c>
      <c r="C99" s="244" t="s">
        <v>5370</v>
      </c>
      <c r="D99" s="239"/>
      <c r="E99" s="240">
        <v>0</v>
      </c>
      <c r="F99" s="240">
        <v>0</v>
      </c>
      <c r="G99" s="240">
        <v>1876950</v>
      </c>
      <c r="H99" s="240">
        <v>0</v>
      </c>
      <c r="I99" s="240">
        <v>0</v>
      </c>
    </row>
    <row r="100" spans="1:9" s="4" customFormat="1" ht="27">
      <c r="A100" s="11"/>
      <c r="B100" s="9" t="s">
        <v>5362</v>
      </c>
      <c r="C100" s="244" t="s">
        <v>5371</v>
      </c>
      <c r="D100" s="239"/>
      <c r="E100" s="240">
        <v>0</v>
      </c>
      <c r="F100" s="240">
        <v>0</v>
      </c>
      <c r="G100" s="240">
        <v>2285575</v>
      </c>
      <c r="H100" s="240">
        <v>0</v>
      </c>
      <c r="I100" s="240">
        <v>0</v>
      </c>
    </row>
    <row r="101" spans="1:9" s="4" customFormat="1" ht="27">
      <c r="A101" s="11"/>
      <c r="B101" s="9" t="s">
        <v>5363</v>
      </c>
      <c r="C101" s="244" t="s">
        <v>5372</v>
      </c>
      <c r="D101" s="239"/>
      <c r="E101" s="240">
        <v>0</v>
      </c>
      <c r="F101" s="240">
        <v>0</v>
      </c>
      <c r="G101" s="240">
        <v>899100</v>
      </c>
      <c r="H101" s="240">
        <v>0</v>
      </c>
      <c r="I101" s="240">
        <v>0</v>
      </c>
    </row>
    <row r="102" spans="1:9" s="4" customFormat="1" ht="27">
      <c r="A102" s="11"/>
      <c r="B102" s="9" t="s">
        <v>5364</v>
      </c>
      <c r="C102" s="244" t="s">
        <v>5373</v>
      </c>
      <c r="D102" s="239"/>
      <c r="E102" s="240">
        <v>0</v>
      </c>
      <c r="F102" s="240">
        <v>0</v>
      </c>
      <c r="G102" s="240">
        <v>502031</v>
      </c>
      <c r="H102" s="240">
        <v>0</v>
      </c>
      <c r="I102" s="240">
        <v>0</v>
      </c>
    </row>
    <row r="103" spans="1:9" s="4" customFormat="1" ht="27">
      <c r="A103" s="11"/>
      <c r="B103" s="9" t="s">
        <v>5365</v>
      </c>
      <c r="C103" s="244" t="s">
        <v>5374</v>
      </c>
      <c r="D103" s="239"/>
      <c r="E103" s="240">
        <v>0</v>
      </c>
      <c r="F103" s="240">
        <v>0</v>
      </c>
      <c r="G103" s="240">
        <v>672875</v>
      </c>
      <c r="H103" s="240">
        <v>0</v>
      </c>
      <c r="I103" s="240">
        <v>0</v>
      </c>
    </row>
    <row r="104" spans="1:9" s="4" customFormat="1" ht="27">
      <c r="A104" s="11"/>
      <c r="B104" s="9" t="s">
        <v>5366</v>
      </c>
      <c r="C104" s="244" t="s">
        <v>5375</v>
      </c>
      <c r="D104" s="239"/>
      <c r="E104" s="240">
        <v>0</v>
      </c>
      <c r="F104" s="240">
        <v>0</v>
      </c>
      <c r="G104" s="240">
        <v>950000</v>
      </c>
      <c r="H104" s="240">
        <v>0</v>
      </c>
      <c r="I104" s="240">
        <v>0</v>
      </c>
    </row>
    <row r="105" spans="1:9" s="4" customFormat="1" ht="27">
      <c r="A105" s="11"/>
      <c r="B105" s="9" t="s">
        <v>5367</v>
      </c>
      <c r="C105" s="244" t="s">
        <v>5376</v>
      </c>
      <c r="D105" s="239"/>
      <c r="E105" s="240">
        <v>0</v>
      </c>
      <c r="F105" s="240">
        <v>0</v>
      </c>
      <c r="G105" s="240">
        <v>421706</v>
      </c>
      <c r="H105" s="240">
        <v>0</v>
      </c>
      <c r="I105" s="240">
        <v>0</v>
      </c>
    </row>
    <row r="106" spans="1:9" s="4" customFormat="1" ht="27">
      <c r="A106" s="11"/>
      <c r="B106" s="9" t="s">
        <v>5368</v>
      </c>
      <c r="C106" s="244" t="s">
        <v>5377</v>
      </c>
      <c r="D106" s="239"/>
      <c r="E106" s="240">
        <v>0</v>
      </c>
      <c r="F106" s="240">
        <v>0</v>
      </c>
      <c r="G106" s="240">
        <v>843413</v>
      </c>
      <c r="H106" s="240">
        <v>0</v>
      </c>
      <c r="I106" s="240">
        <v>0</v>
      </c>
    </row>
    <row r="107" spans="1:9" s="4" customFormat="1" ht="40.5">
      <c r="A107" s="11"/>
      <c r="B107" s="9" t="s">
        <v>5369</v>
      </c>
      <c r="C107" s="244" t="s">
        <v>5378</v>
      </c>
      <c r="D107" s="239"/>
      <c r="E107" s="240">
        <v>0</v>
      </c>
      <c r="F107" s="240">
        <v>0</v>
      </c>
      <c r="G107" s="240">
        <v>502031</v>
      </c>
      <c r="H107" s="240">
        <v>0</v>
      </c>
      <c r="I107" s="240">
        <v>0</v>
      </c>
    </row>
    <row r="108" spans="1:9" s="4" customFormat="1" ht="27">
      <c r="A108" s="11"/>
      <c r="B108" s="9" t="s">
        <v>5379</v>
      </c>
      <c r="C108" s="244" t="s">
        <v>5380</v>
      </c>
      <c r="D108" s="239"/>
      <c r="E108" s="240">
        <v>0</v>
      </c>
      <c r="F108" s="240">
        <v>0</v>
      </c>
      <c r="G108" s="240">
        <v>466088</v>
      </c>
      <c r="H108" s="240">
        <v>0</v>
      </c>
      <c r="I108" s="240">
        <v>0</v>
      </c>
    </row>
    <row r="109" spans="1:9" s="4" customFormat="1" ht="15.75">
      <c r="A109" s="237"/>
      <c r="B109" s="9"/>
      <c r="C109" s="241"/>
      <c r="D109" s="239"/>
      <c r="E109" s="240">
        <v>0</v>
      </c>
      <c r="F109" s="240">
        <v>0</v>
      </c>
      <c r="G109" s="240">
        <v>0</v>
      </c>
      <c r="H109" s="240">
        <v>0</v>
      </c>
      <c r="I109" s="240">
        <v>0</v>
      </c>
    </row>
    <row r="110" spans="1:9" s="4" customFormat="1" ht="15.75">
      <c r="A110" s="237"/>
      <c r="B110" s="9"/>
      <c r="C110" s="242" t="s">
        <v>4205</v>
      </c>
      <c r="D110" s="243" t="s">
        <v>7749</v>
      </c>
      <c r="E110" s="240">
        <v>95433788</v>
      </c>
      <c r="F110" s="240">
        <v>76946295</v>
      </c>
      <c r="G110" s="240">
        <v>124947035</v>
      </c>
      <c r="H110" s="240">
        <v>305200000</v>
      </c>
      <c r="I110" s="240">
        <v>333240000</v>
      </c>
    </row>
    <row r="111" spans="1:9" s="4" customFormat="1" ht="15.75">
      <c r="A111" s="237"/>
      <c r="B111" s="9"/>
      <c r="C111" s="241"/>
      <c r="D111" s="239"/>
      <c r="E111" s="240">
        <v>0</v>
      </c>
      <c r="F111" s="240">
        <v>0</v>
      </c>
      <c r="G111" s="240">
        <v>0</v>
      </c>
      <c r="H111" s="240">
        <v>0</v>
      </c>
      <c r="I111" s="240">
        <v>0</v>
      </c>
    </row>
    <row r="112" spans="1:9" s="4" customFormat="1" ht="31.5">
      <c r="A112" s="237"/>
      <c r="B112" s="9"/>
      <c r="C112" s="241" t="s">
        <v>4206</v>
      </c>
      <c r="D112" s="239" t="s">
        <v>7750</v>
      </c>
      <c r="E112" s="240">
        <v>0</v>
      </c>
      <c r="F112" s="240">
        <v>0</v>
      </c>
      <c r="G112" s="240">
        <v>0</v>
      </c>
      <c r="H112" s="240">
        <v>0</v>
      </c>
      <c r="I112" s="240">
        <v>0</v>
      </c>
    </row>
    <row r="113" spans="1:9" s="4" customFormat="1" ht="15.75">
      <c r="A113" s="237"/>
      <c r="B113" s="9"/>
      <c r="C113" s="241" t="s">
        <v>4207</v>
      </c>
      <c r="D113" s="239" t="s">
        <v>7751</v>
      </c>
      <c r="E113" s="240">
        <v>0</v>
      </c>
      <c r="F113" s="240">
        <v>0</v>
      </c>
      <c r="G113" s="240">
        <v>0</v>
      </c>
      <c r="H113" s="240">
        <v>0</v>
      </c>
      <c r="I113" s="240">
        <v>0</v>
      </c>
    </row>
    <row r="114" spans="1:9" s="4" customFormat="1" ht="15.75">
      <c r="A114" s="237"/>
      <c r="B114" s="9" t="s">
        <v>633</v>
      </c>
      <c r="C114" s="241" t="s">
        <v>2148</v>
      </c>
      <c r="D114" s="239" t="s">
        <v>6147</v>
      </c>
      <c r="E114" s="240">
        <v>25836075</v>
      </c>
      <c r="F114" s="240">
        <v>27176981</v>
      </c>
      <c r="G114" s="240">
        <v>19762428</v>
      </c>
      <c r="H114" s="240">
        <v>55000000</v>
      </c>
      <c r="I114" s="240">
        <v>55000000</v>
      </c>
    </row>
    <row r="115" spans="1:9" s="4" customFormat="1" ht="15.75">
      <c r="A115" s="237"/>
      <c r="B115" s="9" t="s">
        <v>634</v>
      </c>
      <c r="C115" s="241" t="s">
        <v>4208</v>
      </c>
      <c r="D115" s="239" t="s">
        <v>7752</v>
      </c>
      <c r="E115" s="240">
        <v>6071187</v>
      </c>
      <c r="F115" s="240">
        <v>1252190</v>
      </c>
      <c r="G115" s="240">
        <v>1377902</v>
      </c>
      <c r="H115" s="240">
        <v>1000000</v>
      </c>
      <c r="I115" s="240">
        <v>1000000</v>
      </c>
    </row>
    <row r="116" spans="1:9" s="4" customFormat="1" ht="15.75">
      <c r="A116" s="237"/>
      <c r="B116" s="9"/>
      <c r="C116" s="241"/>
      <c r="D116" s="239"/>
      <c r="E116" s="240">
        <v>0</v>
      </c>
      <c r="F116" s="240">
        <v>0</v>
      </c>
      <c r="G116" s="240">
        <v>0</v>
      </c>
      <c r="H116" s="240">
        <v>0</v>
      </c>
      <c r="I116" s="240">
        <v>0</v>
      </c>
    </row>
    <row r="117" spans="1:9" s="4" customFormat="1" ht="15.75">
      <c r="A117" s="237"/>
      <c r="B117" s="9"/>
      <c r="C117" s="242" t="s">
        <v>4209</v>
      </c>
      <c r="D117" s="243" t="s">
        <v>146</v>
      </c>
      <c r="E117" s="240">
        <v>31907262</v>
      </c>
      <c r="F117" s="240">
        <v>28429171</v>
      </c>
      <c r="G117" s="240">
        <v>21140330</v>
      </c>
      <c r="H117" s="240">
        <v>56000000</v>
      </c>
      <c r="I117" s="240">
        <v>56000000</v>
      </c>
    </row>
    <row r="118" spans="1:9" s="4" customFormat="1" ht="15.75">
      <c r="A118" s="237"/>
      <c r="B118" s="9"/>
      <c r="C118" s="241"/>
      <c r="D118" s="239"/>
      <c r="E118" s="240">
        <v>0</v>
      </c>
      <c r="F118" s="240">
        <v>0</v>
      </c>
      <c r="G118" s="240">
        <v>0</v>
      </c>
      <c r="H118" s="240">
        <v>0</v>
      </c>
      <c r="I118" s="240">
        <v>0</v>
      </c>
    </row>
    <row r="119" spans="1:9" s="4" customFormat="1" ht="15.75">
      <c r="A119" s="237"/>
      <c r="B119" s="9"/>
      <c r="C119" s="241" t="s">
        <v>4210</v>
      </c>
      <c r="D119" s="239" t="s">
        <v>6465</v>
      </c>
      <c r="E119" s="240">
        <v>0</v>
      </c>
      <c r="F119" s="240">
        <v>0</v>
      </c>
      <c r="G119" s="240">
        <v>0</v>
      </c>
      <c r="H119" s="240">
        <v>0</v>
      </c>
      <c r="I119" s="240">
        <v>0</v>
      </c>
    </row>
    <row r="120" spans="1:9" s="4" customFormat="1" ht="15.75">
      <c r="A120" s="237"/>
      <c r="B120" s="9" t="s">
        <v>729</v>
      </c>
      <c r="C120" s="241" t="s">
        <v>4211</v>
      </c>
      <c r="D120" s="239" t="s">
        <v>7753</v>
      </c>
      <c r="E120" s="240">
        <v>278194</v>
      </c>
      <c r="F120" s="240">
        <v>106875</v>
      </c>
      <c r="G120" s="240">
        <v>270588</v>
      </c>
      <c r="H120" s="240">
        <v>380000</v>
      </c>
      <c r="I120" s="240">
        <v>380000</v>
      </c>
    </row>
    <row r="121" spans="1:9" s="4" customFormat="1" ht="15.75">
      <c r="A121" s="237"/>
      <c r="B121" s="9" t="s">
        <v>730</v>
      </c>
      <c r="C121" s="241" t="s">
        <v>4212</v>
      </c>
      <c r="D121" s="239" t="s">
        <v>7754</v>
      </c>
      <c r="E121" s="240">
        <v>134245</v>
      </c>
      <c r="F121" s="240">
        <v>301362</v>
      </c>
      <c r="G121" s="240">
        <v>322845</v>
      </c>
      <c r="H121" s="240">
        <v>500000</v>
      </c>
      <c r="I121" s="240">
        <v>500000</v>
      </c>
    </row>
    <row r="122" spans="1:9" s="4" customFormat="1" ht="15.75">
      <c r="A122" s="237"/>
      <c r="B122" s="9" t="s">
        <v>882</v>
      </c>
      <c r="C122" s="241" t="s">
        <v>4213</v>
      </c>
      <c r="D122" s="239" t="s">
        <v>7755</v>
      </c>
      <c r="E122" s="240">
        <v>53688</v>
      </c>
      <c r="F122" s="240">
        <v>626432</v>
      </c>
      <c r="G122" s="240">
        <v>795948</v>
      </c>
      <c r="H122" s="240">
        <v>1000000</v>
      </c>
      <c r="I122" s="240">
        <v>1000000</v>
      </c>
    </row>
    <row r="123" spans="1:9" s="4" customFormat="1" ht="15.75">
      <c r="A123" s="237"/>
      <c r="B123" s="9" t="s">
        <v>883</v>
      </c>
      <c r="C123" s="241" t="s">
        <v>4214</v>
      </c>
      <c r="D123" s="239" t="s">
        <v>7756</v>
      </c>
      <c r="E123" s="240">
        <v>37999</v>
      </c>
      <c r="F123" s="240">
        <v>58901</v>
      </c>
      <c r="G123" s="240">
        <v>54421</v>
      </c>
      <c r="H123" s="240">
        <v>100000</v>
      </c>
      <c r="I123" s="240">
        <v>100000</v>
      </c>
    </row>
    <row r="124" spans="1:9" s="4" customFormat="1" ht="15.75">
      <c r="A124" s="237"/>
      <c r="B124" s="9" t="s">
        <v>884</v>
      </c>
      <c r="C124" s="241" t="s">
        <v>4215</v>
      </c>
      <c r="D124" s="239" t="s">
        <v>7757</v>
      </c>
      <c r="E124" s="240">
        <v>231000</v>
      </c>
      <c r="F124" s="240">
        <v>28837</v>
      </c>
      <c r="G124" s="240">
        <v>27116</v>
      </c>
      <c r="H124" s="240">
        <v>240000</v>
      </c>
      <c r="I124" s="240">
        <v>200000</v>
      </c>
    </row>
    <row r="125" spans="1:9" s="4" customFormat="1" ht="15.75">
      <c r="A125" s="237"/>
      <c r="B125" s="9" t="s">
        <v>885</v>
      </c>
      <c r="C125" s="241" t="s">
        <v>4216</v>
      </c>
      <c r="D125" s="239" t="s">
        <v>7758</v>
      </c>
      <c r="E125" s="240">
        <v>0</v>
      </c>
      <c r="F125" s="240">
        <v>0</v>
      </c>
      <c r="G125" s="240">
        <v>0</v>
      </c>
      <c r="H125" s="240">
        <v>40000</v>
      </c>
      <c r="I125" s="240">
        <v>10000</v>
      </c>
    </row>
    <row r="126" spans="1:9" s="4" customFormat="1" ht="15.75">
      <c r="A126" s="237"/>
      <c r="B126" s="9" t="s">
        <v>823</v>
      </c>
      <c r="C126" s="241" t="s">
        <v>4217</v>
      </c>
      <c r="D126" s="239" t="s">
        <v>7759</v>
      </c>
      <c r="E126" s="240">
        <v>445823</v>
      </c>
      <c r="F126" s="240">
        <v>225722</v>
      </c>
      <c r="G126" s="240">
        <v>232227</v>
      </c>
      <c r="H126" s="240">
        <v>560000</v>
      </c>
      <c r="I126" s="240">
        <v>550000</v>
      </c>
    </row>
    <row r="127" spans="1:9" s="4" customFormat="1" ht="15.75">
      <c r="A127" s="237"/>
      <c r="B127" s="9" t="s">
        <v>824</v>
      </c>
      <c r="C127" s="241" t="s">
        <v>4218</v>
      </c>
      <c r="D127" s="239" t="s">
        <v>7760</v>
      </c>
      <c r="E127" s="240">
        <v>34175</v>
      </c>
      <c r="F127" s="240">
        <v>70758</v>
      </c>
      <c r="G127" s="240">
        <v>29825</v>
      </c>
      <c r="H127" s="240">
        <v>100000</v>
      </c>
      <c r="I127" s="240">
        <v>100000</v>
      </c>
    </row>
    <row r="128" spans="1:9" s="4" customFormat="1" ht="15.75">
      <c r="A128" s="237"/>
      <c r="B128" s="9"/>
      <c r="C128" s="241"/>
      <c r="D128" s="239"/>
      <c r="E128" s="240">
        <v>0</v>
      </c>
      <c r="F128" s="240">
        <v>0</v>
      </c>
      <c r="G128" s="240">
        <v>0</v>
      </c>
      <c r="H128" s="240">
        <v>0</v>
      </c>
      <c r="I128" s="240">
        <v>0</v>
      </c>
    </row>
    <row r="129" spans="1:9" s="4" customFormat="1" ht="15.75">
      <c r="A129" s="237"/>
      <c r="B129" s="9"/>
      <c r="C129" s="242" t="s">
        <v>4219</v>
      </c>
      <c r="D129" s="243" t="s">
        <v>146</v>
      </c>
      <c r="E129" s="240">
        <v>1215124</v>
      </c>
      <c r="F129" s="240">
        <v>1418887</v>
      </c>
      <c r="G129" s="240">
        <v>1732970</v>
      </c>
      <c r="H129" s="240">
        <v>2920000</v>
      </c>
      <c r="I129" s="240">
        <v>2840000</v>
      </c>
    </row>
    <row r="130" spans="1:9" s="4" customFormat="1" ht="15.75">
      <c r="A130" s="237"/>
      <c r="B130" s="9"/>
      <c r="C130" s="241"/>
      <c r="D130" s="239"/>
      <c r="E130" s="240">
        <v>0</v>
      </c>
      <c r="F130" s="240">
        <v>0</v>
      </c>
      <c r="G130" s="240">
        <v>0</v>
      </c>
      <c r="H130" s="240">
        <v>0</v>
      </c>
      <c r="I130" s="240">
        <v>0</v>
      </c>
    </row>
    <row r="131" spans="1:9" s="4" customFormat="1" ht="27">
      <c r="A131" s="237"/>
      <c r="B131" s="9" t="s">
        <v>825</v>
      </c>
      <c r="C131" s="244" t="s">
        <v>4220</v>
      </c>
      <c r="D131" s="239" t="s">
        <v>7761</v>
      </c>
      <c r="E131" s="240">
        <v>1546804</v>
      </c>
      <c r="F131" s="240">
        <v>0</v>
      </c>
      <c r="G131" s="240">
        <v>0</v>
      </c>
      <c r="H131" s="240">
        <v>1000000</v>
      </c>
      <c r="I131" s="240">
        <v>1200000</v>
      </c>
    </row>
    <row r="132" spans="1:9" s="4" customFormat="1" ht="27">
      <c r="A132" s="237"/>
      <c r="B132" s="9" t="s">
        <v>826</v>
      </c>
      <c r="C132" s="244" t="s">
        <v>4221</v>
      </c>
      <c r="D132" s="239" t="s">
        <v>7762</v>
      </c>
      <c r="E132" s="240">
        <v>79680</v>
      </c>
      <c r="F132" s="240">
        <v>119976</v>
      </c>
      <c r="G132" s="240">
        <v>0</v>
      </c>
      <c r="H132" s="240">
        <v>300000</v>
      </c>
      <c r="I132" s="240">
        <v>300000</v>
      </c>
    </row>
    <row r="133" spans="1:9" s="4" customFormat="1" ht="15.75">
      <c r="A133" s="237"/>
      <c r="B133" s="9" t="s">
        <v>827</v>
      </c>
      <c r="C133" s="244" t="s">
        <v>4222</v>
      </c>
      <c r="D133" s="239" t="s">
        <v>7763</v>
      </c>
      <c r="E133" s="240">
        <v>1019998</v>
      </c>
      <c r="F133" s="240">
        <v>1039550</v>
      </c>
      <c r="G133" s="240">
        <v>547797</v>
      </c>
      <c r="H133" s="240">
        <v>1200000</v>
      </c>
      <c r="I133" s="240">
        <v>1500000</v>
      </c>
    </row>
    <row r="134" spans="1:9" s="4" customFormat="1" ht="40.5">
      <c r="A134" s="237"/>
      <c r="B134" s="9" t="s">
        <v>95</v>
      </c>
      <c r="C134" s="244" t="s">
        <v>4223</v>
      </c>
      <c r="D134" s="239" t="s">
        <v>7764</v>
      </c>
      <c r="E134" s="240">
        <v>3571218</v>
      </c>
      <c r="F134" s="240">
        <v>1083452</v>
      </c>
      <c r="G134" s="240">
        <v>181496</v>
      </c>
      <c r="H134" s="240">
        <v>2000000</v>
      </c>
      <c r="I134" s="240">
        <v>3000000</v>
      </c>
    </row>
    <row r="135" spans="1:9" s="4" customFormat="1" ht="15.75">
      <c r="A135" s="237"/>
      <c r="B135" s="9" t="s">
        <v>96</v>
      </c>
      <c r="C135" s="244" t="s">
        <v>4224</v>
      </c>
      <c r="D135" s="239" t="s">
        <v>7765</v>
      </c>
      <c r="E135" s="240">
        <v>0</v>
      </c>
      <c r="F135" s="240">
        <v>0</v>
      </c>
      <c r="G135" s="240">
        <v>0</v>
      </c>
      <c r="H135" s="240">
        <v>2000000</v>
      </c>
      <c r="I135" s="240">
        <v>1000000</v>
      </c>
    </row>
    <row r="136" spans="1:9" s="4" customFormat="1" ht="27">
      <c r="A136" s="237"/>
      <c r="B136" s="9" t="s">
        <v>97</v>
      </c>
      <c r="C136" s="244" t="s">
        <v>4225</v>
      </c>
      <c r="D136" s="239" t="s">
        <v>7766</v>
      </c>
      <c r="E136" s="240">
        <v>4489043</v>
      </c>
      <c r="F136" s="240">
        <v>5307179</v>
      </c>
      <c r="G136" s="240">
        <v>4446832</v>
      </c>
      <c r="H136" s="240">
        <v>10000000</v>
      </c>
      <c r="I136" s="240">
        <v>12000000</v>
      </c>
    </row>
    <row r="137" spans="1:9" s="4" customFormat="1" ht="15.75">
      <c r="A137" s="237"/>
      <c r="B137" s="9" t="s">
        <v>98</v>
      </c>
      <c r="C137" s="244" t="s">
        <v>4226</v>
      </c>
      <c r="D137" s="239" t="s">
        <v>7767</v>
      </c>
      <c r="E137" s="240">
        <v>0</v>
      </c>
      <c r="F137" s="240">
        <v>0</v>
      </c>
      <c r="G137" s="240">
        <v>0</v>
      </c>
      <c r="H137" s="240">
        <v>1200000</v>
      </c>
      <c r="I137" s="240">
        <v>1200000</v>
      </c>
    </row>
    <row r="138" spans="1:9" s="4" customFormat="1" ht="15.75">
      <c r="A138" s="237"/>
      <c r="B138" s="9" t="s">
        <v>99</v>
      </c>
      <c r="C138" s="244" t="s">
        <v>4227</v>
      </c>
      <c r="D138" s="239" t="s">
        <v>7768</v>
      </c>
      <c r="E138" s="240">
        <v>0</v>
      </c>
      <c r="F138" s="240">
        <v>159650</v>
      </c>
      <c r="G138" s="240">
        <v>0</v>
      </c>
      <c r="H138" s="240">
        <v>80000</v>
      </c>
      <c r="I138" s="240">
        <v>1000000</v>
      </c>
    </row>
    <row r="139" spans="1:9" s="4" customFormat="1" ht="15.75">
      <c r="A139" s="237"/>
      <c r="B139" s="9" t="s">
        <v>100</v>
      </c>
      <c r="C139" s="244" t="s">
        <v>4228</v>
      </c>
      <c r="D139" s="239" t="s">
        <v>7769</v>
      </c>
      <c r="E139" s="240">
        <v>0</v>
      </c>
      <c r="F139" s="240">
        <v>0</v>
      </c>
      <c r="G139" s="240">
        <v>0</v>
      </c>
      <c r="H139" s="240">
        <v>160000</v>
      </c>
      <c r="I139" s="240">
        <v>150000</v>
      </c>
    </row>
    <row r="140" spans="1:9" s="4" customFormat="1" ht="15.75">
      <c r="A140" s="237"/>
      <c r="B140" s="9" t="s">
        <v>101</v>
      </c>
      <c r="C140" s="244" t="s">
        <v>4229</v>
      </c>
      <c r="D140" s="239" t="s">
        <v>7770</v>
      </c>
      <c r="E140" s="240">
        <v>1736160</v>
      </c>
      <c r="F140" s="240">
        <v>218567</v>
      </c>
      <c r="G140" s="240">
        <v>0</v>
      </c>
      <c r="H140" s="240">
        <v>40000000</v>
      </c>
      <c r="I140" s="240">
        <v>50000000</v>
      </c>
    </row>
    <row r="141" spans="1:9" s="4" customFormat="1" ht="15.75">
      <c r="A141" s="237"/>
      <c r="B141" s="9" t="s">
        <v>102</v>
      </c>
      <c r="C141" s="244" t="s">
        <v>4230</v>
      </c>
      <c r="D141" s="239" t="s">
        <v>7771</v>
      </c>
      <c r="E141" s="240">
        <v>3520000</v>
      </c>
      <c r="F141" s="240">
        <v>1446001</v>
      </c>
      <c r="G141" s="240">
        <v>1996371</v>
      </c>
      <c r="H141" s="240">
        <v>5000000</v>
      </c>
      <c r="I141" s="240">
        <v>5000000</v>
      </c>
    </row>
    <row r="142" spans="1:9" s="4" customFormat="1" ht="15.75">
      <c r="A142" s="237"/>
      <c r="B142" s="9" t="s">
        <v>103</v>
      </c>
      <c r="C142" s="244" t="s">
        <v>4231</v>
      </c>
      <c r="D142" s="239" t="s">
        <v>7772</v>
      </c>
      <c r="E142" s="240">
        <v>3994538</v>
      </c>
      <c r="F142" s="240">
        <v>4799997</v>
      </c>
      <c r="G142" s="240">
        <v>4799935</v>
      </c>
      <c r="H142" s="240">
        <v>6200000</v>
      </c>
      <c r="I142" s="240">
        <v>8000000</v>
      </c>
    </row>
    <row r="143" spans="1:9" s="4" customFormat="1" ht="15.75">
      <c r="A143" s="237"/>
      <c r="B143" s="9" t="s">
        <v>104</v>
      </c>
      <c r="C143" s="244" t="s">
        <v>4232</v>
      </c>
      <c r="D143" s="239" t="s">
        <v>7773</v>
      </c>
      <c r="E143" s="240">
        <v>596056</v>
      </c>
      <c r="F143" s="240">
        <v>1000000</v>
      </c>
      <c r="G143" s="240">
        <v>0</v>
      </c>
      <c r="H143" s="240">
        <v>0</v>
      </c>
      <c r="I143" s="240">
        <v>0</v>
      </c>
    </row>
    <row r="144" spans="1:9" s="4" customFormat="1" ht="15.75">
      <c r="A144" s="237"/>
      <c r="B144" s="9" t="s">
        <v>105</v>
      </c>
      <c r="C144" s="244" t="s">
        <v>4233</v>
      </c>
      <c r="D144" s="239" t="s">
        <v>7774</v>
      </c>
      <c r="E144" s="240">
        <v>431951</v>
      </c>
      <c r="F144" s="240">
        <v>681381</v>
      </c>
      <c r="G144" s="240">
        <v>0</v>
      </c>
      <c r="H144" s="240">
        <v>800000</v>
      </c>
      <c r="I144" s="240">
        <v>800000</v>
      </c>
    </row>
    <row r="145" spans="1:9" s="4" customFormat="1" ht="40.5">
      <c r="A145" s="237"/>
      <c r="B145" s="9" t="s">
        <v>106</v>
      </c>
      <c r="C145" s="244" t="s">
        <v>4234</v>
      </c>
      <c r="D145" s="239" t="s">
        <v>7775</v>
      </c>
      <c r="E145" s="240">
        <v>223306</v>
      </c>
      <c r="F145" s="240">
        <v>320000</v>
      </c>
      <c r="G145" s="240">
        <v>61063</v>
      </c>
      <c r="H145" s="240">
        <v>300000</v>
      </c>
      <c r="I145" s="240">
        <v>300000</v>
      </c>
    </row>
    <row r="146" spans="1:9" s="4" customFormat="1" ht="27">
      <c r="A146" s="237"/>
      <c r="B146" s="9" t="s">
        <v>107</v>
      </c>
      <c r="C146" s="244" t="s">
        <v>4235</v>
      </c>
      <c r="D146" s="239" t="s">
        <v>7776</v>
      </c>
      <c r="E146" s="240">
        <v>0</v>
      </c>
      <c r="F146" s="240">
        <v>142720</v>
      </c>
      <c r="G146" s="240">
        <v>105000</v>
      </c>
      <c r="H146" s="240">
        <v>800000</v>
      </c>
      <c r="I146" s="240">
        <v>800000</v>
      </c>
    </row>
    <row r="147" spans="1:9" s="4" customFormat="1" ht="27">
      <c r="A147" s="237"/>
      <c r="B147" s="9" t="s">
        <v>51</v>
      </c>
      <c r="C147" s="244" t="s">
        <v>3614</v>
      </c>
      <c r="D147" s="239" t="s">
        <v>7777</v>
      </c>
      <c r="E147" s="240">
        <v>0</v>
      </c>
      <c r="F147" s="240">
        <v>0</v>
      </c>
      <c r="G147" s="240">
        <v>24000000</v>
      </c>
      <c r="H147" s="240">
        <v>24000000</v>
      </c>
      <c r="I147" s="240">
        <v>24000000</v>
      </c>
    </row>
    <row r="148" spans="1:9" s="4" customFormat="1" ht="15.75">
      <c r="A148" s="237"/>
      <c r="B148" s="9" t="s">
        <v>52</v>
      </c>
      <c r="C148" s="244" t="s">
        <v>4236</v>
      </c>
      <c r="D148" s="239" t="s">
        <v>7778</v>
      </c>
      <c r="E148" s="240">
        <v>2440674</v>
      </c>
      <c r="F148" s="240">
        <v>1599999</v>
      </c>
      <c r="G148" s="240">
        <v>1160640</v>
      </c>
      <c r="H148" s="240">
        <v>900000</v>
      </c>
      <c r="I148" s="240">
        <v>2000000</v>
      </c>
    </row>
    <row r="149" spans="1:9" s="4" customFormat="1" ht="27">
      <c r="A149" s="237"/>
      <c r="B149" s="9" t="s">
        <v>53</v>
      </c>
      <c r="C149" s="244" t="s">
        <v>4237</v>
      </c>
      <c r="D149" s="239" t="s">
        <v>7779</v>
      </c>
      <c r="E149" s="240">
        <v>881880</v>
      </c>
      <c r="F149" s="240">
        <v>929920</v>
      </c>
      <c r="G149" s="240">
        <v>401117</v>
      </c>
      <c r="H149" s="240">
        <v>1200000</v>
      </c>
      <c r="I149" s="240">
        <v>1200000</v>
      </c>
    </row>
    <row r="150" spans="1:9" s="4" customFormat="1" ht="27">
      <c r="A150" s="237"/>
      <c r="B150" s="9" t="s">
        <v>54</v>
      </c>
      <c r="C150" s="244" t="s">
        <v>4238</v>
      </c>
      <c r="D150" s="239" t="s">
        <v>7780</v>
      </c>
      <c r="E150" s="240">
        <v>0</v>
      </c>
      <c r="F150" s="240">
        <v>0</v>
      </c>
      <c r="G150" s="240">
        <v>319768</v>
      </c>
      <c r="H150" s="240">
        <v>800000</v>
      </c>
      <c r="I150" s="240">
        <v>1000000</v>
      </c>
    </row>
    <row r="151" spans="1:9" s="4" customFormat="1" ht="27">
      <c r="A151" s="237"/>
      <c r="B151" s="9" t="s">
        <v>967</v>
      </c>
      <c r="C151" s="244" t="s">
        <v>4239</v>
      </c>
      <c r="D151" s="239" t="s">
        <v>7781</v>
      </c>
      <c r="E151" s="240">
        <v>0</v>
      </c>
      <c r="F151" s="240">
        <v>0</v>
      </c>
      <c r="G151" s="240">
        <v>5268510</v>
      </c>
      <c r="H151" s="240">
        <v>1500000</v>
      </c>
      <c r="I151" s="240">
        <v>10000000</v>
      </c>
    </row>
    <row r="152" spans="1:9" s="4" customFormat="1" ht="40.5">
      <c r="A152" s="237"/>
      <c r="B152" s="9" t="s">
        <v>1267</v>
      </c>
      <c r="C152" s="244" t="s">
        <v>4240</v>
      </c>
      <c r="D152" s="239" t="s">
        <v>7782</v>
      </c>
      <c r="E152" s="240">
        <v>0</v>
      </c>
      <c r="F152" s="240">
        <v>0</v>
      </c>
      <c r="G152" s="240">
        <v>787743</v>
      </c>
      <c r="H152" s="240">
        <v>1000000</v>
      </c>
      <c r="I152" s="240">
        <v>1200000</v>
      </c>
    </row>
    <row r="153" spans="1:9" s="4" customFormat="1" ht="40.5">
      <c r="A153" s="237"/>
      <c r="B153" s="9" t="s">
        <v>4917</v>
      </c>
      <c r="C153" s="244" t="s">
        <v>3698</v>
      </c>
      <c r="D153" s="239" t="s">
        <v>7783</v>
      </c>
      <c r="E153" s="240">
        <v>0</v>
      </c>
      <c r="F153" s="240">
        <v>0</v>
      </c>
      <c r="G153" s="240">
        <v>0</v>
      </c>
      <c r="H153" s="240">
        <v>5000000</v>
      </c>
      <c r="I153" s="240">
        <v>0</v>
      </c>
    </row>
    <row r="154" spans="1:9" s="4" customFormat="1" ht="15.75">
      <c r="A154" s="237"/>
      <c r="B154" s="9"/>
      <c r="C154" s="241"/>
      <c r="D154" s="239"/>
      <c r="E154" s="240">
        <v>0</v>
      </c>
      <c r="F154" s="240">
        <v>0</v>
      </c>
      <c r="G154" s="240">
        <v>0</v>
      </c>
      <c r="H154" s="240">
        <v>0</v>
      </c>
      <c r="I154" s="240">
        <v>0</v>
      </c>
    </row>
    <row r="155" spans="1:9" s="4" customFormat="1" ht="31.5">
      <c r="A155" s="237"/>
      <c r="B155" s="9"/>
      <c r="C155" s="242" t="s">
        <v>4241</v>
      </c>
      <c r="D155" s="243" t="s">
        <v>7784</v>
      </c>
      <c r="E155" s="240">
        <v>57653694</v>
      </c>
      <c r="F155" s="240">
        <v>48696450</v>
      </c>
      <c r="G155" s="240">
        <v>66949572</v>
      </c>
      <c r="H155" s="240">
        <v>164360000</v>
      </c>
      <c r="I155" s="240">
        <v>184490000</v>
      </c>
    </row>
    <row r="156" spans="1:9" s="4" customFormat="1" ht="15.75">
      <c r="A156" s="237"/>
      <c r="B156" s="9"/>
      <c r="C156" s="241"/>
      <c r="D156" s="239"/>
      <c r="E156" s="240">
        <v>0</v>
      </c>
      <c r="F156" s="240">
        <v>0</v>
      </c>
      <c r="G156" s="240">
        <v>0</v>
      </c>
      <c r="H156" s="240">
        <v>0</v>
      </c>
      <c r="I156" s="240">
        <v>0</v>
      </c>
    </row>
    <row r="157" spans="1:9" s="4" customFormat="1" ht="15.75">
      <c r="A157" s="237"/>
      <c r="B157" s="9"/>
      <c r="C157" s="241"/>
      <c r="D157" s="239"/>
      <c r="E157" s="240">
        <v>0</v>
      </c>
      <c r="F157" s="240">
        <v>0</v>
      </c>
      <c r="G157" s="240">
        <v>0</v>
      </c>
      <c r="H157" s="240">
        <v>0</v>
      </c>
      <c r="I157" s="240">
        <v>0</v>
      </c>
    </row>
    <row r="158" spans="1:9" s="4" customFormat="1" ht="15.75">
      <c r="A158" s="237"/>
      <c r="B158" s="9" t="s">
        <v>923</v>
      </c>
      <c r="C158" s="241" t="s">
        <v>4242</v>
      </c>
      <c r="D158" s="239" t="s">
        <v>7785</v>
      </c>
      <c r="E158" s="240">
        <v>5985008</v>
      </c>
      <c r="F158" s="240">
        <v>6161486</v>
      </c>
      <c r="G158" s="240">
        <v>6721230</v>
      </c>
      <c r="H158" s="240">
        <v>0</v>
      </c>
      <c r="I158" s="240">
        <v>0</v>
      </c>
    </row>
    <row r="159" spans="1:9" s="4" customFormat="1" ht="15.75">
      <c r="A159" s="237"/>
      <c r="B159" s="9"/>
      <c r="C159" s="241"/>
      <c r="D159" s="239"/>
      <c r="E159" s="240">
        <v>0</v>
      </c>
      <c r="F159" s="240">
        <v>0</v>
      </c>
      <c r="G159" s="240">
        <v>0</v>
      </c>
      <c r="H159" s="240">
        <v>0</v>
      </c>
      <c r="I159" s="240">
        <v>0</v>
      </c>
    </row>
    <row r="160" spans="1:9" s="4" customFormat="1" ht="15.75">
      <c r="A160" s="9" t="s">
        <v>755</v>
      </c>
      <c r="B160" s="9"/>
      <c r="C160" s="242" t="s">
        <v>4243</v>
      </c>
      <c r="D160" s="243" t="s">
        <v>7786</v>
      </c>
      <c r="E160" s="240">
        <v>5985008</v>
      </c>
      <c r="F160" s="240">
        <v>6161486</v>
      </c>
      <c r="G160" s="240">
        <v>6721230</v>
      </c>
      <c r="H160" s="240">
        <v>0</v>
      </c>
      <c r="I160" s="240">
        <v>0</v>
      </c>
    </row>
    <row r="161" spans="1:9" s="4" customFormat="1" ht="15.75">
      <c r="A161" s="237"/>
      <c r="B161" s="9"/>
      <c r="C161" s="245"/>
      <c r="D161" s="239"/>
      <c r="E161" s="246"/>
      <c r="F161" s="246"/>
      <c r="G161" s="246"/>
      <c r="H161" s="246"/>
      <c r="I161" s="246"/>
    </row>
  </sheetData>
  <mergeCells count="10">
    <mergeCell ref="H2:H5"/>
    <mergeCell ref="I2:I5"/>
    <mergeCell ref="A1:I1"/>
    <mergeCell ref="A2:A5"/>
    <mergeCell ref="B2:C5"/>
    <mergeCell ref="E2:G2"/>
    <mergeCell ref="E3:E5"/>
    <mergeCell ref="F3:F5"/>
    <mergeCell ref="G3:G5"/>
    <mergeCell ref="D2:D5"/>
  </mergeCells>
  <phoneticPr fontId="8" type="noConversion"/>
  <printOptions horizontalCentered="1" gridLines="1"/>
  <pageMargins left="0.5" right="0.5" top="0.7" bottom="1.5" header="0.5" footer="0.5"/>
  <pageSetup paperSize="5" firstPageNumber="140" pageOrder="overThenDown" orientation="portrait" blackAndWhite="1" useFirstPageNumber="1" r:id="rId1"/>
  <headerFooter alignWithMargins="0">
    <oddHeader>&amp;C&amp;P</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Sheet82">
    <tabColor indexed="11"/>
  </sheetPr>
  <dimension ref="A1:H697"/>
  <sheetViews>
    <sheetView zoomScaleNormal="100" zoomScaleSheetLayoutView="100" workbookViewId="0"/>
  </sheetViews>
  <sheetFormatPr defaultColWidth="9.1640625" defaultRowHeight="11.25"/>
  <cols>
    <col min="1" max="1" width="4.83203125" style="40" customWidth="1"/>
    <col min="2" max="2" width="19.83203125" style="42" customWidth="1"/>
    <col min="3" max="3" width="9.1640625" style="42" customWidth="1"/>
    <col min="4" max="4" width="2.83203125" style="43" customWidth="1"/>
    <col min="5" max="5" width="51.83203125" style="40" customWidth="1"/>
    <col min="6" max="6" width="15.6640625" style="40" customWidth="1"/>
    <col min="7" max="7" width="16.83203125" style="40" customWidth="1"/>
    <col min="8" max="8" width="2.83203125" style="84" customWidth="1"/>
    <col min="9" max="14" width="9.1640625" style="40" customWidth="1"/>
    <col min="15" max="16384" width="9.1640625" style="40"/>
  </cols>
  <sheetData>
    <row r="1" spans="1:8" ht="16.5">
      <c r="A1" s="185" t="s">
        <v>5007</v>
      </c>
      <c r="B1" s="163"/>
      <c r="C1" s="163"/>
      <c r="D1" s="186"/>
      <c r="E1" s="187"/>
      <c r="F1" s="188"/>
      <c r="G1" s="188"/>
    </row>
    <row r="2" spans="1:8" ht="11.25" customHeight="1">
      <c r="A2" s="92"/>
      <c r="E2" s="99"/>
      <c r="F2" s="131"/>
      <c r="G2" s="131"/>
    </row>
    <row r="3" spans="1:8" ht="11.25" customHeight="1">
      <c r="A3" s="92"/>
      <c r="E3" s="99"/>
      <c r="F3" s="131"/>
      <c r="G3" s="131"/>
    </row>
    <row r="4" spans="1:8" ht="15.75">
      <c r="A4" s="169" t="s">
        <v>4921</v>
      </c>
      <c r="E4" s="99"/>
      <c r="F4" s="131"/>
      <c r="G4" s="131"/>
    </row>
    <row r="5" spans="1:8" ht="15.75">
      <c r="A5" s="173" t="s">
        <v>4379</v>
      </c>
      <c r="E5" s="99"/>
      <c r="F5" s="131"/>
      <c r="G5" s="131"/>
    </row>
    <row r="6" spans="1:8" ht="12">
      <c r="A6" s="93" t="s">
        <v>183</v>
      </c>
      <c r="E6" s="99"/>
      <c r="F6" s="131"/>
      <c r="G6" s="131"/>
    </row>
    <row r="7" spans="1:8" ht="12">
      <c r="A7" s="92"/>
      <c r="E7" s="99"/>
      <c r="F7" s="131"/>
      <c r="G7" s="131"/>
    </row>
    <row r="8" spans="1:8" ht="15.75" customHeight="1">
      <c r="A8" s="113" t="s">
        <v>4918</v>
      </c>
      <c r="B8" s="42" t="s">
        <v>234</v>
      </c>
      <c r="C8" s="42" t="s">
        <v>506</v>
      </c>
      <c r="E8" s="174" t="s">
        <v>4066</v>
      </c>
      <c r="F8" s="175" t="s">
        <v>3673</v>
      </c>
      <c r="G8" s="175" t="s">
        <v>3676</v>
      </c>
    </row>
    <row r="9" spans="1:8" ht="12">
      <c r="A9" s="92"/>
      <c r="E9" s="99"/>
      <c r="F9" s="131"/>
      <c r="G9" s="131"/>
    </row>
    <row r="10" spans="1:8" ht="15.75">
      <c r="A10" s="92"/>
      <c r="E10" s="189" t="s">
        <v>8434</v>
      </c>
      <c r="F10" s="131"/>
      <c r="G10" s="131"/>
      <c r="H10" s="40"/>
    </row>
    <row r="11" spans="1:8" ht="31.5">
      <c r="A11" s="113">
        <v>1</v>
      </c>
      <c r="B11" s="42" t="s">
        <v>4503</v>
      </c>
      <c r="C11" s="42">
        <v>55</v>
      </c>
      <c r="E11" s="79" t="s">
        <v>8416</v>
      </c>
      <c r="F11" s="126">
        <v>180000000</v>
      </c>
      <c r="G11" s="126">
        <v>70000000</v>
      </c>
      <c r="H11" s="40"/>
    </row>
    <row r="12" spans="1:8" ht="15.75">
      <c r="A12" s="113">
        <v>2</v>
      </c>
      <c r="B12" s="42" t="s">
        <v>8415</v>
      </c>
      <c r="C12" s="42">
        <v>20</v>
      </c>
      <c r="E12" s="87" t="s">
        <v>8417</v>
      </c>
      <c r="F12" s="126">
        <v>50000000</v>
      </c>
      <c r="G12" s="126">
        <v>20000000</v>
      </c>
      <c r="H12" s="40"/>
    </row>
    <row r="13" spans="1:8" ht="15.75">
      <c r="A13" s="113">
        <v>3</v>
      </c>
      <c r="B13" s="42" t="s">
        <v>4507</v>
      </c>
      <c r="E13" s="87" t="s">
        <v>8418</v>
      </c>
      <c r="F13" s="126">
        <v>3650000000</v>
      </c>
      <c r="G13" s="126">
        <v>250000000</v>
      </c>
      <c r="H13" s="40"/>
    </row>
    <row r="14" spans="1:8" ht="47.25">
      <c r="A14" s="113">
        <v>4</v>
      </c>
      <c r="B14" s="42" t="s">
        <v>5332</v>
      </c>
      <c r="C14" s="42">
        <v>9</v>
      </c>
      <c r="E14" s="79" t="s">
        <v>8419</v>
      </c>
      <c r="F14" s="126">
        <v>70000000</v>
      </c>
      <c r="G14" s="126">
        <v>20000000</v>
      </c>
      <c r="H14" s="40"/>
    </row>
    <row r="15" spans="1:8" ht="31.5">
      <c r="A15" s="113">
        <v>5</v>
      </c>
      <c r="B15" s="42" t="s">
        <v>4505</v>
      </c>
      <c r="C15" s="42">
        <v>3</v>
      </c>
      <c r="E15" s="79" t="s">
        <v>8420</v>
      </c>
      <c r="F15" s="126">
        <v>135000000</v>
      </c>
      <c r="G15" s="126">
        <v>40000000</v>
      </c>
      <c r="H15" s="40"/>
    </row>
    <row r="16" spans="1:8" ht="15.75">
      <c r="A16" s="113">
        <v>6</v>
      </c>
      <c r="B16" s="42" t="s">
        <v>4508</v>
      </c>
      <c r="C16" s="42" t="s">
        <v>10569</v>
      </c>
      <c r="E16" s="79" t="s">
        <v>8421</v>
      </c>
      <c r="F16" s="126"/>
      <c r="G16" s="126">
        <v>20000000</v>
      </c>
      <c r="H16" s="40"/>
    </row>
    <row r="17" spans="1:8" ht="31.5">
      <c r="A17" s="113">
        <v>7</v>
      </c>
      <c r="B17" s="42" t="s">
        <v>4506</v>
      </c>
      <c r="C17" s="42">
        <v>3</v>
      </c>
      <c r="E17" s="79" t="s">
        <v>8422</v>
      </c>
      <c r="F17" s="126"/>
      <c r="G17" s="126">
        <v>20000000</v>
      </c>
      <c r="H17" s="40"/>
    </row>
    <row r="18" spans="1:8" ht="31.5">
      <c r="A18" s="113">
        <v>8</v>
      </c>
      <c r="B18" s="42" t="s">
        <v>5334</v>
      </c>
      <c r="C18" s="42">
        <v>1</v>
      </c>
      <c r="E18" s="79" t="s">
        <v>9090</v>
      </c>
      <c r="F18" s="126">
        <v>200000000</v>
      </c>
      <c r="G18" s="126">
        <v>20000000</v>
      </c>
    </row>
    <row r="19" spans="1:8" ht="31.5">
      <c r="A19" s="113">
        <v>9</v>
      </c>
      <c r="B19" s="42" t="s">
        <v>4504</v>
      </c>
      <c r="C19" s="42">
        <v>2</v>
      </c>
      <c r="E19" s="79" t="s">
        <v>8423</v>
      </c>
      <c r="F19" s="126">
        <v>5000000</v>
      </c>
      <c r="G19" s="126">
        <v>3000000</v>
      </c>
    </row>
    <row r="20" spans="1:8" ht="31.5">
      <c r="A20" s="113">
        <v>10</v>
      </c>
      <c r="B20" s="42" t="s">
        <v>1497</v>
      </c>
      <c r="E20" s="79" t="s">
        <v>10555</v>
      </c>
      <c r="F20" s="126"/>
      <c r="G20" s="126">
        <v>150000000</v>
      </c>
    </row>
    <row r="21" spans="1:8" ht="31.5">
      <c r="A21" s="113">
        <v>11</v>
      </c>
      <c r="B21" s="42" t="s">
        <v>8429</v>
      </c>
      <c r="C21" s="42">
        <v>45</v>
      </c>
      <c r="E21" s="79" t="s">
        <v>8430</v>
      </c>
      <c r="F21" s="126">
        <v>40000000</v>
      </c>
      <c r="G21" s="126">
        <v>20000000</v>
      </c>
    </row>
    <row r="22" spans="1:8" ht="15.75">
      <c r="A22" s="113">
        <v>12</v>
      </c>
      <c r="B22" s="42" t="s">
        <v>1498</v>
      </c>
      <c r="C22" s="42" t="s">
        <v>598</v>
      </c>
      <c r="E22" s="79" t="s">
        <v>8431</v>
      </c>
      <c r="F22" s="126"/>
      <c r="G22" s="126">
        <v>20000000</v>
      </c>
    </row>
    <row r="23" spans="1:8" ht="11.25" customHeight="1">
      <c r="A23" s="177"/>
      <c r="E23" s="99"/>
      <c r="F23" s="131"/>
      <c r="G23" s="131"/>
    </row>
    <row r="24" spans="1:8" ht="15.75">
      <c r="A24" s="178"/>
      <c r="B24" s="162"/>
      <c r="C24" s="162"/>
      <c r="D24" s="179"/>
      <c r="E24" s="180" t="str">
        <f>""&amp;TEXT(A4,"0")&amp;" एकूण"</f>
        <v>यादी क्र. ए२ एकूण</v>
      </c>
      <c r="F24" s="181">
        <f>SUM(F10:F23)</f>
        <v>4330000000</v>
      </c>
      <c r="G24" s="181">
        <f>SUM(G10:G23)</f>
        <v>653000000</v>
      </c>
    </row>
    <row r="25" spans="1:8" ht="11.25" customHeight="1">
      <c r="A25" s="92"/>
      <c r="E25" s="99"/>
      <c r="F25" s="131"/>
      <c r="G25" s="131"/>
    </row>
    <row r="26" spans="1:8" ht="15.75" customHeight="1">
      <c r="A26" s="169" t="s">
        <v>4922</v>
      </c>
      <c r="B26" s="161"/>
      <c r="C26" s="161"/>
      <c r="D26" s="170"/>
      <c r="E26" s="171"/>
      <c r="F26" s="172"/>
      <c r="G26" s="172"/>
    </row>
    <row r="27" spans="1:8" ht="15.75" customHeight="1">
      <c r="A27" s="173" t="s">
        <v>4718</v>
      </c>
      <c r="E27" s="99"/>
      <c r="F27" s="131"/>
      <c r="G27" s="131"/>
    </row>
    <row r="28" spans="1:8" ht="11.25" customHeight="1">
      <c r="A28" s="93" t="s">
        <v>1071</v>
      </c>
      <c r="E28" s="99"/>
      <c r="F28" s="131"/>
      <c r="G28" s="131"/>
    </row>
    <row r="29" spans="1:8" ht="11.25" customHeight="1">
      <c r="A29" s="92"/>
      <c r="E29" s="99"/>
      <c r="F29" s="131"/>
      <c r="G29" s="131"/>
      <c r="H29" s="40"/>
    </row>
    <row r="30" spans="1:8" ht="15.75" customHeight="1">
      <c r="A30" s="113" t="s">
        <v>4918</v>
      </c>
      <c r="B30" s="42" t="s">
        <v>234</v>
      </c>
      <c r="C30" s="42" t="s">
        <v>506</v>
      </c>
      <c r="E30" s="174" t="s">
        <v>4066</v>
      </c>
      <c r="F30" s="175" t="s">
        <v>3673</v>
      </c>
      <c r="G30" s="175" t="s">
        <v>3676</v>
      </c>
      <c r="H30" s="40"/>
    </row>
    <row r="31" spans="1:8" ht="11.25" customHeight="1">
      <c r="A31" s="177"/>
      <c r="E31" s="99"/>
      <c r="F31" s="131"/>
      <c r="G31" s="131"/>
      <c r="H31" s="40"/>
    </row>
    <row r="32" spans="1:8" ht="15.75">
      <c r="A32" s="113">
        <v>1</v>
      </c>
      <c r="B32" s="42" t="s">
        <v>12878</v>
      </c>
      <c r="C32" s="42">
        <v>54</v>
      </c>
      <c r="E32" s="79" t="s">
        <v>8403</v>
      </c>
      <c r="F32" s="126"/>
      <c r="G32" s="126">
        <v>10000000</v>
      </c>
      <c r="H32" s="40"/>
    </row>
    <row r="33" spans="1:8" ht="31.5">
      <c r="A33" s="113">
        <v>2</v>
      </c>
      <c r="B33" s="42" t="s">
        <v>12879</v>
      </c>
      <c r="E33" s="79" t="s">
        <v>8404</v>
      </c>
      <c r="F33" s="126"/>
      <c r="G33" s="126">
        <v>10000000</v>
      </c>
      <c r="H33" s="40"/>
    </row>
    <row r="34" spans="1:8" ht="31.5">
      <c r="A34" s="113">
        <v>3</v>
      </c>
      <c r="B34" s="42" t="s">
        <v>12880</v>
      </c>
      <c r="E34" s="79" t="s">
        <v>10568</v>
      </c>
      <c r="F34" s="126">
        <v>50000000</v>
      </c>
      <c r="G34" s="126">
        <v>5000000</v>
      </c>
      <c r="H34" s="40"/>
    </row>
    <row r="35" spans="1:8" ht="31.5">
      <c r="A35" s="113">
        <v>4</v>
      </c>
      <c r="B35" s="42" t="s">
        <v>12881</v>
      </c>
      <c r="E35" s="79" t="s">
        <v>8405</v>
      </c>
      <c r="F35" s="126">
        <v>40000000</v>
      </c>
      <c r="G35" s="126">
        <v>5000000</v>
      </c>
      <c r="H35" s="40"/>
    </row>
    <row r="36" spans="1:8" ht="15.75">
      <c r="A36" s="113">
        <v>5</v>
      </c>
      <c r="B36" s="42" t="s">
        <v>12882</v>
      </c>
      <c r="C36" s="42">
        <v>20</v>
      </c>
      <c r="E36" s="79" t="s">
        <v>8406</v>
      </c>
      <c r="F36" s="126">
        <v>30000000</v>
      </c>
      <c r="G36" s="126">
        <v>10000000</v>
      </c>
      <c r="H36" s="40"/>
    </row>
    <row r="37" spans="1:8" ht="15.75">
      <c r="A37" s="113">
        <v>6</v>
      </c>
      <c r="B37" s="42" t="s">
        <v>12883</v>
      </c>
      <c r="C37" s="42">
        <v>43</v>
      </c>
      <c r="E37" s="79" t="s">
        <v>8407</v>
      </c>
      <c r="F37" s="126">
        <v>10000000</v>
      </c>
      <c r="G37" s="126">
        <v>5000000</v>
      </c>
      <c r="H37" s="40"/>
    </row>
    <row r="38" spans="1:8" ht="15.75">
      <c r="A38" s="113">
        <v>7</v>
      </c>
      <c r="B38" s="42" t="s">
        <v>12884</v>
      </c>
      <c r="C38" s="42">
        <v>43</v>
      </c>
      <c r="E38" s="79" t="s">
        <v>8408</v>
      </c>
      <c r="F38" s="126">
        <v>50000000</v>
      </c>
      <c r="G38" s="126">
        <v>5000000</v>
      </c>
      <c r="H38" s="40"/>
    </row>
    <row r="39" spans="1:8" ht="15.75">
      <c r="A39" s="113">
        <v>8</v>
      </c>
      <c r="B39" s="42" t="s">
        <v>12885</v>
      </c>
      <c r="C39" s="42">
        <v>45</v>
      </c>
      <c r="E39" s="79" t="s">
        <v>8409</v>
      </c>
      <c r="F39" s="126">
        <v>250000000</v>
      </c>
      <c r="G39" s="126">
        <v>10000000</v>
      </c>
      <c r="H39" s="40"/>
    </row>
    <row r="40" spans="1:8" ht="31.5">
      <c r="A40" s="113">
        <v>9</v>
      </c>
      <c r="B40" s="42" t="s">
        <v>12886</v>
      </c>
      <c r="C40" s="42">
        <v>62</v>
      </c>
      <c r="E40" s="79" t="s">
        <v>8410</v>
      </c>
      <c r="F40" s="126">
        <v>120000000</v>
      </c>
      <c r="G40" s="126">
        <v>20000000</v>
      </c>
      <c r="H40" s="40"/>
    </row>
    <row r="41" spans="1:8" ht="31.5">
      <c r="A41" s="113">
        <v>10</v>
      </c>
      <c r="B41" s="42" t="s">
        <v>12887</v>
      </c>
      <c r="C41" s="42">
        <v>62</v>
      </c>
      <c r="E41" s="79" t="s">
        <v>8411</v>
      </c>
      <c r="F41" s="126">
        <v>30000000</v>
      </c>
      <c r="G41" s="126">
        <v>5000000</v>
      </c>
      <c r="H41" s="40"/>
    </row>
    <row r="42" spans="1:8" ht="31.5">
      <c r="A42" s="113">
        <v>11</v>
      </c>
      <c r="B42" s="42" t="s">
        <v>12888</v>
      </c>
      <c r="C42" s="42">
        <v>30</v>
      </c>
      <c r="E42" s="79" t="s">
        <v>8412</v>
      </c>
      <c r="F42" s="126">
        <v>10000000</v>
      </c>
      <c r="G42" s="126">
        <v>10000000</v>
      </c>
      <c r="H42" s="40"/>
    </row>
    <row r="43" spans="1:8" ht="15.75">
      <c r="A43" s="113">
        <v>12</v>
      </c>
      <c r="B43" s="42" t="s">
        <v>12889</v>
      </c>
      <c r="C43" s="42">
        <v>36</v>
      </c>
      <c r="E43" s="79" t="s">
        <v>8413</v>
      </c>
      <c r="F43" s="126">
        <v>15000000</v>
      </c>
      <c r="G43" s="126">
        <v>5000000</v>
      </c>
      <c r="H43" s="40"/>
    </row>
    <row r="44" spans="1:8" ht="31.5">
      <c r="A44" s="113">
        <v>13</v>
      </c>
      <c r="B44" s="42" t="s">
        <v>12890</v>
      </c>
      <c r="E44" s="79" t="s">
        <v>8414</v>
      </c>
      <c r="F44" s="126"/>
      <c r="G44" s="126">
        <v>20000000</v>
      </c>
      <c r="H44" s="40"/>
    </row>
    <row r="45" spans="1:8" ht="31.5">
      <c r="A45" s="113">
        <v>14</v>
      </c>
      <c r="B45" s="42" t="s">
        <v>12891</v>
      </c>
      <c r="E45" s="79" t="s">
        <v>10573</v>
      </c>
      <c r="F45" s="126"/>
      <c r="G45" s="126">
        <v>20000000</v>
      </c>
      <c r="H45" s="40"/>
    </row>
    <row r="46" spans="1:8" ht="15.75">
      <c r="A46" s="113">
        <v>15</v>
      </c>
      <c r="B46" s="42" t="s">
        <v>12892</v>
      </c>
      <c r="E46" s="79" t="s">
        <v>12618</v>
      </c>
      <c r="F46" s="126"/>
      <c r="G46" s="126">
        <v>10000000</v>
      </c>
      <c r="H46" s="40"/>
    </row>
    <row r="47" spans="1:8" ht="15.75">
      <c r="A47" s="113">
        <v>16</v>
      </c>
      <c r="B47" s="42" t="s">
        <v>12893</v>
      </c>
      <c r="E47" s="79" t="s">
        <v>12619</v>
      </c>
      <c r="F47" s="126"/>
      <c r="G47" s="126">
        <v>5000000</v>
      </c>
      <c r="H47" s="40"/>
    </row>
    <row r="48" spans="1:8" ht="31.5">
      <c r="A48" s="113">
        <v>17</v>
      </c>
      <c r="B48" s="42" t="s">
        <v>12894</v>
      </c>
      <c r="E48" s="79" t="s">
        <v>12620</v>
      </c>
      <c r="F48" s="126"/>
      <c r="G48" s="126">
        <v>5000000</v>
      </c>
      <c r="H48" s="40"/>
    </row>
    <row r="49" spans="1:8" ht="31.5">
      <c r="A49" s="113">
        <v>18</v>
      </c>
      <c r="B49" s="42" t="s">
        <v>12895</v>
      </c>
      <c r="C49" s="42" t="s">
        <v>598</v>
      </c>
      <c r="E49" s="79" t="s">
        <v>10491</v>
      </c>
      <c r="F49" s="126"/>
      <c r="G49" s="126">
        <v>350000000</v>
      </c>
      <c r="H49" s="40"/>
    </row>
    <row r="50" spans="1:8" ht="31.5">
      <c r="A50" s="113">
        <v>19</v>
      </c>
      <c r="B50" s="42" t="s">
        <v>12896</v>
      </c>
      <c r="E50" s="79" t="s">
        <v>10567</v>
      </c>
      <c r="F50" s="126"/>
      <c r="G50" s="126">
        <v>70000000</v>
      </c>
      <c r="H50" s="40"/>
    </row>
    <row r="51" spans="1:8" ht="15.75">
      <c r="A51" s="113"/>
      <c r="E51" s="79"/>
      <c r="F51" s="126"/>
      <c r="G51" s="128"/>
      <c r="H51" s="40"/>
    </row>
    <row r="52" spans="1:8" ht="15.75">
      <c r="A52" s="113"/>
      <c r="E52" s="189" t="s">
        <v>8434</v>
      </c>
      <c r="F52" s="126"/>
      <c r="G52" s="128"/>
      <c r="H52" s="40"/>
    </row>
    <row r="53" spans="1:8" ht="15.75">
      <c r="A53" s="113">
        <v>20</v>
      </c>
      <c r="B53" s="42" t="s">
        <v>5333</v>
      </c>
      <c r="C53" s="42">
        <v>62</v>
      </c>
      <c r="E53" s="79" t="s">
        <v>8424</v>
      </c>
      <c r="F53" s="126"/>
      <c r="G53" s="126">
        <v>7000000</v>
      </c>
      <c r="H53" s="40"/>
    </row>
    <row r="54" spans="1:8" ht="15.75">
      <c r="A54" s="113">
        <v>21</v>
      </c>
      <c r="B54" s="42" t="s">
        <v>10553</v>
      </c>
      <c r="C54" s="42">
        <v>31</v>
      </c>
      <c r="E54" s="79" t="s">
        <v>8425</v>
      </c>
      <c r="F54" s="126"/>
      <c r="G54" s="126">
        <v>5000000</v>
      </c>
      <c r="H54" s="40"/>
    </row>
    <row r="55" spans="1:8" ht="11.25" customHeight="1">
      <c r="A55" s="177"/>
      <c r="E55" s="99"/>
      <c r="F55" s="131"/>
      <c r="G55" s="131"/>
      <c r="H55" s="40"/>
    </row>
    <row r="56" spans="1:8" ht="15.75" customHeight="1">
      <c r="A56" s="178"/>
      <c r="B56" s="162"/>
      <c r="C56" s="162"/>
      <c r="D56" s="179"/>
      <c r="E56" s="180" t="str">
        <f>""&amp;TEXT(A26,"0")&amp;" एकूण"</f>
        <v>यादी क्र. ए६ एकूण</v>
      </c>
      <c r="F56" s="181">
        <f t="shared" ref="F56:G56" si="0">SUM(F32:F55)</f>
        <v>605000000</v>
      </c>
      <c r="G56" s="181">
        <f t="shared" si="0"/>
        <v>592000000</v>
      </c>
      <c r="H56" s="40"/>
    </row>
    <row r="57" spans="1:8" ht="11.25" customHeight="1">
      <c r="A57" s="92"/>
      <c r="E57" s="99"/>
      <c r="F57" s="131"/>
      <c r="G57" s="131"/>
      <c r="H57" s="40"/>
    </row>
    <row r="58" spans="1:8" ht="15.75" customHeight="1">
      <c r="A58" s="169" t="s">
        <v>4923</v>
      </c>
      <c r="B58" s="161"/>
      <c r="C58" s="161"/>
      <c r="D58" s="170"/>
      <c r="E58" s="171"/>
      <c r="F58" s="172"/>
      <c r="G58" s="172"/>
    </row>
    <row r="59" spans="1:8" ht="15.75" customHeight="1">
      <c r="A59" s="173" t="s">
        <v>4380</v>
      </c>
      <c r="E59" s="99"/>
      <c r="F59" s="131"/>
      <c r="G59" s="131"/>
    </row>
    <row r="60" spans="1:8" ht="11.25" customHeight="1">
      <c r="A60" s="93" t="s">
        <v>1645</v>
      </c>
      <c r="E60" s="99"/>
      <c r="F60" s="131"/>
      <c r="G60" s="131"/>
    </row>
    <row r="61" spans="1:8" ht="11.25" customHeight="1">
      <c r="A61" s="92"/>
      <c r="E61" s="99"/>
      <c r="F61" s="131"/>
      <c r="G61" s="131"/>
    </row>
    <row r="62" spans="1:8" ht="15.75" customHeight="1">
      <c r="A62" s="113" t="s">
        <v>4918</v>
      </c>
      <c r="B62" s="42" t="s">
        <v>234</v>
      </c>
      <c r="C62" s="42" t="s">
        <v>506</v>
      </c>
      <c r="E62" s="174" t="s">
        <v>4066</v>
      </c>
      <c r="F62" s="175" t="s">
        <v>3673</v>
      </c>
      <c r="G62" s="175" t="s">
        <v>3676</v>
      </c>
    </row>
    <row r="63" spans="1:8" ht="11.25" customHeight="1">
      <c r="A63" s="177"/>
      <c r="E63" s="99"/>
      <c r="F63" s="131"/>
      <c r="G63" s="131"/>
    </row>
    <row r="64" spans="1:8" ht="15.75">
      <c r="A64" s="113"/>
      <c r="E64" s="189" t="s">
        <v>8434</v>
      </c>
      <c r="F64" s="126"/>
      <c r="G64" s="126"/>
    </row>
    <row r="65" spans="1:8" ht="47.25">
      <c r="A65" s="113">
        <v>1</v>
      </c>
      <c r="B65" s="42" t="s">
        <v>8426</v>
      </c>
      <c r="C65" s="42">
        <v>62</v>
      </c>
      <c r="E65" s="79" t="s">
        <v>9091</v>
      </c>
      <c r="F65" s="126">
        <v>2150000000</v>
      </c>
      <c r="G65" s="126">
        <v>100000000</v>
      </c>
    </row>
    <row r="66" spans="1:8" ht="11.25" customHeight="1">
      <c r="A66" s="177"/>
      <c r="E66" s="99"/>
      <c r="F66" s="131"/>
      <c r="G66" s="131"/>
    </row>
    <row r="67" spans="1:8" ht="15.75" customHeight="1">
      <c r="A67" s="178"/>
      <c r="B67" s="162"/>
      <c r="C67" s="162"/>
      <c r="D67" s="179"/>
      <c r="E67" s="180" t="str">
        <f>""&amp;TEXT(A58,"0")&amp;" एकूण"</f>
        <v>यादी क्र. ए९ एकूण</v>
      </c>
      <c r="F67" s="181">
        <f>SUM(F64:F66)</f>
        <v>2150000000</v>
      </c>
      <c r="G67" s="181">
        <f>SUM(G64:G66)</f>
        <v>100000000</v>
      </c>
    </row>
    <row r="68" spans="1:8" ht="11.25" customHeight="1">
      <c r="A68" s="92"/>
      <c r="E68" s="99"/>
      <c r="F68" s="131"/>
      <c r="G68" s="131"/>
    </row>
    <row r="69" spans="1:8" ht="11.25" customHeight="1">
      <c r="A69" s="92"/>
      <c r="E69" s="99"/>
      <c r="F69" s="131"/>
      <c r="G69" s="131"/>
    </row>
    <row r="70" spans="1:8" ht="15.75" customHeight="1">
      <c r="A70" s="169" t="s">
        <v>4924</v>
      </c>
      <c r="B70" s="161"/>
      <c r="C70" s="161"/>
      <c r="D70" s="170"/>
      <c r="E70" s="171"/>
      <c r="F70" s="172"/>
      <c r="G70" s="172"/>
      <c r="H70" s="40"/>
    </row>
    <row r="71" spans="1:8" ht="15.75" customHeight="1">
      <c r="A71" s="173" t="s">
        <v>4742</v>
      </c>
      <c r="E71" s="99"/>
      <c r="F71" s="131"/>
      <c r="G71" s="131"/>
      <c r="H71" s="40"/>
    </row>
    <row r="72" spans="1:8" ht="11.25" customHeight="1">
      <c r="A72" s="93" t="s">
        <v>424</v>
      </c>
      <c r="E72" s="99"/>
      <c r="F72" s="131"/>
      <c r="G72" s="131"/>
      <c r="H72" s="40"/>
    </row>
    <row r="73" spans="1:8" ht="11.25" customHeight="1">
      <c r="A73" s="92"/>
      <c r="E73" s="99"/>
      <c r="F73" s="131"/>
      <c r="G73" s="131"/>
      <c r="H73" s="40"/>
    </row>
    <row r="74" spans="1:8" ht="15.75" customHeight="1">
      <c r="A74" s="113" t="s">
        <v>4918</v>
      </c>
      <c r="B74" s="42" t="s">
        <v>234</v>
      </c>
      <c r="C74" s="42" t="s">
        <v>506</v>
      </c>
      <c r="E74" s="174" t="s">
        <v>4066</v>
      </c>
      <c r="F74" s="175" t="s">
        <v>3673</v>
      </c>
      <c r="G74" s="175" t="s">
        <v>3676</v>
      </c>
      <c r="H74" s="40"/>
    </row>
    <row r="75" spans="1:8" ht="11.25" customHeight="1">
      <c r="A75" s="177"/>
      <c r="E75" s="99"/>
      <c r="F75" s="131"/>
      <c r="G75" s="131"/>
      <c r="H75" s="40"/>
    </row>
    <row r="76" spans="1:8" ht="15.75">
      <c r="A76" s="113">
        <v>1</v>
      </c>
      <c r="B76" s="42" t="s">
        <v>12897</v>
      </c>
      <c r="E76" s="79" t="s">
        <v>4736</v>
      </c>
      <c r="F76" s="126">
        <v>200000000</v>
      </c>
      <c r="G76" s="126">
        <v>100000000</v>
      </c>
      <c r="H76" s="40"/>
    </row>
    <row r="77" spans="1:8" ht="31.5">
      <c r="A77" s="113">
        <v>2</v>
      </c>
      <c r="B77" s="42" t="s">
        <v>12898</v>
      </c>
      <c r="E77" s="79" t="s">
        <v>4737</v>
      </c>
      <c r="F77" s="126">
        <v>100000000</v>
      </c>
      <c r="G77" s="126">
        <v>50000000</v>
      </c>
      <c r="H77" s="40"/>
    </row>
    <row r="78" spans="1:8" ht="15.75">
      <c r="A78" s="113">
        <v>3</v>
      </c>
      <c r="B78" s="42" t="s">
        <v>12899</v>
      </c>
      <c r="E78" s="79" t="s">
        <v>8432</v>
      </c>
      <c r="F78" s="126">
        <v>30000000</v>
      </c>
      <c r="G78" s="126">
        <v>15000000</v>
      </c>
      <c r="H78" s="40"/>
    </row>
    <row r="79" spans="1:8" ht="15.75">
      <c r="A79" s="113">
        <v>4</v>
      </c>
      <c r="B79" s="42" t="s">
        <v>12900</v>
      </c>
      <c r="E79" s="79" t="s">
        <v>4738</v>
      </c>
      <c r="F79" s="126">
        <v>200000000</v>
      </c>
      <c r="G79" s="126">
        <v>100000000</v>
      </c>
      <c r="H79" s="40"/>
    </row>
    <row r="80" spans="1:8" ht="31.5">
      <c r="A80" s="113">
        <v>5</v>
      </c>
      <c r="B80" s="42" t="s">
        <v>12901</v>
      </c>
      <c r="E80" s="79" t="s">
        <v>8433</v>
      </c>
      <c r="F80" s="126">
        <v>100000000</v>
      </c>
      <c r="G80" s="126">
        <v>50000000</v>
      </c>
      <c r="H80" s="40"/>
    </row>
    <row r="81" spans="1:8" ht="15.75">
      <c r="A81" s="113">
        <v>6</v>
      </c>
      <c r="B81" s="42" t="s">
        <v>12902</v>
      </c>
      <c r="E81" s="79" t="s">
        <v>4739</v>
      </c>
      <c r="F81" s="126">
        <v>100000000</v>
      </c>
      <c r="G81" s="126">
        <v>50000000</v>
      </c>
      <c r="H81" s="40"/>
    </row>
    <row r="82" spans="1:8" ht="15.75">
      <c r="A82" s="113">
        <v>7</v>
      </c>
      <c r="B82" s="42" t="s">
        <v>12903</v>
      </c>
      <c r="E82" s="79" t="s">
        <v>4740</v>
      </c>
      <c r="F82" s="126">
        <v>20000000</v>
      </c>
      <c r="G82" s="126">
        <v>10000000</v>
      </c>
      <c r="H82" s="40"/>
    </row>
    <row r="83" spans="1:8" ht="15.75">
      <c r="A83" s="113">
        <v>8</v>
      </c>
      <c r="B83" s="42" t="s">
        <v>12904</v>
      </c>
      <c r="E83" s="79" t="s">
        <v>10554</v>
      </c>
      <c r="F83" s="126">
        <v>60000000</v>
      </c>
      <c r="G83" s="126">
        <v>10000000</v>
      </c>
      <c r="H83" s="40"/>
    </row>
    <row r="84" spans="1:8" ht="11.25" customHeight="1">
      <c r="A84" s="177"/>
      <c r="E84" s="99"/>
      <c r="F84" s="131"/>
      <c r="G84" s="131"/>
      <c r="H84" s="40"/>
    </row>
    <row r="85" spans="1:8" ht="15.75" customHeight="1">
      <c r="A85" s="178"/>
      <c r="B85" s="162"/>
      <c r="C85" s="162"/>
      <c r="D85" s="179"/>
      <c r="E85" s="180" t="str">
        <f>""&amp;TEXT(A70,"0")&amp;" एकूण"</f>
        <v>यादी क्र. ए१३ एकूण</v>
      </c>
      <c r="F85" s="181">
        <f>SUM(F76:F84)</f>
        <v>810000000</v>
      </c>
      <c r="G85" s="181">
        <f>SUM(G76:G84)</f>
        <v>385000000</v>
      </c>
      <c r="H85" s="40"/>
    </row>
    <row r="86" spans="1:8" ht="11.25" customHeight="1">
      <c r="A86" s="92"/>
      <c r="E86" s="99"/>
      <c r="F86" s="131"/>
      <c r="G86" s="131"/>
      <c r="H86" s="40"/>
    </row>
    <row r="87" spans="1:8" ht="15.75" customHeight="1">
      <c r="A87" s="169" t="s">
        <v>4409</v>
      </c>
      <c r="B87" s="161"/>
      <c r="C87" s="161"/>
      <c r="D87" s="170"/>
      <c r="E87" s="171"/>
      <c r="F87" s="172"/>
      <c r="G87" s="172"/>
    </row>
    <row r="88" spans="1:8" ht="15.75" customHeight="1">
      <c r="A88" s="173" t="s">
        <v>4381</v>
      </c>
      <c r="E88" s="99"/>
      <c r="F88" s="131"/>
      <c r="G88" s="131"/>
    </row>
    <row r="89" spans="1:8" ht="11.25" customHeight="1">
      <c r="A89" s="93" t="s">
        <v>4410</v>
      </c>
      <c r="E89" s="99"/>
      <c r="F89" s="131"/>
      <c r="G89" s="131"/>
    </row>
    <row r="90" spans="1:8" ht="11.25" customHeight="1">
      <c r="A90" s="92"/>
      <c r="E90" s="99"/>
      <c r="F90" s="131"/>
      <c r="G90" s="131"/>
    </row>
    <row r="91" spans="1:8" ht="15.75" customHeight="1">
      <c r="A91" s="113" t="s">
        <v>4918</v>
      </c>
      <c r="B91" s="42" t="s">
        <v>234</v>
      </c>
      <c r="C91" s="42" t="s">
        <v>506</v>
      </c>
      <c r="E91" s="174" t="s">
        <v>4066</v>
      </c>
      <c r="F91" s="175" t="s">
        <v>3673</v>
      </c>
      <c r="G91" s="175" t="s">
        <v>3676</v>
      </c>
    </row>
    <row r="92" spans="1:8" ht="11.25" customHeight="1">
      <c r="A92" s="177"/>
      <c r="E92" s="99"/>
      <c r="F92" s="131"/>
      <c r="G92" s="131"/>
    </row>
    <row r="93" spans="1:8" ht="15.75">
      <c r="A93" s="113">
        <v>1</v>
      </c>
      <c r="B93" s="42" t="s">
        <v>12905</v>
      </c>
      <c r="C93" s="42" t="s">
        <v>598</v>
      </c>
      <c r="E93" s="87" t="s">
        <v>10526</v>
      </c>
      <c r="F93" s="126">
        <v>750000000</v>
      </c>
      <c r="G93" s="126">
        <v>600000000</v>
      </c>
    </row>
    <row r="94" spans="1:8" ht="15.75">
      <c r="A94" s="113">
        <v>2</v>
      </c>
      <c r="B94" s="42" t="s">
        <v>12906</v>
      </c>
      <c r="C94" s="42" t="s">
        <v>598</v>
      </c>
      <c r="E94" s="87" t="s">
        <v>10527</v>
      </c>
      <c r="F94" s="126">
        <v>400000000</v>
      </c>
      <c r="G94" s="126">
        <v>50000000</v>
      </c>
    </row>
    <row r="95" spans="1:8" ht="15.75">
      <c r="A95" s="113">
        <v>3</v>
      </c>
      <c r="B95" s="42" t="s">
        <v>12907</v>
      </c>
      <c r="C95" s="42" t="s">
        <v>598</v>
      </c>
      <c r="E95" s="87" t="s">
        <v>4502</v>
      </c>
      <c r="F95" s="126"/>
      <c r="G95" s="126">
        <v>40000000</v>
      </c>
    </row>
    <row r="96" spans="1:8" ht="31.5">
      <c r="A96" s="113">
        <v>4</v>
      </c>
      <c r="B96" s="42" t="s">
        <v>12908</v>
      </c>
      <c r="C96" s="42" t="s">
        <v>598</v>
      </c>
      <c r="E96" s="79" t="s">
        <v>10571</v>
      </c>
      <c r="F96" s="126"/>
      <c r="G96" s="126">
        <v>250000000</v>
      </c>
    </row>
    <row r="97" spans="1:8" ht="31.5">
      <c r="A97" s="113">
        <v>5</v>
      </c>
      <c r="B97" s="42" t="s">
        <v>12909</v>
      </c>
      <c r="C97" s="42" t="s">
        <v>598</v>
      </c>
      <c r="E97" s="79" t="s">
        <v>10570</v>
      </c>
      <c r="F97" s="126"/>
      <c r="G97" s="126">
        <v>100000000</v>
      </c>
    </row>
    <row r="98" spans="1:8" ht="31.5">
      <c r="A98" s="113">
        <v>6</v>
      </c>
      <c r="B98" s="42" t="s">
        <v>12910</v>
      </c>
      <c r="C98" s="42" t="s">
        <v>598</v>
      </c>
      <c r="E98" s="79" t="s">
        <v>10572</v>
      </c>
      <c r="F98" s="126"/>
      <c r="G98" s="126">
        <v>250000000</v>
      </c>
    </row>
    <row r="99" spans="1:8" ht="31.5">
      <c r="A99" s="113">
        <v>7</v>
      </c>
      <c r="B99" s="42" t="s">
        <v>12911</v>
      </c>
      <c r="C99" s="42" t="s">
        <v>598</v>
      </c>
      <c r="E99" s="79" t="s">
        <v>10577</v>
      </c>
      <c r="F99" s="126"/>
      <c r="G99" s="126">
        <v>110000000</v>
      </c>
    </row>
    <row r="100" spans="1:8" ht="15.75">
      <c r="A100" s="113"/>
      <c r="E100" s="79"/>
      <c r="F100" s="126"/>
      <c r="G100" s="126"/>
    </row>
    <row r="101" spans="1:8" ht="15.75">
      <c r="A101" s="113"/>
      <c r="E101" s="189" t="s">
        <v>8434</v>
      </c>
      <c r="F101" s="126"/>
      <c r="G101" s="126"/>
    </row>
    <row r="102" spans="1:8" ht="47.25">
      <c r="A102" s="113">
        <v>8</v>
      </c>
      <c r="B102" s="42" t="s">
        <v>5018</v>
      </c>
      <c r="C102" s="42" t="s">
        <v>598</v>
      </c>
      <c r="E102" s="79" t="s">
        <v>10528</v>
      </c>
      <c r="F102" s="126"/>
      <c r="G102" s="126">
        <v>200000000</v>
      </c>
    </row>
    <row r="103" spans="1:8" ht="11.25" customHeight="1">
      <c r="A103" s="177"/>
      <c r="E103" s="99"/>
      <c r="F103" s="131"/>
      <c r="G103" s="131"/>
    </row>
    <row r="104" spans="1:8" ht="15.75" customHeight="1">
      <c r="A104" s="178"/>
      <c r="B104" s="162"/>
      <c r="C104" s="162"/>
      <c r="D104" s="179"/>
      <c r="E104" s="180" t="str">
        <f>""&amp;TEXT(A87,"0")&amp;" एकूण"</f>
        <v>यादी क्र. ए16 एकूण</v>
      </c>
      <c r="F104" s="181">
        <f t="shared" ref="F104:G104" si="1">SUM(F93:F103)</f>
        <v>1150000000</v>
      </c>
      <c r="G104" s="181">
        <f t="shared" si="1"/>
        <v>1600000000</v>
      </c>
    </row>
    <row r="105" spans="1:8" ht="11.25" customHeight="1">
      <c r="A105" s="92"/>
      <c r="E105" s="99"/>
      <c r="F105" s="131"/>
      <c r="G105" s="131"/>
    </row>
    <row r="106" spans="1:8" ht="11.25" customHeight="1">
      <c r="A106" s="92"/>
      <c r="E106" s="99"/>
      <c r="F106" s="131"/>
      <c r="G106" s="131"/>
    </row>
    <row r="107" spans="1:8" ht="15.75" customHeight="1">
      <c r="A107" s="169" t="s">
        <v>4411</v>
      </c>
      <c r="B107" s="161"/>
      <c r="C107" s="161"/>
      <c r="D107" s="170"/>
      <c r="E107" s="171"/>
      <c r="F107" s="172"/>
      <c r="G107" s="172"/>
    </row>
    <row r="108" spans="1:8" ht="15.75" customHeight="1">
      <c r="A108" s="173" t="s">
        <v>4382</v>
      </c>
      <c r="E108" s="99"/>
      <c r="F108" s="131"/>
      <c r="G108" s="131"/>
    </row>
    <row r="109" spans="1:8" ht="11.25" customHeight="1">
      <c r="A109" s="93" t="s">
        <v>4412</v>
      </c>
      <c r="E109" s="99"/>
      <c r="F109" s="131"/>
      <c r="G109" s="131"/>
    </row>
    <row r="110" spans="1:8" ht="11.25" customHeight="1">
      <c r="A110" s="92"/>
      <c r="E110" s="99"/>
      <c r="F110" s="131"/>
      <c r="G110" s="131"/>
      <c r="H110" s="40"/>
    </row>
    <row r="111" spans="1:8" ht="15.75" customHeight="1">
      <c r="A111" s="113" t="s">
        <v>4918</v>
      </c>
      <c r="B111" s="42" t="s">
        <v>234</v>
      </c>
      <c r="C111" s="42" t="s">
        <v>506</v>
      </c>
      <c r="E111" s="174" t="s">
        <v>4066</v>
      </c>
      <c r="F111" s="175" t="s">
        <v>3673</v>
      </c>
      <c r="G111" s="175" t="s">
        <v>3676</v>
      </c>
      <c r="H111" s="40"/>
    </row>
    <row r="112" spans="1:8" ht="11.25" customHeight="1">
      <c r="A112" s="177"/>
      <c r="E112" s="99"/>
      <c r="F112" s="131"/>
      <c r="G112" s="131"/>
      <c r="H112" s="40"/>
    </row>
    <row r="113" spans="1:8" ht="15.75">
      <c r="A113" s="113">
        <v>1</v>
      </c>
      <c r="B113" s="42" t="s">
        <v>12912</v>
      </c>
      <c r="E113" s="79" t="s">
        <v>10543</v>
      </c>
      <c r="F113" s="126"/>
      <c r="G113" s="126">
        <v>500000000</v>
      </c>
      <c r="H113" s="40"/>
    </row>
    <row r="114" spans="1:8" ht="15.75">
      <c r="A114" s="113"/>
      <c r="E114" s="79"/>
      <c r="F114" s="126"/>
      <c r="G114" s="126"/>
      <c r="H114" s="40"/>
    </row>
    <row r="115" spans="1:8" ht="15.75">
      <c r="A115" s="113"/>
      <c r="E115" s="189" t="s">
        <v>8434</v>
      </c>
      <c r="F115" s="126"/>
      <c r="G115" s="126"/>
      <c r="H115" s="40"/>
    </row>
    <row r="116" spans="1:8" ht="31.5">
      <c r="A116" s="113">
        <v>2</v>
      </c>
      <c r="B116" s="42" t="s">
        <v>5019</v>
      </c>
      <c r="E116" s="79" t="s">
        <v>10542</v>
      </c>
      <c r="F116" s="126"/>
      <c r="G116" s="126">
        <v>500000000</v>
      </c>
      <c r="H116" s="40"/>
    </row>
    <row r="117" spans="1:8" ht="11.25" customHeight="1">
      <c r="A117" s="177"/>
      <c r="E117" s="99"/>
      <c r="F117" s="131"/>
      <c r="G117" s="131"/>
      <c r="H117" s="40"/>
    </row>
    <row r="118" spans="1:8" ht="15.75" customHeight="1">
      <c r="A118" s="178"/>
      <c r="B118" s="162"/>
      <c r="C118" s="162"/>
      <c r="D118" s="179"/>
      <c r="E118" s="180" t="str">
        <f>""&amp;TEXT(A107,"0")&amp;" एकूण"</f>
        <v>यादी क्र. ए17 एकूण</v>
      </c>
      <c r="F118" s="181">
        <f t="shared" ref="F118:G118" si="2">SUM(F113:F117)</f>
        <v>0</v>
      </c>
      <c r="G118" s="181">
        <f t="shared" si="2"/>
        <v>1000000000</v>
      </c>
      <c r="H118" s="40"/>
    </row>
    <row r="119" spans="1:8" ht="11.25" customHeight="1">
      <c r="A119" s="92"/>
      <c r="E119" s="99"/>
      <c r="F119" s="131"/>
      <c r="G119" s="131"/>
      <c r="H119" s="40"/>
    </row>
    <row r="120" spans="1:8" ht="11.25" customHeight="1">
      <c r="A120" s="92"/>
      <c r="E120" s="99"/>
      <c r="F120" s="131"/>
      <c r="G120" s="131"/>
      <c r="H120" s="40"/>
    </row>
    <row r="121" spans="1:8" ht="16.5">
      <c r="A121" s="185" t="s">
        <v>12967</v>
      </c>
      <c r="B121" s="163"/>
      <c r="C121" s="163"/>
      <c r="D121" s="186"/>
      <c r="E121" s="187"/>
      <c r="F121" s="188"/>
      <c r="G121" s="188"/>
      <c r="H121" s="40"/>
    </row>
    <row r="122" spans="1:8" ht="11.25" customHeight="1">
      <c r="A122" s="92"/>
      <c r="E122" s="99"/>
      <c r="F122" s="131"/>
      <c r="G122" s="131"/>
      <c r="H122" s="40"/>
    </row>
    <row r="123" spans="1:8" ht="11.25" customHeight="1">
      <c r="A123" s="92"/>
      <c r="E123" s="99"/>
      <c r="F123" s="131"/>
      <c r="G123" s="131"/>
      <c r="H123" s="40"/>
    </row>
    <row r="124" spans="1:8" ht="15.75">
      <c r="A124" s="169" t="s">
        <v>4925</v>
      </c>
      <c r="E124" s="99"/>
      <c r="F124" s="131"/>
      <c r="G124" s="131"/>
      <c r="H124" s="40"/>
    </row>
    <row r="125" spans="1:8" ht="15.75">
      <c r="A125" s="173" t="s">
        <v>4384</v>
      </c>
      <c r="E125" s="99"/>
      <c r="F125" s="131"/>
      <c r="G125" s="131"/>
      <c r="H125" s="40"/>
    </row>
    <row r="126" spans="1:8" ht="12">
      <c r="A126" s="93" t="s">
        <v>162</v>
      </c>
      <c r="E126" s="99"/>
      <c r="F126" s="131"/>
      <c r="G126" s="131"/>
      <c r="H126" s="40"/>
    </row>
    <row r="127" spans="1:8" ht="11.25" customHeight="1">
      <c r="A127" s="92"/>
      <c r="E127" s="99"/>
      <c r="F127" s="131"/>
      <c r="G127" s="131"/>
      <c r="H127" s="40"/>
    </row>
    <row r="128" spans="1:8" ht="15.75" customHeight="1">
      <c r="A128" s="113" t="s">
        <v>4918</v>
      </c>
      <c r="B128" s="42" t="s">
        <v>234</v>
      </c>
      <c r="C128" s="42" t="s">
        <v>506</v>
      </c>
      <c r="E128" s="174" t="s">
        <v>4066</v>
      </c>
      <c r="F128" s="175" t="s">
        <v>3673</v>
      </c>
      <c r="G128" s="175" t="s">
        <v>3676</v>
      </c>
      <c r="H128" s="40"/>
    </row>
    <row r="129" spans="1:8" ht="11.25" customHeight="1">
      <c r="A129" s="92"/>
      <c r="E129" s="99"/>
      <c r="F129" s="131"/>
      <c r="G129" s="131"/>
      <c r="H129" s="40"/>
    </row>
    <row r="130" spans="1:8" ht="15.75">
      <c r="A130" s="92"/>
      <c r="E130" s="189" t="s">
        <v>8434</v>
      </c>
      <c r="F130" s="131"/>
      <c r="G130" s="131"/>
      <c r="H130" s="40"/>
    </row>
    <row r="131" spans="1:8" ht="15.75">
      <c r="A131" s="113">
        <v>1</v>
      </c>
      <c r="B131" s="42" t="s">
        <v>4600</v>
      </c>
      <c r="E131" s="87" t="s">
        <v>3531</v>
      </c>
      <c r="F131" s="126"/>
      <c r="G131" s="126">
        <v>30000000</v>
      </c>
      <c r="H131" s="40"/>
    </row>
    <row r="132" spans="1:8" ht="11.25" customHeight="1">
      <c r="A132" s="92"/>
      <c r="E132" s="99"/>
      <c r="F132" s="131"/>
      <c r="G132" s="131"/>
      <c r="H132" s="40"/>
    </row>
    <row r="133" spans="1:8" ht="15.75">
      <c r="A133" s="178"/>
      <c r="B133" s="162"/>
      <c r="C133" s="162"/>
      <c r="D133" s="179"/>
      <c r="E133" s="180" t="str">
        <f>""&amp;TEXT(A124,"0")&amp;" एकूण"</f>
        <v>यादी क्र. टी१ एकूण</v>
      </c>
      <c r="F133" s="181">
        <f t="shared" ref="F133:G133" si="3">SUM(F130:F132)</f>
        <v>0</v>
      </c>
      <c r="G133" s="181">
        <f t="shared" si="3"/>
        <v>30000000</v>
      </c>
      <c r="H133" s="40"/>
    </row>
    <row r="134" spans="1:8" ht="11.25" customHeight="1">
      <c r="A134" s="92"/>
      <c r="E134" s="99"/>
      <c r="F134" s="131"/>
      <c r="G134" s="131"/>
    </row>
    <row r="135" spans="1:8" ht="15.75" customHeight="1">
      <c r="A135" s="169" t="s">
        <v>4926</v>
      </c>
      <c r="E135" s="99"/>
      <c r="F135" s="131"/>
      <c r="G135" s="131"/>
    </row>
    <row r="136" spans="1:8" ht="15.75" customHeight="1">
      <c r="A136" s="173" t="s">
        <v>4385</v>
      </c>
      <c r="E136" s="99"/>
      <c r="F136" s="131"/>
      <c r="G136" s="131"/>
      <c r="H136" s="40"/>
    </row>
    <row r="137" spans="1:8" ht="11.25" customHeight="1">
      <c r="A137" s="93" t="s">
        <v>713</v>
      </c>
      <c r="E137" s="99"/>
      <c r="F137" s="131"/>
      <c r="G137" s="131"/>
      <c r="H137" s="40"/>
    </row>
    <row r="138" spans="1:8" ht="11.25" customHeight="1">
      <c r="A138" s="92"/>
      <c r="E138" s="99"/>
      <c r="F138" s="131"/>
      <c r="G138" s="131"/>
      <c r="H138" s="40"/>
    </row>
    <row r="139" spans="1:8" ht="15.75" customHeight="1">
      <c r="A139" s="113" t="s">
        <v>4918</v>
      </c>
      <c r="B139" s="42" t="s">
        <v>234</v>
      </c>
      <c r="C139" s="42" t="s">
        <v>506</v>
      </c>
      <c r="E139" s="174" t="s">
        <v>4066</v>
      </c>
      <c r="F139" s="175" t="s">
        <v>3673</v>
      </c>
      <c r="G139" s="175" t="s">
        <v>3676</v>
      </c>
      <c r="H139" s="40"/>
    </row>
    <row r="140" spans="1:8" ht="11.25" customHeight="1">
      <c r="A140" s="92"/>
      <c r="E140" s="99"/>
      <c r="F140" s="131"/>
      <c r="G140" s="131"/>
      <c r="H140" s="40"/>
    </row>
    <row r="141" spans="1:8" ht="15.75">
      <c r="A141" s="113">
        <v>1</v>
      </c>
      <c r="B141" s="42" t="s">
        <v>12913</v>
      </c>
      <c r="E141" s="87" t="s">
        <v>10524</v>
      </c>
      <c r="F141" s="126"/>
      <c r="G141" s="126">
        <v>1300000000</v>
      </c>
      <c r="H141" s="40"/>
    </row>
    <row r="142" spans="1:8" ht="15.75">
      <c r="A142" s="113"/>
      <c r="E142" s="87"/>
      <c r="F142" s="126"/>
      <c r="G142" s="126"/>
      <c r="H142" s="40"/>
    </row>
    <row r="143" spans="1:8" ht="15.75">
      <c r="A143" s="113"/>
      <c r="E143" s="189" t="s">
        <v>8434</v>
      </c>
      <c r="F143" s="126"/>
      <c r="G143" s="126"/>
      <c r="H143" s="40"/>
    </row>
    <row r="144" spans="1:8" ht="31.5">
      <c r="A144" s="113">
        <v>2</v>
      </c>
      <c r="B144" s="42" t="s">
        <v>5335</v>
      </c>
      <c r="C144" s="42">
        <v>37</v>
      </c>
      <c r="E144" s="79" t="s">
        <v>8428</v>
      </c>
      <c r="F144" s="126">
        <v>15000000</v>
      </c>
      <c r="G144" s="126">
        <v>10000000</v>
      </c>
      <c r="H144" s="40"/>
    </row>
    <row r="145" spans="1:8" ht="15.75">
      <c r="A145" s="113">
        <v>3</v>
      </c>
      <c r="B145" s="42" t="s">
        <v>5336</v>
      </c>
      <c r="E145" s="87" t="s">
        <v>5176</v>
      </c>
      <c r="F145" s="126"/>
      <c r="G145" s="126">
        <v>340000000</v>
      </c>
      <c r="H145" s="40"/>
    </row>
    <row r="146" spans="1:8" ht="11.25" customHeight="1">
      <c r="A146" s="92"/>
      <c r="E146" s="99"/>
      <c r="F146" s="131"/>
      <c r="G146" s="131"/>
      <c r="H146" s="40"/>
    </row>
    <row r="147" spans="1:8" ht="15.75" customHeight="1">
      <c r="A147" s="178"/>
      <c r="B147" s="162"/>
      <c r="C147" s="162"/>
      <c r="D147" s="179"/>
      <c r="E147" s="180" t="str">
        <f>""&amp;TEXT(A135,"0")&amp;" एकूण"</f>
        <v>यादी क्र. टी२ एकूण</v>
      </c>
      <c r="F147" s="181">
        <f>SUM(F141:F146)</f>
        <v>15000000</v>
      </c>
      <c r="G147" s="181">
        <f>SUM(G141:G146)</f>
        <v>1650000000</v>
      </c>
      <c r="H147" s="40"/>
    </row>
    <row r="148" spans="1:8" ht="11.25" customHeight="1">
      <c r="A148" s="92"/>
      <c r="E148" s="99"/>
      <c r="F148" s="131"/>
      <c r="G148" s="131"/>
      <c r="H148" s="40"/>
    </row>
    <row r="149" spans="1:8" ht="11.25" customHeight="1">
      <c r="A149" s="92"/>
      <c r="E149" s="99"/>
      <c r="F149" s="131"/>
      <c r="G149" s="131"/>
    </row>
    <row r="150" spans="1:8" ht="15.75" customHeight="1">
      <c r="A150" s="169" t="s">
        <v>4927</v>
      </c>
      <c r="E150" s="99"/>
      <c r="F150" s="131"/>
      <c r="G150" s="131"/>
    </row>
    <row r="151" spans="1:8" ht="15.75" customHeight="1">
      <c r="A151" s="173" t="s">
        <v>4386</v>
      </c>
      <c r="E151" s="99"/>
      <c r="F151" s="131"/>
      <c r="G151" s="131"/>
    </row>
    <row r="152" spans="1:8" ht="11.25" customHeight="1">
      <c r="A152" s="93" t="s">
        <v>173</v>
      </c>
      <c r="E152" s="99"/>
      <c r="F152" s="131"/>
      <c r="G152" s="131"/>
    </row>
    <row r="153" spans="1:8" ht="11.25" customHeight="1">
      <c r="A153" s="92"/>
      <c r="E153" s="99"/>
      <c r="F153" s="131"/>
      <c r="G153" s="131"/>
    </row>
    <row r="154" spans="1:8" ht="15.75" customHeight="1">
      <c r="A154" s="113" t="s">
        <v>4918</v>
      </c>
      <c r="B154" s="42" t="s">
        <v>234</v>
      </c>
      <c r="C154" s="42" t="s">
        <v>506</v>
      </c>
      <c r="E154" s="174" t="s">
        <v>4066</v>
      </c>
      <c r="F154" s="175" t="s">
        <v>3673</v>
      </c>
      <c r="G154" s="175" t="s">
        <v>3676</v>
      </c>
    </row>
    <row r="155" spans="1:8" ht="11.25" customHeight="1">
      <c r="A155" s="92"/>
      <c r="E155" s="99"/>
      <c r="F155" s="131"/>
      <c r="G155" s="131"/>
    </row>
    <row r="156" spans="1:8" ht="15.75">
      <c r="A156" s="113">
        <v>1</v>
      </c>
      <c r="B156" s="42" t="s">
        <v>12914</v>
      </c>
      <c r="E156" s="87" t="s">
        <v>10405</v>
      </c>
      <c r="F156" s="126"/>
      <c r="G156" s="126">
        <v>20000000</v>
      </c>
    </row>
    <row r="157" spans="1:8" ht="15.75">
      <c r="A157" s="113"/>
      <c r="E157" s="87"/>
      <c r="F157" s="126"/>
      <c r="G157" s="126"/>
    </row>
    <row r="158" spans="1:8" ht="15.75">
      <c r="A158" s="113"/>
      <c r="E158" s="189" t="s">
        <v>8434</v>
      </c>
      <c r="F158" s="126"/>
      <c r="G158" s="126"/>
    </row>
    <row r="159" spans="1:8" ht="15.75">
      <c r="A159" s="113">
        <v>2</v>
      </c>
      <c r="B159" s="42" t="s">
        <v>5337</v>
      </c>
      <c r="E159" s="87" t="s">
        <v>10404</v>
      </c>
      <c r="F159" s="126"/>
      <c r="G159" s="126">
        <v>1000000</v>
      </c>
    </row>
    <row r="160" spans="1:8" ht="11.25" customHeight="1">
      <c r="A160" s="92"/>
      <c r="E160" s="99"/>
      <c r="F160" s="131"/>
      <c r="G160" s="131"/>
    </row>
    <row r="161" spans="1:8" ht="15.75" customHeight="1">
      <c r="A161" s="178"/>
      <c r="B161" s="162"/>
      <c r="C161" s="162"/>
      <c r="D161" s="179"/>
      <c r="E161" s="180" t="str">
        <f>""&amp;TEXT(A150,"0")&amp;" एकूण"</f>
        <v>यादी क्र. टी७ एकूण</v>
      </c>
      <c r="F161" s="181">
        <f t="shared" ref="F161:G161" si="4">SUM(F156:F160)</f>
        <v>0</v>
      </c>
      <c r="G161" s="181">
        <f t="shared" si="4"/>
        <v>21000000</v>
      </c>
    </row>
    <row r="162" spans="1:8" ht="11.25" customHeight="1">
      <c r="A162" s="92"/>
      <c r="E162" s="99"/>
      <c r="F162" s="131"/>
      <c r="G162" s="131"/>
    </row>
    <row r="163" spans="1:8" ht="16.5">
      <c r="A163" s="185" t="s">
        <v>4929</v>
      </c>
      <c r="B163" s="163"/>
      <c r="C163" s="163"/>
      <c r="D163" s="186"/>
      <c r="E163" s="187"/>
      <c r="F163" s="188"/>
      <c r="G163" s="188"/>
    </row>
    <row r="164" spans="1:8" ht="11.25" customHeight="1">
      <c r="A164" s="92"/>
      <c r="E164" s="99"/>
      <c r="F164" s="131"/>
      <c r="G164" s="131"/>
    </row>
    <row r="165" spans="1:8" ht="11.25" customHeight="1">
      <c r="A165" s="92"/>
      <c r="E165" s="99"/>
      <c r="F165" s="131"/>
      <c r="G165" s="131"/>
    </row>
    <row r="166" spans="1:8" ht="15.75" customHeight="1">
      <c r="A166" s="169" t="s">
        <v>4928</v>
      </c>
      <c r="E166" s="99"/>
      <c r="F166" s="131"/>
      <c r="G166" s="131"/>
    </row>
    <row r="167" spans="1:8" ht="15.75" customHeight="1">
      <c r="A167" s="173" t="s">
        <v>3540</v>
      </c>
      <c r="E167" s="99"/>
      <c r="F167" s="131"/>
      <c r="G167" s="131"/>
      <c r="H167" s="40"/>
    </row>
    <row r="168" spans="1:8" ht="11.25" customHeight="1">
      <c r="A168" s="93" t="s">
        <v>1053</v>
      </c>
      <c r="E168" s="99"/>
      <c r="F168" s="131"/>
      <c r="G168" s="131"/>
      <c r="H168" s="40"/>
    </row>
    <row r="169" spans="1:8" ht="11.25" customHeight="1">
      <c r="A169" s="92"/>
      <c r="E169" s="99"/>
      <c r="F169" s="131"/>
      <c r="G169" s="131"/>
      <c r="H169" s="40"/>
    </row>
    <row r="170" spans="1:8" ht="15.75" customHeight="1">
      <c r="A170" s="113" t="s">
        <v>4918</v>
      </c>
      <c r="B170" s="42" t="s">
        <v>234</v>
      </c>
      <c r="C170" s="42" t="s">
        <v>506</v>
      </c>
      <c r="E170" s="174" t="s">
        <v>4066</v>
      </c>
      <c r="F170" s="175" t="s">
        <v>3673</v>
      </c>
      <c r="G170" s="175" t="s">
        <v>3676</v>
      </c>
      <c r="H170" s="40"/>
    </row>
    <row r="171" spans="1:8" ht="11.25" customHeight="1">
      <c r="A171" s="92"/>
      <c r="E171" s="99"/>
      <c r="F171" s="131"/>
      <c r="G171" s="131"/>
      <c r="H171" s="40"/>
    </row>
    <row r="172" spans="1:8" ht="47.25">
      <c r="A172" s="113">
        <v>1</v>
      </c>
      <c r="B172" s="42" t="s">
        <v>12915</v>
      </c>
      <c r="E172" s="79" t="s">
        <v>10078</v>
      </c>
      <c r="F172" s="131"/>
      <c r="G172" s="126">
        <v>150000000</v>
      </c>
      <c r="H172" s="40"/>
    </row>
    <row r="173" spans="1:8" ht="31.5">
      <c r="A173" s="113">
        <v>2</v>
      </c>
      <c r="B173" s="42" t="s">
        <v>12916</v>
      </c>
      <c r="E173" s="79" t="s">
        <v>10079</v>
      </c>
      <c r="F173" s="131"/>
      <c r="G173" s="126">
        <v>50000000</v>
      </c>
      <c r="H173" s="40"/>
    </row>
    <row r="174" spans="1:8" ht="15.75">
      <c r="A174" s="92"/>
      <c r="E174" s="87"/>
      <c r="F174" s="131"/>
      <c r="G174" s="126"/>
      <c r="H174" s="40"/>
    </row>
    <row r="175" spans="1:8" ht="11.25" customHeight="1">
      <c r="A175" s="92"/>
      <c r="E175" s="99"/>
      <c r="F175" s="131"/>
      <c r="G175" s="131"/>
      <c r="H175" s="40"/>
    </row>
    <row r="176" spans="1:8" ht="15.75" customHeight="1">
      <c r="A176" s="178"/>
      <c r="B176" s="162"/>
      <c r="C176" s="162"/>
      <c r="D176" s="179"/>
      <c r="E176" s="180" t="str">
        <f>""&amp;TEXT(A166,"0")&amp;" एकूण"</f>
        <v>यादी क्र. बी५ एकूण</v>
      </c>
      <c r="F176" s="181">
        <f>SUM(F172:F175)</f>
        <v>0</v>
      </c>
      <c r="G176" s="181">
        <f>SUM(G172:G175)</f>
        <v>200000000</v>
      </c>
      <c r="H176" s="40"/>
    </row>
    <row r="177" spans="1:8" ht="11.25" customHeight="1">
      <c r="A177" s="92"/>
      <c r="E177" s="99"/>
      <c r="F177" s="131"/>
      <c r="G177" s="131"/>
      <c r="H177" s="40"/>
    </row>
    <row r="178" spans="1:8" ht="15.75" customHeight="1">
      <c r="A178" s="169" t="s">
        <v>4415</v>
      </c>
      <c r="B178" s="161"/>
      <c r="C178" s="161"/>
      <c r="D178" s="170"/>
      <c r="E178" s="171"/>
      <c r="F178" s="172"/>
      <c r="G178" s="172"/>
    </row>
    <row r="179" spans="1:8" ht="15.75" customHeight="1">
      <c r="A179" s="173" t="s">
        <v>4389</v>
      </c>
      <c r="E179" s="99"/>
      <c r="F179" s="131"/>
      <c r="G179" s="131"/>
    </row>
    <row r="180" spans="1:8" ht="11.25" customHeight="1">
      <c r="A180" s="93" t="s">
        <v>4416</v>
      </c>
      <c r="E180" s="99"/>
      <c r="F180" s="131"/>
      <c r="G180" s="131"/>
    </row>
    <row r="181" spans="1:8" ht="11.25" customHeight="1">
      <c r="A181" s="92"/>
      <c r="E181" s="99"/>
      <c r="F181" s="131"/>
      <c r="G181" s="131"/>
    </row>
    <row r="182" spans="1:8" ht="15.75" customHeight="1">
      <c r="A182" s="113" t="s">
        <v>4918</v>
      </c>
      <c r="B182" s="42" t="s">
        <v>234</v>
      </c>
      <c r="C182" s="42" t="s">
        <v>506</v>
      </c>
      <c r="E182" s="174" t="s">
        <v>4066</v>
      </c>
      <c r="F182" s="175" t="s">
        <v>3673</v>
      </c>
      <c r="G182" s="175" t="s">
        <v>3676</v>
      </c>
    </row>
    <row r="183" spans="1:8" ht="11.25" customHeight="1">
      <c r="A183" s="177"/>
      <c r="E183" s="99"/>
      <c r="F183" s="131"/>
      <c r="G183" s="131"/>
    </row>
    <row r="184" spans="1:8" ht="31.5">
      <c r="A184" s="113">
        <v>1</v>
      </c>
      <c r="B184" s="42" t="s">
        <v>12917</v>
      </c>
      <c r="E184" s="79" t="s">
        <v>10080</v>
      </c>
      <c r="F184" s="126"/>
      <c r="G184" s="126">
        <v>2000000</v>
      </c>
    </row>
    <row r="185" spans="1:8" ht="15.75">
      <c r="A185" s="113">
        <v>2</v>
      </c>
      <c r="B185" s="42" t="s">
        <v>12918</v>
      </c>
      <c r="E185" s="87" t="s">
        <v>10081</v>
      </c>
      <c r="F185" s="126"/>
      <c r="G185" s="126">
        <v>1500000</v>
      </c>
    </row>
    <row r="186" spans="1:8" ht="15.75">
      <c r="A186" s="113"/>
      <c r="E186" s="87"/>
      <c r="F186" s="126"/>
      <c r="G186" s="126"/>
    </row>
    <row r="187" spans="1:8" ht="15.75">
      <c r="A187" s="92"/>
      <c r="E187" s="189" t="s">
        <v>8434</v>
      </c>
      <c r="F187" s="131"/>
      <c r="G187" s="131"/>
    </row>
    <row r="188" spans="1:8" ht="15.75">
      <c r="A188" s="113">
        <v>3</v>
      </c>
      <c r="B188" s="42" t="s">
        <v>682</v>
      </c>
      <c r="E188" s="87" t="s">
        <v>10082</v>
      </c>
      <c r="F188" s="126"/>
      <c r="G188" s="126">
        <v>2000000</v>
      </c>
    </row>
    <row r="189" spans="1:8" ht="15.75">
      <c r="A189" s="113">
        <v>4</v>
      </c>
      <c r="B189" s="42" t="s">
        <v>40</v>
      </c>
      <c r="E189" s="87" t="s">
        <v>10083</v>
      </c>
      <c r="F189" s="126"/>
      <c r="G189" s="126">
        <v>20000000</v>
      </c>
    </row>
    <row r="190" spans="1:8" ht="15.75">
      <c r="A190" s="113">
        <v>5</v>
      </c>
      <c r="B190" s="42" t="s">
        <v>4601</v>
      </c>
      <c r="E190" s="87" t="s">
        <v>10084</v>
      </c>
      <c r="F190" s="126"/>
      <c r="G190" s="126">
        <v>1000000</v>
      </c>
    </row>
    <row r="191" spans="1:8" ht="15.75">
      <c r="A191" s="113">
        <v>6</v>
      </c>
      <c r="B191" s="42" t="s">
        <v>1660</v>
      </c>
      <c r="E191" s="87" t="s">
        <v>10085</v>
      </c>
      <c r="F191" s="126"/>
      <c r="G191" s="126">
        <v>1000000</v>
      </c>
    </row>
    <row r="192" spans="1:8" ht="15.75">
      <c r="A192" s="113">
        <v>7</v>
      </c>
      <c r="B192" s="42" t="s">
        <v>1830</v>
      </c>
      <c r="E192" s="87" t="s">
        <v>10086</v>
      </c>
      <c r="F192" s="126"/>
      <c r="G192" s="126">
        <v>10000000</v>
      </c>
    </row>
    <row r="193" spans="1:8" ht="11.25" customHeight="1">
      <c r="A193" s="177"/>
      <c r="E193" s="99"/>
      <c r="F193" s="131"/>
      <c r="G193" s="131"/>
    </row>
    <row r="194" spans="1:8" ht="15.75" customHeight="1">
      <c r="A194" s="178"/>
      <c r="B194" s="162"/>
      <c r="C194" s="162"/>
      <c r="D194" s="179"/>
      <c r="E194" s="180" t="str">
        <f>""&amp;TEXT(A178,"0")&amp;" एकूण"</f>
        <v>यादी क्र. बी8 एकूण</v>
      </c>
      <c r="F194" s="181">
        <f t="shared" ref="F194:G194" si="5">SUM(F184:F193)</f>
        <v>0</v>
      </c>
      <c r="G194" s="181">
        <f t="shared" si="5"/>
        <v>37500000</v>
      </c>
    </row>
    <row r="195" spans="1:8" ht="16.5">
      <c r="A195" s="185" t="s">
        <v>4417</v>
      </c>
      <c r="B195" s="163"/>
      <c r="C195" s="163"/>
      <c r="D195" s="186"/>
      <c r="E195" s="187"/>
      <c r="F195" s="188"/>
      <c r="G195" s="188"/>
      <c r="H195" s="40"/>
    </row>
    <row r="196" spans="1:8" ht="11.25" customHeight="1">
      <c r="A196" s="92"/>
      <c r="E196" s="99"/>
      <c r="F196" s="131"/>
      <c r="G196" s="131"/>
      <c r="H196" s="40"/>
    </row>
    <row r="197" spans="1:8" ht="11.25" customHeight="1">
      <c r="A197" s="177"/>
      <c r="E197" s="99"/>
      <c r="F197" s="131"/>
      <c r="G197" s="131"/>
      <c r="H197" s="40"/>
    </row>
    <row r="198" spans="1:8" ht="15.75">
      <c r="A198" s="169" t="s">
        <v>4418</v>
      </c>
      <c r="E198" s="99"/>
      <c r="F198" s="131"/>
      <c r="G198" s="131"/>
      <c r="H198" s="40"/>
    </row>
    <row r="199" spans="1:8" ht="15.75">
      <c r="A199" s="173" t="s">
        <v>3562</v>
      </c>
      <c r="E199" s="99"/>
      <c r="F199" s="131"/>
      <c r="G199" s="131"/>
      <c r="H199" s="40"/>
    </row>
    <row r="200" spans="1:8" ht="12">
      <c r="A200" s="93" t="s">
        <v>4419</v>
      </c>
      <c r="E200" s="99"/>
      <c r="F200" s="131"/>
      <c r="G200" s="131"/>
      <c r="H200" s="40"/>
    </row>
    <row r="201" spans="1:8" ht="11.25" customHeight="1">
      <c r="A201" s="177"/>
      <c r="E201" s="99"/>
      <c r="F201" s="131"/>
      <c r="G201" s="131"/>
      <c r="H201" s="40"/>
    </row>
    <row r="202" spans="1:8" ht="15.75" customHeight="1">
      <c r="A202" s="113" t="s">
        <v>4918</v>
      </c>
      <c r="B202" s="42" t="s">
        <v>234</v>
      </c>
      <c r="C202" s="42" t="s">
        <v>506</v>
      </c>
      <c r="E202" s="174" t="s">
        <v>4066</v>
      </c>
      <c r="F202" s="175" t="s">
        <v>3673</v>
      </c>
      <c r="G202" s="175" t="s">
        <v>3676</v>
      </c>
      <c r="H202" s="40"/>
    </row>
    <row r="203" spans="1:8" ht="11.25" customHeight="1">
      <c r="A203" s="177"/>
      <c r="E203" s="99"/>
      <c r="F203" s="131"/>
      <c r="G203" s="131"/>
      <c r="H203" s="40"/>
    </row>
    <row r="204" spans="1:8" ht="15.75">
      <c r="A204" s="92"/>
      <c r="E204" s="189" t="s">
        <v>8434</v>
      </c>
      <c r="F204" s="131"/>
      <c r="G204" s="131"/>
      <c r="H204" s="40"/>
    </row>
    <row r="205" spans="1:8" ht="15.75">
      <c r="A205" s="113">
        <v>1</v>
      </c>
      <c r="B205" s="42" t="s">
        <v>2</v>
      </c>
      <c r="E205" s="87" t="s">
        <v>4591</v>
      </c>
      <c r="F205" s="126"/>
      <c r="G205" s="126">
        <v>100000000</v>
      </c>
      <c r="H205" s="40"/>
    </row>
    <row r="206" spans="1:8" ht="31.5">
      <c r="A206" s="113">
        <v>2</v>
      </c>
      <c r="B206" s="42" t="s">
        <v>1268</v>
      </c>
      <c r="E206" s="79" t="s">
        <v>4592</v>
      </c>
      <c r="F206" s="126"/>
      <c r="G206" s="126">
        <v>150000000</v>
      </c>
      <c r="H206" s="40"/>
    </row>
    <row r="207" spans="1:8" ht="15.75">
      <c r="A207" s="113">
        <v>3</v>
      </c>
      <c r="B207" s="42" t="s">
        <v>5339</v>
      </c>
      <c r="E207" s="87" t="s">
        <v>10401</v>
      </c>
      <c r="F207" s="126"/>
      <c r="G207" s="126">
        <v>50000000</v>
      </c>
      <c r="H207" s="40"/>
    </row>
    <row r="208" spans="1:8" ht="15.75">
      <c r="A208" s="113">
        <v>4</v>
      </c>
      <c r="B208" s="42" t="s">
        <v>5340</v>
      </c>
      <c r="E208" s="87" t="s">
        <v>10402</v>
      </c>
      <c r="F208" s="126"/>
      <c r="G208" s="126">
        <v>500000</v>
      </c>
      <c r="H208" s="40"/>
    </row>
    <row r="209" spans="1:8" ht="15.75">
      <c r="A209" s="113">
        <v>5</v>
      </c>
      <c r="B209" s="42" t="s">
        <v>5338</v>
      </c>
      <c r="E209" s="87" t="s">
        <v>10403</v>
      </c>
      <c r="F209" s="126"/>
      <c r="G209" s="126">
        <v>15000000</v>
      </c>
      <c r="H209" s="40"/>
    </row>
    <row r="210" spans="1:8" ht="15.75">
      <c r="A210" s="113">
        <v>6</v>
      </c>
      <c r="B210" s="42" t="s">
        <v>4593</v>
      </c>
      <c r="E210" s="87" t="s">
        <v>4594</v>
      </c>
      <c r="F210" s="126"/>
      <c r="G210" s="126">
        <v>40000000</v>
      </c>
      <c r="H210" s="40"/>
    </row>
    <row r="211" spans="1:8" ht="11.25" customHeight="1">
      <c r="A211" s="177"/>
      <c r="E211" s="99"/>
      <c r="F211" s="131"/>
      <c r="G211" s="131"/>
      <c r="H211" s="40"/>
    </row>
    <row r="212" spans="1:8" ht="15.75">
      <c r="A212" s="178"/>
      <c r="B212" s="162"/>
      <c r="C212" s="162"/>
      <c r="D212" s="179"/>
      <c r="E212" s="180" t="str">
        <f>""&amp;TEXT(A198,"0")&amp;" एकूण"</f>
        <v>यादी क्र. एल्‌१ एकूण</v>
      </c>
      <c r="F212" s="181">
        <f t="shared" ref="F212:G212" si="6">SUM(F204:F211)</f>
        <v>0</v>
      </c>
      <c r="G212" s="181">
        <f t="shared" si="6"/>
        <v>355500000</v>
      </c>
      <c r="H212" s="40"/>
    </row>
    <row r="213" spans="1:8" ht="11.25" customHeight="1">
      <c r="A213" s="177"/>
      <c r="E213" s="99"/>
      <c r="F213" s="131"/>
      <c r="G213" s="131"/>
      <c r="H213" s="40"/>
    </row>
    <row r="214" spans="1:8" ht="11.25" customHeight="1">
      <c r="A214" s="177"/>
      <c r="E214" s="99"/>
      <c r="F214" s="131"/>
      <c r="G214" s="131"/>
      <c r="H214" s="40"/>
    </row>
    <row r="215" spans="1:8" ht="11.25" customHeight="1">
      <c r="A215" s="177"/>
      <c r="E215" s="99"/>
      <c r="F215" s="131"/>
      <c r="G215" s="131"/>
    </row>
    <row r="216" spans="1:8" ht="15.75">
      <c r="A216" s="169" t="s">
        <v>4420</v>
      </c>
      <c r="E216" s="99"/>
      <c r="F216" s="131"/>
      <c r="G216" s="131"/>
    </row>
    <row r="217" spans="1:8" ht="15.75">
      <c r="A217" s="173" t="s">
        <v>4387</v>
      </c>
      <c r="E217" s="99"/>
      <c r="F217" s="131"/>
      <c r="G217" s="131"/>
    </row>
    <row r="218" spans="1:8" ht="12">
      <c r="A218" s="93" t="s">
        <v>4422</v>
      </c>
      <c r="E218" s="99"/>
      <c r="F218" s="131"/>
      <c r="G218" s="131"/>
    </row>
    <row r="219" spans="1:8" ht="11.25" customHeight="1">
      <c r="A219" s="177"/>
      <c r="E219" s="99"/>
      <c r="F219" s="131"/>
      <c r="G219" s="131"/>
    </row>
    <row r="220" spans="1:8" ht="15.75" customHeight="1">
      <c r="A220" s="113" t="s">
        <v>4918</v>
      </c>
      <c r="B220" s="42" t="s">
        <v>234</v>
      </c>
      <c r="C220" s="42" t="s">
        <v>506</v>
      </c>
      <c r="E220" s="174" t="s">
        <v>4066</v>
      </c>
      <c r="F220" s="175" t="s">
        <v>3673</v>
      </c>
      <c r="G220" s="175" t="s">
        <v>3676</v>
      </c>
    </row>
    <row r="221" spans="1:8" ht="11.25" customHeight="1">
      <c r="A221" s="177"/>
      <c r="E221" s="99"/>
      <c r="F221" s="131"/>
      <c r="G221" s="131"/>
    </row>
    <row r="222" spans="1:8" ht="15.75">
      <c r="A222" s="92"/>
      <c r="E222" s="189" t="s">
        <v>8434</v>
      </c>
      <c r="F222" s="131"/>
      <c r="G222" s="131"/>
    </row>
    <row r="223" spans="1:8" ht="31.5">
      <c r="A223" s="113">
        <v>1</v>
      </c>
      <c r="B223" s="42" t="s">
        <v>4595</v>
      </c>
      <c r="E223" s="79" t="s">
        <v>4596</v>
      </c>
      <c r="F223" s="126"/>
      <c r="G223" s="126">
        <v>3000000</v>
      </c>
    </row>
    <row r="224" spans="1:8" ht="15.75">
      <c r="A224" s="113">
        <v>2</v>
      </c>
      <c r="B224" s="42" t="s">
        <v>4597</v>
      </c>
      <c r="E224" s="87" t="s">
        <v>4598</v>
      </c>
      <c r="F224" s="126"/>
      <c r="G224" s="126">
        <v>10000000</v>
      </c>
    </row>
    <row r="225" spans="1:8" ht="31.5">
      <c r="A225" s="113">
        <v>3</v>
      </c>
      <c r="B225" s="42" t="s">
        <v>4599</v>
      </c>
      <c r="E225" s="79" t="s">
        <v>10489</v>
      </c>
      <c r="F225" s="126"/>
      <c r="G225" s="126">
        <v>500000000</v>
      </c>
    </row>
    <row r="226" spans="1:8" ht="11.25" customHeight="1">
      <c r="A226" s="177"/>
      <c r="E226" s="99"/>
      <c r="F226" s="131"/>
      <c r="G226" s="131"/>
    </row>
    <row r="227" spans="1:8" ht="15.75">
      <c r="A227" s="178"/>
      <c r="B227" s="162"/>
      <c r="C227" s="162"/>
      <c r="D227" s="179"/>
      <c r="E227" s="180" t="str">
        <f>""&amp;TEXT(A216,"0")&amp;" एकूण"</f>
        <v>यादी क्र. एल्‌2 एकूण</v>
      </c>
      <c r="F227" s="181">
        <f t="shared" ref="F227:G227" si="7">SUM(F222:F226)</f>
        <v>0</v>
      </c>
      <c r="G227" s="181">
        <f t="shared" si="7"/>
        <v>513000000</v>
      </c>
    </row>
    <row r="228" spans="1:8" ht="11.25" customHeight="1">
      <c r="A228" s="177"/>
      <c r="E228" s="99"/>
      <c r="F228" s="131"/>
      <c r="G228" s="131"/>
    </row>
    <row r="229" spans="1:8" ht="11.25" customHeight="1">
      <c r="A229" s="177"/>
      <c r="E229" s="99"/>
      <c r="F229" s="131"/>
      <c r="G229" s="131"/>
      <c r="H229" s="40"/>
    </row>
    <row r="230" spans="1:8" ht="16.5">
      <c r="A230" s="185" t="s">
        <v>4423</v>
      </c>
      <c r="B230" s="163"/>
      <c r="C230" s="163"/>
      <c r="D230" s="186"/>
      <c r="E230" s="187"/>
      <c r="F230" s="188"/>
      <c r="G230" s="188"/>
      <c r="H230" s="40"/>
    </row>
    <row r="231" spans="1:8" ht="11.25" customHeight="1">
      <c r="A231" s="177"/>
      <c r="E231" s="99"/>
      <c r="F231" s="131"/>
      <c r="G231" s="131"/>
      <c r="H231" s="40"/>
    </row>
    <row r="232" spans="1:8" ht="11.25" customHeight="1">
      <c r="A232" s="177"/>
      <c r="E232" s="99"/>
      <c r="F232" s="131"/>
      <c r="G232" s="131"/>
      <c r="H232" s="40"/>
    </row>
    <row r="233" spans="1:8" ht="15.75">
      <c r="A233" s="169" t="s">
        <v>4424</v>
      </c>
      <c r="E233" s="99"/>
      <c r="F233" s="131"/>
      <c r="G233" s="131"/>
      <c r="H233" s="40"/>
    </row>
    <row r="234" spans="1:8" ht="15.75">
      <c r="A234" s="173" t="s">
        <v>4698</v>
      </c>
      <c r="E234" s="99"/>
      <c r="F234" s="131"/>
      <c r="G234" s="131"/>
      <c r="H234" s="40"/>
    </row>
    <row r="235" spans="1:8" ht="12">
      <c r="A235" s="93" t="s">
        <v>4700</v>
      </c>
      <c r="E235" s="99"/>
      <c r="F235" s="131"/>
      <c r="G235" s="131"/>
      <c r="H235" s="40"/>
    </row>
    <row r="236" spans="1:8" ht="11.25" customHeight="1">
      <c r="A236" s="177"/>
      <c r="E236" s="99"/>
      <c r="F236" s="131"/>
      <c r="G236" s="131"/>
      <c r="H236" s="40"/>
    </row>
    <row r="237" spans="1:8" ht="15.75" customHeight="1">
      <c r="A237" s="113" t="s">
        <v>4918</v>
      </c>
      <c r="B237" s="42" t="s">
        <v>234</v>
      </c>
      <c r="C237" s="42" t="s">
        <v>506</v>
      </c>
      <c r="E237" s="174" t="s">
        <v>4066</v>
      </c>
      <c r="F237" s="175" t="s">
        <v>3673</v>
      </c>
      <c r="G237" s="175" t="s">
        <v>3676</v>
      </c>
      <c r="H237" s="40"/>
    </row>
    <row r="238" spans="1:8" ht="11.25" customHeight="1">
      <c r="A238" s="177"/>
      <c r="E238" s="99"/>
      <c r="F238" s="131"/>
      <c r="G238" s="131"/>
      <c r="H238" s="40"/>
    </row>
    <row r="239" spans="1:8" ht="15.75">
      <c r="A239" s="113">
        <v>1</v>
      </c>
      <c r="B239" s="42" t="s">
        <v>12919</v>
      </c>
      <c r="E239" s="87" t="s">
        <v>10493</v>
      </c>
      <c r="F239" s="128"/>
      <c r="G239" s="126">
        <v>850000000</v>
      </c>
      <c r="H239" s="40"/>
    </row>
    <row r="240" spans="1:8" ht="15.75">
      <c r="A240" s="113">
        <v>2</v>
      </c>
      <c r="B240" s="42" t="s">
        <v>12920</v>
      </c>
      <c r="E240" s="87" t="s">
        <v>8750</v>
      </c>
      <c r="F240" s="128"/>
      <c r="G240" s="126">
        <v>10000000</v>
      </c>
      <c r="H240" s="40"/>
    </row>
    <row r="241" spans="1:8" ht="15.75">
      <c r="A241" s="113">
        <v>3</v>
      </c>
      <c r="B241" s="42" t="s">
        <v>12921</v>
      </c>
      <c r="E241" s="87" t="s">
        <v>8427</v>
      </c>
      <c r="F241" s="126"/>
      <c r="G241" s="126">
        <v>6400000</v>
      </c>
      <c r="H241" s="40"/>
    </row>
    <row r="242" spans="1:8" ht="15.75">
      <c r="A242" s="113"/>
      <c r="E242" s="87"/>
      <c r="F242" s="128"/>
      <c r="G242" s="126"/>
      <c r="H242" s="40"/>
    </row>
    <row r="243" spans="1:8" ht="15.75">
      <c r="A243" s="113"/>
      <c r="E243" s="189" t="s">
        <v>8434</v>
      </c>
      <c r="F243" s="126"/>
      <c r="G243" s="126"/>
      <c r="H243" s="40"/>
    </row>
    <row r="244" spans="1:8" ht="15.75">
      <c r="A244" s="113"/>
      <c r="E244" s="87"/>
      <c r="F244" s="128"/>
      <c r="G244" s="126"/>
      <c r="H244" s="40"/>
    </row>
    <row r="245" spans="1:8" ht="31.5">
      <c r="A245" s="113"/>
      <c r="E245" s="79" t="s">
        <v>8749</v>
      </c>
      <c r="F245" s="126">
        <v>4828646000</v>
      </c>
      <c r="G245" s="126"/>
      <c r="H245" s="40"/>
    </row>
    <row r="246" spans="1:8" ht="15.75">
      <c r="A246" s="113">
        <v>4</v>
      </c>
      <c r="B246" s="42" t="s">
        <v>5020</v>
      </c>
      <c r="E246" s="87" t="s">
        <v>4760</v>
      </c>
      <c r="F246" s="128"/>
      <c r="G246" s="126">
        <v>130000000</v>
      </c>
      <c r="H246" s="40"/>
    </row>
    <row r="247" spans="1:8" ht="15.75">
      <c r="A247" s="113">
        <v>5</v>
      </c>
      <c r="B247" s="42" t="s">
        <v>5021</v>
      </c>
      <c r="E247" s="87" t="s">
        <v>4761</v>
      </c>
      <c r="F247" s="128"/>
      <c r="G247" s="126">
        <v>50000000</v>
      </c>
      <c r="H247" s="40"/>
    </row>
    <row r="248" spans="1:8" ht="15.75">
      <c r="A248" s="113">
        <v>6</v>
      </c>
      <c r="B248" s="42" t="s">
        <v>5022</v>
      </c>
      <c r="E248" s="87" t="s">
        <v>3522</v>
      </c>
      <c r="F248" s="128"/>
      <c r="G248" s="126">
        <v>200000000</v>
      </c>
      <c r="H248" s="40"/>
    </row>
    <row r="249" spans="1:8" ht="15.75">
      <c r="A249" s="113">
        <v>7</v>
      </c>
      <c r="B249" s="42" t="s">
        <v>5023</v>
      </c>
      <c r="E249" s="87" t="s">
        <v>4762</v>
      </c>
      <c r="F249" s="128"/>
      <c r="G249" s="126">
        <v>5000000</v>
      </c>
      <c r="H249" s="40"/>
    </row>
    <row r="250" spans="1:8" ht="15.75">
      <c r="A250" s="113"/>
      <c r="E250" s="87" t="s">
        <v>4701</v>
      </c>
      <c r="F250" s="126"/>
      <c r="G250" s="126"/>
      <c r="H250" s="40"/>
    </row>
    <row r="251" spans="1:8" ht="15.75">
      <c r="A251" s="113"/>
      <c r="E251" s="87" t="s">
        <v>4702</v>
      </c>
      <c r="F251" s="126"/>
      <c r="G251" s="126"/>
      <c r="H251" s="40"/>
    </row>
    <row r="252" spans="1:8" ht="15.75">
      <c r="A252" s="113"/>
      <c r="E252" s="87" t="s">
        <v>4703</v>
      </c>
      <c r="F252" s="126"/>
      <c r="G252" s="126"/>
      <c r="H252" s="40"/>
    </row>
    <row r="253" spans="1:8" ht="15.75">
      <c r="A253" s="113"/>
      <c r="E253" s="87" t="s">
        <v>4704</v>
      </c>
      <c r="F253" s="126"/>
      <c r="G253" s="126"/>
      <c r="H253" s="40"/>
    </row>
    <row r="254" spans="1:8" ht="15.75">
      <c r="A254" s="113"/>
      <c r="E254" s="87" t="s">
        <v>4705</v>
      </c>
      <c r="F254" s="126"/>
      <c r="G254" s="126"/>
      <c r="H254" s="40"/>
    </row>
    <row r="255" spans="1:8" ht="15.75">
      <c r="A255" s="113"/>
      <c r="E255" s="87" t="s">
        <v>4706</v>
      </c>
      <c r="F255" s="126"/>
      <c r="G255" s="126"/>
      <c r="H255" s="40"/>
    </row>
    <row r="256" spans="1:8" ht="15.75">
      <c r="A256" s="113"/>
      <c r="E256" s="87" t="s">
        <v>4707</v>
      </c>
      <c r="F256" s="126"/>
      <c r="G256" s="126"/>
      <c r="H256" s="40"/>
    </row>
    <row r="257" spans="1:8" ht="15.75">
      <c r="A257" s="113"/>
      <c r="E257" s="87" t="s">
        <v>4708</v>
      </c>
      <c r="F257" s="126"/>
      <c r="G257" s="126"/>
      <c r="H257" s="40"/>
    </row>
    <row r="258" spans="1:8" ht="15.75">
      <c r="A258" s="113"/>
      <c r="E258" s="87" t="s">
        <v>4709</v>
      </c>
      <c r="F258" s="126"/>
      <c r="G258" s="126"/>
    </row>
    <row r="259" spans="1:8" ht="15.75">
      <c r="A259" s="113"/>
      <c r="E259" s="87" t="s">
        <v>4710</v>
      </c>
      <c r="F259" s="126"/>
      <c r="G259" s="126"/>
    </row>
    <row r="260" spans="1:8" ht="15.75">
      <c r="A260" s="113"/>
      <c r="E260" s="87" t="s">
        <v>4711</v>
      </c>
      <c r="F260" s="126"/>
      <c r="G260" s="126"/>
    </row>
    <row r="261" spans="1:8" ht="15.75">
      <c r="A261" s="113"/>
      <c r="E261" s="87" t="s">
        <v>4712</v>
      </c>
      <c r="F261" s="126"/>
      <c r="G261" s="126"/>
    </row>
    <row r="262" spans="1:8" ht="15.75">
      <c r="A262" s="113"/>
      <c r="E262" s="87" t="s">
        <v>4713</v>
      </c>
      <c r="F262" s="126"/>
      <c r="G262" s="126"/>
    </row>
    <row r="263" spans="1:8" ht="15.75">
      <c r="A263" s="113"/>
      <c r="E263" s="87" t="s">
        <v>4714</v>
      </c>
      <c r="F263" s="126"/>
      <c r="G263" s="126"/>
    </row>
    <row r="264" spans="1:8" ht="15.75">
      <c r="A264" s="113"/>
      <c r="E264" s="87" t="s">
        <v>4715</v>
      </c>
      <c r="F264" s="126"/>
      <c r="G264" s="126"/>
    </row>
    <row r="265" spans="1:8" ht="15.75">
      <c r="A265" s="113"/>
      <c r="E265" s="87" t="s">
        <v>4716</v>
      </c>
      <c r="F265" s="126"/>
      <c r="G265" s="126"/>
    </row>
    <row r="266" spans="1:8" ht="15.75">
      <c r="A266" s="113"/>
      <c r="E266" s="87" t="s">
        <v>4717</v>
      </c>
      <c r="F266" s="126"/>
      <c r="G266" s="126"/>
    </row>
    <row r="267" spans="1:8" ht="11.25" customHeight="1">
      <c r="A267" s="113"/>
      <c r="E267" s="99"/>
      <c r="F267" s="131"/>
      <c r="G267" s="131"/>
    </row>
    <row r="268" spans="1:8" ht="15.75">
      <c r="A268" s="178"/>
      <c r="B268" s="162"/>
      <c r="C268" s="162"/>
      <c r="D268" s="179"/>
      <c r="E268" s="180" t="str">
        <f>""&amp;TEXT(A233,"0")&amp;" एकूण"</f>
        <v>यादी क्र. एफ१ एकूण</v>
      </c>
      <c r="F268" s="181">
        <f t="shared" ref="F268:G268" si="8">SUM(F239:F267)</f>
        <v>4828646000</v>
      </c>
      <c r="G268" s="181">
        <f t="shared" si="8"/>
        <v>1251400000</v>
      </c>
    </row>
    <row r="269" spans="1:8" ht="11.25" customHeight="1">
      <c r="A269" s="177"/>
      <c r="E269" s="99"/>
      <c r="F269" s="131"/>
      <c r="G269" s="131"/>
    </row>
    <row r="270" spans="1:8" ht="11.25" customHeight="1">
      <c r="A270" s="177"/>
      <c r="E270" s="99"/>
      <c r="F270" s="131"/>
      <c r="G270" s="131"/>
    </row>
    <row r="271" spans="1:8" ht="16.5">
      <c r="A271" s="185" t="s">
        <v>4930</v>
      </c>
      <c r="B271" s="163"/>
      <c r="C271" s="163"/>
      <c r="D271" s="186"/>
      <c r="E271" s="187"/>
      <c r="F271" s="188"/>
      <c r="G271" s="188"/>
    </row>
    <row r="272" spans="1:8" ht="11.25" customHeight="1">
      <c r="A272" s="92"/>
      <c r="E272" s="99"/>
      <c r="F272" s="131"/>
      <c r="G272" s="131"/>
    </row>
    <row r="273" spans="1:8" ht="15.75" customHeight="1">
      <c r="A273" s="169" t="s">
        <v>4425</v>
      </c>
      <c r="B273" s="161"/>
      <c r="C273" s="161"/>
      <c r="D273" s="170"/>
      <c r="E273" s="171"/>
      <c r="F273" s="172"/>
      <c r="G273" s="172"/>
    </row>
    <row r="274" spans="1:8" ht="15.75" customHeight="1">
      <c r="A274" s="173" t="s">
        <v>4353</v>
      </c>
      <c r="E274" s="99"/>
      <c r="F274" s="131"/>
      <c r="G274" s="131"/>
    </row>
    <row r="275" spans="1:8" ht="11.25" customHeight="1">
      <c r="A275" s="93" t="s">
        <v>4427</v>
      </c>
      <c r="E275" s="99"/>
      <c r="F275" s="131"/>
      <c r="G275" s="131"/>
    </row>
    <row r="276" spans="1:8" ht="11.25" customHeight="1">
      <c r="A276" s="92"/>
      <c r="E276" s="99"/>
      <c r="F276" s="131"/>
      <c r="G276" s="131"/>
      <c r="H276" s="40"/>
    </row>
    <row r="277" spans="1:8" ht="15.75" customHeight="1">
      <c r="A277" s="113" t="s">
        <v>4918</v>
      </c>
      <c r="B277" s="42" t="s">
        <v>234</v>
      </c>
      <c r="C277" s="42" t="s">
        <v>506</v>
      </c>
      <c r="E277" s="174" t="s">
        <v>4066</v>
      </c>
      <c r="F277" s="175" t="s">
        <v>3673</v>
      </c>
      <c r="G277" s="175" t="s">
        <v>3676</v>
      </c>
      <c r="H277" s="40"/>
    </row>
    <row r="278" spans="1:8" ht="11.25" customHeight="1">
      <c r="A278" s="177"/>
      <c r="E278" s="99"/>
      <c r="F278" s="131"/>
      <c r="G278" s="131"/>
      <c r="H278" s="40"/>
    </row>
    <row r="279" spans="1:8" ht="15.75">
      <c r="A279" s="113">
        <v>1</v>
      </c>
      <c r="B279" s="42" t="s">
        <v>12922</v>
      </c>
      <c r="E279" s="79" t="s">
        <v>9097</v>
      </c>
      <c r="F279" s="126"/>
      <c r="G279" s="126">
        <v>2000000</v>
      </c>
      <c r="H279" s="40"/>
    </row>
    <row r="280" spans="1:8" ht="31.5">
      <c r="A280" s="113">
        <v>2</v>
      </c>
      <c r="B280" s="42" t="s">
        <v>12923</v>
      </c>
      <c r="E280" s="79" t="s">
        <v>10551</v>
      </c>
      <c r="F280" s="126"/>
      <c r="G280" s="126">
        <v>30000000</v>
      </c>
      <c r="H280" s="40"/>
    </row>
    <row r="281" spans="1:8" ht="15.75">
      <c r="A281" s="113"/>
      <c r="E281" s="87"/>
      <c r="F281" s="126"/>
      <c r="G281" s="126"/>
      <c r="H281" s="40"/>
    </row>
    <row r="282" spans="1:8" ht="15.75">
      <c r="A282" s="113"/>
      <c r="E282" s="189" t="s">
        <v>8434</v>
      </c>
      <c r="F282" s="126"/>
      <c r="G282" s="126"/>
      <c r="H282" s="40"/>
    </row>
    <row r="283" spans="1:8" ht="47.25">
      <c r="A283" s="113">
        <v>3</v>
      </c>
      <c r="B283" s="42" t="s">
        <v>5024</v>
      </c>
      <c r="E283" s="79" t="s">
        <v>4509</v>
      </c>
      <c r="F283" s="126"/>
      <c r="G283" s="126">
        <v>8500000</v>
      </c>
      <c r="H283" s="40"/>
    </row>
    <row r="284" spans="1:8" ht="31.5">
      <c r="A284" s="113">
        <v>4</v>
      </c>
      <c r="B284" s="42" t="s">
        <v>4510</v>
      </c>
      <c r="E284" s="79" t="s">
        <v>4511</v>
      </c>
      <c r="F284" s="126"/>
      <c r="G284" s="126">
        <v>150000000</v>
      </c>
      <c r="H284" s="40"/>
    </row>
    <row r="285" spans="1:8" ht="47.25">
      <c r="A285" s="113">
        <v>5</v>
      </c>
      <c r="B285" s="42" t="s">
        <v>4512</v>
      </c>
      <c r="E285" s="79" t="s">
        <v>4513</v>
      </c>
      <c r="F285" s="126"/>
      <c r="G285" s="126">
        <v>10000000</v>
      </c>
      <c r="H285" s="40"/>
    </row>
    <row r="286" spans="1:8" ht="15.75">
      <c r="A286" s="113">
        <v>6</v>
      </c>
      <c r="B286" s="42" t="s">
        <v>4514</v>
      </c>
      <c r="E286" s="87" t="s">
        <v>4515</v>
      </c>
      <c r="F286" s="126"/>
      <c r="G286" s="126">
        <v>30000000</v>
      </c>
      <c r="H286" s="40"/>
    </row>
    <row r="287" spans="1:8" ht="15.75">
      <c r="A287" s="113">
        <v>7</v>
      </c>
      <c r="B287" s="42" t="s">
        <v>4516</v>
      </c>
      <c r="E287" s="87" t="s">
        <v>3587</v>
      </c>
      <c r="F287" s="126"/>
      <c r="G287" s="126">
        <v>2100000</v>
      </c>
      <c r="H287" s="40"/>
    </row>
    <row r="288" spans="1:8" ht="15.75">
      <c r="A288" s="113">
        <v>8</v>
      </c>
      <c r="B288" s="42" t="s">
        <v>4517</v>
      </c>
      <c r="E288" s="87" t="s">
        <v>9096</v>
      </c>
      <c r="F288" s="126"/>
      <c r="G288" s="126">
        <v>12000000</v>
      </c>
      <c r="H288" s="40"/>
    </row>
    <row r="289" spans="1:8" ht="15.75">
      <c r="A289" s="113">
        <v>9</v>
      </c>
      <c r="B289" s="42" t="s">
        <v>4518</v>
      </c>
      <c r="E289" s="87" t="s">
        <v>4519</v>
      </c>
      <c r="F289" s="126"/>
      <c r="G289" s="126">
        <v>1700000</v>
      </c>
      <c r="H289" s="40"/>
    </row>
    <row r="290" spans="1:8" ht="15.75">
      <c r="A290" s="113">
        <v>10</v>
      </c>
      <c r="B290" s="42" t="s">
        <v>4520</v>
      </c>
      <c r="E290" s="87" t="s">
        <v>3599</v>
      </c>
      <c r="F290" s="126"/>
      <c r="G290" s="126">
        <v>17500000</v>
      </c>
      <c r="H290" s="40"/>
    </row>
    <row r="291" spans="1:8" ht="15.75">
      <c r="A291" s="113">
        <v>11</v>
      </c>
      <c r="B291" s="42" t="s">
        <v>4521</v>
      </c>
      <c r="E291" s="87" t="s">
        <v>3600</v>
      </c>
      <c r="F291" s="126"/>
      <c r="G291" s="126">
        <v>8500000</v>
      </c>
      <c r="H291" s="40"/>
    </row>
    <row r="292" spans="1:8" ht="31.5">
      <c r="A292" s="113">
        <v>12</v>
      </c>
      <c r="B292" s="42" t="s">
        <v>4522</v>
      </c>
      <c r="E292" s="79" t="s">
        <v>4523</v>
      </c>
      <c r="F292" s="126"/>
      <c r="G292" s="126">
        <f>9500000-3500000</f>
        <v>6000000</v>
      </c>
    </row>
    <row r="293" spans="1:8" ht="11.25" customHeight="1">
      <c r="A293" s="177"/>
      <c r="E293" s="99"/>
      <c r="F293" s="131"/>
      <c r="G293" s="131"/>
    </row>
    <row r="294" spans="1:8" ht="15.75" customHeight="1">
      <c r="A294" s="178"/>
      <c r="B294" s="162"/>
      <c r="C294" s="162"/>
      <c r="D294" s="179"/>
      <c r="E294" s="180" t="str">
        <f>""&amp;TEXT(A273,"0")&amp;" एकूण"</f>
        <v>यादी क्र. जे१ एकूण</v>
      </c>
      <c r="F294" s="181">
        <f t="shared" ref="F294:G294" si="9">SUM(F279:F293)</f>
        <v>0</v>
      </c>
      <c r="G294" s="181">
        <f t="shared" si="9"/>
        <v>278300000</v>
      </c>
    </row>
    <row r="295" spans="1:8" ht="11.25" customHeight="1">
      <c r="A295" s="92"/>
      <c r="E295" s="99"/>
      <c r="F295" s="131"/>
      <c r="G295" s="131"/>
    </row>
    <row r="296" spans="1:8" ht="11.25" customHeight="1">
      <c r="A296" s="177"/>
      <c r="E296" s="99"/>
      <c r="F296" s="131"/>
      <c r="G296" s="131"/>
    </row>
    <row r="297" spans="1:8" ht="15.75">
      <c r="A297" s="169" t="s">
        <v>4931</v>
      </c>
      <c r="E297" s="99"/>
      <c r="F297" s="131"/>
      <c r="G297" s="131"/>
    </row>
    <row r="298" spans="1:8" ht="15.75">
      <c r="A298" s="173" t="s">
        <v>4357</v>
      </c>
      <c r="E298" s="99"/>
      <c r="F298" s="131"/>
      <c r="G298" s="131"/>
    </row>
    <row r="299" spans="1:8" ht="12">
      <c r="A299" s="93" t="s">
        <v>213</v>
      </c>
      <c r="E299" s="99"/>
      <c r="F299" s="131"/>
      <c r="G299" s="131"/>
    </row>
    <row r="300" spans="1:8" ht="12">
      <c r="A300" s="92"/>
      <c r="E300" s="99"/>
      <c r="F300" s="131"/>
      <c r="G300" s="131"/>
    </row>
    <row r="301" spans="1:8" ht="15.75" customHeight="1">
      <c r="A301" s="113" t="s">
        <v>4918</v>
      </c>
      <c r="B301" s="42" t="s">
        <v>234</v>
      </c>
      <c r="C301" s="42" t="s">
        <v>506</v>
      </c>
      <c r="E301" s="174" t="s">
        <v>4066</v>
      </c>
      <c r="F301" s="175" t="s">
        <v>3673</v>
      </c>
      <c r="G301" s="175" t="s">
        <v>3676</v>
      </c>
    </row>
    <row r="302" spans="1:8" ht="12">
      <c r="A302" s="92"/>
      <c r="E302" s="99"/>
      <c r="F302" s="131"/>
      <c r="G302" s="131"/>
    </row>
    <row r="303" spans="1:8" ht="15.75">
      <c r="A303" s="113"/>
      <c r="E303" s="189" t="s">
        <v>8434</v>
      </c>
      <c r="F303" s="126"/>
      <c r="G303" s="126"/>
    </row>
    <row r="304" spans="1:8" ht="47.25">
      <c r="A304" s="113">
        <v>1</v>
      </c>
      <c r="B304" s="42" t="s">
        <v>4528</v>
      </c>
      <c r="E304" s="79" t="s">
        <v>4529</v>
      </c>
      <c r="F304" s="126"/>
      <c r="G304" s="126">
        <v>8500000</v>
      </c>
    </row>
    <row r="305" spans="1:8" ht="15.75">
      <c r="A305" s="113">
        <v>2</v>
      </c>
      <c r="B305" s="42" t="s">
        <v>1867</v>
      </c>
      <c r="E305" s="79" t="s">
        <v>4530</v>
      </c>
      <c r="F305" s="126"/>
      <c r="G305" s="126">
        <v>5100000</v>
      </c>
      <c r="H305" s="40"/>
    </row>
    <row r="306" spans="1:8" ht="31.5">
      <c r="A306" s="113">
        <v>3</v>
      </c>
      <c r="B306" s="42" t="s">
        <v>4531</v>
      </c>
      <c r="E306" s="79" t="s">
        <v>4532</v>
      </c>
      <c r="F306" s="126"/>
      <c r="G306" s="126">
        <v>15000000</v>
      </c>
      <c r="H306" s="40"/>
    </row>
    <row r="307" spans="1:8" ht="31.5">
      <c r="A307" s="113">
        <v>4</v>
      </c>
      <c r="B307" s="42" t="s">
        <v>4533</v>
      </c>
      <c r="E307" s="79" t="s">
        <v>4534</v>
      </c>
      <c r="F307" s="126"/>
      <c r="G307" s="126">
        <v>4250000</v>
      </c>
      <c r="H307" s="40"/>
    </row>
    <row r="308" spans="1:8" ht="15.75">
      <c r="A308" s="113">
        <v>5</v>
      </c>
      <c r="B308" s="42" t="s">
        <v>4535</v>
      </c>
      <c r="E308" s="87" t="s">
        <v>4536</v>
      </c>
      <c r="F308" s="126"/>
      <c r="G308" s="126">
        <v>8500000</v>
      </c>
      <c r="H308" s="40"/>
    </row>
    <row r="309" spans="1:8" ht="31.5">
      <c r="A309" s="113">
        <v>6</v>
      </c>
      <c r="B309" s="42" t="s">
        <v>1522</v>
      </c>
      <c r="E309" s="79" t="s">
        <v>4524</v>
      </c>
      <c r="F309" s="126"/>
      <c r="G309" s="126">
        <v>8500000</v>
      </c>
      <c r="H309" s="40"/>
    </row>
    <row r="310" spans="1:8" ht="31.5">
      <c r="A310" s="113">
        <v>7</v>
      </c>
      <c r="B310" s="42" t="s">
        <v>1523</v>
      </c>
      <c r="E310" s="79" t="s">
        <v>8524</v>
      </c>
      <c r="F310" s="126"/>
      <c r="G310" s="126">
        <v>8500000</v>
      </c>
      <c r="H310" s="40"/>
    </row>
    <row r="311" spans="1:8" ht="31.5">
      <c r="A311" s="113">
        <v>8</v>
      </c>
      <c r="B311" s="42" t="s">
        <v>1868</v>
      </c>
      <c r="E311" s="79" t="s">
        <v>4525</v>
      </c>
      <c r="F311" s="126"/>
      <c r="G311" s="126">
        <v>6800000</v>
      </c>
      <c r="H311" s="40"/>
    </row>
    <row r="312" spans="1:8" ht="31.5">
      <c r="A312" s="113">
        <v>9</v>
      </c>
      <c r="B312" s="42" t="s">
        <v>4526</v>
      </c>
      <c r="E312" s="79" t="s">
        <v>5059</v>
      </c>
      <c r="F312" s="126"/>
      <c r="G312" s="126">
        <v>8500000</v>
      </c>
      <c r="H312" s="40"/>
    </row>
    <row r="313" spans="1:8" ht="15.75">
      <c r="A313" s="113">
        <v>10</v>
      </c>
      <c r="B313" s="42" t="s">
        <v>4527</v>
      </c>
      <c r="E313" s="79" t="s">
        <v>3471</v>
      </c>
      <c r="F313" s="126"/>
      <c r="G313" s="126">
        <v>8500000</v>
      </c>
      <c r="H313" s="40"/>
    </row>
    <row r="314" spans="1:8" ht="31.5">
      <c r="A314" s="113">
        <v>11</v>
      </c>
      <c r="B314" s="42" t="s">
        <v>5330</v>
      </c>
      <c r="E314" s="79" t="s">
        <v>8525</v>
      </c>
      <c r="F314" s="126"/>
      <c r="G314" s="126">
        <v>4250000</v>
      </c>
      <c r="H314" s="40"/>
    </row>
    <row r="315" spans="1:8" ht="12">
      <c r="A315" s="92"/>
      <c r="E315" s="99"/>
      <c r="F315" s="131"/>
      <c r="G315" s="131"/>
      <c r="H315" s="40"/>
    </row>
    <row r="316" spans="1:8" ht="15.75">
      <c r="A316" s="178"/>
      <c r="B316" s="162"/>
      <c r="C316" s="162"/>
      <c r="D316" s="179"/>
      <c r="E316" s="180" t="str">
        <f>""&amp;TEXT(A297,"0")&amp;" एकूण"</f>
        <v>यादी क्र. जे११ एकूण</v>
      </c>
      <c r="F316" s="181">
        <f>SUM(F303:F315)</f>
        <v>0</v>
      </c>
      <c r="G316" s="181">
        <f>SUM(G303:G315)</f>
        <v>86400000</v>
      </c>
      <c r="H316" s="40"/>
    </row>
    <row r="317" spans="1:8" ht="15.75" customHeight="1">
      <c r="A317" s="169" t="s">
        <v>4428</v>
      </c>
      <c r="B317" s="161"/>
      <c r="C317" s="161"/>
      <c r="D317" s="170"/>
      <c r="E317" s="171"/>
      <c r="F317" s="172"/>
      <c r="G317" s="172"/>
    </row>
    <row r="318" spans="1:8" ht="15.75" customHeight="1">
      <c r="A318" s="173" t="s">
        <v>4354</v>
      </c>
      <c r="E318" s="99"/>
      <c r="F318" s="131"/>
      <c r="G318" s="131"/>
    </row>
    <row r="319" spans="1:8" ht="11.25" customHeight="1">
      <c r="A319" s="93" t="s">
        <v>4432</v>
      </c>
      <c r="E319" s="99"/>
      <c r="F319" s="131"/>
      <c r="G319" s="131"/>
    </row>
    <row r="320" spans="1:8" ht="11.25" customHeight="1">
      <c r="A320" s="92"/>
      <c r="E320" s="99"/>
      <c r="F320" s="131"/>
      <c r="G320" s="131"/>
    </row>
    <row r="321" spans="1:7" ht="15.75" customHeight="1">
      <c r="A321" s="113" t="s">
        <v>4918</v>
      </c>
      <c r="B321" s="42" t="s">
        <v>234</v>
      </c>
      <c r="C321" s="42" t="s">
        <v>506</v>
      </c>
      <c r="E321" s="174" t="s">
        <v>4066</v>
      </c>
      <c r="F321" s="175" t="s">
        <v>3673</v>
      </c>
      <c r="G321" s="175" t="s">
        <v>3676</v>
      </c>
    </row>
    <row r="322" spans="1:7" ht="11.25" customHeight="1">
      <c r="A322" s="177"/>
      <c r="E322" s="99"/>
      <c r="F322" s="131"/>
      <c r="G322" s="131"/>
    </row>
    <row r="323" spans="1:7" ht="31.5">
      <c r="A323" s="113">
        <v>1</v>
      </c>
      <c r="B323" s="42" t="s">
        <v>12924</v>
      </c>
      <c r="E323" s="79" t="s">
        <v>8636</v>
      </c>
      <c r="F323" s="126"/>
      <c r="G323" s="126">
        <v>7500000</v>
      </c>
    </row>
    <row r="324" spans="1:7" ht="15.75">
      <c r="A324" s="113">
        <v>2</v>
      </c>
      <c r="B324" s="42" t="s">
        <v>12925</v>
      </c>
      <c r="E324" s="79" t="s">
        <v>8637</v>
      </c>
      <c r="F324" s="126"/>
      <c r="G324" s="126">
        <v>7500000</v>
      </c>
    </row>
    <row r="325" spans="1:7" ht="15.75">
      <c r="A325" s="113"/>
      <c r="E325" s="79"/>
      <c r="F325" s="126"/>
      <c r="G325" s="126"/>
    </row>
    <row r="326" spans="1:7" ht="11.25" customHeight="1">
      <c r="A326" s="177"/>
      <c r="E326" s="99"/>
      <c r="F326" s="131"/>
      <c r="G326" s="131"/>
    </row>
    <row r="327" spans="1:7" ht="15.75" customHeight="1">
      <c r="A327" s="178"/>
      <c r="B327" s="162"/>
      <c r="C327" s="162"/>
      <c r="D327" s="179"/>
      <c r="E327" s="180" t="str">
        <f>""&amp;TEXT(A317,"0")&amp;" एकूण"</f>
        <v>यादी क्र. जे2 एकूण</v>
      </c>
      <c r="F327" s="181">
        <f>SUM(F323:F326)</f>
        <v>0</v>
      </c>
      <c r="G327" s="181">
        <f>SUM(G323:G326)</f>
        <v>15000000</v>
      </c>
    </row>
    <row r="328" spans="1:7" ht="11.25" customHeight="1">
      <c r="A328" s="92"/>
      <c r="E328" s="99"/>
      <c r="F328" s="131"/>
      <c r="G328" s="131"/>
    </row>
    <row r="329" spans="1:7" ht="15.75" customHeight="1">
      <c r="A329" s="169" t="s">
        <v>4433</v>
      </c>
      <c r="E329" s="99"/>
      <c r="F329" s="131"/>
      <c r="G329" s="131"/>
    </row>
    <row r="330" spans="1:7" ht="15.75" customHeight="1">
      <c r="A330" s="173" t="s">
        <v>4358</v>
      </c>
      <c r="E330" s="99"/>
      <c r="F330" s="131"/>
      <c r="G330" s="131"/>
    </row>
    <row r="331" spans="1:7" ht="11.25" customHeight="1">
      <c r="A331" s="93" t="s">
        <v>4434</v>
      </c>
      <c r="E331" s="99"/>
      <c r="F331" s="131"/>
      <c r="G331" s="131"/>
    </row>
    <row r="332" spans="1:7" ht="11.25" customHeight="1">
      <c r="A332" s="92"/>
      <c r="E332" s="99"/>
      <c r="F332" s="131"/>
      <c r="G332" s="131"/>
    </row>
    <row r="333" spans="1:7" ht="15.75" customHeight="1">
      <c r="A333" s="113" t="s">
        <v>4918</v>
      </c>
      <c r="B333" s="42" t="s">
        <v>234</v>
      </c>
      <c r="C333" s="42" t="s">
        <v>506</v>
      </c>
      <c r="E333" s="174" t="s">
        <v>4066</v>
      </c>
      <c r="F333" s="175" t="s">
        <v>3673</v>
      </c>
      <c r="G333" s="175" t="s">
        <v>3676</v>
      </c>
    </row>
    <row r="334" spans="1:7" ht="11.25" customHeight="1">
      <c r="A334" s="92"/>
      <c r="E334" s="99"/>
      <c r="F334" s="131"/>
      <c r="G334" s="131"/>
    </row>
    <row r="335" spans="1:7" ht="15.75">
      <c r="A335" s="113"/>
      <c r="E335" s="189" t="s">
        <v>8434</v>
      </c>
      <c r="F335" s="126"/>
      <c r="G335" s="126"/>
    </row>
    <row r="336" spans="1:7" ht="15.75">
      <c r="A336" s="113">
        <v>1</v>
      </c>
      <c r="B336" s="42" t="s">
        <v>4537</v>
      </c>
      <c r="E336" s="87" t="s">
        <v>3473</v>
      </c>
      <c r="F336" s="126"/>
      <c r="G336" s="126">
        <v>2165000</v>
      </c>
    </row>
    <row r="337" spans="1:8" ht="11.25" customHeight="1">
      <c r="A337" s="92"/>
      <c r="E337" s="99"/>
      <c r="F337" s="131"/>
      <c r="G337" s="131"/>
    </row>
    <row r="338" spans="1:8" ht="15.75" customHeight="1">
      <c r="A338" s="178"/>
      <c r="B338" s="162"/>
      <c r="C338" s="162"/>
      <c r="D338" s="179"/>
      <c r="E338" s="180" t="str">
        <f>""&amp;TEXT(A329,"0")&amp;" एकूण"</f>
        <v>यादी क्र. जे5 एकूण</v>
      </c>
      <c r="F338" s="181">
        <f t="shared" ref="F338:G338" si="10">SUM(F335:F337)</f>
        <v>0</v>
      </c>
      <c r="G338" s="181">
        <f t="shared" si="10"/>
        <v>2165000</v>
      </c>
    </row>
    <row r="339" spans="1:8" ht="11.25" customHeight="1">
      <c r="A339" s="92"/>
      <c r="E339" s="99"/>
      <c r="F339" s="131"/>
      <c r="G339" s="131"/>
    </row>
    <row r="340" spans="1:8" ht="15.75">
      <c r="A340" s="169" t="s">
        <v>4932</v>
      </c>
      <c r="E340" s="99"/>
      <c r="F340" s="131"/>
      <c r="G340" s="131"/>
    </row>
    <row r="341" spans="1:8" ht="15.75">
      <c r="A341" s="173" t="s">
        <v>4359</v>
      </c>
      <c r="E341" s="99"/>
      <c r="F341" s="131"/>
      <c r="G341" s="131"/>
    </row>
    <row r="342" spans="1:8" ht="12">
      <c r="A342" s="93" t="s">
        <v>122</v>
      </c>
      <c r="E342" s="99"/>
      <c r="F342" s="131"/>
      <c r="G342" s="131"/>
    </row>
    <row r="343" spans="1:8" ht="12">
      <c r="A343" s="92"/>
      <c r="E343" s="99"/>
      <c r="F343" s="131"/>
      <c r="G343" s="131"/>
    </row>
    <row r="344" spans="1:8" ht="15.75" customHeight="1">
      <c r="A344" s="113" t="s">
        <v>4918</v>
      </c>
      <c r="B344" s="42" t="s">
        <v>234</v>
      </c>
      <c r="C344" s="42" t="s">
        <v>506</v>
      </c>
      <c r="E344" s="174" t="s">
        <v>4066</v>
      </c>
      <c r="F344" s="175" t="s">
        <v>3673</v>
      </c>
      <c r="G344" s="175" t="s">
        <v>3676</v>
      </c>
    </row>
    <row r="345" spans="1:8" ht="12">
      <c r="A345" s="92"/>
      <c r="E345" s="99"/>
      <c r="F345" s="131"/>
      <c r="G345" s="131"/>
    </row>
    <row r="346" spans="1:8" ht="15.75">
      <c r="A346" s="92"/>
      <c r="E346" s="189" t="s">
        <v>8434</v>
      </c>
      <c r="F346" s="131"/>
      <c r="G346" s="131"/>
    </row>
    <row r="347" spans="1:8" ht="31.5">
      <c r="A347" s="113">
        <v>1</v>
      </c>
      <c r="B347" s="42" t="s">
        <v>5341</v>
      </c>
      <c r="E347" s="79" t="s">
        <v>8526</v>
      </c>
      <c r="F347" s="126"/>
      <c r="G347" s="126">
        <v>6375000</v>
      </c>
    </row>
    <row r="348" spans="1:8" ht="15.75">
      <c r="A348" s="113">
        <v>2</v>
      </c>
      <c r="B348" s="42" t="s">
        <v>1495</v>
      </c>
      <c r="E348" s="87" t="s">
        <v>4538</v>
      </c>
      <c r="F348" s="126"/>
      <c r="G348" s="126">
        <v>10625000</v>
      </c>
      <c r="H348" s="40"/>
    </row>
    <row r="349" spans="1:8" ht="15.75">
      <c r="A349" s="113">
        <v>3</v>
      </c>
      <c r="B349" s="42" t="s">
        <v>1496</v>
      </c>
      <c r="E349" s="87" t="s">
        <v>4539</v>
      </c>
      <c r="F349" s="126"/>
      <c r="G349" s="126">
        <v>8000000</v>
      </c>
      <c r="H349" s="40"/>
    </row>
    <row r="350" spans="1:8" ht="12">
      <c r="A350" s="92"/>
      <c r="E350" s="99"/>
      <c r="F350" s="131"/>
      <c r="G350" s="131"/>
      <c r="H350" s="40"/>
    </row>
    <row r="351" spans="1:8" ht="15.75">
      <c r="A351" s="178"/>
      <c r="B351" s="162"/>
      <c r="C351" s="162"/>
      <c r="D351" s="179"/>
      <c r="E351" s="180" t="str">
        <f>""&amp;TEXT(A340,"0")&amp;" एकूण"</f>
        <v>यादी क्र. जे१३ एकूण</v>
      </c>
      <c r="F351" s="181">
        <f>SUM(F346:F350)</f>
        <v>0</v>
      </c>
      <c r="G351" s="181">
        <f>SUM(G346:G350)</f>
        <v>25000000</v>
      </c>
      <c r="H351" s="40"/>
    </row>
    <row r="352" spans="1:8" ht="11.25" customHeight="1">
      <c r="A352" s="92"/>
      <c r="E352" s="99"/>
      <c r="F352" s="131"/>
      <c r="G352" s="131"/>
    </row>
    <row r="353" spans="1:7" ht="15.75" customHeight="1">
      <c r="A353" s="169" t="s">
        <v>4438</v>
      </c>
      <c r="B353" s="161"/>
      <c r="C353" s="161"/>
      <c r="D353" s="170"/>
      <c r="E353" s="171"/>
      <c r="F353" s="172"/>
      <c r="G353" s="172"/>
    </row>
    <row r="354" spans="1:7" ht="15.75" customHeight="1">
      <c r="A354" s="173" t="s">
        <v>4360</v>
      </c>
      <c r="E354" s="99"/>
      <c r="F354" s="131"/>
      <c r="G354" s="131"/>
    </row>
    <row r="355" spans="1:7" ht="11.25" customHeight="1">
      <c r="A355" s="93" t="s">
        <v>4441</v>
      </c>
      <c r="E355" s="99"/>
      <c r="F355" s="131"/>
      <c r="G355" s="131"/>
    </row>
    <row r="356" spans="1:7" ht="11.25" customHeight="1">
      <c r="A356" s="92"/>
      <c r="E356" s="99"/>
      <c r="F356" s="131"/>
      <c r="G356" s="131"/>
    </row>
    <row r="357" spans="1:7" ht="15.75" customHeight="1">
      <c r="A357" s="113" t="s">
        <v>4918</v>
      </c>
      <c r="B357" s="42" t="s">
        <v>234</v>
      </c>
      <c r="C357" s="42" t="s">
        <v>506</v>
      </c>
      <c r="E357" s="174" t="s">
        <v>4066</v>
      </c>
      <c r="F357" s="175" t="s">
        <v>3673</v>
      </c>
      <c r="G357" s="175" t="s">
        <v>3676</v>
      </c>
    </row>
    <row r="358" spans="1:7" ht="11.25" customHeight="1">
      <c r="A358" s="177"/>
      <c r="E358" s="99"/>
      <c r="F358" s="131"/>
      <c r="G358" s="131"/>
    </row>
    <row r="359" spans="1:7" ht="15.75">
      <c r="A359" s="113">
        <v>1</v>
      </c>
      <c r="B359" s="42" t="s">
        <v>12926</v>
      </c>
      <c r="E359" s="87" t="s">
        <v>10419</v>
      </c>
      <c r="F359" s="126"/>
      <c r="G359" s="126">
        <v>30000000</v>
      </c>
    </row>
    <row r="360" spans="1:7" ht="15.75">
      <c r="A360" s="113"/>
      <c r="E360" s="87"/>
      <c r="F360" s="126"/>
      <c r="G360" s="126"/>
    </row>
    <row r="361" spans="1:7" ht="15.75">
      <c r="A361" s="113"/>
      <c r="E361" s="189" t="s">
        <v>8434</v>
      </c>
      <c r="F361" s="126"/>
      <c r="G361" s="126"/>
    </row>
    <row r="362" spans="1:7" ht="15.75">
      <c r="A362" s="113">
        <v>2</v>
      </c>
      <c r="B362" s="42" t="s">
        <v>1869</v>
      </c>
      <c r="E362" s="87" t="s">
        <v>4540</v>
      </c>
      <c r="F362" s="126"/>
      <c r="G362" s="126">
        <v>10000000</v>
      </c>
    </row>
    <row r="363" spans="1:7" ht="15.75">
      <c r="A363" s="113">
        <v>3</v>
      </c>
      <c r="B363" s="42" t="s">
        <v>1870</v>
      </c>
      <c r="E363" s="87" t="s">
        <v>4541</v>
      </c>
      <c r="F363" s="126"/>
      <c r="G363" s="126">
        <v>10000000</v>
      </c>
    </row>
    <row r="364" spans="1:7" ht="15.75">
      <c r="A364" s="113">
        <v>4</v>
      </c>
      <c r="B364" s="42" t="s">
        <v>5342</v>
      </c>
      <c r="E364" s="87" t="s">
        <v>8527</v>
      </c>
      <c r="F364" s="126"/>
      <c r="G364" s="126">
        <v>8500000</v>
      </c>
    </row>
    <row r="365" spans="1:7" ht="15.75">
      <c r="A365" s="113">
        <v>5</v>
      </c>
      <c r="B365" s="42" t="s">
        <v>4542</v>
      </c>
      <c r="E365" s="87" t="s">
        <v>3475</v>
      </c>
      <c r="F365" s="126"/>
      <c r="G365" s="126">
        <v>3500000</v>
      </c>
    </row>
    <row r="366" spans="1:7" ht="11.25" customHeight="1">
      <c r="A366" s="177"/>
      <c r="E366" s="99"/>
      <c r="F366" s="131"/>
      <c r="G366" s="131"/>
    </row>
    <row r="367" spans="1:7" ht="15.75" customHeight="1">
      <c r="A367" s="178"/>
      <c r="B367" s="162"/>
      <c r="C367" s="162"/>
      <c r="D367" s="179"/>
      <c r="E367" s="180" t="str">
        <f>""&amp;TEXT(A353,"0")&amp;" एकूण"</f>
        <v>यादी क्र. जे6 एकूण</v>
      </c>
      <c r="F367" s="181">
        <f t="shared" ref="F367:G367" si="11">SUM(F359:F366)</f>
        <v>0</v>
      </c>
      <c r="G367" s="181">
        <f t="shared" si="11"/>
        <v>62000000</v>
      </c>
    </row>
    <row r="368" spans="1:7" ht="11.25" customHeight="1">
      <c r="A368" s="92"/>
      <c r="E368" s="99"/>
      <c r="F368" s="131"/>
      <c r="G368" s="131"/>
    </row>
    <row r="369" spans="1:8" ht="15.75" customHeight="1">
      <c r="A369" s="169" t="s">
        <v>4439</v>
      </c>
      <c r="B369" s="161"/>
      <c r="C369" s="161"/>
      <c r="D369" s="170"/>
      <c r="E369" s="171"/>
      <c r="F369" s="172"/>
      <c r="G369" s="172"/>
    </row>
    <row r="370" spans="1:8" ht="15.75" customHeight="1">
      <c r="A370" s="173" t="s">
        <v>4361</v>
      </c>
      <c r="E370" s="99"/>
      <c r="F370" s="131"/>
      <c r="G370" s="131"/>
    </row>
    <row r="371" spans="1:8" ht="11.25" customHeight="1">
      <c r="A371" s="93" t="s">
        <v>4440</v>
      </c>
      <c r="E371" s="99"/>
      <c r="F371" s="131"/>
      <c r="G371" s="131"/>
    </row>
    <row r="372" spans="1:8" s="190" customFormat="1">
      <c r="B372" s="164"/>
      <c r="C372" s="164"/>
      <c r="D372" s="191"/>
      <c r="F372" s="131"/>
      <c r="G372" s="131"/>
      <c r="H372" s="192"/>
    </row>
    <row r="373" spans="1:8" ht="15.75" customHeight="1">
      <c r="A373" s="113" t="s">
        <v>4918</v>
      </c>
      <c r="B373" s="42" t="s">
        <v>234</v>
      </c>
      <c r="C373" s="42" t="s">
        <v>506</v>
      </c>
      <c r="E373" s="174" t="s">
        <v>4066</v>
      </c>
      <c r="F373" s="175" t="s">
        <v>3673</v>
      </c>
      <c r="G373" s="175" t="s">
        <v>3676</v>
      </c>
    </row>
    <row r="374" spans="1:8" s="190" customFormat="1">
      <c r="B374" s="164"/>
      <c r="C374" s="164"/>
      <c r="D374" s="191"/>
      <c r="F374" s="131"/>
      <c r="G374" s="131"/>
      <c r="H374" s="192"/>
    </row>
    <row r="375" spans="1:8" ht="15.75">
      <c r="A375" s="113"/>
      <c r="E375" s="189" t="s">
        <v>8434</v>
      </c>
      <c r="F375" s="126"/>
      <c r="G375" s="126"/>
    </row>
    <row r="376" spans="1:8" ht="15.75">
      <c r="A376" s="113">
        <v>1</v>
      </c>
      <c r="B376" s="42" t="s">
        <v>5343</v>
      </c>
      <c r="E376" s="87" t="s">
        <v>8528</v>
      </c>
      <c r="F376" s="126"/>
      <c r="G376" s="126">
        <v>5000000</v>
      </c>
    </row>
    <row r="377" spans="1:8" s="190" customFormat="1">
      <c r="B377" s="164"/>
      <c r="C377" s="164"/>
      <c r="D377" s="191"/>
      <c r="F377" s="131"/>
      <c r="G377" s="131"/>
      <c r="H377" s="192"/>
    </row>
    <row r="378" spans="1:8" ht="15.75" customHeight="1">
      <c r="A378" s="178"/>
      <c r="B378" s="162"/>
      <c r="C378" s="162"/>
      <c r="D378" s="179"/>
      <c r="E378" s="180" t="str">
        <f>""&amp;TEXT(A369,"0")&amp;" एकूण"</f>
        <v>यादी क्र. जे7 एकूण</v>
      </c>
      <c r="F378" s="181">
        <f t="shared" ref="F378:G378" si="12">SUM(F375:F377)</f>
        <v>0</v>
      </c>
      <c r="G378" s="181">
        <f t="shared" si="12"/>
        <v>5000000</v>
      </c>
    </row>
    <row r="379" spans="1:8" s="190" customFormat="1">
      <c r="B379" s="164"/>
      <c r="C379" s="164"/>
      <c r="D379" s="191"/>
      <c r="F379" s="131"/>
      <c r="G379" s="131"/>
      <c r="H379" s="192"/>
    </row>
    <row r="380" spans="1:8" s="190" customFormat="1">
      <c r="B380" s="164"/>
      <c r="C380" s="164"/>
      <c r="D380" s="191"/>
      <c r="F380" s="131"/>
      <c r="G380" s="131"/>
      <c r="H380" s="192"/>
    </row>
    <row r="381" spans="1:8" ht="15.75" customHeight="1">
      <c r="A381" s="169" t="s">
        <v>4442</v>
      </c>
      <c r="B381" s="161"/>
      <c r="C381" s="161"/>
      <c r="D381" s="170"/>
      <c r="E381" s="171"/>
      <c r="F381" s="172"/>
      <c r="G381" s="172"/>
    </row>
    <row r="382" spans="1:8" ht="15.75" customHeight="1">
      <c r="A382" s="173" t="s">
        <v>4362</v>
      </c>
      <c r="E382" s="99"/>
      <c r="F382" s="131"/>
      <c r="G382" s="131"/>
    </row>
    <row r="383" spans="1:8" ht="11.25" customHeight="1">
      <c r="A383" s="93" t="s">
        <v>4443</v>
      </c>
      <c r="E383" s="99"/>
      <c r="F383" s="131"/>
      <c r="G383" s="131"/>
    </row>
    <row r="384" spans="1:8" s="190" customFormat="1">
      <c r="B384" s="164"/>
      <c r="C384" s="164"/>
      <c r="D384" s="191"/>
      <c r="F384" s="131"/>
      <c r="G384" s="131"/>
      <c r="H384" s="192"/>
    </row>
    <row r="385" spans="1:8" ht="15.75" customHeight="1">
      <c r="A385" s="113" t="s">
        <v>4918</v>
      </c>
      <c r="B385" s="42" t="s">
        <v>234</v>
      </c>
      <c r="C385" s="42" t="s">
        <v>506</v>
      </c>
      <c r="E385" s="174" t="s">
        <v>4066</v>
      </c>
      <c r="F385" s="175" t="s">
        <v>3673</v>
      </c>
      <c r="G385" s="175" t="s">
        <v>3676</v>
      </c>
    </row>
    <row r="386" spans="1:8" ht="11.25" customHeight="1">
      <c r="A386" s="177"/>
      <c r="E386" s="99"/>
      <c r="F386" s="131"/>
      <c r="G386" s="131"/>
    </row>
    <row r="387" spans="1:8" ht="15.75">
      <c r="A387" s="113"/>
      <c r="E387" s="189" t="s">
        <v>8434</v>
      </c>
      <c r="F387" s="126"/>
      <c r="G387" s="126"/>
    </row>
    <row r="388" spans="1:8" ht="15.75">
      <c r="A388" s="113">
        <v>1</v>
      </c>
      <c r="B388" s="42" t="s">
        <v>4543</v>
      </c>
      <c r="C388" s="42">
        <v>23</v>
      </c>
      <c r="E388" s="87" t="s">
        <v>3476</v>
      </c>
      <c r="F388" s="126"/>
      <c r="G388" s="126">
        <v>10000000</v>
      </c>
    </row>
    <row r="389" spans="1:8" ht="15.75">
      <c r="A389" s="113">
        <v>2</v>
      </c>
      <c r="B389" s="42" t="s">
        <v>4544</v>
      </c>
      <c r="E389" s="87" t="s">
        <v>3477</v>
      </c>
      <c r="F389" s="126"/>
      <c r="G389" s="126">
        <v>20000000</v>
      </c>
    </row>
    <row r="390" spans="1:8" ht="15.75">
      <c r="A390" s="113">
        <v>3</v>
      </c>
      <c r="B390" s="42" t="s">
        <v>4545</v>
      </c>
      <c r="E390" s="87" t="s">
        <v>3478</v>
      </c>
      <c r="F390" s="126"/>
      <c r="G390" s="126">
        <v>5000000</v>
      </c>
    </row>
    <row r="391" spans="1:8" s="190" customFormat="1">
      <c r="B391" s="164"/>
      <c r="C391" s="164"/>
      <c r="D391" s="191"/>
      <c r="F391" s="131"/>
      <c r="G391" s="131"/>
      <c r="H391" s="192"/>
    </row>
    <row r="392" spans="1:8" ht="15.75" customHeight="1">
      <c r="A392" s="178"/>
      <c r="B392" s="162"/>
      <c r="C392" s="162"/>
      <c r="D392" s="179"/>
      <c r="E392" s="180" t="str">
        <f>""&amp;TEXT(A381,"0")&amp;" एकूण"</f>
        <v>यादी क्र. जे8 एकूण</v>
      </c>
      <c r="F392" s="181">
        <f t="shared" ref="F392:G392" si="13">SUM(F387:F391)</f>
        <v>0</v>
      </c>
      <c r="G392" s="181">
        <f t="shared" si="13"/>
        <v>35000000</v>
      </c>
    </row>
    <row r="393" spans="1:8" s="190" customFormat="1">
      <c r="B393" s="164"/>
      <c r="C393" s="164"/>
      <c r="D393" s="191"/>
      <c r="F393" s="131"/>
      <c r="G393" s="131"/>
      <c r="H393" s="192"/>
    </row>
    <row r="394" spans="1:8" ht="15.75">
      <c r="A394" s="169" t="s">
        <v>4933</v>
      </c>
      <c r="E394" s="99"/>
      <c r="F394" s="131"/>
      <c r="G394" s="131"/>
    </row>
    <row r="395" spans="1:8" ht="15.75">
      <c r="A395" s="173" t="s">
        <v>3579</v>
      </c>
      <c r="E395" s="99"/>
      <c r="F395" s="131"/>
      <c r="G395" s="131"/>
    </row>
    <row r="396" spans="1:8" ht="12">
      <c r="A396" s="93" t="s">
        <v>1015</v>
      </c>
      <c r="E396" s="99"/>
      <c r="F396" s="131"/>
      <c r="G396" s="131"/>
    </row>
    <row r="397" spans="1:8" ht="12">
      <c r="A397" s="92"/>
      <c r="E397" s="99"/>
      <c r="F397" s="131"/>
      <c r="G397" s="131"/>
    </row>
    <row r="398" spans="1:8" ht="15.75" customHeight="1">
      <c r="A398" s="113" t="s">
        <v>4918</v>
      </c>
      <c r="B398" s="42" t="s">
        <v>234</v>
      </c>
      <c r="C398" s="42" t="s">
        <v>506</v>
      </c>
      <c r="E398" s="174" t="s">
        <v>4066</v>
      </c>
      <c r="F398" s="175" t="s">
        <v>3673</v>
      </c>
      <c r="G398" s="175" t="s">
        <v>3676</v>
      </c>
    </row>
    <row r="399" spans="1:8" ht="12">
      <c r="A399" s="92"/>
      <c r="E399" s="99"/>
      <c r="F399" s="131"/>
      <c r="G399" s="131"/>
    </row>
    <row r="400" spans="1:8" ht="15.75">
      <c r="A400" s="113">
        <v>1</v>
      </c>
      <c r="B400" s="42" t="s">
        <v>12927</v>
      </c>
      <c r="E400" s="87" t="s">
        <v>8635</v>
      </c>
      <c r="F400" s="126"/>
      <c r="G400" s="126">
        <v>50000000</v>
      </c>
      <c r="H400" s="40"/>
    </row>
    <row r="401" spans="1:8" ht="15.75">
      <c r="A401" s="113">
        <v>2</v>
      </c>
      <c r="B401" s="42" t="s">
        <v>12928</v>
      </c>
      <c r="E401" s="87" t="s">
        <v>10574</v>
      </c>
      <c r="F401" s="126"/>
      <c r="G401" s="126">
        <v>30000000</v>
      </c>
      <c r="H401" s="40"/>
    </row>
    <row r="402" spans="1:8" ht="31.5">
      <c r="A402" s="113">
        <v>3</v>
      </c>
      <c r="B402" s="42" t="s">
        <v>12929</v>
      </c>
      <c r="E402" s="70" t="s">
        <v>10470</v>
      </c>
      <c r="F402" s="126"/>
      <c r="G402" s="126">
        <v>50000000</v>
      </c>
      <c r="H402" s="40"/>
    </row>
    <row r="403" spans="1:8" ht="31.5">
      <c r="A403" s="113">
        <v>4</v>
      </c>
      <c r="B403" s="42" t="s">
        <v>12930</v>
      </c>
      <c r="E403" s="70" t="s">
        <v>10576</v>
      </c>
      <c r="F403" s="126"/>
      <c r="G403" s="126">
        <v>50000000</v>
      </c>
      <c r="H403" s="40"/>
    </row>
    <row r="404" spans="1:8" ht="15.75">
      <c r="A404" s="113"/>
      <c r="E404" s="87"/>
      <c r="F404" s="126"/>
      <c r="G404" s="126"/>
      <c r="H404" s="40"/>
    </row>
    <row r="405" spans="1:8" ht="15.75">
      <c r="A405" s="113"/>
      <c r="E405" s="189" t="s">
        <v>8434</v>
      </c>
      <c r="F405" s="126"/>
      <c r="G405" s="126"/>
      <c r="H405" s="40"/>
    </row>
    <row r="406" spans="1:8" ht="15.75">
      <c r="A406" s="113">
        <v>5</v>
      </c>
      <c r="B406" s="42" t="s">
        <v>64</v>
      </c>
      <c r="E406" s="79" t="s">
        <v>3574</v>
      </c>
      <c r="F406" s="126"/>
      <c r="G406" s="126">
        <v>10000000</v>
      </c>
      <c r="H406" s="40"/>
    </row>
    <row r="407" spans="1:8" ht="31.5">
      <c r="A407" s="113">
        <v>6</v>
      </c>
      <c r="B407" s="42" t="s">
        <v>66</v>
      </c>
      <c r="E407" s="79" t="s">
        <v>3575</v>
      </c>
      <c r="F407" s="126"/>
      <c r="G407" s="126">
        <v>2000000</v>
      </c>
      <c r="H407" s="40"/>
    </row>
    <row r="408" spans="1:8" ht="31.5">
      <c r="A408" s="113">
        <v>7</v>
      </c>
      <c r="B408" s="42" t="s">
        <v>328</v>
      </c>
      <c r="E408" s="79" t="s">
        <v>8529</v>
      </c>
      <c r="F408" s="126"/>
      <c r="G408" s="126">
        <v>2000000</v>
      </c>
      <c r="H408" s="40"/>
    </row>
    <row r="409" spans="1:8" ht="15.75">
      <c r="A409" s="113">
        <v>8</v>
      </c>
      <c r="B409" s="42" t="s">
        <v>5025</v>
      </c>
      <c r="E409" s="87" t="s">
        <v>4549</v>
      </c>
      <c r="F409" s="126"/>
      <c r="G409" s="126">
        <v>5000000</v>
      </c>
      <c r="H409" s="40"/>
    </row>
    <row r="410" spans="1:8" ht="15.75">
      <c r="A410" s="113">
        <v>9</v>
      </c>
      <c r="B410" s="42" t="s">
        <v>5026</v>
      </c>
      <c r="E410" s="87" t="s">
        <v>4550</v>
      </c>
      <c r="F410" s="126"/>
      <c r="G410" s="126">
        <v>8500000</v>
      </c>
      <c r="H410" s="40"/>
    </row>
    <row r="411" spans="1:8" ht="15.75">
      <c r="A411" s="113">
        <v>10</v>
      </c>
      <c r="B411" s="42" t="s">
        <v>1872</v>
      </c>
      <c r="E411" s="79" t="s">
        <v>10575</v>
      </c>
      <c r="F411" s="126"/>
      <c r="G411" s="126">
        <v>8500000</v>
      </c>
      <c r="H411" s="40"/>
    </row>
    <row r="412" spans="1:8" ht="15.75">
      <c r="A412" s="113">
        <v>11</v>
      </c>
      <c r="B412" s="42" t="s">
        <v>4553</v>
      </c>
      <c r="E412" s="87" t="s">
        <v>4554</v>
      </c>
      <c r="F412" s="126"/>
      <c r="G412" s="126">
        <v>10000000</v>
      </c>
      <c r="H412" s="40"/>
    </row>
    <row r="413" spans="1:8" ht="15.75">
      <c r="A413" s="113">
        <v>12</v>
      </c>
      <c r="B413" s="42" t="s">
        <v>4547</v>
      </c>
      <c r="E413" s="87" t="s">
        <v>4548</v>
      </c>
      <c r="F413" s="126"/>
      <c r="G413" s="126">
        <v>8500000</v>
      </c>
      <c r="H413" s="40"/>
    </row>
    <row r="414" spans="1:8" ht="15.75">
      <c r="A414" s="113">
        <v>13</v>
      </c>
      <c r="B414" s="42" t="s">
        <v>4551</v>
      </c>
      <c r="E414" s="87" t="s">
        <v>4552</v>
      </c>
      <c r="F414" s="126"/>
      <c r="G414" s="126">
        <v>2500000</v>
      </c>
      <c r="H414" s="40"/>
    </row>
    <row r="415" spans="1:8" ht="12">
      <c r="A415" s="92"/>
      <c r="E415" s="99"/>
      <c r="F415" s="131"/>
      <c r="G415" s="131"/>
      <c r="H415" s="40"/>
    </row>
    <row r="416" spans="1:8" ht="15.75">
      <c r="A416" s="178"/>
      <c r="B416" s="162"/>
      <c r="C416" s="162"/>
      <c r="D416" s="179"/>
      <c r="E416" s="180" t="str">
        <f>""&amp;TEXT(A394,"0")&amp;" एकूण"</f>
        <v>यादी क्र. जे१० एकूण</v>
      </c>
      <c r="F416" s="181">
        <f t="shared" ref="F416:G416" si="14">SUM(F400:F415)</f>
        <v>0</v>
      </c>
      <c r="G416" s="181">
        <f t="shared" si="14"/>
        <v>237000000</v>
      </c>
      <c r="H416" s="40"/>
    </row>
    <row r="417" spans="1:8" ht="11.25" customHeight="1">
      <c r="A417" s="177"/>
      <c r="E417" s="99"/>
      <c r="F417" s="131"/>
      <c r="G417" s="131"/>
      <c r="H417" s="40"/>
    </row>
    <row r="418" spans="1:8" ht="11.25" customHeight="1">
      <c r="A418" s="92"/>
      <c r="E418" s="99"/>
      <c r="F418" s="131"/>
      <c r="G418" s="131"/>
    </row>
    <row r="419" spans="1:8" ht="15.75">
      <c r="A419" s="169" t="s">
        <v>4934</v>
      </c>
      <c r="E419" s="99"/>
      <c r="F419" s="131"/>
      <c r="G419" s="131"/>
    </row>
    <row r="420" spans="1:8" ht="15.75">
      <c r="A420" s="173" t="s">
        <v>3577</v>
      </c>
      <c r="E420" s="99"/>
      <c r="F420" s="131"/>
      <c r="G420" s="131"/>
    </row>
    <row r="421" spans="1:8" ht="12">
      <c r="A421" s="93" t="s">
        <v>333</v>
      </c>
      <c r="E421" s="99"/>
      <c r="F421" s="131"/>
      <c r="G421" s="131"/>
    </row>
    <row r="422" spans="1:8" s="193" customFormat="1">
      <c r="B422" s="165"/>
      <c r="C422" s="165"/>
      <c r="D422" s="43"/>
      <c r="E422" s="194"/>
      <c r="F422" s="131"/>
      <c r="G422" s="131"/>
      <c r="H422" s="195"/>
    </row>
    <row r="423" spans="1:8" ht="15.75" customHeight="1">
      <c r="A423" s="113" t="s">
        <v>4918</v>
      </c>
      <c r="B423" s="42" t="s">
        <v>234</v>
      </c>
      <c r="C423" s="42" t="s">
        <v>506</v>
      </c>
      <c r="E423" s="174" t="s">
        <v>4066</v>
      </c>
      <c r="F423" s="175" t="s">
        <v>3673</v>
      </c>
      <c r="G423" s="175" t="s">
        <v>3676</v>
      </c>
    </row>
    <row r="424" spans="1:8" s="193" customFormat="1">
      <c r="B424" s="165"/>
      <c r="C424" s="165"/>
      <c r="D424" s="43"/>
      <c r="E424" s="194"/>
      <c r="F424" s="131"/>
      <c r="G424" s="131"/>
      <c r="H424" s="195"/>
    </row>
    <row r="425" spans="1:8" ht="15.75">
      <c r="A425" s="113">
        <v>1</v>
      </c>
      <c r="B425" s="42" t="s">
        <v>12931</v>
      </c>
      <c r="E425" s="87" t="s">
        <v>8638</v>
      </c>
      <c r="F425" s="126"/>
      <c r="G425" s="126">
        <v>2500000</v>
      </c>
    </row>
    <row r="426" spans="1:8" ht="15.75">
      <c r="A426" s="113"/>
      <c r="E426" s="87"/>
      <c r="F426" s="126"/>
      <c r="G426" s="126"/>
    </row>
    <row r="427" spans="1:8" s="193" customFormat="1">
      <c r="B427" s="165"/>
      <c r="C427" s="165"/>
      <c r="D427" s="43"/>
      <c r="E427" s="194"/>
      <c r="F427" s="131"/>
      <c r="G427" s="131"/>
      <c r="H427" s="195"/>
    </row>
    <row r="428" spans="1:8" ht="15.75">
      <c r="A428" s="178"/>
      <c r="B428" s="162"/>
      <c r="C428" s="162"/>
      <c r="D428" s="179"/>
      <c r="E428" s="180" t="str">
        <f>""&amp;TEXT(A419,"0")&amp;" एकूण"</f>
        <v>यादी क्र. जे९ एकूण</v>
      </c>
      <c r="F428" s="181">
        <f>SUM(F425:F427)</f>
        <v>0</v>
      </c>
      <c r="G428" s="181">
        <f>SUM(G425:G427)</f>
        <v>2500000</v>
      </c>
    </row>
    <row r="429" spans="1:8" s="193" customFormat="1" ht="11.25" customHeight="1">
      <c r="A429" s="196"/>
      <c r="B429" s="165"/>
      <c r="C429" s="165"/>
      <c r="D429" s="43"/>
      <c r="E429" s="194"/>
      <c r="F429" s="131"/>
      <c r="G429" s="131"/>
      <c r="H429" s="195"/>
    </row>
    <row r="430" spans="1:8" s="193" customFormat="1">
      <c r="B430" s="165"/>
      <c r="C430" s="165"/>
      <c r="D430" s="43"/>
      <c r="E430" s="194"/>
      <c r="F430" s="131"/>
      <c r="G430" s="131"/>
      <c r="H430" s="195"/>
    </row>
    <row r="431" spans="1:8" ht="15.75" customHeight="1">
      <c r="A431" s="169" t="s">
        <v>4446</v>
      </c>
      <c r="B431" s="161"/>
      <c r="C431" s="161"/>
      <c r="D431" s="170"/>
      <c r="E431" s="171"/>
      <c r="F431" s="172"/>
      <c r="G431" s="172"/>
      <c r="H431" s="195"/>
    </row>
    <row r="432" spans="1:8" ht="15.75" customHeight="1">
      <c r="A432" s="173" t="s">
        <v>4366</v>
      </c>
      <c r="E432" s="99"/>
      <c r="F432" s="131"/>
      <c r="G432" s="131"/>
      <c r="H432" s="195"/>
    </row>
    <row r="433" spans="1:8" ht="11.25" customHeight="1">
      <c r="A433" s="93" t="s">
        <v>4445</v>
      </c>
      <c r="E433" s="99"/>
      <c r="F433" s="131"/>
      <c r="G433" s="131"/>
      <c r="H433" s="195"/>
    </row>
    <row r="434" spans="1:8" s="193" customFormat="1">
      <c r="B434" s="165"/>
      <c r="C434" s="165"/>
      <c r="D434" s="43"/>
      <c r="E434" s="194"/>
      <c r="F434" s="131"/>
      <c r="G434" s="131"/>
      <c r="H434" s="195"/>
    </row>
    <row r="435" spans="1:8" ht="15.75" customHeight="1">
      <c r="A435" s="113" t="s">
        <v>4918</v>
      </c>
      <c r="B435" s="42" t="s">
        <v>234</v>
      </c>
      <c r="C435" s="42" t="s">
        <v>506</v>
      </c>
      <c r="E435" s="174" t="s">
        <v>4066</v>
      </c>
      <c r="F435" s="175" t="s">
        <v>3673</v>
      </c>
      <c r="G435" s="175" t="s">
        <v>3676</v>
      </c>
      <c r="H435" s="195"/>
    </row>
    <row r="436" spans="1:8" s="193" customFormat="1">
      <c r="B436" s="165"/>
      <c r="C436" s="165"/>
      <c r="D436" s="43"/>
      <c r="E436" s="194"/>
      <c r="F436" s="131"/>
      <c r="G436" s="131"/>
      <c r="H436" s="195"/>
    </row>
    <row r="437" spans="1:8" ht="15.75">
      <c r="A437" s="113"/>
      <c r="E437" s="189" t="s">
        <v>8434</v>
      </c>
      <c r="F437" s="126"/>
      <c r="G437" s="126"/>
      <c r="H437" s="195"/>
    </row>
    <row r="438" spans="1:8" ht="15.75">
      <c r="A438" s="113">
        <v>1</v>
      </c>
      <c r="B438" s="42" t="s">
        <v>4546</v>
      </c>
      <c r="E438" s="87" t="s">
        <v>10525</v>
      </c>
      <c r="F438" s="126"/>
      <c r="G438" s="126">
        <v>10000000</v>
      </c>
      <c r="H438" s="195"/>
    </row>
    <row r="439" spans="1:8" s="193" customFormat="1">
      <c r="B439" s="165"/>
      <c r="C439" s="165"/>
      <c r="D439" s="43"/>
      <c r="E439" s="194"/>
      <c r="F439" s="131"/>
      <c r="G439" s="131"/>
      <c r="H439" s="195"/>
    </row>
    <row r="440" spans="1:8" ht="15.75" customHeight="1">
      <c r="A440" s="178"/>
      <c r="B440" s="162"/>
      <c r="C440" s="162"/>
      <c r="D440" s="179"/>
      <c r="E440" s="180" t="str">
        <f>""&amp;TEXT(A431,"0")&amp;" एकूण"</f>
        <v>यादी क्र. जे20 एकूण</v>
      </c>
      <c r="F440" s="181">
        <f>SUM(F437:F439)</f>
        <v>0</v>
      </c>
      <c r="G440" s="181">
        <f>SUM(G437:G439)</f>
        <v>10000000</v>
      </c>
      <c r="H440" s="195"/>
    </row>
    <row r="441" spans="1:8" ht="11.25" customHeight="1">
      <c r="A441" s="92"/>
      <c r="E441" s="99"/>
      <c r="F441" s="131"/>
      <c r="G441" s="131"/>
    </row>
    <row r="442" spans="1:8" ht="15.75" customHeight="1">
      <c r="A442" s="169" t="s">
        <v>4448</v>
      </c>
      <c r="B442" s="161"/>
      <c r="C442" s="161"/>
      <c r="D442" s="170"/>
      <c r="E442" s="171"/>
      <c r="F442" s="172"/>
      <c r="G442" s="172"/>
    </row>
    <row r="443" spans="1:8" ht="15.75" customHeight="1">
      <c r="A443" s="173" t="s">
        <v>4367</v>
      </c>
      <c r="E443" s="99"/>
      <c r="F443" s="131"/>
      <c r="G443" s="131"/>
    </row>
    <row r="444" spans="1:8" ht="11.25" customHeight="1">
      <c r="A444" s="93" t="s">
        <v>4449</v>
      </c>
      <c r="E444" s="99"/>
      <c r="F444" s="131"/>
      <c r="G444" s="131"/>
    </row>
    <row r="445" spans="1:8" ht="11.25" customHeight="1">
      <c r="A445" s="92"/>
      <c r="E445" s="99"/>
      <c r="F445" s="131"/>
      <c r="G445" s="131"/>
      <c r="H445" s="40"/>
    </row>
    <row r="446" spans="1:8" ht="15.75" customHeight="1">
      <c r="A446" s="113" t="s">
        <v>4918</v>
      </c>
      <c r="B446" s="42" t="s">
        <v>234</v>
      </c>
      <c r="C446" s="42" t="s">
        <v>506</v>
      </c>
      <c r="E446" s="174" t="s">
        <v>4066</v>
      </c>
      <c r="F446" s="175" t="s">
        <v>3673</v>
      </c>
      <c r="G446" s="175" t="s">
        <v>3676</v>
      </c>
      <c r="H446" s="40"/>
    </row>
    <row r="447" spans="1:8" ht="11.25" customHeight="1">
      <c r="A447" s="177"/>
      <c r="E447" s="99"/>
      <c r="F447" s="131"/>
      <c r="G447" s="131"/>
      <c r="H447" s="40"/>
    </row>
    <row r="448" spans="1:8" ht="15.75">
      <c r="A448" s="113"/>
      <c r="E448" s="189" t="s">
        <v>8434</v>
      </c>
      <c r="F448" s="126"/>
      <c r="G448" s="126"/>
      <c r="H448" s="40"/>
    </row>
    <row r="449" spans="1:8" ht="15.75">
      <c r="A449" s="113">
        <v>1</v>
      </c>
      <c r="B449" s="42" t="s">
        <v>5027</v>
      </c>
      <c r="E449" s="87" t="s">
        <v>8530</v>
      </c>
      <c r="F449" s="126"/>
      <c r="G449" s="126">
        <v>4250000</v>
      </c>
      <c r="H449" s="40"/>
    </row>
    <row r="450" spans="1:8" ht="15.75">
      <c r="A450" s="113">
        <v>2</v>
      </c>
      <c r="B450" s="42" t="s">
        <v>5028</v>
      </c>
      <c r="E450" s="87" t="s">
        <v>8531</v>
      </c>
      <c r="F450" s="126"/>
      <c r="G450" s="126">
        <v>2500000</v>
      </c>
    </row>
    <row r="451" spans="1:8" ht="15.75">
      <c r="A451" s="113">
        <v>3</v>
      </c>
      <c r="B451" s="42" t="s">
        <v>5029</v>
      </c>
      <c r="E451" s="87" t="s">
        <v>8532</v>
      </c>
      <c r="F451" s="126"/>
      <c r="G451" s="126">
        <v>4250000</v>
      </c>
    </row>
    <row r="452" spans="1:8" ht="15.75">
      <c r="A452" s="113">
        <v>4</v>
      </c>
      <c r="B452" s="42" t="s">
        <v>5030</v>
      </c>
      <c r="E452" s="87" t="s">
        <v>8533</v>
      </c>
      <c r="F452" s="126"/>
      <c r="G452" s="126">
        <v>4250000</v>
      </c>
    </row>
    <row r="453" spans="1:8" ht="15.75">
      <c r="A453" s="113">
        <v>5</v>
      </c>
      <c r="B453" s="42" t="s">
        <v>5031</v>
      </c>
      <c r="E453" s="87" t="s">
        <v>8534</v>
      </c>
      <c r="F453" s="126"/>
      <c r="G453" s="126">
        <v>4250000</v>
      </c>
    </row>
    <row r="454" spans="1:8" ht="31.5">
      <c r="A454" s="113">
        <v>6</v>
      </c>
      <c r="B454" s="42" t="s">
        <v>5331</v>
      </c>
      <c r="E454" s="79" t="s">
        <v>8535</v>
      </c>
      <c r="F454" s="126"/>
      <c r="G454" s="126">
        <v>2550000</v>
      </c>
    </row>
    <row r="455" spans="1:8" ht="15.75">
      <c r="A455" s="113">
        <v>7</v>
      </c>
      <c r="B455" s="42" t="s">
        <v>5344</v>
      </c>
      <c r="E455" s="87" t="s">
        <v>5156</v>
      </c>
      <c r="F455" s="126"/>
      <c r="G455" s="126">
        <v>850000</v>
      </c>
    </row>
    <row r="456" spans="1:8" ht="15.75">
      <c r="A456" s="113">
        <v>8</v>
      </c>
      <c r="B456" s="42" t="s">
        <v>5345</v>
      </c>
      <c r="E456" s="87" t="s">
        <v>8536</v>
      </c>
      <c r="F456" s="126"/>
      <c r="G456" s="126">
        <v>250000000</v>
      </c>
    </row>
    <row r="457" spans="1:8" ht="11.25" customHeight="1">
      <c r="A457" s="177"/>
      <c r="E457" s="99"/>
      <c r="F457" s="131"/>
      <c r="G457" s="131"/>
    </row>
    <row r="458" spans="1:8" ht="15.75" customHeight="1">
      <c r="A458" s="178"/>
      <c r="B458" s="162"/>
      <c r="C458" s="162"/>
      <c r="D458" s="179"/>
      <c r="E458" s="180" t="str">
        <f>""&amp;TEXT(A442,"0")&amp;" एकूण"</f>
        <v>यादी क्र. जे21 एकूण</v>
      </c>
      <c r="F458" s="181">
        <f>SUM(F448:F457)</f>
        <v>0</v>
      </c>
      <c r="G458" s="181">
        <f>SUM(G448:G457)</f>
        <v>272900000</v>
      </c>
    </row>
    <row r="459" spans="1:8" ht="11.25" customHeight="1">
      <c r="A459" s="92"/>
      <c r="E459" s="99"/>
      <c r="F459" s="131"/>
      <c r="G459" s="131"/>
    </row>
    <row r="460" spans="1:8" ht="15.75" customHeight="1">
      <c r="A460" s="169" t="s">
        <v>4496</v>
      </c>
      <c r="B460" s="161"/>
      <c r="C460" s="161"/>
      <c r="D460" s="170"/>
      <c r="E460" s="171"/>
      <c r="F460" s="172"/>
      <c r="G460" s="172"/>
    </row>
    <row r="461" spans="1:8" ht="15.75" customHeight="1">
      <c r="A461" s="173" t="s">
        <v>4495</v>
      </c>
      <c r="E461" s="99"/>
      <c r="F461" s="131"/>
      <c r="G461" s="131"/>
    </row>
    <row r="462" spans="1:8" ht="11.25" customHeight="1">
      <c r="A462" s="93" t="s">
        <v>5032</v>
      </c>
      <c r="E462" s="99"/>
      <c r="F462" s="131"/>
      <c r="G462" s="131"/>
    </row>
    <row r="463" spans="1:8" ht="11.25" customHeight="1">
      <c r="A463" s="92"/>
      <c r="E463" s="99"/>
      <c r="F463" s="131"/>
      <c r="G463" s="131"/>
    </row>
    <row r="464" spans="1:8" ht="15.75" customHeight="1">
      <c r="A464" s="113" t="s">
        <v>4918</v>
      </c>
      <c r="B464" s="42" t="s">
        <v>234</v>
      </c>
      <c r="C464" s="42" t="s">
        <v>506</v>
      </c>
      <c r="E464" s="174" t="s">
        <v>4066</v>
      </c>
      <c r="F464" s="175" t="s">
        <v>3673</v>
      </c>
      <c r="G464" s="175" t="s">
        <v>3676</v>
      </c>
    </row>
    <row r="465" spans="1:8" ht="11.25" customHeight="1">
      <c r="A465" s="177"/>
      <c r="E465" s="99"/>
      <c r="F465" s="131"/>
      <c r="G465" s="131"/>
    </row>
    <row r="466" spans="1:8" ht="15.75">
      <c r="A466" s="113">
        <v>1</v>
      </c>
      <c r="B466" s="42" t="s">
        <v>12932</v>
      </c>
      <c r="E466" s="79" t="s">
        <v>10539</v>
      </c>
      <c r="F466" s="126"/>
      <c r="G466" s="126">
        <v>10000000</v>
      </c>
    </row>
    <row r="467" spans="1:8" ht="15.75">
      <c r="A467" s="113"/>
      <c r="E467" s="87"/>
      <c r="F467" s="126"/>
      <c r="G467" s="126"/>
    </row>
    <row r="468" spans="1:8" ht="15.75">
      <c r="A468" s="113"/>
      <c r="E468" s="189" t="s">
        <v>8434</v>
      </c>
      <c r="F468" s="126"/>
      <c r="G468" s="126"/>
      <c r="H468" s="40"/>
    </row>
    <row r="469" spans="1:8" ht="47.25">
      <c r="A469" s="113">
        <v>2</v>
      </c>
      <c r="B469" s="42" t="s">
        <v>5033</v>
      </c>
      <c r="E469" s="79" t="s">
        <v>8537</v>
      </c>
      <c r="F469" s="126"/>
      <c r="G469" s="126">
        <v>4250000</v>
      </c>
      <c r="H469" s="40"/>
    </row>
    <row r="470" spans="1:8" ht="47.25">
      <c r="A470" s="113">
        <v>3</v>
      </c>
      <c r="B470" s="42" t="s">
        <v>5034</v>
      </c>
      <c r="E470" s="79" t="s">
        <v>8538</v>
      </c>
      <c r="F470" s="126"/>
      <c r="G470" s="126">
        <v>4250000</v>
      </c>
      <c r="H470" s="40"/>
    </row>
    <row r="471" spans="1:8" ht="47.25">
      <c r="A471" s="113">
        <v>4</v>
      </c>
      <c r="B471" s="42" t="s">
        <v>5035</v>
      </c>
      <c r="E471" s="79" t="s">
        <v>8539</v>
      </c>
      <c r="F471" s="126"/>
      <c r="G471" s="126">
        <v>4250000</v>
      </c>
      <c r="H471" s="40"/>
    </row>
    <row r="472" spans="1:8" ht="47.25">
      <c r="A472" s="113">
        <v>5</v>
      </c>
      <c r="B472" s="42" t="s">
        <v>5036</v>
      </c>
      <c r="E472" s="79" t="s">
        <v>8540</v>
      </c>
      <c r="F472" s="126"/>
      <c r="G472" s="126">
        <v>4250000</v>
      </c>
      <c r="H472" s="40"/>
    </row>
    <row r="473" spans="1:8" ht="15.75">
      <c r="A473" s="113">
        <v>6</v>
      </c>
      <c r="B473" s="42" t="s">
        <v>4555</v>
      </c>
      <c r="E473" s="87" t="s">
        <v>4556</v>
      </c>
      <c r="F473" s="126"/>
      <c r="G473" s="126">
        <v>850000</v>
      </c>
      <c r="H473" s="40"/>
    </row>
    <row r="474" spans="1:8" ht="11.25" customHeight="1">
      <c r="A474" s="177"/>
      <c r="E474" s="99"/>
      <c r="F474" s="131"/>
      <c r="G474" s="131"/>
      <c r="H474" s="40"/>
    </row>
    <row r="475" spans="1:8" ht="15.75" customHeight="1">
      <c r="A475" s="178"/>
      <c r="B475" s="162"/>
      <c r="C475" s="162"/>
      <c r="D475" s="179"/>
      <c r="E475" s="180" t="str">
        <f>""&amp;TEXT(A460,"0")&amp;" एकूण"</f>
        <v>यादी क्र. जे33 एकूण</v>
      </c>
      <c r="F475" s="181">
        <f t="shared" ref="F475:G475" si="15">SUM(F466:F474)</f>
        <v>0</v>
      </c>
      <c r="G475" s="181">
        <f t="shared" si="15"/>
        <v>27850000</v>
      </c>
      <c r="H475" s="40"/>
    </row>
    <row r="476" spans="1:8" s="190" customFormat="1">
      <c r="B476" s="164"/>
      <c r="C476" s="164"/>
      <c r="D476" s="191"/>
      <c r="E476" s="197"/>
      <c r="F476" s="131"/>
      <c r="G476" s="131"/>
      <c r="H476" s="192"/>
    </row>
    <row r="477" spans="1:8" ht="15.75" customHeight="1">
      <c r="A477" s="169" t="s">
        <v>4451</v>
      </c>
      <c r="B477" s="161"/>
      <c r="C477" s="161"/>
      <c r="D477" s="170"/>
      <c r="E477" s="171"/>
      <c r="F477" s="172"/>
      <c r="G477" s="172"/>
    </row>
    <row r="478" spans="1:8" ht="15.75" customHeight="1">
      <c r="A478" s="173" t="s">
        <v>4370</v>
      </c>
      <c r="E478" s="99"/>
      <c r="F478" s="131"/>
      <c r="G478" s="131"/>
    </row>
    <row r="479" spans="1:8" ht="11.25" customHeight="1">
      <c r="A479" s="93" t="s">
        <v>5037</v>
      </c>
      <c r="E479" s="99"/>
      <c r="F479" s="131"/>
      <c r="G479" s="131"/>
    </row>
    <row r="480" spans="1:8" s="190" customFormat="1">
      <c r="B480" s="164"/>
      <c r="C480" s="164"/>
      <c r="D480" s="191"/>
      <c r="E480" s="197"/>
      <c r="F480" s="131"/>
      <c r="G480" s="131"/>
      <c r="H480" s="192"/>
    </row>
    <row r="481" spans="1:8" ht="15.75" customHeight="1">
      <c r="A481" s="113" t="s">
        <v>4918</v>
      </c>
      <c r="B481" s="42" t="s">
        <v>234</v>
      </c>
      <c r="C481" s="42" t="s">
        <v>506</v>
      </c>
      <c r="E481" s="174" t="s">
        <v>4066</v>
      </c>
      <c r="F481" s="175" t="s">
        <v>3673</v>
      </c>
      <c r="G481" s="175" t="s">
        <v>3676</v>
      </c>
    </row>
    <row r="482" spans="1:8" s="190" customFormat="1">
      <c r="B482" s="164"/>
      <c r="C482" s="164"/>
      <c r="D482" s="191"/>
      <c r="E482" s="197"/>
      <c r="F482" s="131"/>
      <c r="G482" s="131"/>
      <c r="H482" s="192"/>
    </row>
    <row r="483" spans="1:8" ht="31.5">
      <c r="A483" s="113">
        <v>1</v>
      </c>
      <c r="B483" s="42" t="s">
        <v>12933</v>
      </c>
      <c r="E483" s="79" t="s">
        <v>10552</v>
      </c>
      <c r="F483" s="126"/>
      <c r="G483" s="126">
        <v>9000000</v>
      </c>
    </row>
    <row r="484" spans="1:8" s="190" customFormat="1">
      <c r="A484" s="198"/>
      <c r="B484" s="164"/>
      <c r="C484" s="164"/>
      <c r="D484" s="191"/>
      <c r="E484" s="100"/>
      <c r="F484" s="126"/>
      <c r="G484" s="126"/>
      <c r="H484" s="192"/>
    </row>
    <row r="485" spans="1:8" ht="15.75">
      <c r="A485" s="113"/>
      <c r="E485" s="189" t="s">
        <v>8434</v>
      </c>
      <c r="F485" s="126"/>
      <c r="G485" s="126"/>
    </row>
    <row r="486" spans="1:8" ht="31.5">
      <c r="A486" s="113">
        <v>2</v>
      </c>
      <c r="B486" s="42" t="s">
        <v>5038</v>
      </c>
      <c r="E486" s="79" t="s">
        <v>8541</v>
      </c>
      <c r="F486" s="126"/>
      <c r="G486" s="126">
        <v>22500000</v>
      </c>
    </row>
    <row r="487" spans="1:8" ht="47.25">
      <c r="A487" s="113">
        <v>3</v>
      </c>
      <c r="B487" s="42" t="s">
        <v>1871</v>
      </c>
      <c r="E487" s="79" t="s">
        <v>8542</v>
      </c>
      <c r="F487" s="126"/>
      <c r="G487" s="126">
        <v>3400000</v>
      </c>
    </row>
    <row r="488" spans="1:8" ht="15.75">
      <c r="A488" s="113">
        <v>4</v>
      </c>
      <c r="B488" s="42" t="s">
        <v>1875</v>
      </c>
      <c r="E488" s="87" t="s">
        <v>8543</v>
      </c>
      <c r="F488" s="126"/>
      <c r="G488" s="126">
        <v>5000000</v>
      </c>
    </row>
    <row r="489" spans="1:8" ht="15.75">
      <c r="A489" s="113">
        <v>5</v>
      </c>
      <c r="B489" s="42" t="s">
        <v>5346</v>
      </c>
      <c r="E489" s="87" t="s">
        <v>8544</v>
      </c>
      <c r="F489" s="126"/>
      <c r="G489" s="126">
        <v>8500000</v>
      </c>
    </row>
    <row r="490" spans="1:8" ht="15.75">
      <c r="A490" s="113">
        <v>6</v>
      </c>
      <c r="B490" s="42" t="s">
        <v>10579</v>
      </c>
      <c r="E490" s="87" t="s">
        <v>10580</v>
      </c>
      <c r="F490" s="126"/>
      <c r="G490" s="126">
        <v>7500000</v>
      </c>
    </row>
    <row r="491" spans="1:8" ht="15.75" customHeight="1">
      <c r="A491" s="178"/>
      <c r="B491" s="162"/>
      <c r="C491" s="162"/>
      <c r="D491" s="179"/>
      <c r="E491" s="180" t="str">
        <f>""&amp;TEXT(A477,"0")&amp;" एकूण"</f>
        <v>यादी क्र. जे24 एकूण</v>
      </c>
      <c r="F491" s="181">
        <f>SUM(F483:F490)</f>
        <v>0</v>
      </c>
      <c r="G491" s="181">
        <f>SUM(G483:G490)</f>
        <v>55900000</v>
      </c>
    </row>
    <row r="492" spans="1:8" ht="15.75">
      <c r="A492" s="169" t="s">
        <v>4935</v>
      </c>
      <c r="E492" s="99"/>
      <c r="F492" s="131"/>
      <c r="G492" s="131"/>
      <c r="H492" s="40"/>
    </row>
    <row r="493" spans="1:8" ht="15.75">
      <c r="A493" s="173" t="s">
        <v>4373</v>
      </c>
      <c r="E493" s="99"/>
      <c r="F493" s="131"/>
      <c r="G493" s="131"/>
      <c r="H493" s="40"/>
    </row>
    <row r="494" spans="1:8" ht="12">
      <c r="A494" s="93" t="s">
        <v>700</v>
      </c>
      <c r="E494" s="99"/>
      <c r="F494" s="131"/>
      <c r="G494" s="131"/>
      <c r="H494" s="40"/>
    </row>
    <row r="495" spans="1:8" ht="12">
      <c r="A495" s="92"/>
      <c r="E495" s="99"/>
      <c r="F495" s="131"/>
      <c r="G495" s="131"/>
      <c r="H495" s="40"/>
    </row>
    <row r="496" spans="1:8" ht="15.75" customHeight="1">
      <c r="A496" s="113" t="s">
        <v>4918</v>
      </c>
      <c r="B496" s="42" t="s">
        <v>234</v>
      </c>
      <c r="C496" s="42" t="s">
        <v>506</v>
      </c>
      <c r="E496" s="174" t="s">
        <v>4066</v>
      </c>
      <c r="F496" s="175" t="s">
        <v>3673</v>
      </c>
      <c r="G496" s="175" t="s">
        <v>3676</v>
      </c>
      <c r="H496" s="40"/>
    </row>
    <row r="497" spans="1:8" ht="12">
      <c r="A497" s="92"/>
      <c r="E497" s="99"/>
      <c r="F497" s="131"/>
      <c r="G497" s="131"/>
      <c r="H497" s="40"/>
    </row>
    <row r="498" spans="1:8" ht="15.75">
      <c r="A498" s="113"/>
      <c r="E498" s="189" t="s">
        <v>8434</v>
      </c>
      <c r="F498" s="126"/>
      <c r="G498" s="126"/>
      <c r="H498" s="40"/>
    </row>
    <row r="499" spans="1:8" ht="15.75">
      <c r="A499" s="113">
        <v>1</v>
      </c>
      <c r="B499" s="42" t="s">
        <v>5039</v>
      </c>
      <c r="E499" s="87" t="s">
        <v>8545</v>
      </c>
      <c r="F499" s="126"/>
      <c r="G499" s="126">
        <v>6000000</v>
      </c>
      <c r="H499" s="40"/>
    </row>
    <row r="500" spans="1:8" ht="15.75">
      <c r="A500" s="113">
        <v>2</v>
      </c>
      <c r="B500" s="42" t="s">
        <v>4557</v>
      </c>
      <c r="E500" s="87" t="s">
        <v>3578</v>
      </c>
      <c r="F500" s="126"/>
      <c r="G500" s="126">
        <v>1700000</v>
      </c>
      <c r="H500" s="40"/>
    </row>
    <row r="501" spans="1:8" ht="15.75">
      <c r="A501" s="113">
        <v>3</v>
      </c>
      <c r="B501" s="42" t="s">
        <v>4558</v>
      </c>
      <c r="E501" s="87" t="s">
        <v>8546</v>
      </c>
      <c r="F501" s="126"/>
      <c r="G501" s="126">
        <v>1700000</v>
      </c>
      <c r="H501" s="40"/>
    </row>
    <row r="502" spans="1:8" ht="31.5">
      <c r="A502" s="113">
        <v>4</v>
      </c>
      <c r="B502" s="42" t="s">
        <v>1876</v>
      </c>
      <c r="E502" s="79" t="s">
        <v>8547</v>
      </c>
      <c r="F502" s="126"/>
      <c r="G502" s="126">
        <v>12500000</v>
      </c>
      <c r="H502" s="40"/>
    </row>
    <row r="503" spans="1:8" ht="47.25">
      <c r="A503" s="113">
        <v>5</v>
      </c>
      <c r="B503" s="42" t="s">
        <v>1877</v>
      </c>
      <c r="E503" s="79" t="s">
        <v>8548</v>
      </c>
      <c r="F503" s="126"/>
      <c r="G503" s="126">
        <v>40000000</v>
      </c>
      <c r="H503" s="40"/>
    </row>
    <row r="504" spans="1:8" ht="15.75">
      <c r="A504" s="113">
        <v>6</v>
      </c>
      <c r="B504" s="42" t="s">
        <v>4559</v>
      </c>
      <c r="E504" s="79" t="s">
        <v>8549</v>
      </c>
      <c r="F504" s="126"/>
      <c r="G504" s="126">
        <v>100000000</v>
      </c>
      <c r="H504" s="40"/>
    </row>
    <row r="505" spans="1:8" ht="15.75">
      <c r="A505" s="113">
        <v>7</v>
      </c>
      <c r="B505" s="42" t="s">
        <v>4560</v>
      </c>
      <c r="E505" s="87" t="s">
        <v>8550</v>
      </c>
      <c r="F505" s="126"/>
      <c r="G505" s="126">
        <v>25500000</v>
      </c>
      <c r="H505" s="40"/>
    </row>
    <row r="506" spans="1:8" ht="15.75">
      <c r="A506" s="113">
        <v>8</v>
      </c>
      <c r="B506" s="42" t="s">
        <v>5347</v>
      </c>
      <c r="E506" s="87" t="s">
        <v>8551</v>
      </c>
      <c r="F506" s="126"/>
      <c r="G506" s="126">
        <v>10000000</v>
      </c>
      <c r="H506" s="40"/>
    </row>
    <row r="507" spans="1:8" ht="15.75">
      <c r="A507" s="113">
        <v>9</v>
      </c>
      <c r="B507" s="42" t="s">
        <v>5348</v>
      </c>
      <c r="E507" s="87" t="s">
        <v>8554</v>
      </c>
      <c r="F507" s="126"/>
      <c r="G507" s="126">
        <v>4200000</v>
      </c>
      <c r="H507" s="40"/>
    </row>
    <row r="508" spans="1:8" ht="15.75">
      <c r="A508" s="113">
        <v>10</v>
      </c>
      <c r="B508" s="42" t="s">
        <v>5349</v>
      </c>
      <c r="E508" s="87" t="s">
        <v>8552</v>
      </c>
      <c r="F508" s="126"/>
      <c r="G508" s="126">
        <v>6375000</v>
      </c>
      <c r="H508" s="40"/>
    </row>
    <row r="509" spans="1:8" ht="15.75">
      <c r="A509" s="113">
        <v>11</v>
      </c>
      <c r="B509" s="42" t="s">
        <v>5350</v>
      </c>
      <c r="E509" s="87" t="s">
        <v>8553</v>
      </c>
      <c r="F509" s="126"/>
      <c r="G509" s="126">
        <v>4250000</v>
      </c>
      <c r="H509" s="40"/>
    </row>
    <row r="510" spans="1:8" ht="15.75">
      <c r="A510" s="113">
        <v>12</v>
      </c>
      <c r="B510" s="42" t="s">
        <v>5351</v>
      </c>
      <c r="E510" s="87" t="s">
        <v>8555</v>
      </c>
      <c r="F510" s="126"/>
      <c r="G510" s="126">
        <v>6375000</v>
      </c>
      <c r="H510" s="40"/>
    </row>
    <row r="511" spans="1:8" ht="15.75">
      <c r="A511" s="113">
        <v>13</v>
      </c>
      <c r="B511" s="42" t="s">
        <v>4565</v>
      </c>
      <c r="E511" s="87" t="s">
        <v>8559</v>
      </c>
      <c r="F511" s="126"/>
      <c r="G511" s="126">
        <v>850000</v>
      </c>
    </row>
    <row r="512" spans="1:8" ht="12">
      <c r="A512" s="92"/>
      <c r="E512" s="99"/>
      <c r="F512" s="131"/>
      <c r="G512" s="131"/>
      <c r="H512" s="40"/>
    </row>
    <row r="513" spans="1:8" ht="15.75">
      <c r="A513" s="178"/>
      <c r="B513" s="162"/>
      <c r="C513" s="162"/>
      <c r="D513" s="179"/>
      <c r="E513" s="180" t="str">
        <f>""&amp;TEXT(A492,"0")&amp;" एकूण"</f>
        <v>यादी क्र. जे१६ एकूण</v>
      </c>
      <c r="F513" s="181">
        <f>SUM(F498:F512)</f>
        <v>0</v>
      </c>
      <c r="G513" s="181">
        <f>SUM(G498:G512)</f>
        <v>219450000</v>
      </c>
      <c r="H513" s="40"/>
    </row>
    <row r="514" spans="1:8" ht="11.25" customHeight="1">
      <c r="A514" s="92"/>
      <c r="E514" s="99"/>
      <c r="F514" s="131"/>
      <c r="G514" s="131"/>
      <c r="H514" s="40"/>
    </row>
    <row r="515" spans="1:8" ht="11.25" customHeight="1">
      <c r="A515" s="92"/>
      <c r="E515" s="99"/>
      <c r="F515" s="131"/>
      <c r="G515" s="131"/>
    </row>
    <row r="516" spans="1:8" ht="15.75" customHeight="1">
      <c r="A516" s="169" t="s">
        <v>4453</v>
      </c>
      <c r="B516" s="161"/>
      <c r="C516" s="161"/>
      <c r="D516" s="170"/>
      <c r="E516" s="171"/>
      <c r="F516" s="172"/>
      <c r="G516" s="172"/>
    </row>
    <row r="517" spans="1:8" ht="15.75" customHeight="1">
      <c r="A517" s="173" t="s">
        <v>4371</v>
      </c>
      <c r="E517" s="99"/>
      <c r="F517" s="131"/>
      <c r="G517" s="131"/>
    </row>
    <row r="518" spans="1:8" ht="11.25" customHeight="1">
      <c r="A518" s="93" t="s">
        <v>5058</v>
      </c>
      <c r="E518" s="99"/>
      <c r="F518" s="131"/>
      <c r="G518" s="131"/>
    </row>
    <row r="519" spans="1:8" ht="11.25" customHeight="1">
      <c r="A519" s="92"/>
      <c r="E519" s="99"/>
      <c r="F519" s="131"/>
      <c r="G519" s="131"/>
    </row>
    <row r="520" spans="1:8" ht="15.75" customHeight="1">
      <c r="A520" s="113" t="s">
        <v>4918</v>
      </c>
      <c r="B520" s="42" t="s">
        <v>234</v>
      </c>
      <c r="C520" s="42" t="s">
        <v>506</v>
      </c>
      <c r="E520" s="174" t="s">
        <v>4066</v>
      </c>
      <c r="F520" s="175" t="s">
        <v>3673</v>
      </c>
      <c r="G520" s="175" t="s">
        <v>3676</v>
      </c>
    </row>
    <row r="521" spans="1:8" ht="11.25" customHeight="1">
      <c r="A521" s="177"/>
      <c r="E521" s="99"/>
      <c r="F521" s="131"/>
      <c r="G521" s="131"/>
    </row>
    <row r="522" spans="1:8" ht="15.75">
      <c r="A522" s="113"/>
      <c r="E522" s="189" t="s">
        <v>8434</v>
      </c>
      <c r="F522" s="126"/>
      <c r="G522" s="126"/>
    </row>
    <row r="523" spans="1:8" ht="15.75">
      <c r="A523" s="113">
        <v>1</v>
      </c>
      <c r="B523" s="42" t="s">
        <v>4561</v>
      </c>
      <c r="E523" s="87" t="s">
        <v>4562</v>
      </c>
      <c r="F523" s="126"/>
      <c r="G523" s="126">
        <v>2500000</v>
      </c>
    </row>
    <row r="524" spans="1:8" ht="11.25" customHeight="1">
      <c r="A524" s="177"/>
      <c r="E524" s="99"/>
      <c r="F524" s="131"/>
      <c r="G524" s="131"/>
    </row>
    <row r="525" spans="1:8" ht="15.75" customHeight="1">
      <c r="A525" s="178"/>
      <c r="B525" s="162"/>
      <c r="C525" s="162"/>
      <c r="D525" s="179"/>
      <c r="E525" s="180" t="str">
        <f>""&amp;TEXT(A516,"0")&amp;" एकूण"</f>
        <v>यादी क्र. जे25 एकूण</v>
      </c>
      <c r="F525" s="181">
        <f>SUM(F522:F524)</f>
        <v>0</v>
      </c>
      <c r="G525" s="181">
        <f>SUM(G522:G524)</f>
        <v>2500000</v>
      </c>
    </row>
    <row r="526" spans="1:8" ht="11.25" customHeight="1">
      <c r="A526" s="92"/>
      <c r="E526" s="99"/>
      <c r="F526" s="131"/>
      <c r="G526" s="131"/>
    </row>
    <row r="527" spans="1:8" ht="11.25" customHeight="1">
      <c r="A527" s="92"/>
      <c r="E527" s="99"/>
      <c r="F527" s="131"/>
      <c r="G527" s="131"/>
    </row>
    <row r="528" spans="1:8" ht="15.75" customHeight="1">
      <c r="A528" s="169" t="s">
        <v>4454</v>
      </c>
      <c r="B528" s="161"/>
      <c r="C528" s="161"/>
      <c r="D528" s="170"/>
      <c r="E528" s="171"/>
      <c r="F528" s="172"/>
      <c r="G528" s="172"/>
    </row>
    <row r="529" spans="1:7" ht="15.75" customHeight="1">
      <c r="A529" s="173" t="s">
        <v>4372</v>
      </c>
      <c r="E529" s="99"/>
      <c r="F529" s="131"/>
      <c r="G529" s="131"/>
    </row>
    <row r="530" spans="1:7" ht="11.25" customHeight="1">
      <c r="A530" s="93" t="s">
        <v>5239</v>
      </c>
      <c r="E530" s="99"/>
      <c r="F530" s="131"/>
      <c r="G530" s="131"/>
    </row>
    <row r="531" spans="1:7" ht="11.25" customHeight="1">
      <c r="A531" s="92"/>
      <c r="E531" s="99"/>
      <c r="F531" s="131"/>
      <c r="G531" s="131"/>
    </row>
    <row r="532" spans="1:7" ht="15.75" customHeight="1">
      <c r="A532" s="113" t="s">
        <v>4918</v>
      </c>
      <c r="B532" s="42" t="s">
        <v>234</v>
      </c>
      <c r="C532" s="42" t="s">
        <v>506</v>
      </c>
      <c r="E532" s="174" t="s">
        <v>4066</v>
      </c>
      <c r="F532" s="175" t="s">
        <v>3673</v>
      </c>
      <c r="G532" s="175" t="s">
        <v>3676</v>
      </c>
    </row>
    <row r="533" spans="1:7" ht="11.25" customHeight="1">
      <c r="A533" s="177"/>
      <c r="E533" s="99"/>
      <c r="F533" s="131"/>
      <c r="G533" s="131"/>
    </row>
    <row r="534" spans="1:7" ht="15.75">
      <c r="A534" s="113"/>
      <c r="E534" s="189" t="s">
        <v>8434</v>
      </c>
      <c r="F534" s="126"/>
      <c r="G534" s="126"/>
    </row>
    <row r="535" spans="1:7" ht="15.75">
      <c r="A535" s="113">
        <v>1</v>
      </c>
      <c r="B535" s="42" t="s">
        <v>4563</v>
      </c>
      <c r="E535" s="87" t="s">
        <v>8556</v>
      </c>
      <c r="F535" s="126"/>
      <c r="G535" s="126">
        <v>4250000</v>
      </c>
    </row>
    <row r="536" spans="1:7" ht="15.75">
      <c r="A536" s="113">
        <v>2</v>
      </c>
      <c r="B536" s="42" t="s">
        <v>4564</v>
      </c>
      <c r="E536" s="87" t="s">
        <v>8557</v>
      </c>
      <c r="F536" s="126"/>
      <c r="G536" s="126">
        <v>850000</v>
      </c>
    </row>
    <row r="537" spans="1:7" ht="15.75">
      <c r="A537" s="113">
        <v>3</v>
      </c>
      <c r="B537" s="42" t="s">
        <v>4763</v>
      </c>
      <c r="E537" s="87" t="s">
        <v>3581</v>
      </c>
      <c r="F537" s="126"/>
      <c r="G537" s="126">
        <v>4250000</v>
      </c>
    </row>
    <row r="538" spans="1:7" ht="15.75">
      <c r="A538" s="113">
        <v>4</v>
      </c>
      <c r="B538" s="42" t="s">
        <v>5352</v>
      </c>
      <c r="E538" s="87" t="s">
        <v>8558</v>
      </c>
      <c r="F538" s="126"/>
      <c r="G538" s="126">
        <v>850000</v>
      </c>
    </row>
    <row r="539" spans="1:7" ht="11.25" customHeight="1">
      <c r="A539" s="177"/>
      <c r="E539" s="99"/>
      <c r="F539" s="131"/>
      <c r="G539" s="131"/>
    </row>
    <row r="540" spans="1:7" ht="15.75" customHeight="1">
      <c r="A540" s="178"/>
      <c r="B540" s="162"/>
      <c r="C540" s="162"/>
      <c r="D540" s="179"/>
      <c r="E540" s="180" t="str">
        <f>""&amp;TEXT(A528,"0")&amp;" एकूण"</f>
        <v>यादी क्र. जे26 एकूण</v>
      </c>
      <c r="F540" s="181">
        <f t="shared" ref="F540:G540" si="16">SUM(F534:F539)</f>
        <v>0</v>
      </c>
      <c r="G540" s="181">
        <f t="shared" si="16"/>
        <v>10200000</v>
      </c>
    </row>
    <row r="541" spans="1:7" ht="11.25" customHeight="1">
      <c r="A541" s="92"/>
      <c r="E541" s="99"/>
      <c r="F541" s="131"/>
      <c r="G541" s="131"/>
    </row>
    <row r="542" spans="1:7" ht="15.75" customHeight="1">
      <c r="A542" s="169" t="s">
        <v>4936</v>
      </c>
      <c r="E542" s="99"/>
      <c r="F542" s="131"/>
      <c r="G542" s="131"/>
    </row>
    <row r="543" spans="1:7" ht="15.75" customHeight="1">
      <c r="A543" s="173" t="s">
        <v>3647</v>
      </c>
      <c r="E543" s="99"/>
      <c r="F543" s="131"/>
      <c r="G543" s="131"/>
    </row>
    <row r="544" spans="1:7" ht="11.25" customHeight="1">
      <c r="A544" s="93" t="s">
        <v>702</v>
      </c>
      <c r="E544" s="99"/>
      <c r="F544" s="131"/>
      <c r="G544" s="131"/>
    </row>
    <row r="545" spans="1:7" ht="11.25" customHeight="1">
      <c r="A545" s="92"/>
      <c r="E545" s="99"/>
      <c r="F545" s="131"/>
      <c r="G545" s="131"/>
    </row>
    <row r="546" spans="1:7" ht="15.75" customHeight="1">
      <c r="A546" s="113" t="s">
        <v>4918</v>
      </c>
      <c r="B546" s="42" t="s">
        <v>234</v>
      </c>
      <c r="C546" s="42" t="s">
        <v>506</v>
      </c>
      <c r="E546" s="174" t="s">
        <v>4066</v>
      </c>
      <c r="F546" s="175" t="s">
        <v>3673</v>
      </c>
      <c r="G546" s="175" t="s">
        <v>3676</v>
      </c>
    </row>
    <row r="547" spans="1:7" ht="11.25" customHeight="1">
      <c r="A547" s="92"/>
      <c r="E547" s="99"/>
      <c r="F547" s="131"/>
      <c r="G547" s="131"/>
    </row>
    <row r="548" spans="1:7" ht="15.75">
      <c r="A548" s="113"/>
      <c r="E548" s="189" t="s">
        <v>8434</v>
      </c>
      <c r="F548" s="126"/>
      <c r="G548" s="126"/>
    </row>
    <row r="549" spans="1:7" ht="15.75">
      <c r="A549" s="113">
        <v>1</v>
      </c>
      <c r="B549" s="42" t="s">
        <v>4567</v>
      </c>
      <c r="E549" s="87" t="s">
        <v>8560</v>
      </c>
      <c r="F549" s="126"/>
      <c r="G549" s="126">
        <v>10200000</v>
      </c>
    </row>
    <row r="550" spans="1:7" ht="15.75">
      <c r="A550" s="113">
        <v>2</v>
      </c>
      <c r="B550" s="42" t="s">
        <v>5354</v>
      </c>
      <c r="E550" s="87" t="s">
        <v>8565</v>
      </c>
      <c r="F550" s="126"/>
      <c r="G550" s="126">
        <v>2125000</v>
      </c>
    </row>
    <row r="551" spans="1:7" ht="11.25" customHeight="1">
      <c r="A551" s="92"/>
      <c r="E551" s="99"/>
      <c r="F551" s="131"/>
      <c r="G551" s="131"/>
    </row>
    <row r="552" spans="1:7" ht="15.75" customHeight="1">
      <c r="A552" s="178"/>
      <c r="B552" s="162"/>
      <c r="C552" s="162"/>
      <c r="D552" s="179"/>
      <c r="E552" s="180" t="str">
        <f>""&amp;TEXT(A542,"0")&amp;" एकूण"</f>
        <v>यादी क्र. जे१४ एकूण</v>
      </c>
      <c r="F552" s="181">
        <f t="shared" ref="F552:G552" si="17">SUM(F548:F551)</f>
        <v>0</v>
      </c>
      <c r="G552" s="181">
        <f t="shared" si="17"/>
        <v>12325000</v>
      </c>
    </row>
    <row r="553" spans="1:7" ht="11.25" customHeight="1">
      <c r="A553" s="92"/>
      <c r="E553" s="99"/>
      <c r="F553" s="131"/>
      <c r="G553" s="131"/>
    </row>
    <row r="554" spans="1:7" ht="15.75" customHeight="1">
      <c r="A554" s="169" t="s">
        <v>4457</v>
      </c>
      <c r="B554" s="161"/>
      <c r="C554" s="161"/>
      <c r="D554" s="170"/>
      <c r="E554" s="171"/>
      <c r="F554" s="172"/>
      <c r="G554" s="172"/>
    </row>
    <row r="555" spans="1:7" ht="15.75" customHeight="1">
      <c r="A555" s="173" t="s">
        <v>4374</v>
      </c>
      <c r="E555" s="99"/>
      <c r="F555" s="131"/>
      <c r="G555" s="131"/>
    </row>
    <row r="556" spans="1:7" ht="11.25" customHeight="1">
      <c r="A556" s="93" t="s">
        <v>5108</v>
      </c>
      <c r="E556" s="99"/>
      <c r="F556" s="131"/>
      <c r="G556" s="131"/>
    </row>
    <row r="557" spans="1:7" ht="11.25" customHeight="1">
      <c r="A557" s="92"/>
      <c r="E557" s="99"/>
      <c r="F557" s="131"/>
      <c r="G557" s="131"/>
    </row>
    <row r="558" spans="1:7" ht="15.75" customHeight="1">
      <c r="A558" s="113" t="s">
        <v>4918</v>
      </c>
      <c r="B558" s="42" t="s">
        <v>234</v>
      </c>
      <c r="C558" s="42" t="s">
        <v>506</v>
      </c>
      <c r="E558" s="174" t="s">
        <v>4066</v>
      </c>
      <c r="F558" s="175" t="s">
        <v>3673</v>
      </c>
      <c r="G558" s="175" t="s">
        <v>3676</v>
      </c>
    </row>
    <row r="559" spans="1:7" ht="11.25" customHeight="1">
      <c r="A559" s="177"/>
      <c r="E559" s="99"/>
      <c r="F559" s="131"/>
      <c r="G559" s="131"/>
    </row>
    <row r="560" spans="1:7" ht="15.75">
      <c r="A560" s="113"/>
      <c r="E560" s="189" t="s">
        <v>8434</v>
      </c>
      <c r="F560" s="126"/>
      <c r="G560" s="126"/>
    </row>
    <row r="561" spans="1:8" ht="15.75">
      <c r="A561" s="113">
        <v>1</v>
      </c>
      <c r="B561" s="42" t="s">
        <v>4566</v>
      </c>
      <c r="E561" s="87" t="s">
        <v>3603</v>
      </c>
      <c r="F561" s="126"/>
      <c r="G561" s="126">
        <v>10000000</v>
      </c>
    </row>
    <row r="562" spans="1:8" ht="11.25" customHeight="1">
      <c r="A562" s="177"/>
      <c r="E562" s="99"/>
      <c r="F562" s="131"/>
      <c r="G562" s="131"/>
    </row>
    <row r="563" spans="1:8" ht="15.75" customHeight="1">
      <c r="A563" s="178"/>
      <c r="B563" s="162"/>
      <c r="C563" s="162"/>
      <c r="D563" s="179"/>
      <c r="E563" s="180" t="str">
        <f>""&amp;TEXT(A554,"0")&amp;" एकूण"</f>
        <v>यादी क्र. जे28 एकूण</v>
      </c>
      <c r="F563" s="181">
        <f t="shared" ref="F563:G563" si="18">SUM(F560:F562)</f>
        <v>0</v>
      </c>
      <c r="G563" s="181">
        <f t="shared" si="18"/>
        <v>10000000</v>
      </c>
    </row>
    <row r="564" spans="1:8" ht="11.25" customHeight="1">
      <c r="A564" s="92"/>
      <c r="E564" s="99"/>
      <c r="F564" s="131"/>
      <c r="G564" s="131"/>
    </row>
    <row r="565" spans="1:8" s="194" customFormat="1">
      <c r="B565" s="165"/>
      <c r="C565" s="165"/>
      <c r="D565" s="43"/>
      <c r="F565" s="199"/>
      <c r="G565" s="199"/>
      <c r="H565" s="200"/>
    </row>
    <row r="566" spans="1:8" ht="15.75" customHeight="1">
      <c r="A566" s="169" t="s">
        <v>4459</v>
      </c>
      <c r="B566" s="161"/>
      <c r="C566" s="161"/>
      <c r="D566" s="170"/>
      <c r="E566" s="171"/>
      <c r="F566" s="172"/>
      <c r="G566" s="172"/>
    </row>
    <row r="567" spans="1:8" ht="15.75" customHeight="1">
      <c r="A567" s="173" t="s">
        <v>4375</v>
      </c>
      <c r="E567" s="99"/>
      <c r="F567" s="131"/>
      <c r="G567" s="131"/>
    </row>
    <row r="568" spans="1:8" ht="11.25" customHeight="1">
      <c r="A568" s="93" t="s">
        <v>5107</v>
      </c>
      <c r="E568" s="99"/>
      <c r="F568" s="131"/>
      <c r="G568" s="131"/>
    </row>
    <row r="569" spans="1:8" s="201" customFormat="1" ht="11.25" customHeight="1">
      <c r="B569" s="166"/>
      <c r="C569" s="166"/>
      <c r="D569" s="202"/>
      <c r="E569" s="203"/>
      <c r="F569" s="131"/>
      <c r="G569" s="131"/>
      <c r="H569" s="204"/>
    </row>
    <row r="570" spans="1:8" ht="15.75" customHeight="1">
      <c r="A570" s="113" t="s">
        <v>4918</v>
      </c>
      <c r="B570" s="42" t="s">
        <v>234</v>
      </c>
      <c r="C570" s="42" t="s">
        <v>506</v>
      </c>
      <c r="E570" s="174" t="s">
        <v>4066</v>
      </c>
      <c r="F570" s="175" t="s">
        <v>3673</v>
      </c>
      <c r="G570" s="175" t="s">
        <v>3676</v>
      </c>
    </row>
    <row r="571" spans="1:8" s="209" customFormat="1" ht="11.25" customHeight="1">
      <c r="A571" s="205"/>
      <c r="B571" s="167"/>
      <c r="C571" s="167"/>
      <c r="D571" s="206"/>
      <c r="E571" s="207"/>
      <c r="F571" s="131"/>
      <c r="G571" s="131"/>
      <c r="H571" s="208"/>
    </row>
    <row r="572" spans="1:8" ht="15.75">
      <c r="A572" s="113"/>
      <c r="E572" s="189" t="s">
        <v>8434</v>
      </c>
      <c r="F572" s="126"/>
      <c r="G572" s="126"/>
    </row>
    <row r="573" spans="1:8" ht="47.25">
      <c r="A573" s="113">
        <v>1</v>
      </c>
      <c r="B573" s="42" t="s">
        <v>1878</v>
      </c>
      <c r="E573" s="79" t="s">
        <v>8561</v>
      </c>
      <c r="F573" s="126"/>
      <c r="G573" s="126">
        <v>8500000</v>
      </c>
    </row>
    <row r="574" spans="1:8" ht="15.75">
      <c r="A574" s="113">
        <v>2</v>
      </c>
      <c r="B574" s="42" t="s">
        <v>4568</v>
      </c>
      <c r="E574" s="87" t="s">
        <v>8562</v>
      </c>
      <c r="F574" s="126"/>
      <c r="G574" s="126">
        <v>10000000</v>
      </c>
    </row>
    <row r="575" spans="1:8" ht="31.5">
      <c r="A575" s="113">
        <v>3</v>
      </c>
      <c r="B575" s="42" t="s">
        <v>4569</v>
      </c>
      <c r="E575" s="79" t="s">
        <v>8563</v>
      </c>
      <c r="F575" s="126"/>
      <c r="G575" s="126">
        <v>4250000</v>
      </c>
    </row>
    <row r="576" spans="1:8" ht="15.75">
      <c r="A576" s="113">
        <v>4</v>
      </c>
      <c r="B576" s="42" t="s">
        <v>5353</v>
      </c>
      <c r="E576" s="87" t="s">
        <v>8564</v>
      </c>
      <c r="F576" s="126"/>
      <c r="G576" s="126">
        <v>2125000</v>
      </c>
    </row>
    <row r="577" spans="1:8" s="194" customFormat="1">
      <c r="B577" s="165"/>
      <c r="C577" s="165"/>
      <c r="D577" s="43"/>
      <c r="F577" s="199"/>
      <c r="G577" s="199"/>
      <c r="H577" s="200"/>
    </row>
    <row r="578" spans="1:8" ht="15.75" customHeight="1">
      <c r="A578" s="178"/>
      <c r="B578" s="162"/>
      <c r="C578" s="162"/>
      <c r="D578" s="179"/>
      <c r="E578" s="180" t="str">
        <f>""&amp;TEXT(A566,"0")&amp;" एकूण"</f>
        <v>यादी क्र. जे29 एकूण</v>
      </c>
      <c r="F578" s="181">
        <f t="shared" ref="F578:G578" si="19">SUM(F572:F577)</f>
        <v>0</v>
      </c>
      <c r="G578" s="181">
        <f t="shared" si="19"/>
        <v>24875000</v>
      </c>
    </row>
    <row r="579" spans="1:8" ht="11.25" customHeight="1">
      <c r="A579" s="92"/>
      <c r="E579" s="99"/>
      <c r="F579" s="131"/>
      <c r="G579" s="131"/>
    </row>
    <row r="580" spans="1:8" ht="11.25" customHeight="1">
      <c r="A580" s="92"/>
      <c r="E580" s="99"/>
      <c r="F580" s="131"/>
      <c r="G580" s="131"/>
    </row>
    <row r="581" spans="1:8" ht="15.75" customHeight="1">
      <c r="A581" s="169" t="s">
        <v>4461</v>
      </c>
      <c r="B581" s="161"/>
      <c r="C581" s="161"/>
      <c r="D581" s="170"/>
      <c r="E581" s="171"/>
      <c r="F581" s="172"/>
      <c r="G581" s="172"/>
    </row>
    <row r="582" spans="1:8" ht="15.75" customHeight="1">
      <c r="A582" s="173" t="s">
        <v>4376</v>
      </c>
      <c r="E582" s="99"/>
      <c r="F582" s="131"/>
      <c r="G582" s="131"/>
    </row>
    <row r="583" spans="1:8" ht="11.25" customHeight="1">
      <c r="A583" s="93" t="s">
        <v>5040</v>
      </c>
      <c r="E583" s="99"/>
      <c r="F583" s="131"/>
      <c r="G583" s="131"/>
    </row>
    <row r="584" spans="1:8" ht="11.25" customHeight="1">
      <c r="A584" s="92"/>
      <c r="E584" s="99"/>
      <c r="F584" s="131"/>
      <c r="G584" s="131"/>
    </row>
    <row r="585" spans="1:8" ht="15.75" customHeight="1">
      <c r="A585" s="113" t="s">
        <v>4918</v>
      </c>
      <c r="B585" s="42" t="s">
        <v>234</v>
      </c>
      <c r="C585" s="42" t="s">
        <v>506</v>
      </c>
      <c r="E585" s="174" t="s">
        <v>4066</v>
      </c>
      <c r="F585" s="175" t="s">
        <v>3673</v>
      </c>
      <c r="G585" s="175" t="s">
        <v>3676</v>
      </c>
    </row>
    <row r="586" spans="1:8" ht="11.25" customHeight="1">
      <c r="A586" s="177"/>
      <c r="E586" s="99"/>
      <c r="F586" s="131"/>
      <c r="G586" s="131"/>
    </row>
    <row r="587" spans="1:8" ht="15.75">
      <c r="A587" s="113"/>
      <c r="E587" s="189" t="s">
        <v>8434</v>
      </c>
      <c r="F587" s="126"/>
      <c r="G587" s="126"/>
    </row>
    <row r="588" spans="1:8" ht="15.75">
      <c r="A588" s="113">
        <v>1</v>
      </c>
      <c r="B588" s="42" t="s">
        <v>4570</v>
      </c>
      <c r="E588" s="87" t="s">
        <v>4571</v>
      </c>
      <c r="F588" s="126"/>
      <c r="G588" s="126">
        <v>7560000</v>
      </c>
    </row>
    <row r="589" spans="1:8" ht="11.25" customHeight="1">
      <c r="A589" s="177"/>
      <c r="E589" s="99"/>
      <c r="F589" s="131"/>
      <c r="G589" s="131"/>
    </row>
    <row r="590" spans="1:8" ht="15.75" customHeight="1">
      <c r="A590" s="178"/>
      <c r="B590" s="162"/>
      <c r="C590" s="162"/>
      <c r="D590" s="179"/>
      <c r="E590" s="180" t="str">
        <f>""&amp;TEXT(A581,"0")&amp;" एकूण"</f>
        <v>यादी क्र. जे30 एकूण</v>
      </c>
      <c r="F590" s="181">
        <f t="shared" ref="F590:G590" si="20">SUM(F587:F589)</f>
        <v>0</v>
      </c>
      <c r="G590" s="181">
        <f t="shared" si="20"/>
        <v>7560000</v>
      </c>
    </row>
    <row r="591" spans="1:8" ht="11.25" customHeight="1">
      <c r="A591" s="92"/>
      <c r="E591" s="99"/>
      <c r="F591" s="131"/>
      <c r="G591" s="131"/>
    </row>
    <row r="592" spans="1:8" ht="11.25" customHeight="1">
      <c r="A592" s="92"/>
      <c r="E592" s="99"/>
      <c r="F592" s="131"/>
      <c r="G592" s="131"/>
    </row>
    <row r="593" spans="1:8" ht="15.75" customHeight="1">
      <c r="A593" s="169" t="s">
        <v>4463</v>
      </c>
      <c r="B593" s="161"/>
      <c r="C593" s="161"/>
      <c r="D593" s="170"/>
      <c r="E593" s="171"/>
      <c r="F593" s="172"/>
      <c r="G593" s="172"/>
    </row>
    <row r="594" spans="1:8" ht="15.75" customHeight="1">
      <c r="A594" s="173" t="s">
        <v>4377</v>
      </c>
      <c r="E594" s="99"/>
      <c r="F594" s="131"/>
      <c r="G594" s="131"/>
    </row>
    <row r="595" spans="1:8" ht="11.25" customHeight="1">
      <c r="A595" s="93" t="s">
        <v>5041</v>
      </c>
      <c r="E595" s="99"/>
      <c r="F595" s="131"/>
      <c r="G595" s="131"/>
    </row>
    <row r="596" spans="1:8" ht="11.25" customHeight="1">
      <c r="A596" s="92"/>
      <c r="E596" s="99"/>
      <c r="F596" s="131"/>
      <c r="G596" s="131"/>
    </row>
    <row r="597" spans="1:8" ht="15.75" customHeight="1">
      <c r="A597" s="113" t="s">
        <v>4918</v>
      </c>
      <c r="B597" s="42" t="s">
        <v>234</v>
      </c>
      <c r="C597" s="42" t="s">
        <v>506</v>
      </c>
      <c r="E597" s="174" t="s">
        <v>4066</v>
      </c>
      <c r="F597" s="175" t="s">
        <v>3673</v>
      </c>
      <c r="G597" s="175" t="s">
        <v>3676</v>
      </c>
    </row>
    <row r="598" spans="1:8" ht="11.25" customHeight="1">
      <c r="A598" s="177"/>
      <c r="E598" s="99"/>
      <c r="F598" s="131"/>
      <c r="G598" s="131"/>
    </row>
    <row r="599" spans="1:8" ht="15.75">
      <c r="A599" s="113">
        <v>1</v>
      </c>
      <c r="B599" s="42" t="s">
        <v>12934</v>
      </c>
      <c r="E599" s="87" t="s">
        <v>10420</v>
      </c>
      <c r="F599" s="126"/>
      <c r="G599" s="126">
        <v>4000000</v>
      </c>
    </row>
    <row r="600" spans="1:8" ht="15.75">
      <c r="A600" s="113"/>
      <c r="E600" s="87"/>
      <c r="F600" s="126"/>
      <c r="G600" s="126"/>
    </row>
    <row r="601" spans="1:8" ht="15.75">
      <c r="A601" s="113"/>
      <c r="E601" s="189" t="s">
        <v>8434</v>
      </c>
      <c r="F601" s="126"/>
      <c r="G601" s="126"/>
    </row>
    <row r="602" spans="1:8" ht="15.75">
      <c r="A602" s="113">
        <v>2</v>
      </c>
      <c r="B602" s="42" t="s">
        <v>4572</v>
      </c>
      <c r="E602" s="87" t="s">
        <v>3480</v>
      </c>
      <c r="F602" s="126"/>
      <c r="G602" s="126">
        <v>10000000</v>
      </c>
    </row>
    <row r="603" spans="1:8" ht="11.25" customHeight="1">
      <c r="A603" s="177"/>
      <c r="E603" s="99"/>
      <c r="F603" s="131"/>
      <c r="G603" s="131"/>
    </row>
    <row r="604" spans="1:8" ht="15.75" customHeight="1">
      <c r="A604" s="178"/>
      <c r="B604" s="162"/>
      <c r="C604" s="162"/>
      <c r="D604" s="179"/>
      <c r="E604" s="180" t="str">
        <f>""&amp;TEXT(A593,"0")&amp;" एकूण"</f>
        <v>यादी क्र. जे31 एकूण</v>
      </c>
      <c r="F604" s="181">
        <f t="shared" ref="F604:G604" si="21">SUM(F599:F603)</f>
        <v>0</v>
      </c>
      <c r="G604" s="181">
        <f t="shared" si="21"/>
        <v>14000000</v>
      </c>
    </row>
    <row r="605" spans="1:8" ht="11.25" customHeight="1">
      <c r="A605" s="92"/>
      <c r="E605" s="99"/>
      <c r="F605" s="131"/>
      <c r="G605" s="131"/>
    </row>
    <row r="606" spans="1:8" ht="11.25" customHeight="1">
      <c r="A606" s="92"/>
      <c r="E606" s="99"/>
      <c r="F606" s="131"/>
      <c r="G606" s="131"/>
    </row>
    <row r="607" spans="1:8" ht="16.5">
      <c r="A607" s="185" t="s">
        <v>4937</v>
      </c>
      <c r="B607" s="163"/>
      <c r="C607" s="163"/>
      <c r="D607" s="186"/>
      <c r="E607" s="187"/>
      <c r="F607" s="188"/>
      <c r="G607" s="188"/>
    </row>
    <row r="608" spans="1:8" s="194" customFormat="1">
      <c r="B608" s="165"/>
      <c r="C608" s="165"/>
      <c r="D608" s="43"/>
      <c r="F608" s="199"/>
      <c r="G608" s="199"/>
      <c r="H608" s="200"/>
    </row>
    <row r="609" spans="1:8" ht="15.75">
      <c r="A609" s="169" t="s">
        <v>5094</v>
      </c>
      <c r="B609" s="161"/>
      <c r="C609" s="161"/>
      <c r="D609" s="170"/>
      <c r="E609" s="171"/>
      <c r="F609" s="172"/>
      <c r="G609" s="172"/>
    </row>
    <row r="610" spans="1:8" ht="15.75">
      <c r="A610" s="173" t="s">
        <v>4893</v>
      </c>
      <c r="E610" s="99"/>
      <c r="F610" s="131"/>
      <c r="G610" s="131"/>
    </row>
    <row r="611" spans="1:8" ht="12">
      <c r="A611" s="93" t="s">
        <v>1073</v>
      </c>
      <c r="E611" s="99"/>
      <c r="F611" s="131"/>
      <c r="G611" s="131"/>
    </row>
    <row r="612" spans="1:8" s="194" customFormat="1">
      <c r="B612" s="165"/>
      <c r="C612" s="165"/>
      <c r="D612" s="43"/>
      <c r="F612" s="199"/>
      <c r="G612" s="199"/>
      <c r="H612" s="200"/>
    </row>
    <row r="613" spans="1:8" ht="15.75" customHeight="1">
      <c r="A613" s="113" t="s">
        <v>4918</v>
      </c>
      <c r="B613" s="42" t="s">
        <v>234</v>
      </c>
      <c r="C613" s="42" t="s">
        <v>506</v>
      </c>
      <c r="E613" s="174" t="s">
        <v>4066</v>
      </c>
      <c r="F613" s="175" t="s">
        <v>3673</v>
      </c>
      <c r="G613" s="175" t="s">
        <v>3676</v>
      </c>
    </row>
    <row r="614" spans="1:8" s="194" customFormat="1">
      <c r="B614" s="165"/>
      <c r="C614" s="165"/>
      <c r="D614" s="43"/>
      <c r="F614" s="199"/>
      <c r="G614" s="199"/>
      <c r="H614" s="200"/>
    </row>
    <row r="615" spans="1:8" ht="15.75">
      <c r="A615" s="113">
        <v>1</v>
      </c>
      <c r="B615" s="42" t="s">
        <v>12935</v>
      </c>
      <c r="E615" s="87" t="s">
        <v>8503</v>
      </c>
      <c r="F615" s="126"/>
      <c r="G615" s="126">
        <v>10000000</v>
      </c>
    </row>
    <row r="616" spans="1:8" ht="15.75">
      <c r="A616" s="113">
        <v>2</v>
      </c>
      <c r="B616" s="42" t="s">
        <v>12936</v>
      </c>
      <c r="E616" s="87" t="s">
        <v>8502</v>
      </c>
      <c r="F616" s="126"/>
      <c r="G616" s="126">
        <v>5000000</v>
      </c>
    </row>
    <row r="617" spans="1:8" ht="15.75">
      <c r="A617" s="113">
        <v>3</v>
      </c>
      <c r="B617" s="42" t="s">
        <v>12937</v>
      </c>
      <c r="E617" s="87" t="s">
        <v>8504</v>
      </c>
      <c r="F617" s="126"/>
      <c r="G617" s="126">
        <v>2500000</v>
      </c>
    </row>
    <row r="618" spans="1:8" ht="31.5">
      <c r="A618" s="113">
        <v>4</v>
      </c>
      <c r="B618" s="42" t="s">
        <v>12938</v>
      </c>
      <c r="E618" s="79" t="s">
        <v>10498</v>
      </c>
      <c r="F618" s="126"/>
      <c r="G618" s="126">
        <v>5000000</v>
      </c>
    </row>
    <row r="619" spans="1:8" ht="15.75">
      <c r="A619" s="113">
        <v>5</v>
      </c>
      <c r="B619" s="42" t="s">
        <v>12939</v>
      </c>
      <c r="E619" s="87" t="s">
        <v>10499</v>
      </c>
      <c r="F619" s="126"/>
      <c r="G619" s="126">
        <v>5000000</v>
      </c>
    </row>
    <row r="620" spans="1:8" ht="15.75">
      <c r="A620" s="113">
        <v>6</v>
      </c>
      <c r="B620" s="42" t="s">
        <v>12940</v>
      </c>
      <c r="E620" s="87" t="s">
        <v>8505</v>
      </c>
      <c r="F620" s="126"/>
      <c r="G620" s="126">
        <v>2500000</v>
      </c>
    </row>
    <row r="621" spans="1:8" ht="15.75">
      <c r="A621" s="113">
        <v>7</v>
      </c>
      <c r="B621" s="42" t="s">
        <v>12941</v>
      </c>
      <c r="E621" s="87" t="s">
        <v>8506</v>
      </c>
      <c r="F621" s="126"/>
      <c r="G621" s="126">
        <v>2500000</v>
      </c>
    </row>
    <row r="622" spans="1:8" ht="15.75">
      <c r="A622" s="113">
        <v>8</v>
      </c>
      <c r="B622" s="42" t="s">
        <v>12942</v>
      </c>
      <c r="E622" s="87" t="s">
        <v>10496</v>
      </c>
      <c r="F622" s="126"/>
      <c r="G622" s="126">
        <v>4000000</v>
      </c>
    </row>
    <row r="623" spans="1:8" ht="15.75">
      <c r="A623" s="113">
        <v>9</v>
      </c>
      <c r="B623" s="42" t="s">
        <v>12943</v>
      </c>
      <c r="E623" s="87" t="s">
        <v>10500</v>
      </c>
      <c r="F623" s="126"/>
      <c r="G623" s="126">
        <v>3000000</v>
      </c>
    </row>
    <row r="624" spans="1:8" ht="15.75">
      <c r="A624" s="113">
        <v>10</v>
      </c>
      <c r="B624" s="42" t="s">
        <v>12944</v>
      </c>
      <c r="E624" s="87" t="s">
        <v>8507</v>
      </c>
      <c r="F624" s="126"/>
      <c r="G624" s="126">
        <v>2500000</v>
      </c>
    </row>
    <row r="625" spans="1:8" ht="15.75">
      <c r="A625" s="113">
        <v>11</v>
      </c>
      <c r="B625" s="42" t="s">
        <v>12945</v>
      </c>
      <c r="E625" s="87" t="s">
        <v>10497</v>
      </c>
      <c r="F625" s="126"/>
      <c r="G625" s="126">
        <v>50000000</v>
      </c>
    </row>
    <row r="626" spans="1:8" ht="31.5">
      <c r="A626" s="113">
        <v>12</v>
      </c>
      <c r="B626" s="42" t="s">
        <v>12946</v>
      </c>
      <c r="E626" s="79" t="s">
        <v>10516</v>
      </c>
      <c r="F626" s="126"/>
      <c r="G626" s="126">
        <v>7500000</v>
      </c>
    </row>
    <row r="627" spans="1:8" ht="31.5">
      <c r="A627" s="113">
        <v>13</v>
      </c>
      <c r="B627" s="42" t="s">
        <v>12947</v>
      </c>
      <c r="E627" s="79" t="s">
        <v>10501</v>
      </c>
      <c r="F627" s="126"/>
      <c r="G627" s="126">
        <v>7500000</v>
      </c>
      <c r="H627" s="40"/>
    </row>
    <row r="628" spans="1:8" ht="31.5">
      <c r="A628" s="113">
        <v>14</v>
      </c>
      <c r="B628" s="42" t="s">
        <v>12948</v>
      </c>
      <c r="E628" s="79" t="s">
        <v>10502</v>
      </c>
      <c r="F628" s="126"/>
      <c r="G628" s="126">
        <v>7500000</v>
      </c>
      <c r="H628" s="40"/>
    </row>
    <row r="629" spans="1:8" ht="31.5">
      <c r="A629" s="113">
        <v>15</v>
      </c>
      <c r="B629" s="42" t="s">
        <v>12949</v>
      </c>
      <c r="E629" s="79" t="s">
        <v>10503</v>
      </c>
      <c r="F629" s="126"/>
      <c r="G629" s="126">
        <v>7500000</v>
      </c>
      <c r="H629" s="40"/>
    </row>
    <row r="630" spans="1:8" ht="31.5">
      <c r="A630" s="113">
        <v>16</v>
      </c>
      <c r="B630" s="42" t="s">
        <v>12950</v>
      </c>
      <c r="E630" s="79" t="s">
        <v>10504</v>
      </c>
      <c r="F630" s="126"/>
      <c r="G630" s="126">
        <v>7500000</v>
      </c>
      <c r="H630" s="40"/>
    </row>
    <row r="631" spans="1:8" ht="31.5">
      <c r="A631" s="113">
        <v>17</v>
      </c>
      <c r="B631" s="42" t="s">
        <v>12951</v>
      </c>
      <c r="E631" s="79" t="s">
        <v>10505</v>
      </c>
      <c r="F631" s="126"/>
      <c r="G631" s="126">
        <v>7500000</v>
      </c>
      <c r="H631" s="40"/>
    </row>
    <row r="632" spans="1:8" ht="31.5">
      <c r="A632" s="113">
        <v>18</v>
      </c>
      <c r="B632" s="42" t="s">
        <v>12952</v>
      </c>
      <c r="E632" s="79" t="s">
        <v>10506</v>
      </c>
      <c r="F632" s="126"/>
      <c r="G632" s="126">
        <v>6000000</v>
      </c>
      <c r="H632" s="40"/>
    </row>
    <row r="633" spans="1:8" ht="31.5">
      <c r="A633" s="113">
        <v>19</v>
      </c>
      <c r="B633" s="42" t="s">
        <v>12953</v>
      </c>
      <c r="E633" s="79" t="s">
        <v>10507</v>
      </c>
      <c r="F633" s="126"/>
      <c r="G633" s="126">
        <v>3000000</v>
      </c>
      <c r="H633" s="40"/>
    </row>
    <row r="634" spans="1:8" ht="31.5">
      <c r="A634" s="113">
        <v>20</v>
      </c>
      <c r="B634" s="42" t="s">
        <v>12954</v>
      </c>
      <c r="E634" s="79" t="s">
        <v>10508</v>
      </c>
      <c r="F634" s="126"/>
      <c r="G634" s="126">
        <v>3000000</v>
      </c>
      <c r="H634" s="40"/>
    </row>
    <row r="635" spans="1:8" ht="31.5">
      <c r="A635" s="113">
        <v>21</v>
      </c>
      <c r="B635" s="42" t="s">
        <v>12955</v>
      </c>
      <c r="E635" s="79" t="s">
        <v>10509</v>
      </c>
      <c r="F635" s="126"/>
      <c r="G635" s="126">
        <v>7500000</v>
      </c>
      <c r="H635" s="40"/>
    </row>
    <row r="636" spans="1:8" ht="31.5">
      <c r="A636" s="113">
        <v>22</v>
      </c>
      <c r="B636" s="42" t="s">
        <v>12956</v>
      </c>
      <c r="E636" s="79" t="s">
        <v>10510</v>
      </c>
      <c r="F636" s="126"/>
      <c r="G636" s="126">
        <v>7500000</v>
      </c>
      <c r="H636" s="40"/>
    </row>
    <row r="637" spans="1:8" ht="31.5">
      <c r="A637" s="113">
        <v>23</v>
      </c>
      <c r="B637" s="42" t="s">
        <v>12957</v>
      </c>
      <c r="E637" s="79" t="s">
        <v>10511</v>
      </c>
      <c r="F637" s="126"/>
      <c r="G637" s="126">
        <v>7500000</v>
      </c>
      <c r="H637" s="40"/>
    </row>
    <row r="638" spans="1:8" ht="31.5">
      <c r="A638" s="113">
        <v>24</v>
      </c>
      <c r="B638" s="42" t="s">
        <v>12958</v>
      </c>
      <c r="E638" s="79" t="s">
        <v>10512</v>
      </c>
      <c r="F638" s="126"/>
      <c r="G638" s="126">
        <v>7500000</v>
      </c>
      <c r="H638" s="40"/>
    </row>
    <row r="639" spans="1:8" ht="31.5">
      <c r="A639" s="113">
        <v>25</v>
      </c>
      <c r="B639" s="42" t="s">
        <v>12959</v>
      </c>
      <c r="E639" s="79" t="s">
        <v>10513</v>
      </c>
      <c r="F639" s="126"/>
      <c r="G639" s="126">
        <v>7500000</v>
      </c>
      <c r="H639" s="40"/>
    </row>
    <row r="640" spans="1:8" ht="31.5">
      <c r="A640" s="113">
        <v>26</v>
      </c>
      <c r="B640" s="42" t="s">
        <v>12960</v>
      </c>
      <c r="E640" s="79" t="s">
        <v>10514</v>
      </c>
      <c r="F640" s="126"/>
      <c r="G640" s="126">
        <v>7500000</v>
      </c>
      <c r="H640" s="40"/>
    </row>
    <row r="641" spans="1:8" ht="15.75">
      <c r="A641" s="113">
        <v>27</v>
      </c>
      <c r="B641" s="42" t="s">
        <v>12961</v>
      </c>
      <c r="E641" s="79" t="s">
        <v>13052</v>
      </c>
      <c r="F641" s="126"/>
      <c r="G641" s="126">
        <v>6000000</v>
      </c>
      <c r="H641" s="40"/>
    </row>
    <row r="642" spans="1:8" ht="15.75">
      <c r="A642" s="113">
        <v>28</v>
      </c>
      <c r="B642" s="42" t="s">
        <v>12962</v>
      </c>
      <c r="E642" s="87" t="s">
        <v>10515</v>
      </c>
      <c r="F642" s="126"/>
      <c r="G642" s="126">
        <v>10000000</v>
      </c>
      <c r="H642" s="40"/>
    </row>
    <row r="643" spans="1:8" ht="15.75">
      <c r="A643" s="113">
        <v>29</v>
      </c>
      <c r="B643" s="42" t="s">
        <v>12963</v>
      </c>
      <c r="E643" s="87" t="s">
        <v>8508</v>
      </c>
      <c r="F643" s="126"/>
      <c r="G643" s="126">
        <v>8000000</v>
      </c>
      <c r="H643" s="40"/>
    </row>
    <row r="644" spans="1:8" ht="15.75">
      <c r="A644" s="113">
        <v>30</v>
      </c>
      <c r="B644" s="42" t="s">
        <v>12964</v>
      </c>
      <c r="E644" s="87" t="s">
        <v>8509</v>
      </c>
      <c r="F644" s="126"/>
      <c r="G644" s="126">
        <v>8000000</v>
      </c>
      <c r="H644" s="40"/>
    </row>
    <row r="645" spans="1:8" ht="15.75">
      <c r="A645" s="113">
        <v>31</v>
      </c>
      <c r="B645" s="42" t="s">
        <v>12965</v>
      </c>
      <c r="E645" s="87" t="s">
        <v>8510</v>
      </c>
      <c r="F645" s="126"/>
      <c r="G645" s="126">
        <v>8000000</v>
      </c>
      <c r="H645" s="40"/>
    </row>
    <row r="646" spans="1:8" ht="15.75">
      <c r="A646" s="113">
        <v>32</v>
      </c>
      <c r="B646" s="42" t="s">
        <v>13053</v>
      </c>
      <c r="E646" s="87" t="s">
        <v>8511</v>
      </c>
      <c r="F646" s="126"/>
      <c r="G646" s="126">
        <v>8000000</v>
      </c>
      <c r="H646" s="40"/>
    </row>
    <row r="647" spans="1:8" ht="15.75">
      <c r="A647" s="113"/>
      <c r="E647" s="87"/>
      <c r="F647" s="126"/>
      <c r="G647" s="126"/>
      <c r="H647" s="40"/>
    </row>
    <row r="648" spans="1:8" ht="15.75">
      <c r="A648" s="113"/>
      <c r="E648" s="189" t="s">
        <v>8434</v>
      </c>
      <c r="F648" s="126"/>
      <c r="G648" s="126"/>
      <c r="H648" s="40"/>
    </row>
    <row r="649" spans="1:8" ht="15.75">
      <c r="A649" s="113">
        <v>33</v>
      </c>
      <c r="B649" s="42" t="s">
        <v>4575</v>
      </c>
      <c r="E649" s="87" t="s">
        <v>4891</v>
      </c>
      <c r="F649" s="126"/>
      <c r="G649" s="126">
        <f>50000000-6000000</f>
        <v>44000000</v>
      </c>
      <c r="H649" s="40"/>
    </row>
    <row r="650" spans="1:8" ht="15.75">
      <c r="A650" s="113">
        <v>34</v>
      </c>
      <c r="B650" s="42" t="s">
        <v>4576</v>
      </c>
      <c r="E650" s="87" t="s">
        <v>3612</v>
      </c>
      <c r="F650" s="126"/>
      <c r="G650" s="126">
        <v>4000000</v>
      </c>
      <c r="H650" s="40"/>
    </row>
    <row r="651" spans="1:8" ht="31.5">
      <c r="A651" s="113">
        <v>35</v>
      </c>
      <c r="B651" s="42" t="s">
        <v>1874</v>
      </c>
      <c r="E651" s="79" t="s">
        <v>5062</v>
      </c>
      <c r="F651" s="126"/>
      <c r="G651" s="126">
        <v>3000000</v>
      </c>
      <c r="H651" s="40"/>
    </row>
    <row r="652" spans="1:8" ht="15.75">
      <c r="A652" s="113">
        <v>36</v>
      </c>
      <c r="B652" s="42" t="s">
        <v>4578</v>
      </c>
      <c r="E652" s="87" t="s">
        <v>3619</v>
      </c>
      <c r="F652" s="126"/>
      <c r="G652" s="126">
        <v>5000000</v>
      </c>
      <c r="H652" s="40"/>
    </row>
    <row r="653" spans="1:8" ht="15.75">
      <c r="A653" s="113">
        <v>37</v>
      </c>
      <c r="B653" s="42" t="s">
        <v>4579</v>
      </c>
      <c r="E653" s="87" t="s">
        <v>3616</v>
      </c>
      <c r="F653" s="126"/>
      <c r="G653" s="126">
        <v>5000000</v>
      </c>
      <c r="H653" s="40"/>
    </row>
    <row r="654" spans="1:8" ht="15.75">
      <c r="A654" s="113">
        <v>38</v>
      </c>
      <c r="B654" s="42" t="s">
        <v>4580</v>
      </c>
      <c r="E654" s="87" t="s">
        <v>4574</v>
      </c>
      <c r="F654" s="126"/>
      <c r="G654" s="126">
        <v>2000000</v>
      </c>
      <c r="H654" s="40"/>
    </row>
    <row r="655" spans="1:8" ht="31.5">
      <c r="A655" s="113">
        <v>39</v>
      </c>
      <c r="B655" s="42" t="s">
        <v>4581</v>
      </c>
      <c r="E655" s="79" t="s">
        <v>5063</v>
      </c>
      <c r="F655" s="126"/>
      <c r="G655" s="126">
        <v>1500000</v>
      </c>
      <c r="H655" s="40"/>
    </row>
    <row r="656" spans="1:8" ht="15.75">
      <c r="A656" s="113">
        <v>40</v>
      </c>
      <c r="B656" s="42" t="s">
        <v>8512</v>
      </c>
      <c r="E656" s="87" t="s">
        <v>4897</v>
      </c>
      <c r="F656" s="126"/>
      <c r="G656" s="126">
        <v>2000000</v>
      </c>
      <c r="H656" s="40"/>
    </row>
    <row r="657" spans="1:8" ht="31.5">
      <c r="A657" s="113">
        <v>41</v>
      </c>
      <c r="B657" s="42" t="s">
        <v>4582</v>
      </c>
      <c r="E657" s="79" t="s">
        <v>5064</v>
      </c>
      <c r="F657" s="126"/>
      <c r="G657" s="126">
        <v>2000000</v>
      </c>
      <c r="H657" s="40"/>
    </row>
    <row r="658" spans="1:8" ht="15.75">
      <c r="A658" s="113">
        <v>42</v>
      </c>
      <c r="B658" s="42" t="s">
        <v>8513</v>
      </c>
      <c r="E658" s="87" t="s">
        <v>4898</v>
      </c>
      <c r="F658" s="126"/>
      <c r="G658" s="126">
        <v>1500000</v>
      </c>
      <c r="H658" s="40"/>
    </row>
    <row r="659" spans="1:8" ht="15.75">
      <c r="A659" s="113">
        <v>43</v>
      </c>
      <c r="B659" s="42" t="s">
        <v>8514</v>
      </c>
      <c r="E659" s="87" t="s">
        <v>3623</v>
      </c>
      <c r="F659" s="126"/>
      <c r="G659" s="126">
        <v>7000000</v>
      </c>
      <c r="H659" s="40"/>
    </row>
    <row r="660" spans="1:8" ht="15.75">
      <c r="A660" s="113">
        <v>44</v>
      </c>
      <c r="B660" s="42" t="s">
        <v>1521</v>
      </c>
      <c r="E660" s="87" t="s">
        <v>5060</v>
      </c>
      <c r="F660" s="126"/>
      <c r="G660" s="126">
        <v>10000000</v>
      </c>
      <c r="H660" s="40"/>
    </row>
    <row r="661" spans="1:8" ht="31.5">
      <c r="A661" s="113">
        <v>45</v>
      </c>
      <c r="B661" s="42" t="s">
        <v>1873</v>
      </c>
      <c r="E661" s="79" t="s">
        <v>4573</v>
      </c>
      <c r="F661" s="126"/>
      <c r="G661" s="126">
        <v>1000000</v>
      </c>
      <c r="H661" s="40"/>
    </row>
    <row r="662" spans="1:8" ht="31.5">
      <c r="A662" s="113">
        <v>46</v>
      </c>
      <c r="B662" s="42" t="s">
        <v>5008</v>
      </c>
      <c r="E662" s="79" t="s">
        <v>5061</v>
      </c>
      <c r="F662" s="126"/>
      <c r="G662" s="126">
        <v>3000000</v>
      </c>
      <c r="H662" s="40"/>
    </row>
    <row r="663" spans="1:8" ht="31.5">
      <c r="A663" s="113">
        <v>47</v>
      </c>
      <c r="B663" s="42" t="s">
        <v>4577</v>
      </c>
      <c r="E663" s="79" t="s">
        <v>4899</v>
      </c>
      <c r="F663" s="126"/>
      <c r="G663" s="126">
        <v>5000000</v>
      </c>
      <c r="H663" s="40"/>
    </row>
    <row r="664" spans="1:8" ht="15.75">
      <c r="A664" s="113">
        <v>48</v>
      </c>
      <c r="B664" s="42" t="s">
        <v>10517</v>
      </c>
      <c r="E664" s="79" t="s">
        <v>10518</v>
      </c>
      <c r="F664" s="126"/>
      <c r="G664" s="126">
        <v>2000000</v>
      </c>
      <c r="H664" s="40"/>
    </row>
    <row r="665" spans="1:8" s="194" customFormat="1">
      <c r="B665" s="165"/>
      <c r="C665" s="165"/>
      <c r="D665" s="43"/>
      <c r="F665" s="199"/>
      <c r="G665" s="199"/>
      <c r="H665" s="200"/>
    </row>
    <row r="666" spans="1:8" ht="15.75">
      <c r="A666" s="178"/>
      <c r="B666" s="162"/>
      <c r="C666" s="162"/>
      <c r="D666" s="179"/>
      <c r="E666" s="180" t="str">
        <f>""&amp;TEXT(A609,"0")&amp;" एकूण"</f>
        <v>यादी क्र. यु1 एकूण</v>
      </c>
      <c r="F666" s="181">
        <f t="shared" ref="F666:G666" si="22">SUM(F615:F665)</f>
        <v>0</v>
      </c>
      <c r="G666" s="181">
        <f t="shared" si="22"/>
        <v>340000000</v>
      </c>
    </row>
    <row r="667" spans="1:8" ht="11.25" customHeight="1">
      <c r="A667" s="92"/>
      <c r="E667" s="99"/>
      <c r="F667" s="131"/>
      <c r="G667" s="131"/>
    </row>
    <row r="668" spans="1:8" s="131" customFormat="1" ht="16.5">
      <c r="A668" s="185" t="s">
        <v>5109</v>
      </c>
      <c r="B668" s="163"/>
      <c r="C668" s="163"/>
      <c r="D668" s="210"/>
      <c r="E668" s="187"/>
      <c r="F668" s="188"/>
      <c r="G668" s="188"/>
      <c r="H668" s="84"/>
    </row>
    <row r="669" spans="1:8" ht="11.25" customHeight="1">
      <c r="A669" s="92"/>
      <c r="E669" s="92"/>
      <c r="F669" s="131"/>
      <c r="G669" s="131"/>
    </row>
    <row r="670" spans="1:8" ht="15.75" customHeight="1">
      <c r="A670" s="169" t="s">
        <v>8780</v>
      </c>
      <c r="B670" s="161"/>
      <c r="C670" s="161"/>
      <c r="D670" s="170"/>
      <c r="E670" s="183"/>
      <c r="F670" s="172"/>
      <c r="G670" s="172"/>
    </row>
    <row r="671" spans="1:8" ht="15.75" customHeight="1">
      <c r="A671" s="173" t="s">
        <v>4093</v>
      </c>
      <c r="E671" s="92"/>
      <c r="F671" s="131"/>
      <c r="G671" s="131"/>
    </row>
    <row r="672" spans="1:8" ht="11.25" customHeight="1">
      <c r="A672" s="93" t="s">
        <v>8781</v>
      </c>
      <c r="E672" s="92"/>
      <c r="F672" s="131"/>
      <c r="G672" s="131"/>
    </row>
    <row r="673" spans="1:8" ht="11.25" customHeight="1">
      <c r="A673" s="92"/>
      <c r="E673" s="92"/>
      <c r="F673" s="131"/>
      <c r="G673" s="131"/>
    </row>
    <row r="674" spans="1:8" ht="15.75" customHeight="1">
      <c r="A674" s="113" t="s">
        <v>4918</v>
      </c>
      <c r="B674" s="42" t="s">
        <v>234</v>
      </c>
      <c r="C674" s="42" t="s">
        <v>506</v>
      </c>
      <c r="E674" s="113" t="s">
        <v>4066</v>
      </c>
      <c r="F674" s="175" t="s">
        <v>3673</v>
      </c>
      <c r="G674" s="175" t="s">
        <v>3676</v>
      </c>
    </row>
    <row r="675" spans="1:8" ht="11.25" customHeight="1">
      <c r="A675" s="177"/>
      <c r="E675" s="92"/>
      <c r="F675" s="131"/>
      <c r="G675" s="131"/>
    </row>
    <row r="676" spans="1:8" ht="31.5">
      <c r="A676" s="113">
        <v>1</v>
      </c>
      <c r="B676" s="42" t="s">
        <v>12966</v>
      </c>
      <c r="E676" s="79" t="s">
        <v>8782</v>
      </c>
      <c r="F676" s="126"/>
      <c r="G676" s="126">
        <v>10000000</v>
      </c>
    </row>
    <row r="677" spans="1:8" ht="15.75">
      <c r="A677" s="113"/>
      <c r="E677" s="79"/>
      <c r="F677" s="126"/>
      <c r="G677" s="126"/>
    </row>
    <row r="678" spans="1:8" ht="15.75">
      <c r="A678" s="113"/>
      <c r="E678" s="189" t="s">
        <v>8434</v>
      </c>
      <c r="F678" s="126"/>
      <c r="G678" s="126"/>
    </row>
    <row r="679" spans="1:8" ht="31.5">
      <c r="A679" s="113">
        <v>2</v>
      </c>
      <c r="B679" s="42" t="s">
        <v>5355</v>
      </c>
      <c r="E679" s="79" t="s">
        <v>5180</v>
      </c>
      <c r="F679" s="126"/>
      <c r="G679" s="126">
        <v>10000000</v>
      </c>
    </row>
    <row r="680" spans="1:8" ht="15.75">
      <c r="A680" s="113">
        <v>3</v>
      </c>
      <c r="B680" s="42" t="s">
        <v>10426</v>
      </c>
      <c r="E680" s="79" t="s">
        <v>10427</v>
      </c>
      <c r="F680" s="126"/>
      <c r="G680" s="126">
        <v>20000000</v>
      </c>
    </row>
    <row r="681" spans="1:8" ht="11.25" customHeight="1">
      <c r="A681" s="177"/>
      <c r="E681" s="92"/>
      <c r="F681" s="131"/>
      <c r="G681" s="131"/>
    </row>
    <row r="682" spans="1:8" ht="15.75" customHeight="1">
      <c r="A682" s="178"/>
      <c r="B682" s="162"/>
      <c r="C682" s="162"/>
      <c r="D682" s="179"/>
      <c r="E682" s="184" t="str">
        <f>""&amp;TEXT(A670,"0")&amp;" एकूण"</f>
        <v>यादी क्र. एम1 एकूण</v>
      </c>
      <c r="F682" s="181">
        <f t="shared" ref="F682:G682" si="23">SUM(F676:F681)</f>
        <v>0</v>
      </c>
      <c r="G682" s="181">
        <f t="shared" si="23"/>
        <v>40000000</v>
      </c>
    </row>
    <row r="683" spans="1:8" ht="11.25" customHeight="1">
      <c r="A683" s="92"/>
      <c r="E683" s="92"/>
      <c r="F683" s="131"/>
      <c r="G683" s="131"/>
    </row>
    <row r="684" spans="1:8" s="131" customFormat="1" ht="16.5">
      <c r="A684" s="185" t="s">
        <v>5110</v>
      </c>
      <c r="B684" s="163"/>
      <c r="C684" s="163"/>
      <c r="D684" s="210"/>
      <c r="E684" s="187"/>
      <c r="F684" s="188"/>
      <c r="G684" s="188"/>
      <c r="H684" s="84"/>
    </row>
    <row r="685" spans="1:8" s="131" customFormat="1" ht="12">
      <c r="A685" s="92"/>
      <c r="B685" s="168"/>
      <c r="C685" s="168"/>
      <c r="D685" s="211"/>
      <c r="E685" s="99"/>
      <c r="H685" s="84"/>
    </row>
    <row r="686" spans="1:8" ht="11.25" customHeight="1">
      <c r="A686" s="92"/>
      <c r="E686" s="92"/>
      <c r="F686" s="131"/>
      <c r="G686" s="131"/>
    </row>
    <row r="687" spans="1:8" ht="15.75" customHeight="1">
      <c r="A687" s="169" t="s">
        <v>10029</v>
      </c>
      <c r="B687" s="161"/>
      <c r="C687" s="161"/>
      <c r="D687" s="170"/>
      <c r="E687" s="183"/>
      <c r="F687" s="172"/>
      <c r="G687" s="172"/>
    </row>
    <row r="688" spans="1:8" ht="15.75" customHeight="1">
      <c r="A688" s="173" t="s">
        <v>5182</v>
      </c>
      <c r="E688" s="92"/>
      <c r="F688" s="131"/>
      <c r="G688" s="131"/>
    </row>
    <row r="689" spans="1:7" ht="11.25" customHeight="1">
      <c r="A689" s="93" t="s">
        <v>10030</v>
      </c>
      <c r="E689" s="92"/>
      <c r="F689" s="131"/>
      <c r="G689" s="131"/>
    </row>
    <row r="690" spans="1:7" ht="11.25" customHeight="1">
      <c r="A690" s="92"/>
      <c r="E690" s="92"/>
      <c r="F690" s="131"/>
      <c r="G690" s="131"/>
    </row>
    <row r="691" spans="1:7" ht="15.75" customHeight="1">
      <c r="A691" s="113" t="s">
        <v>4918</v>
      </c>
      <c r="B691" s="42" t="s">
        <v>234</v>
      </c>
      <c r="C691" s="42" t="s">
        <v>506</v>
      </c>
      <c r="E691" s="113" t="s">
        <v>4066</v>
      </c>
      <c r="F691" s="175" t="s">
        <v>3673</v>
      </c>
      <c r="G691" s="175" t="s">
        <v>3676</v>
      </c>
    </row>
    <row r="692" spans="1:7" ht="11.25" customHeight="1">
      <c r="A692" s="177"/>
      <c r="E692" s="92"/>
      <c r="F692" s="131"/>
      <c r="G692" s="131"/>
    </row>
    <row r="693" spans="1:7" ht="15.75">
      <c r="A693" s="177"/>
      <c r="E693" s="189" t="s">
        <v>8434</v>
      </c>
      <c r="F693" s="126"/>
      <c r="G693" s="126"/>
    </row>
    <row r="694" spans="1:7" ht="15.75">
      <c r="A694" s="113">
        <v>1</v>
      </c>
      <c r="B694" s="42" t="s">
        <v>5356</v>
      </c>
      <c r="E694" s="87" t="s">
        <v>5183</v>
      </c>
      <c r="F694" s="126"/>
      <c r="G694" s="126">
        <v>30000000</v>
      </c>
    </row>
    <row r="695" spans="1:7" ht="11.25" customHeight="1">
      <c r="A695" s="177"/>
      <c r="E695" s="92"/>
      <c r="F695" s="131"/>
      <c r="G695" s="131"/>
    </row>
    <row r="696" spans="1:7" ht="15.75" customHeight="1">
      <c r="A696" s="178"/>
      <c r="B696" s="162"/>
      <c r="C696" s="162"/>
      <c r="D696" s="179"/>
      <c r="E696" s="184" t="str">
        <f>""&amp;TEXT(A687,"0")&amp;" एकूण"</f>
        <v>यादी क्र. वाय1 एकूण</v>
      </c>
      <c r="F696" s="181">
        <f t="shared" ref="F696:G696" si="24">SUM(F693:F695)</f>
        <v>0</v>
      </c>
      <c r="G696" s="181">
        <f t="shared" si="24"/>
        <v>30000000</v>
      </c>
    </row>
    <row r="697" spans="1:7" ht="11.25" customHeight="1">
      <c r="A697" s="92"/>
      <c r="E697" s="92"/>
      <c r="F697" s="131"/>
      <c r="G697" s="131"/>
    </row>
  </sheetData>
  <printOptions horizontalCentered="1" gridLines="1" gridLinesSet="0"/>
  <pageMargins left="0.5" right="0.5" top="0.7" bottom="1.5" header="0.5" footer="0.5"/>
  <pageSetup paperSize="5" firstPageNumber="144" orientation="portrait" blackAndWhite="1" useFirstPageNumber="1" r:id="rId1"/>
  <headerFooter alignWithMargins="0">
    <oddHeader xml:space="preserve">&amp;C &amp;P </oddHeader>
  </headerFooter>
  <rowBreaks count="12" manualBreakCount="12">
    <brk id="86" max="18" man="1"/>
    <brk id="134" max="18" man="1"/>
    <brk id="194" max="18" man="1"/>
    <brk id="229" max="18" man="1"/>
    <brk id="270" max="18" man="1"/>
    <brk id="316" max="18" man="1"/>
    <brk id="380" max="18" man="1"/>
    <brk id="441" max="18" man="1"/>
    <brk id="491" max="18" man="1"/>
    <brk id="553" max="18" man="1"/>
    <brk id="606" max="18" man="1"/>
    <brk id="647" max="1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7" codeName="Sheet31">
    <tabColor indexed="40"/>
  </sheetPr>
  <dimension ref="A1:BX77"/>
  <sheetViews>
    <sheetView showZeros="0" zoomScaleNormal="100" zoomScaleSheetLayoutView="100" workbookViewId="0">
      <pane ySplit="6" topLeftCell="A7" activePane="bottomLeft" state="frozen"/>
      <selection pane="bottomLeft" activeCell="A7" sqref="A7"/>
    </sheetView>
  </sheetViews>
  <sheetFormatPr defaultColWidth="9.33203125" defaultRowHeight="12"/>
  <cols>
    <col min="1" max="1" width="46.83203125" style="64" customWidth="1"/>
    <col min="2" max="2" width="46.83203125" style="64" hidden="1" customWidth="1"/>
    <col min="3" max="3" width="12.83203125" style="64" customWidth="1"/>
    <col min="4" max="7" width="15.33203125" style="66" customWidth="1"/>
    <col min="8" max="8" width="14.83203125" style="66" customWidth="1"/>
    <col min="9" max="13" width="15.33203125" style="66" customWidth="1"/>
    <col min="14" max="15" width="14.6640625" style="66" customWidth="1"/>
    <col min="16" max="180" width="11.33203125" style="64" customWidth="1"/>
    <col min="181" max="16384" width="9.33203125" style="64"/>
  </cols>
  <sheetData>
    <row r="1" spans="1:76" ht="16.5">
      <c r="A1" s="280" t="s">
        <v>3461</v>
      </c>
      <c r="B1" s="338"/>
      <c r="C1" s="338"/>
      <c r="D1" s="338"/>
      <c r="E1" s="338"/>
      <c r="F1" s="338"/>
      <c r="G1" s="282"/>
      <c r="H1" s="283" t="s">
        <v>3462</v>
      </c>
      <c r="I1" s="339"/>
      <c r="J1" s="339"/>
      <c r="K1" s="339"/>
      <c r="L1" s="339"/>
      <c r="M1" s="339"/>
      <c r="N1" s="339"/>
      <c r="O1" s="339"/>
    </row>
    <row r="2" spans="1:76" ht="16.5" customHeight="1">
      <c r="A2" s="343" t="s">
        <v>2071</v>
      </c>
      <c r="B2" s="344" t="s">
        <v>924</v>
      </c>
      <c r="C2" s="297"/>
      <c r="D2" s="334" t="s">
        <v>3142</v>
      </c>
      <c r="E2" s="334"/>
      <c r="F2" s="334"/>
      <c r="G2" s="334"/>
      <c r="H2" s="334"/>
      <c r="I2" s="325" t="s">
        <v>13054</v>
      </c>
      <c r="J2" s="325"/>
      <c r="K2" s="325" t="s">
        <v>13055</v>
      </c>
      <c r="L2" s="325"/>
      <c r="M2" s="325"/>
      <c r="N2" s="340" t="s">
        <v>13056</v>
      </c>
      <c r="O2" s="340"/>
    </row>
    <row r="3" spans="1:76" ht="15.75" customHeight="1">
      <c r="A3" s="298"/>
      <c r="B3" s="301"/>
      <c r="C3" s="298"/>
      <c r="D3" s="341" t="s">
        <v>1727</v>
      </c>
      <c r="E3" s="341" t="s">
        <v>2069</v>
      </c>
      <c r="F3" s="341" t="s">
        <v>1762</v>
      </c>
      <c r="G3" s="327" t="s">
        <v>13057</v>
      </c>
      <c r="H3" s="327" t="s">
        <v>13058</v>
      </c>
      <c r="I3" s="334" t="s">
        <v>3149</v>
      </c>
      <c r="J3" s="334" t="s">
        <v>3150</v>
      </c>
      <c r="K3" s="342" t="s">
        <v>3143</v>
      </c>
      <c r="L3" s="342" t="s">
        <v>3144</v>
      </c>
      <c r="M3" s="342" t="s">
        <v>3145</v>
      </c>
      <c r="N3" s="340"/>
      <c r="O3" s="340"/>
    </row>
    <row r="4" spans="1:76" ht="15.75" customHeight="1">
      <c r="A4" s="298"/>
      <c r="B4" s="301"/>
      <c r="C4" s="298"/>
      <c r="D4" s="295"/>
      <c r="E4" s="295"/>
      <c r="F4" s="295"/>
      <c r="G4" s="327"/>
      <c r="H4" s="327"/>
      <c r="I4" s="334"/>
      <c r="J4" s="334"/>
      <c r="K4" s="342"/>
      <c r="L4" s="342"/>
      <c r="M4" s="342"/>
      <c r="N4" s="340"/>
      <c r="O4" s="340"/>
    </row>
    <row r="5" spans="1:76" ht="16.5">
      <c r="A5" s="299"/>
      <c r="B5" s="302"/>
      <c r="C5" s="299"/>
      <c r="D5" s="296"/>
      <c r="E5" s="296"/>
      <c r="F5" s="296"/>
      <c r="G5" s="327"/>
      <c r="H5" s="327"/>
      <c r="I5" s="334"/>
      <c r="J5" s="334"/>
      <c r="K5" s="342"/>
      <c r="L5" s="342"/>
      <c r="M5" s="342"/>
      <c r="N5" s="86" t="s">
        <v>3146</v>
      </c>
      <c r="O5" s="86" t="s">
        <v>3147</v>
      </c>
    </row>
    <row r="6" spans="1:76" ht="15.75">
      <c r="A6" s="82"/>
      <c r="B6" s="82"/>
      <c r="C6" s="83"/>
      <c r="D6" s="67"/>
      <c r="E6" s="67"/>
      <c r="F6" s="67"/>
      <c r="G6" s="52"/>
      <c r="H6" s="67"/>
      <c r="I6" s="67"/>
      <c r="J6" s="67"/>
      <c r="K6" s="67"/>
      <c r="L6" s="67"/>
      <c r="M6" s="67"/>
      <c r="N6" s="81"/>
      <c r="O6" s="81"/>
    </row>
    <row r="7" spans="1:76" ht="33.75">
      <c r="A7" s="70" t="s">
        <v>3153</v>
      </c>
      <c r="B7" s="104" t="s">
        <v>5410</v>
      </c>
      <c r="C7" s="72"/>
      <c r="D7" s="125">
        <v>100000</v>
      </c>
      <c r="E7" s="125">
        <v>100000</v>
      </c>
      <c r="F7" s="125">
        <v>100000</v>
      </c>
      <c r="G7" s="124"/>
      <c r="H7" s="125">
        <v>0</v>
      </c>
      <c r="I7" s="125">
        <v>100000</v>
      </c>
      <c r="J7" s="125">
        <v>100000</v>
      </c>
      <c r="K7" s="125">
        <v>100000</v>
      </c>
      <c r="L7" s="125">
        <v>0</v>
      </c>
      <c r="M7" s="125">
        <v>0</v>
      </c>
      <c r="N7" s="247">
        <v>0</v>
      </c>
      <c r="O7" s="247">
        <v>0</v>
      </c>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c r="AO7" s="145"/>
      <c r="AP7" s="145"/>
      <c r="AQ7" s="145"/>
      <c r="AR7" s="145"/>
      <c r="AS7" s="145"/>
      <c r="AT7" s="145"/>
      <c r="AU7" s="145"/>
      <c r="AV7" s="145"/>
      <c r="AW7" s="145"/>
      <c r="AX7" s="145"/>
      <c r="AY7" s="145"/>
      <c r="AZ7" s="145"/>
      <c r="BA7" s="145"/>
      <c r="BB7" s="145"/>
      <c r="BC7" s="145"/>
      <c r="BD7" s="145"/>
      <c r="BE7" s="145"/>
      <c r="BF7" s="145"/>
      <c r="BG7" s="145"/>
      <c r="BH7" s="145"/>
      <c r="BI7" s="145"/>
      <c r="BJ7" s="145"/>
      <c r="BK7" s="145"/>
      <c r="BL7" s="145"/>
      <c r="BM7" s="145"/>
      <c r="BN7" s="145"/>
      <c r="BO7" s="145"/>
      <c r="BP7" s="145"/>
      <c r="BQ7" s="145"/>
      <c r="BR7" s="145"/>
      <c r="BS7" s="145"/>
      <c r="BT7" s="145"/>
      <c r="BU7" s="145"/>
      <c r="BV7" s="145"/>
      <c r="BW7" s="145"/>
      <c r="BX7" s="145"/>
    </row>
    <row r="8" spans="1:76" ht="15.75">
      <c r="A8" s="70"/>
      <c r="B8" s="248"/>
      <c r="C8" s="72"/>
      <c r="D8" s="125">
        <v>0</v>
      </c>
      <c r="E8" s="125">
        <v>0</v>
      </c>
      <c r="F8" s="125">
        <v>0</v>
      </c>
      <c r="G8" s="124"/>
      <c r="H8" s="125">
        <v>0</v>
      </c>
      <c r="I8" s="125">
        <v>0</v>
      </c>
      <c r="J8" s="125">
        <v>0</v>
      </c>
      <c r="K8" s="125">
        <v>0</v>
      </c>
      <c r="L8" s="125">
        <v>0</v>
      </c>
      <c r="M8" s="125">
        <v>0</v>
      </c>
      <c r="N8" s="247">
        <v>0</v>
      </c>
      <c r="O8" s="247">
        <v>0</v>
      </c>
      <c r="P8" s="145"/>
      <c r="Q8" s="145"/>
      <c r="R8" s="145"/>
      <c r="S8" s="145"/>
      <c r="T8" s="145"/>
      <c r="U8" s="145"/>
      <c r="V8" s="145"/>
      <c r="W8" s="145"/>
      <c r="X8" s="145"/>
      <c r="Y8" s="145"/>
      <c r="Z8" s="145"/>
      <c r="AA8" s="145"/>
      <c r="AB8" s="145"/>
      <c r="AC8" s="145"/>
      <c r="AD8" s="145"/>
      <c r="AE8" s="145"/>
      <c r="AF8" s="145"/>
      <c r="AG8" s="145"/>
      <c r="AH8" s="145"/>
      <c r="AI8" s="145"/>
      <c r="AJ8" s="145"/>
      <c r="AK8" s="145"/>
      <c r="AL8" s="145"/>
      <c r="AM8" s="145"/>
      <c r="AN8" s="145"/>
      <c r="AO8" s="145"/>
      <c r="AP8" s="145"/>
      <c r="AQ8" s="145"/>
      <c r="AR8" s="145"/>
      <c r="AS8" s="145"/>
      <c r="AT8" s="145"/>
      <c r="AU8" s="145"/>
      <c r="AV8" s="145"/>
      <c r="AW8" s="145"/>
      <c r="AX8" s="145"/>
      <c r="AY8" s="145"/>
      <c r="AZ8" s="145"/>
      <c r="BA8" s="145"/>
      <c r="BB8" s="145"/>
      <c r="BC8" s="145"/>
      <c r="BD8" s="145"/>
      <c r="BE8" s="145"/>
      <c r="BF8" s="145"/>
      <c r="BG8" s="145"/>
      <c r="BH8" s="145"/>
      <c r="BI8" s="145"/>
      <c r="BJ8" s="145"/>
      <c r="BK8" s="145"/>
      <c r="BL8" s="145"/>
      <c r="BM8" s="145"/>
      <c r="BN8" s="145"/>
      <c r="BO8" s="145"/>
      <c r="BP8" s="145"/>
      <c r="BQ8" s="145"/>
      <c r="BR8" s="145"/>
      <c r="BS8" s="145"/>
      <c r="BT8" s="145"/>
      <c r="BU8" s="145"/>
      <c r="BV8" s="145"/>
      <c r="BW8" s="145"/>
      <c r="BX8" s="145"/>
    </row>
    <row r="9" spans="1:76" ht="15.75">
      <c r="A9" s="70" t="s">
        <v>3432</v>
      </c>
      <c r="B9" s="104" t="s">
        <v>5739</v>
      </c>
      <c r="C9" s="72"/>
      <c r="D9" s="125">
        <v>0</v>
      </c>
      <c r="E9" s="125">
        <v>0</v>
      </c>
      <c r="F9" s="125">
        <v>0</v>
      </c>
      <c r="G9" s="247">
        <v>0</v>
      </c>
      <c r="H9" s="125">
        <v>0</v>
      </c>
      <c r="I9" s="125">
        <v>0</v>
      </c>
      <c r="J9" s="125">
        <v>0</v>
      </c>
      <c r="K9" s="125">
        <v>0</v>
      </c>
      <c r="L9" s="125">
        <v>0</v>
      </c>
      <c r="M9" s="125">
        <v>0</v>
      </c>
      <c r="N9" s="247">
        <v>0</v>
      </c>
      <c r="O9" s="247">
        <v>0</v>
      </c>
      <c r="P9" s="145"/>
      <c r="Q9" s="145"/>
      <c r="R9" s="145"/>
      <c r="S9" s="145"/>
      <c r="T9" s="145"/>
      <c r="U9" s="145"/>
      <c r="V9" s="145"/>
      <c r="W9" s="145"/>
      <c r="X9" s="145"/>
      <c r="Y9" s="145"/>
      <c r="Z9" s="145"/>
      <c r="AA9" s="145"/>
      <c r="AB9" s="145"/>
      <c r="AC9" s="145"/>
      <c r="AD9" s="145"/>
      <c r="AE9" s="145"/>
      <c r="AF9" s="145"/>
      <c r="AG9" s="145"/>
      <c r="AH9" s="145"/>
      <c r="AI9" s="145"/>
      <c r="AJ9" s="145"/>
      <c r="AK9" s="145"/>
      <c r="AL9" s="145"/>
      <c r="AM9" s="145"/>
      <c r="AN9" s="145"/>
      <c r="AO9" s="145"/>
      <c r="AP9" s="145"/>
      <c r="AQ9" s="145"/>
      <c r="AR9" s="145"/>
      <c r="AS9" s="145"/>
      <c r="AT9" s="145"/>
      <c r="AU9" s="145"/>
      <c r="AV9" s="145"/>
      <c r="AW9" s="145"/>
      <c r="AX9" s="145"/>
      <c r="AY9" s="145"/>
      <c r="AZ9" s="145"/>
      <c r="BA9" s="145"/>
      <c r="BB9" s="145"/>
      <c r="BC9" s="145"/>
      <c r="BD9" s="145"/>
      <c r="BE9" s="145"/>
      <c r="BF9" s="145"/>
      <c r="BG9" s="145"/>
      <c r="BH9" s="145"/>
      <c r="BI9" s="145"/>
      <c r="BJ9" s="145"/>
      <c r="BK9" s="145"/>
      <c r="BL9" s="145"/>
      <c r="BM9" s="145"/>
      <c r="BN9" s="145"/>
      <c r="BO9" s="145"/>
      <c r="BP9" s="145"/>
      <c r="BQ9" s="145"/>
      <c r="BR9" s="145"/>
      <c r="BS9" s="145"/>
      <c r="BT9" s="145"/>
      <c r="BU9" s="145"/>
      <c r="BV9" s="145"/>
      <c r="BW9" s="145"/>
      <c r="BX9" s="145"/>
    </row>
    <row r="10" spans="1:76" ht="22.5">
      <c r="A10" s="70" t="s">
        <v>3433</v>
      </c>
      <c r="B10" s="104" t="s">
        <v>5740</v>
      </c>
      <c r="C10" s="72" t="s">
        <v>469</v>
      </c>
      <c r="D10" s="125">
        <v>811521615</v>
      </c>
      <c r="E10" s="125">
        <v>1341089335</v>
      </c>
      <c r="F10" s="125">
        <v>1852452983</v>
      </c>
      <c r="G10" s="247">
        <v>761792993</v>
      </c>
      <c r="H10" s="125">
        <v>797775731</v>
      </c>
      <c r="I10" s="125">
        <v>2359500000</v>
      </c>
      <c r="J10" s="125">
        <v>2359500000</v>
      </c>
      <c r="K10" s="125">
        <v>2290000000</v>
      </c>
      <c r="L10" s="125">
        <v>0</v>
      </c>
      <c r="M10" s="125">
        <v>0</v>
      </c>
      <c r="N10" s="247">
        <v>0</v>
      </c>
      <c r="O10" s="247">
        <v>69500000</v>
      </c>
      <c r="P10" s="145"/>
      <c r="Q10" s="145"/>
      <c r="R10" s="145"/>
      <c r="S10" s="145"/>
      <c r="T10" s="145"/>
      <c r="U10" s="145"/>
      <c r="V10" s="145"/>
      <c r="W10" s="145"/>
      <c r="X10" s="145"/>
      <c r="Y10" s="145"/>
      <c r="Z10" s="145"/>
      <c r="AA10" s="145"/>
      <c r="AB10" s="145"/>
      <c r="AC10" s="145"/>
      <c r="AD10" s="145"/>
      <c r="AE10" s="145"/>
      <c r="AF10" s="145"/>
      <c r="AG10" s="145"/>
      <c r="AH10" s="145"/>
      <c r="AI10" s="145"/>
      <c r="AJ10" s="145"/>
      <c r="AK10" s="145"/>
      <c r="AL10" s="145"/>
      <c r="AM10" s="145"/>
      <c r="AN10" s="145"/>
      <c r="AO10" s="145"/>
      <c r="AP10" s="145"/>
      <c r="AQ10" s="145"/>
      <c r="AR10" s="145"/>
      <c r="AS10" s="145"/>
      <c r="AT10" s="145"/>
      <c r="AU10" s="145"/>
      <c r="AV10" s="145"/>
      <c r="AW10" s="145"/>
      <c r="AX10" s="145"/>
      <c r="AY10" s="145"/>
      <c r="AZ10" s="145"/>
      <c r="BA10" s="145"/>
      <c r="BB10" s="145"/>
      <c r="BC10" s="145"/>
      <c r="BD10" s="145"/>
      <c r="BE10" s="145"/>
      <c r="BF10" s="145"/>
      <c r="BG10" s="145"/>
      <c r="BH10" s="145"/>
      <c r="BI10" s="145"/>
      <c r="BJ10" s="145"/>
      <c r="BK10" s="145"/>
      <c r="BL10" s="145"/>
      <c r="BM10" s="145"/>
      <c r="BN10" s="145"/>
      <c r="BO10" s="145"/>
      <c r="BP10" s="145"/>
      <c r="BQ10" s="145"/>
      <c r="BR10" s="145"/>
      <c r="BS10" s="145"/>
      <c r="BT10" s="145"/>
      <c r="BU10" s="145"/>
      <c r="BV10" s="145"/>
      <c r="BW10" s="145"/>
      <c r="BX10" s="145"/>
    </row>
    <row r="11" spans="1:76" ht="15.75">
      <c r="A11" s="70" t="s">
        <v>3434</v>
      </c>
      <c r="B11" s="104" t="s">
        <v>5741</v>
      </c>
      <c r="C11" s="72" t="s">
        <v>93</v>
      </c>
      <c r="D11" s="125">
        <v>0</v>
      </c>
      <c r="E11" s="125">
        <v>0</v>
      </c>
      <c r="F11" s="125">
        <v>0</v>
      </c>
      <c r="G11" s="247">
        <v>0</v>
      </c>
      <c r="H11" s="125">
        <v>0</v>
      </c>
      <c r="I11" s="125">
        <v>100000</v>
      </c>
      <c r="J11" s="125">
        <v>100000</v>
      </c>
      <c r="K11" s="125">
        <v>100000</v>
      </c>
      <c r="L11" s="125">
        <v>0</v>
      </c>
      <c r="M11" s="125">
        <v>0</v>
      </c>
      <c r="N11" s="247">
        <v>0</v>
      </c>
      <c r="O11" s="247">
        <v>0</v>
      </c>
      <c r="P11" s="145"/>
      <c r="Q11" s="145"/>
      <c r="R11" s="145"/>
      <c r="S11" s="145"/>
      <c r="T11" s="145"/>
      <c r="U11" s="145"/>
      <c r="V11" s="145"/>
      <c r="W11" s="145"/>
      <c r="X11" s="145"/>
      <c r="Y11" s="145"/>
      <c r="Z11" s="145"/>
      <c r="AA11" s="145"/>
      <c r="AB11" s="145"/>
      <c r="AC11" s="145"/>
      <c r="AD11" s="145"/>
      <c r="AE11" s="145"/>
      <c r="AF11" s="145"/>
      <c r="AG11" s="145"/>
      <c r="AH11" s="145"/>
      <c r="AI11" s="145"/>
      <c r="AJ11" s="145"/>
      <c r="AK11" s="145"/>
      <c r="AL11" s="145"/>
      <c r="AM11" s="145"/>
      <c r="AN11" s="145"/>
      <c r="AO11" s="145"/>
      <c r="AP11" s="145"/>
      <c r="AQ11" s="145"/>
      <c r="AR11" s="145"/>
      <c r="AS11" s="145"/>
      <c r="AT11" s="145"/>
      <c r="AU11" s="145"/>
      <c r="AV11" s="145"/>
      <c r="AW11" s="145"/>
      <c r="AX11" s="145"/>
      <c r="AY11" s="145"/>
      <c r="AZ11" s="145"/>
      <c r="BA11" s="145"/>
      <c r="BB11" s="145"/>
      <c r="BC11" s="145"/>
      <c r="BD11" s="145"/>
      <c r="BE11" s="145"/>
      <c r="BF11" s="145"/>
      <c r="BG11" s="145"/>
      <c r="BH11" s="145"/>
      <c r="BI11" s="145"/>
      <c r="BJ11" s="145"/>
      <c r="BK11" s="145"/>
      <c r="BL11" s="145"/>
      <c r="BM11" s="145"/>
      <c r="BN11" s="145"/>
      <c r="BO11" s="145"/>
      <c r="BP11" s="145"/>
      <c r="BQ11" s="145"/>
      <c r="BR11" s="145"/>
      <c r="BS11" s="145"/>
      <c r="BT11" s="145"/>
      <c r="BU11" s="145"/>
      <c r="BV11" s="145"/>
      <c r="BW11" s="145"/>
      <c r="BX11" s="145"/>
    </row>
    <row r="12" spans="1:76" ht="31.5">
      <c r="A12" s="70" t="s">
        <v>3440</v>
      </c>
      <c r="B12" s="104" t="s">
        <v>5742</v>
      </c>
      <c r="C12" s="72" t="s">
        <v>1006</v>
      </c>
      <c r="D12" s="125">
        <v>0</v>
      </c>
      <c r="E12" s="125">
        <v>0</v>
      </c>
      <c r="F12" s="125">
        <v>0</v>
      </c>
      <c r="G12" s="247">
        <v>0</v>
      </c>
      <c r="H12" s="125">
        <v>0</v>
      </c>
      <c r="I12" s="125">
        <v>100000</v>
      </c>
      <c r="J12" s="125">
        <v>100000</v>
      </c>
      <c r="K12" s="125">
        <v>100000</v>
      </c>
      <c r="L12" s="125">
        <v>0</v>
      </c>
      <c r="M12" s="125">
        <v>0</v>
      </c>
      <c r="N12" s="247">
        <v>0</v>
      </c>
      <c r="O12" s="247">
        <v>0</v>
      </c>
      <c r="P12" s="145"/>
      <c r="Q12" s="145"/>
      <c r="R12" s="145"/>
      <c r="S12" s="145"/>
      <c r="T12" s="145"/>
      <c r="U12" s="145"/>
      <c r="V12" s="145"/>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5"/>
      <c r="BD12" s="145"/>
      <c r="BE12" s="145"/>
      <c r="BF12" s="145"/>
      <c r="BG12" s="145"/>
      <c r="BH12" s="145"/>
      <c r="BI12" s="145"/>
      <c r="BJ12" s="145"/>
      <c r="BK12" s="145"/>
      <c r="BL12" s="145"/>
      <c r="BM12" s="145"/>
      <c r="BN12" s="145"/>
      <c r="BO12" s="145"/>
      <c r="BP12" s="145"/>
      <c r="BQ12" s="145"/>
      <c r="BR12" s="145"/>
      <c r="BS12" s="145"/>
      <c r="BT12" s="145"/>
      <c r="BU12" s="145"/>
      <c r="BV12" s="145"/>
      <c r="BW12" s="145"/>
      <c r="BX12" s="145"/>
    </row>
    <row r="13" spans="1:76" ht="31.5">
      <c r="A13" s="70" t="s">
        <v>3459</v>
      </c>
      <c r="B13" s="104" t="s">
        <v>5743</v>
      </c>
      <c r="C13" s="72" t="s">
        <v>1007</v>
      </c>
      <c r="D13" s="125">
        <v>274834595</v>
      </c>
      <c r="E13" s="125">
        <v>302692528</v>
      </c>
      <c r="F13" s="125">
        <v>418910163</v>
      </c>
      <c r="G13" s="247">
        <v>171970970</v>
      </c>
      <c r="H13" s="125">
        <v>333018693</v>
      </c>
      <c r="I13" s="125">
        <v>520200000</v>
      </c>
      <c r="J13" s="125">
        <v>520200000</v>
      </c>
      <c r="K13" s="125">
        <v>800000000</v>
      </c>
      <c r="L13" s="125">
        <v>0</v>
      </c>
      <c r="M13" s="125">
        <v>0</v>
      </c>
      <c r="N13" s="247">
        <v>279800000</v>
      </c>
      <c r="O13" s="247">
        <v>0</v>
      </c>
      <c r="P13" s="145"/>
      <c r="Q13" s="145"/>
      <c r="R13" s="145"/>
      <c r="S13" s="145"/>
      <c r="T13" s="145"/>
      <c r="U13" s="145"/>
      <c r="V13" s="145"/>
      <c r="W13" s="145"/>
      <c r="X13" s="145"/>
      <c r="Y13" s="145"/>
      <c r="Z13" s="145"/>
      <c r="AA13" s="145"/>
      <c r="AB13" s="145"/>
      <c r="AC13" s="145"/>
      <c r="AD13" s="145"/>
      <c r="AE13" s="145"/>
      <c r="AF13" s="145"/>
      <c r="AG13" s="145"/>
      <c r="AH13" s="145"/>
      <c r="AI13" s="145"/>
      <c r="AJ13" s="145"/>
      <c r="AK13" s="145"/>
      <c r="AL13" s="145"/>
      <c r="AM13" s="145"/>
      <c r="AN13" s="145"/>
      <c r="AO13" s="145"/>
      <c r="AP13" s="145"/>
      <c r="AQ13" s="145"/>
      <c r="AR13" s="145"/>
      <c r="AS13" s="145"/>
      <c r="AT13" s="145"/>
      <c r="AU13" s="145"/>
      <c r="AV13" s="145"/>
      <c r="AW13" s="145"/>
      <c r="AX13" s="145"/>
      <c r="AY13" s="145"/>
      <c r="AZ13" s="145"/>
      <c r="BA13" s="145"/>
      <c r="BB13" s="145"/>
      <c r="BC13" s="145"/>
      <c r="BD13" s="145"/>
      <c r="BE13" s="145"/>
      <c r="BF13" s="145"/>
      <c r="BG13" s="145"/>
      <c r="BH13" s="145"/>
      <c r="BI13" s="145"/>
      <c r="BJ13" s="145"/>
      <c r="BK13" s="145"/>
      <c r="BL13" s="145"/>
      <c r="BM13" s="145"/>
      <c r="BN13" s="145"/>
      <c r="BO13" s="145"/>
      <c r="BP13" s="145"/>
      <c r="BQ13" s="145"/>
      <c r="BR13" s="145"/>
      <c r="BS13" s="145"/>
      <c r="BT13" s="145"/>
      <c r="BU13" s="145"/>
      <c r="BV13" s="145"/>
      <c r="BW13" s="145"/>
      <c r="BX13" s="145"/>
    </row>
    <row r="14" spans="1:76" ht="15.75">
      <c r="A14" s="70" t="s">
        <v>3435</v>
      </c>
      <c r="B14" s="104" t="s">
        <v>5744</v>
      </c>
      <c r="C14" s="72" t="s">
        <v>94</v>
      </c>
      <c r="D14" s="125">
        <v>335645669</v>
      </c>
      <c r="E14" s="125">
        <v>359356133</v>
      </c>
      <c r="F14" s="125">
        <v>388645935</v>
      </c>
      <c r="G14" s="247">
        <v>220284707.91</v>
      </c>
      <c r="H14" s="125">
        <v>213579841</v>
      </c>
      <c r="I14" s="125">
        <v>615000000</v>
      </c>
      <c r="J14" s="125">
        <v>615000000</v>
      </c>
      <c r="K14" s="125">
        <v>561700000</v>
      </c>
      <c r="L14" s="125">
        <v>0</v>
      </c>
      <c r="M14" s="125">
        <v>0</v>
      </c>
      <c r="N14" s="247">
        <v>0</v>
      </c>
      <c r="O14" s="247">
        <v>53300000</v>
      </c>
      <c r="P14" s="145"/>
      <c r="Q14" s="145"/>
      <c r="R14" s="145"/>
      <c r="S14" s="145"/>
      <c r="T14" s="145"/>
      <c r="U14" s="145"/>
      <c r="V14" s="145"/>
      <c r="W14" s="145"/>
      <c r="X14" s="145"/>
      <c r="Y14" s="145"/>
      <c r="Z14" s="145"/>
      <c r="AA14" s="145"/>
      <c r="AB14" s="145"/>
      <c r="AC14" s="145"/>
      <c r="AD14" s="145"/>
      <c r="AE14" s="145"/>
      <c r="AF14" s="145"/>
      <c r="AG14" s="145"/>
      <c r="AH14" s="145"/>
      <c r="AI14" s="145"/>
      <c r="AJ14" s="145"/>
      <c r="AK14" s="145"/>
      <c r="AL14" s="145"/>
      <c r="AM14" s="145"/>
      <c r="AN14" s="145"/>
      <c r="AO14" s="145"/>
      <c r="AP14" s="145"/>
      <c r="AQ14" s="145"/>
      <c r="AR14" s="145"/>
      <c r="AS14" s="145"/>
      <c r="AT14" s="145"/>
      <c r="AU14" s="145"/>
      <c r="AV14" s="145"/>
      <c r="AW14" s="145"/>
      <c r="AX14" s="145"/>
      <c r="AY14" s="145"/>
      <c r="AZ14" s="145"/>
      <c r="BA14" s="145"/>
      <c r="BB14" s="145"/>
      <c r="BC14" s="145"/>
      <c r="BD14" s="145"/>
      <c r="BE14" s="145"/>
      <c r="BF14" s="145"/>
      <c r="BG14" s="145"/>
      <c r="BH14" s="145"/>
      <c r="BI14" s="145"/>
      <c r="BJ14" s="145"/>
      <c r="BK14" s="145"/>
      <c r="BL14" s="145"/>
      <c r="BM14" s="145"/>
      <c r="BN14" s="145"/>
      <c r="BO14" s="145"/>
      <c r="BP14" s="145"/>
      <c r="BQ14" s="145"/>
      <c r="BR14" s="145"/>
      <c r="BS14" s="145"/>
      <c r="BT14" s="145"/>
      <c r="BU14" s="145"/>
      <c r="BV14" s="145"/>
      <c r="BW14" s="145"/>
      <c r="BX14" s="145"/>
    </row>
    <row r="15" spans="1:76" ht="15.75">
      <c r="A15" s="70" t="s">
        <v>3436</v>
      </c>
      <c r="B15" s="104" t="s">
        <v>5745</v>
      </c>
      <c r="C15" s="72" t="s">
        <v>123</v>
      </c>
      <c r="D15" s="125">
        <v>0</v>
      </c>
      <c r="E15" s="125">
        <v>0</v>
      </c>
      <c r="F15" s="125">
        <v>0</v>
      </c>
      <c r="G15" s="247">
        <v>0</v>
      </c>
      <c r="H15" s="125">
        <v>0</v>
      </c>
      <c r="I15" s="125">
        <v>718700000</v>
      </c>
      <c r="J15" s="125">
        <v>718700000</v>
      </c>
      <c r="K15" s="125">
        <v>140000000</v>
      </c>
      <c r="L15" s="125">
        <v>0</v>
      </c>
      <c r="M15" s="125">
        <v>0</v>
      </c>
      <c r="N15" s="247">
        <v>0</v>
      </c>
      <c r="O15" s="247">
        <v>578700000</v>
      </c>
      <c r="P15" s="145"/>
      <c r="Q15" s="145"/>
      <c r="R15" s="145"/>
      <c r="S15" s="145"/>
      <c r="T15" s="145"/>
      <c r="U15" s="145"/>
      <c r="V15" s="145"/>
      <c r="W15" s="145"/>
      <c r="X15" s="145"/>
      <c r="Y15" s="145"/>
      <c r="Z15" s="145"/>
      <c r="AA15" s="145"/>
      <c r="AB15" s="145"/>
      <c r="AC15" s="145"/>
      <c r="AD15" s="145"/>
      <c r="AE15" s="145"/>
      <c r="AF15" s="145"/>
      <c r="AG15" s="145"/>
      <c r="AH15" s="145"/>
      <c r="AI15" s="145"/>
      <c r="AJ15" s="145"/>
      <c r="AK15" s="145"/>
      <c r="AL15" s="145"/>
      <c r="AM15" s="145"/>
      <c r="AN15" s="145"/>
      <c r="AO15" s="145"/>
      <c r="AP15" s="145"/>
      <c r="AQ15" s="145"/>
      <c r="AR15" s="145"/>
      <c r="AS15" s="145"/>
      <c r="AT15" s="145"/>
      <c r="AU15" s="145"/>
      <c r="AV15" s="145"/>
      <c r="AW15" s="145"/>
      <c r="AX15" s="145"/>
      <c r="AY15" s="145"/>
      <c r="AZ15" s="145"/>
      <c r="BA15" s="145"/>
      <c r="BB15" s="145"/>
      <c r="BC15" s="145"/>
      <c r="BD15" s="145"/>
      <c r="BE15" s="145"/>
      <c r="BF15" s="145"/>
      <c r="BG15" s="145"/>
      <c r="BH15" s="145"/>
      <c r="BI15" s="145"/>
      <c r="BJ15" s="145"/>
      <c r="BK15" s="145"/>
      <c r="BL15" s="145"/>
      <c r="BM15" s="145"/>
      <c r="BN15" s="145"/>
      <c r="BO15" s="145"/>
      <c r="BP15" s="145"/>
      <c r="BQ15" s="145"/>
      <c r="BR15" s="145"/>
      <c r="BS15" s="145"/>
      <c r="BT15" s="145"/>
      <c r="BU15" s="145"/>
      <c r="BV15" s="145"/>
      <c r="BW15" s="145"/>
      <c r="BX15" s="145"/>
    </row>
    <row r="16" spans="1:76" ht="22.5">
      <c r="A16" s="70" t="s">
        <v>3437</v>
      </c>
      <c r="B16" s="248" t="s">
        <v>5746</v>
      </c>
      <c r="C16" s="72" t="s">
        <v>1003</v>
      </c>
      <c r="D16" s="125">
        <v>23592647</v>
      </c>
      <c r="E16" s="125">
        <v>41474022</v>
      </c>
      <c r="F16" s="125">
        <v>33175546</v>
      </c>
      <c r="G16" s="247">
        <v>6294036</v>
      </c>
      <c r="H16" s="125">
        <v>6545197</v>
      </c>
      <c r="I16" s="125">
        <v>30000000</v>
      </c>
      <c r="J16" s="125">
        <v>30000000</v>
      </c>
      <c r="K16" s="125">
        <v>25000000</v>
      </c>
      <c r="L16" s="125">
        <v>0</v>
      </c>
      <c r="M16" s="125">
        <v>0</v>
      </c>
      <c r="N16" s="247">
        <v>0</v>
      </c>
      <c r="O16" s="247">
        <v>5000000</v>
      </c>
      <c r="P16" s="145"/>
      <c r="Q16" s="145"/>
      <c r="R16" s="145"/>
      <c r="S16" s="145"/>
      <c r="T16" s="145"/>
      <c r="U16" s="145"/>
      <c r="V16" s="145"/>
      <c r="W16" s="145"/>
      <c r="X16" s="145"/>
      <c r="Y16" s="145"/>
      <c r="Z16" s="145"/>
      <c r="AA16" s="145"/>
      <c r="AB16" s="145"/>
      <c r="AC16" s="145"/>
      <c r="AD16" s="145"/>
      <c r="AE16" s="145"/>
      <c r="AF16" s="145"/>
      <c r="AG16" s="145"/>
      <c r="AH16" s="145"/>
      <c r="AI16" s="145"/>
      <c r="AJ16" s="145"/>
      <c r="AK16" s="145"/>
      <c r="AL16" s="145"/>
      <c r="AM16" s="145"/>
      <c r="AN16" s="145"/>
      <c r="AO16" s="145"/>
      <c r="AP16" s="145"/>
      <c r="AQ16" s="145"/>
      <c r="AR16" s="145"/>
      <c r="AS16" s="145"/>
      <c r="AT16" s="145"/>
      <c r="AU16" s="145"/>
      <c r="AV16" s="145"/>
      <c r="AW16" s="145"/>
      <c r="AX16" s="145"/>
      <c r="AY16" s="145"/>
      <c r="AZ16" s="145"/>
      <c r="BA16" s="145"/>
      <c r="BB16" s="145"/>
      <c r="BC16" s="145"/>
      <c r="BD16" s="145"/>
      <c r="BE16" s="145"/>
      <c r="BF16" s="145"/>
      <c r="BG16" s="145"/>
      <c r="BH16" s="145"/>
      <c r="BI16" s="145"/>
      <c r="BJ16" s="145"/>
      <c r="BK16" s="145"/>
      <c r="BL16" s="145"/>
      <c r="BM16" s="145"/>
      <c r="BN16" s="145"/>
      <c r="BO16" s="145"/>
      <c r="BP16" s="145"/>
      <c r="BQ16" s="145"/>
      <c r="BR16" s="145"/>
      <c r="BS16" s="145"/>
      <c r="BT16" s="145"/>
      <c r="BU16" s="145"/>
      <c r="BV16" s="145"/>
      <c r="BW16" s="145"/>
      <c r="BX16" s="145"/>
    </row>
    <row r="17" spans="1:76" ht="15.75">
      <c r="A17" s="70" t="s">
        <v>3445</v>
      </c>
      <c r="B17" s="248" t="s">
        <v>5747</v>
      </c>
      <c r="C17" s="72" t="s">
        <v>500</v>
      </c>
      <c r="D17" s="125">
        <v>19160</v>
      </c>
      <c r="E17" s="125">
        <v>74895</v>
      </c>
      <c r="F17" s="125">
        <v>30515</v>
      </c>
      <c r="G17" s="247">
        <v>23210</v>
      </c>
      <c r="H17" s="125">
        <v>0</v>
      </c>
      <c r="I17" s="125">
        <v>250000000</v>
      </c>
      <c r="J17" s="125">
        <v>250000000</v>
      </c>
      <c r="K17" s="125">
        <v>180000000</v>
      </c>
      <c r="L17" s="125">
        <v>0</v>
      </c>
      <c r="M17" s="125">
        <v>0</v>
      </c>
      <c r="N17" s="247">
        <v>0</v>
      </c>
      <c r="O17" s="247">
        <v>70000000</v>
      </c>
      <c r="P17" s="145"/>
      <c r="Q17" s="145"/>
      <c r="R17" s="145"/>
      <c r="S17" s="145"/>
      <c r="T17" s="145"/>
      <c r="U17" s="145"/>
      <c r="V17" s="145"/>
      <c r="W17" s="145"/>
      <c r="X17" s="145"/>
      <c r="Y17" s="145"/>
      <c r="Z17" s="145"/>
      <c r="AA17" s="145"/>
      <c r="AB17" s="145"/>
      <c r="AC17" s="145"/>
      <c r="AD17" s="145"/>
      <c r="AE17" s="145"/>
      <c r="AF17" s="145"/>
      <c r="AG17" s="145"/>
      <c r="AH17" s="145"/>
      <c r="AI17" s="145"/>
      <c r="AJ17" s="145"/>
      <c r="AK17" s="145"/>
      <c r="AL17" s="145"/>
      <c r="AM17" s="145"/>
      <c r="AN17" s="145"/>
      <c r="AO17" s="145"/>
      <c r="AP17" s="145"/>
      <c r="AQ17" s="145"/>
      <c r="AR17" s="145"/>
      <c r="AS17" s="145"/>
      <c r="AT17" s="145"/>
      <c r="AU17" s="145"/>
      <c r="AV17" s="145"/>
      <c r="AW17" s="145"/>
      <c r="AX17" s="145"/>
      <c r="AY17" s="145"/>
      <c r="AZ17" s="145"/>
      <c r="BA17" s="145"/>
      <c r="BB17" s="145"/>
      <c r="BC17" s="145"/>
      <c r="BD17" s="145"/>
      <c r="BE17" s="145"/>
      <c r="BF17" s="145"/>
      <c r="BG17" s="145"/>
      <c r="BH17" s="145"/>
      <c r="BI17" s="145"/>
      <c r="BJ17" s="145"/>
      <c r="BK17" s="145"/>
      <c r="BL17" s="145"/>
      <c r="BM17" s="145"/>
      <c r="BN17" s="145"/>
      <c r="BO17" s="145"/>
      <c r="BP17" s="145"/>
      <c r="BQ17" s="145"/>
      <c r="BR17" s="145"/>
      <c r="BS17" s="145"/>
      <c r="BT17" s="145"/>
      <c r="BU17" s="145"/>
      <c r="BV17" s="145"/>
      <c r="BW17" s="145"/>
      <c r="BX17" s="145"/>
    </row>
    <row r="18" spans="1:76" ht="15.75" customHeight="1">
      <c r="A18" s="70" t="s">
        <v>3438</v>
      </c>
      <c r="B18" s="248" t="s">
        <v>5748</v>
      </c>
      <c r="C18" s="72" t="s">
        <v>1004</v>
      </c>
      <c r="D18" s="125">
        <v>15600</v>
      </c>
      <c r="E18" s="125">
        <v>1972</v>
      </c>
      <c r="F18" s="125">
        <v>5797</v>
      </c>
      <c r="G18" s="247">
        <v>4052</v>
      </c>
      <c r="H18" s="125">
        <v>0</v>
      </c>
      <c r="I18" s="125">
        <v>10000000</v>
      </c>
      <c r="J18" s="125">
        <v>10000000</v>
      </c>
      <c r="K18" s="125">
        <v>75000000</v>
      </c>
      <c r="L18" s="125">
        <v>0</v>
      </c>
      <c r="M18" s="125">
        <v>0</v>
      </c>
      <c r="N18" s="247">
        <v>65000000</v>
      </c>
      <c r="O18" s="247">
        <v>0</v>
      </c>
      <c r="P18" s="145"/>
      <c r="Q18" s="145"/>
      <c r="R18" s="145"/>
      <c r="S18" s="145"/>
      <c r="T18" s="145"/>
      <c r="U18" s="145"/>
      <c r="V18" s="145"/>
      <c r="W18" s="145"/>
      <c r="X18" s="145"/>
      <c r="Y18" s="145"/>
      <c r="Z18" s="145"/>
      <c r="AA18" s="145"/>
      <c r="AB18" s="145"/>
      <c r="AC18" s="145"/>
      <c r="AD18" s="145"/>
      <c r="AE18" s="145"/>
      <c r="AF18" s="145"/>
      <c r="AG18" s="145"/>
      <c r="AH18" s="145"/>
      <c r="AI18" s="145"/>
      <c r="AJ18" s="145"/>
      <c r="AK18" s="145"/>
      <c r="AL18" s="145"/>
      <c r="AM18" s="145"/>
      <c r="AN18" s="145"/>
      <c r="AO18" s="145"/>
      <c r="AP18" s="145"/>
      <c r="AQ18" s="145"/>
      <c r="AR18" s="145"/>
      <c r="AS18" s="145"/>
      <c r="AT18" s="145"/>
      <c r="AU18" s="145"/>
      <c r="AV18" s="145"/>
      <c r="AW18" s="145"/>
      <c r="AX18" s="145"/>
      <c r="AY18" s="145"/>
      <c r="AZ18" s="145"/>
      <c r="BA18" s="145"/>
      <c r="BB18" s="145"/>
      <c r="BC18" s="145"/>
      <c r="BD18" s="145"/>
      <c r="BE18" s="145"/>
      <c r="BF18" s="145"/>
      <c r="BG18" s="145"/>
      <c r="BH18" s="145"/>
      <c r="BI18" s="145"/>
      <c r="BJ18" s="145"/>
      <c r="BK18" s="145"/>
      <c r="BL18" s="145"/>
      <c r="BM18" s="145"/>
      <c r="BN18" s="145"/>
      <c r="BO18" s="145"/>
      <c r="BP18" s="145"/>
      <c r="BQ18" s="145"/>
      <c r="BR18" s="145"/>
      <c r="BS18" s="145"/>
      <c r="BT18" s="145"/>
      <c r="BU18" s="145"/>
      <c r="BV18" s="145"/>
      <c r="BW18" s="145"/>
      <c r="BX18" s="145"/>
    </row>
    <row r="19" spans="1:76" ht="22.5">
      <c r="A19" s="70" t="s">
        <v>3439</v>
      </c>
      <c r="B19" s="104" t="s">
        <v>5749</v>
      </c>
      <c r="C19" s="72" t="s">
        <v>1005</v>
      </c>
      <c r="D19" s="125">
        <v>4597263</v>
      </c>
      <c r="E19" s="125">
        <v>6509624</v>
      </c>
      <c r="F19" s="125">
        <v>8676617</v>
      </c>
      <c r="G19" s="247">
        <v>4976664.3100000005</v>
      </c>
      <c r="H19" s="125">
        <v>5383756</v>
      </c>
      <c r="I19" s="125">
        <v>5000000</v>
      </c>
      <c r="J19" s="125">
        <v>5000000</v>
      </c>
      <c r="K19" s="125">
        <v>500000</v>
      </c>
      <c r="L19" s="125">
        <v>0</v>
      </c>
      <c r="M19" s="125">
        <v>0</v>
      </c>
      <c r="N19" s="247">
        <v>0</v>
      </c>
      <c r="O19" s="247">
        <v>4500000</v>
      </c>
      <c r="P19" s="145"/>
      <c r="Q19" s="145"/>
      <c r="R19" s="145"/>
      <c r="S19" s="145"/>
      <c r="T19" s="145"/>
      <c r="U19" s="145"/>
      <c r="V19" s="145"/>
      <c r="W19" s="145"/>
      <c r="X19" s="145"/>
      <c r="Y19" s="145"/>
      <c r="Z19" s="145"/>
      <c r="AA19" s="145"/>
      <c r="AB19" s="145"/>
      <c r="AC19" s="145"/>
      <c r="AD19" s="145"/>
      <c r="AE19" s="145"/>
      <c r="AF19" s="145"/>
      <c r="AG19" s="145"/>
      <c r="AH19" s="145"/>
      <c r="AI19" s="145"/>
      <c r="AJ19" s="145"/>
      <c r="AK19" s="145"/>
      <c r="AL19" s="145"/>
      <c r="AM19" s="145"/>
      <c r="AN19" s="145"/>
      <c r="AO19" s="145"/>
      <c r="AP19" s="145"/>
      <c r="AQ19" s="145"/>
      <c r="AR19" s="145"/>
      <c r="AS19" s="145"/>
      <c r="AT19" s="145"/>
      <c r="AU19" s="145"/>
      <c r="AV19" s="145"/>
      <c r="AW19" s="145"/>
      <c r="AX19" s="145"/>
      <c r="AY19" s="145"/>
      <c r="AZ19" s="145"/>
      <c r="BA19" s="145"/>
      <c r="BB19" s="145"/>
      <c r="BC19" s="145"/>
      <c r="BD19" s="145"/>
      <c r="BE19" s="145"/>
      <c r="BF19" s="145"/>
      <c r="BG19" s="145"/>
      <c r="BH19" s="145"/>
      <c r="BI19" s="145"/>
      <c r="BJ19" s="145"/>
      <c r="BK19" s="145"/>
      <c r="BL19" s="145"/>
      <c r="BM19" s="145"/>
      <c r="BN19" s="145"/>
      <c r="BO19" s="145"/>
      <c r="BP19" s="145"/>
      <c r="BQ19" s="145"/>
      <c r="BR19" s="145"/>
      <c r="BS19" s="145"/>
      <c r="BT19" s="145"/>
      <c r="BU19" s="145"/>
      <c r="BV19" s="145"/>
      <c r="BW19" s="145"/>
      <c r="BX19" s="145"/>
    </row>
    <row r="20" spans="1:76" ht="31.5">
      <c r="A20" s="70" t="s">
        <v>5400</v>
      </c>
      <c r="B20" s="104"/>
      <c r="C20" s="72" t="s">
        <v>5399</v>
      </c>
      <c r="D20" s="125">
        <v>0</v>
      </c>
      <c r="E20" s="125">
        <v>0</v>
      </c>
      <c r="F20" s="125">
        <v>500000</v>
      </c>
      <c r="G20" s="247">
        <v>500000</v>
      </c>
      <c r="H20" s="125">
        <v>0</v>
      </c>
      <c r="I20" s="125">
        <v>0</v>
      </c>
      <c r="J20" s="125">
        <v>0</v>
      </c>
      <c r="K20" s="125">
        <v>0</v>
      </c>
      <c r="L20" s="125">
        <v>0</v>
      </c>
      <c r="M20" s="125">
        <v>0</v>
      </c>
      <c r="N20" s="247">
        <v>0</v>
      </c>
      <c r="O20" s="247">
        <v>0</v>
      </c>
      <c r="P20" s="145"/>
      <c r="Q20" s="145"/>
      <c r="R20" s="145"/>
      <c r="S20" s="145"/>
      <c r="T20" s="145"/>
      <c r="U20" s="145"/>
      <c r="V20" s="145"/>
      <c r="W20" s="145"/>
      <c r="X20" s="145"/>
      <c r="Y20" s="145"/>
      <c r="Z20" s="145"/>
      <c r="AA20" s="145"/>
      <c r="AB20" s="145"/>
      <c r="AC20" s="145"/>
      <c r="AD20" s="145"/>
      <c r="AE20" s="145"/>
      <c r="AF20" s="145"/>
      <c r="AG20" s="145"/>
      <c r="AH20" s="145"/>
      <c r="AI20" s="145"/>
      <c r="AJ20" s="145"/>
      <c r="AK20" s="145"/>
      <c r="AL20" s="145"/>
      <c r="AM20" s="145"/>
      <c r="AN20" s="145"/>
      <c r="AO20" s="145"/>
      <c r="AP20" s="145"/>
      <c r="AQ20" s="145"/>
      <c r="AR20" s="145"/>
      <c r="AS20" s="145"/>
      <c r="AT20" s="145"/>
      <c r="AU20" s="145"/>
      <c r="AV20" s="145"/>
      <c r="AW20" s="145"/>
      <c r="AX20" s="145"/>
      <c r="AY20" s="145"/>
      <c r="AZ20" s="145"/>
      <c r="BA20" s="145"/>
      <c r="BB20" s="145"/>
      <c r="BC20" s="145"/>
      <c r="BD20" s="145"/>
      <c r="BE20" s="145"/>
      <c r="BF20" s="145"/>
      <c r="BG20" s="145"/>
      <c r="BH20" s="145"/>
      <c r="BI20" s="145"/>
      <c r="BJ20" s="145"/>
      <c r="BK20" s="145"/>
      <c r="BL20" s="145"/>
      <c r="BM20" s="145"/>
      <c r="BN20" s="145"/>
      <c r="BO20" s="145"/>
      <c r="BP20" s="145"/>
      <c r="BQ20" s="145"/>
      <c r="BR20" s="145"/>
      <c r="BS20" s="145"/>
      <c r="BT20" s="145"/>
      <c r="BU20" s="145"/>
      <c r="BV20" s="145"/>
      <c r="BW20" s="145"/>
      <c r="BX20" s="145"/>
    </row>
    <row r="21" spans="1:76" ht="31.5">
      <c r="A21" s="70" t="s">
        <v>3442</v>
      </c>
      <c r="B21" s="104" t="s">
        <v>5750</v>
      </c>
      <c r="C21" s="72" t="s">
        <v>1009</v>
      </c>
      <c r="D21" s="125">
        <v>973708</v>
      </c>
      <c r="E21" s="125">
        <v>1180267</v>
      </c>
      <c r="F21" s="125">
        <v>1352460</v>
      </c>
      <c r="G21" s="247">
        <v>821637</v>
      </c>
      <c r="H21" s="125">
        <v>5168078</v>
      </c>
      <c r="I21" s="125">
        <v>10000000</v>
      </c>
      <c r="J21" s="125">
        <v>10000000</v>
      </c>
      <c r="K21" s="125">
        <v>8000000</v>
      </c>
      <c r="L21" s="125">
        <v>0</v>
      </c>
      <c r="M21" s="125">
        <v>0</v>
      </c>
      <c r="N21" s="247">
        <v>0</v>
      </c>
      <c r="O21" s="247">
        <v>2000000</v>
      </c>
      <c r="P21" s="145"/>
      <c r="Q21" s="145"/>
      <c r="R21" s="145"/>
      <c r="S21" s="145"/>
      <c r="T21" s="145"/>
      <c r="U21" s="145"/>
      <c r="V21" s="145"/>
      <c r="W21" s="145"/>
      <c r="X21" s="145"/>
      <c r="Y21" s="145"/>
      <c r="Z21" s="145"/>
      <c r="AA21" s="145"/>
      <c r="AB21" s="145"/>
      <c r="AC21" s="145"/>
      <c r="AD21" s="145"/>
      <c r="AE21" s="145"/>
      <c r="AF21" s="145"/>
      <c r="AG21" s="145"/>
      <c r="AH21" s="145"/>
      <c r="AI21" s="145"/>
      <c r="AJ21" s="145"/>
      <c r="AK21" s="145"/>
      <c r="AL21" s="145"/>
      <c r="AM21" s="145"/>
      <c r="AN21" s="145"/>
      <c r="AO21" s="145"/>
      <c r="AP21" s="145"/>
      <c r="AQ21" s="145"/>
      <c r="AR21" s="145"/>
      <c r="AS21" s="145"/>
      <c r="AT21" s="145"/>
      <c r="AU21" s="145"/>
      <c r="AV21" s="145"/>
      <c r="AW21" s="145"/>
      <c r="AX21" s="145"/>
      <c r="AY21" s="145"/>
      <c r="AZ21" s="145"/>
      <c r="BA21" s="145"/>
      <c r="BB21" s="145"/>
      <c r="BC21" s="145"/>
      <c r="BD21" s="145"/>
      <c r="BE21" s="145"/>
      <c r="BF21" s="145"/>
      <c r="BG21" s="145"/>
      <c r="BH21" s="145"/>
      <c r="BI21" s="145"/>
      <c r="BJ21" s="145"/>
      <c r="BK21" s="145"/>
      <c r="BL21" s="145"/>
      <c r="BM21" s="145"/>
      <c r="BN21" s="145"/>
      <c r="BO21" s="145"/>
      <c r="BP21" s="145"/>
      <c r="BQ21" s="145"/>
      <c r="BR21" s="145"/>
      <c r="BS21" s="145"/>
      <c r="BT21" s="145"/>
      <c r="BU21" s="145"/>
      <c r="BV21" s="145"/>
      <c r="BW21" s="145"/>
      <c r="BX21" s="145"/>
    </row>
    <row r="22" spans="1:76" ht="15.75">
      <c r="A22" s="70" t="s">
        <v>3443</v>
      </c>
      <c r="B22" s="104"/>
      <c r="C22" s="72" t="s">
        <v>651</v>
      </c>
      <c r="D22" s="125">
        <v>0</v>
      </c>
      <c r="E22" s="125">
        <v>0</v>
      </c>
      <c r="F22" s="125">
        <v>1171212</v>
      </c>
      <c r="G22" s="247">
        <v>1171212</v>
      </c>
      <c r="H22" s="125">
        <v>0</v>
      </c>
      <c r="I22" s="125">
        <v>0</v>
      </c>
      <c r="J22" s="125">
        <v>0</v>
      </c>
      <c r="K22" s="125">
        <v>0</v>
      </c>
      <c r="L22" s="125">
        <v>0</v>
      </c>
      <c r="M22" s="125">
        <v>0</v>
      </c>
      <c r="N22" s="247">
        <v>0</v>
      </c>
      <c r="O22" s="247">
        <v>0</v>
      </c>
      <c r="P22" s="145"/>
      <c r="Q22" s="145"/>
      <c r="R22" s="145"/>
      <c r="S22" s="145"/>
      <c r="T22" s="145"/>
      <c r="U22" s="145"/>
      <c r="V22" s="145"/>
      <c r="W22" s="145"/>
      <c r="X22" s="145"/>
      <c r="Y22" s="145"/>
      <c r="Z22" s="145"/>
      <c r="AA22" s="145"/>
      <c r="AB22" s="145"/>
      <c r="AC22" s="145"/>
      <c r="AD22" s="145"/>
      <c r="AE22" s="145"/>
      <c r="AF22" s="145"/>
      <c r="AG22" s="145"/>
      <c r="AH22" s="145"/>
      <c r="AI22" s="145"/>
      <c r="AJ22" s="145"/>
      <c r="AK22" s="145"/>
      <c r="AL22" s="145"/>
      <c r="AM22" s="145"/>
      <c r="AN22" s="145"/>
      <c r="AO22" s="145"/>
      <c r="AP22" s="145"/>
      <c r="AQ22" s="145"/>
      <c r="AR22" s="145"/>
      <c r="AS22" s="145"/>
      <c r="AT22" s="145"/>
      <c r="AU22" s="145"/>
      <c r="AV22" s="145"/>
      <c r="AW22" s="145"/>
      <c r="AX22" s="145"/>
      <c r="AY22" s="145"/>
      <c r="AZ22" s="145"/>
      <c r="BA22" s="145"/>
      <c r="BB22" s="145"/>
      <c r="BC22" s="145"/>
      <c r="BD22" s="145"/>
      <c r="BE22" s="145"/>
      <c r="BF22" s="145"/>
      <c r="BG22" s="145"/>
      <c r="BH22" s="145"/>
      <c r="BI22" s="145"/>
      <c r="BJ22" s="145"/>
      <c r="BK22" s="145"/>
      <c r="BL22" s="145"/>
      <c r="BM22" s="145"/>
      <c r="BN22" s="145"/>
      <c r="BO22" s="145"/>
      <c r="BP22" s="145"/>
      <c r="BQ22" s="145"/>
      <c r="BR22" s="145"/>
      <c r="BS22" s="145"/>
      <c r="BT22" s="145"/>
      <c r="BU22" s="145"/>
      <c r="BV22" s="145"/>
      <c r="BW22" s="145"/>
      <c r="BX22" s="145"/>
    </row>
    <row r="23" spans="1:76" ht="15.75">
      <c r="A23" s="70" t="s">
        <v>3444</v>
      </c>
      <c r="B23" s="248" t="s">
        <v>5751</v>
      </c>
      <c r="C23" s="72" t="s">
        <v>653</v>
      </c>
      <c r="D23" s="125">
        <v>5474244</v>
      </c>
      <c r="E23" s="125">
        <v>5645606</v>
      </c>
      <c r="F23" s="125">
        <v>6244376</v>
      </c>
      <c r="G23" s="247">
        <v>4923304</v>
      </c>
      <c r="H23" s="125">
        <v>1070008</v>
      </c>
      <c r="I23" s="125">
        <v>6000000</v>
      </c>
      <c r="J23" s="125">
        <v>6000000</v>
      </c>
      <c r="K23" s="125">
        <v>10000000</v>
      </c>
      <c r="L23" s="125">
        <v>0</v>
      </c>
      <c r="M23" s="125">
        <v>0</v>
      </c>
      <c r="N23" s="247">
        <v>4000000</v>
      </c>
      <c r="O23" s="247">
        <v>0</v>
      </c>
      <c r="P23" s="145"/>
      <c r="Q23" s="145"/>
      <c r="R23" s="145"/>
      <c r="S23" s="145"/>
      <c r="T23" s="145"/>
      <c r="U23" s="145"/>
      <c r="V23" s="145"/>
      <c r="W23" s="145"/>
      <c r="X23" s="145"/>
      <c r="Y23" s="145"/>
      <c r="Z23" s="145"/>
      <c r="AA23" s="145"/>
      <c r="AB23" s="145"/>
      <c r="AC23" s="145"/>
      <c r="AD23" s="145"/>
      <c r="AE23" s="145"/>
      <c r="AF23" s="145"/>
      <c r="AG23" s="145"/>
      <c r="AH23" s="145"/>
      <c r="AI23" s="145"/>
      <c r="AJ23" s="145"/>
      <c r="AK23" s="145"/>
      <c r="AL23" s="145"/>
      <c r="AM23" s="145"/>
      <c r="AN23" s="145"/>
      <c r="AO23" s="145"/>
      <c r="AP23" s="145"/>
      <c r="AQ23" s="145"/>
      <c r="AR23" s="145"/>
      <c r="AS23" s="145"/>
      <c r="AT23" s="145"/>
      <c r="AU23" s="145"/>
      <c r="AV23" s="145"/>
      <c r="AW23" s="145"/>
      <c r="AX23" s="145"/>
      <c r="AY23" s="145"/>
      <c r="AZ23" s="145"/>
      <c r="BA23" s="145"/>
      <c r="BB23" s="145"/>
      <c r="BC23" s="145"/>
      <c r="BD23" s="145"/>
      <c r="BE23" s="145"/>
      <c r="BF23" s="145"/>
      <c r="BG23" s="145"/>
      <c r="BH23" s="145"/>
      <c r="BI23" s="145"/>
      <c r="BJ23" s="145"/>
      <c r="BK23" s="145"/>
      <c r="BL23" s="145"/>
      <c r="BM23" s="145"/>
      <c r="BN23" s="145"/>
      <c r="BO23" s="145"/>
      <c r="BP23" s="145"/>
      <c r="BQ23" s="145"/>
      <c r="BR23" s="145"/>
      <c r="BS23" s="145"/>
      <c r="BT23" s="145"/>
      <c r="BU23" s="145"/>
      <c r="BV23" s="145"/>
      <c r="BW23" s="145"/>
      <c r="BX23" s="145"/>
    </row>
    <row r="24" spans="1:76" ht="22.5">
      <c r="A24" s="70" t="s">
        <v>3441</v>
      </c>
      <c r="B24" s="248" t="s">
        <v>5752</v>
      </c>
      <c r="C24" s="72" t="s">
        <v>1008</v>
      </c>
      <c r="D24" s="125">
        <v>20000000</v>
      </c>
      <c r="E24" s="125">
        <v>20000000</v>
      </c>
      <c r="F24" s="125">
        <v>16000000</v>
      </c>
      <c r="G24" s="247">
        <v>16000000</v>
      </c>
      <c r="H24" s="125">
        <v>0</v>
      </c>
      <c r="I24" s="125">
        <v>20000000</v>
      </c>
      <c r="J24" s="125">
        <v>20000000</v>
      </c>
      <c r="K24" s="125">
        <v>20000000</v>
      </c>
      <c r="L24" s="125">
        <v>0</v>
      </c>
      <c r="M24" s="125">
        <v>0</v>
      </c>
      <c r="N24" s="247">
        <v>0</v>
      </c>
      <c r="O24" s="247">
        <v>0</v>
      </c>
      <c r="P24" s="145"/>
      <c r="Q24" s="145"/>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5"/>
      <c r="AZ24" s="145"/>
      <c r="BA24" s="145"/>
      <c r="BB24" s="145"/>
      <c r="BC24" s="145"/>
      <c r="BD24" s="145"/>
      <c r="BE24" s="145"/>
      <c r="BF24" s="145"/>
      <c r="BG24" s="145"/>
      <c r="BH24" s="145"/>
      <c r="BI24" s="145"/>
      <c r="BJ24" s="145"/>
      <c r="BK24" s="145"/>
      <c r="BL24" s="145"/>
      <c r="BM24" s="145"/>
      <c r="BN24" s="145"/>
      <c r="BO24" s="145"/>
      <c r="BP24" s="145"/>
      <c r="BQ24" s="145"/>
      <c r="BR24" s="145"/>
      <c r="BS24" s="145"/>
      <c r="BT24" s="145"/>
      <c r="BU24" s="145"/>
      <c r="BV24" s="145"/>
      <c r="BW24" s="145"/>
      <c r="BX24" s="145"/>
    </row>
    <row r="25" spans="1:76" ht="33.75">
      <c r="A25" s="70" t="s">
        <v>4689</v>
      </c>
      <c r="B25" s="248" t="s">
        <v>5753</v>
      </c>
      <c r="C25" s="72" t="s">
        <v>4691</v>
      </c>
      <c r="D25" s="125">
        <v>0</v>
      </c>
      <c r="E25" s="125">
        <v>0</v>
      </c>
      <c r="F25" s="125">
        <v>550924</v>
      </c>
      <c r="G25" s="247">
        <v>550924</v>
      </c>
      <c r="H25" s="125">
        <v>706939</v>
      </c>
      <c r="I25" s="125">
        <v>2500000</v>
      </c>
      <c r="J25" s="125">
        <v>2500000</v>
      </c>
      <c r="K25" s="125">
        <v>2000000</v>
      </c>
      <c r="L25" s="125">
        <v>0</v>
      </c>
      <c r="M25" s="125">
        <v>0</v>
      </c>
      <c r="N25" s="247">
        <v>0</v>
      </c>
      <c r="O25" s="247">
        <v>500000</v>
      </c>
      <c r="P25" s="145"/>
      <c r="Q25" s="145"/>
      <c r="R25" s="145"/>
      <c r="S25" s="145"/>
      <c r="T25" s="145"/>
      <c r="U25" s="145"/>
      <c r="V25" s="145"/>
      <c r="W25" s="145"/>
      <c r="X25" s="145"/>
      <c r="Y25" s="145"/>
      <c r="Z25" s="145"/>
      <c r="AA25" s="145"/>
      <c r="AB25" s="145"/>
      <c r="AC25" s="145"/>
      <c r="AD25" s="145"/>
      <c r="AE25" s="145"/>
      <c r="AF25" s="145"/>
      <c r="AG25" s="145"/>
      <c r="AH25" s="145"/>
      <c r="AI25" s="145"/>
      <c r="AJ25" s="145"/>
      <c r="AK25" s="145"/>
      <c r="AL25" s="145"/>
      <c r="AM25" s="145"/>
      <c r="AN25" s="145"/>
      <c r="AO25" s="145"/>
      <c r="AP25" s="145"/>
      <c r="AQ25" s="145"/>
      <c r="AR25" s="145"/>
      <c r="AS25" s="145"/>
      <c r="AT25" s="145"/>
      <c r="AU25" s="145"/>
      <c r="AV25" s="145"/>
      <c r="AW25" s="145"/>
      <c r="AX25" s="145"/>
      <c r="AY25" s="145"/>
      <c r="AZ25" s="145"/>
      <c r="BA25" s="145"/>
      <c r="BB25" s="145"/>
      <c r="BC25" s="145"/>
      <c r="BD25" s="145"/>
      <c r="BE25" s="145"/>
      <c r="BF25" s="145"/>
      <c r="BG25" s="145"/>
      <c r="BH25" s="145"/>
      <c r="BI25" s="145"/>
      <c r="BJ25" s="145"/>
      <c r="BK25" s="145"/>
      <c r="BL25" s="145"/>
      <c r="BM25" s="145"/>
      <c r="BN25" s="145"/>
      <c r="BO25" s="145"/>
      <c r="BP25" s="145"/>
      <c r="BQ25" s="145"/>
      <c r="BR25" s="145"/>
      <c r="BS25" s="145"/>
      <c r="BT25" s="145"/>
      <c r="BU25" s="145"/>
      <c r="BV25" s="145"/>
      <c r="BW25" s="145"/>
      <c r="BX25" s="145"/>
    </row>
    <row r="26" spans="1:76" ht="15.75">
      <c r="A26" s="70" t="s">
        <v>10435</v>
      </c>
      <c r="B26" s="248" t="s">
        <v>5754</v>
      </c>
      <c r="C26" s="72" t="s">
        <v>4692</v>
      </c>
      <c r="D26" s="125">
        <v>0</v>
      </c>
      <c r="E26" s="125">
        <v>0</v>
      </c>
      <c r="F26" s="125">
        <v>967716</v>
      </c>
      <c r="G26" s="247">
        <v>967716</v>
      </c>
      <c r="H26" s="125">
        <v>749390</v>
      </c>
      <c r="I26" s="125">
        <v>800000</v>
      </c>
      <c r="J26" s="125">
        <v>800000</v>
      </c>
      <c r="K26" s="125">
        <v>800000</v>
      </c>
      <c r="L26" s="125">
        <v>0</v>
      </c>
      <c r="M26" s="125">
        <v>0</v>
      </c>
      <c r="N26" s="247">
        <v>0</v>
      </c>
      <c r="O26" s="247">
        <v>0</v>
      </c>
      <c r="P26" s="145"/>
      <c r="Q26" s="145"/>
      <c r="R26" s="145"/>
      <c r="S26" s="145"/>
      <c r="T26" s="145"/>
      <c r="U26" s="145"/>
      <c r="V26" s="145"/>
      <c r="W26" s="145"/>
      <c r="X26" s="145"/>
      <c r="Y26" s="145"/>
      <c r="Z26" s="145"/>
      <c r="AA26" s="145"/>
      <c r="AB26" s="145"/>
      <c r="AC26" s="145"/>
      <c r="AD26" s="145"/>
      <c r="AE26" s="145"/>
      <c r="AF26" s="145"/>
      <c r="AG26" s="145"/>
      <c r="AH26" s="145"/>
      <c r="AI26" s="145"/>
      <c r="AJ26" s="145"/>
      <c r="AK26" s="145"/>
      <c r="AL26" s="145"/>
      <c r="AM26" s="145"/>
      <c r="AN26" s="145"/>
      <c r="AO26" s="145"/>
      <c r="AP26" s="145"/>
      <c r="AQ26" s="145"/>
      <c r="AR26" s="145"/>
      <c r="AS26" s="145"/>
      <c r="AT26" s="145"/>
      <c r="AU26" s="145"/>
      <c r="AV26" s="145"/>
      <c r="AW26" s="145"/>
      <c r="AX26" s="145"/>
      <c r="AY26" s="145"/>
      <c r="AZ26" s="145"/>
      <c r="BA26" s="145"/>
      <c r="BB26" s="145"/>
      <c r="BC26" s="145"/>
      <c r="BD26" s="145"/>
      <c r="BE26" s="145"/>
      <c r="BF26" s="145"/>
      <c r="BG26" s="145"/>
      <c r="BH26" s="145"/>
      <c r="BI26" s="145"/>
      <c r="BJ26" s="145"/>
      <c r="BK26" s="145"/>
      <c r="BL26" s="145"/>
      <c r="BM26" s="145"/>
      <c r="BN26" s="145"/>
      <c r="BO26" s="145"/>
      <c r="BP26" s="145"/>
      <c r="BQ26" s="145"/>
      <c r="BR26" s="145"/>
      <c r="BS26" s="145"/>
      <c r="BT26" s="145"/>
      <c r="BU26" s="145"/>
      <c r="BV26" s="145"/>
      <c r="BW26" s="145"/>
      <c r="BX26" s="145"/>
    </row>
    <row r="27" spans="1:76" ht="15.75">
      <c r="A27" s="70" t="s">
        <v>10436</v>
      </c>
      <c r="B27" s="248" t="s">
        <v>5755</v>
      </c>
      <c r="C27" s="72" t="s">
        <v>4693</v>
      </c>
      <c r="D27" s="125">
        <v>0</v>
      </c>
      <c r="E27" s="125">
        <v>0</v>
      </c>
      <c r="F27" s="125">
        <v>12888800</v>
      </c>
      <c r="G27" s="247">
        <v>12888800</v>
      </c>
      <c r="H27" s="125">
        <v>18634400</v>
      </c>
      <c r="I27" s="125">
        <v>29200000</v>
      </c>
      <c r="J27" s="125">
        <v>29200000</v>
      </c>
      <c r="K27" s="125">
        <v>20000000</v>
      </c>
      <c r="L27" s="125">
        <v>0</v>
      </c>
      <c r="M27" s="125">
        <v>0</v>
      </c>
      <c r="N27" s="247">
        <v>0</v>
      </c>
      <c r="O27" s="247">
        <v>9200000</v>
      </c>
      <c r="P27" s="145"/>
      <c r="Q27" s="145"/>
      <c r="R27" s="145"/>
      <c r="S27" s="145"/>
      <c r="T27" s="145"/>
      <c r="U27" s="145"/>
      <c r="V27" s="145"/>
      <c r="W27" s="145"/>
      <c r="X27" s="145"/>
      <c r="Y27" s="145"/>
      <c r="Z27" s="145"/>
      <c r="AA27" s="145"/>
      <c r="AB27" s="145"/>
      <c r="AC27" s="145"/>
      <c r="AD27" s="145"/>
      <c r="AE27" s="145"/>
      <c r="AF27" s="145"/>
      <c r="AG27" s="145"/>
      <c r="AH27" s="145"/>
      <c r="AI27" s="145"/>
      <c r="AJ27" s="145"/>
      <c r="AK27" s="145"/>
      <c r="AL27" s="145"/>
      <c r="AM27" s="145"/>
      <c r="AN27" s="145"/>
      <c r="AO27" s="145"/>
      <c r="AP27" s="145"/>
      <c r="AQ27" s="145"/>
      <c r="AR27" s="145"/>
      <c r="AS27" s="145"/>
      <c r="AT27" s="145"/>
      <c r="AU27" s="145"/>
      <c r="AV27" s="145"/>
      <c r="AW27" s="145"/>
      <c r="AX27" s="145"/>
      <c r="AY27" s="145"/>
      <c r="AZ27" s="145"/>
      <c r="BA27" s="145"/>
      <c r="BB27" s="145"/>
      <c r="BC27" s="145"/>
      <c r="BD27" s="145"/>
      <c r="BE27" s="145"/>
      <c r="BF27" s="145"/>
      <c r="BG27" s="145"/>
      <c r="BH27" s="145"/>
      <c r="BI27" s="145"/>
      <c r="BJ27" s="145"/>
      <c r="BK27" s="145"/>
      <c r="BL27" s="145"/>
      <c r="BM27" s="145"/>
      <c r="BN27" s="145"/>
      <c r="BO27" s="145"/>
      <c r="BP27" s="145"/>
      <c r="BQ27" s="145"/>
      <c r="BR27" s="145"/>
      <c r="BS27" s="145"/>
      <c r="BT27" s="145"/>
      <c r="BU27" s="145"/>
      <c r="BV27" s="145"/>
      <c r="BW27" s="145"/>
      <c r="BX27" s="145"/>
    </row>
    <row r="28" spans="1:76" ht="15.75">
      <c r="A28" s="70" t="s">
        <v>4690</v>
      </c>
      <c r="B28" s="104" t="s">
        <v>5756</v>
      </c>
      <c r="C28" s="72" t="s">
        <v>4694</v>
      </c>
      <c r="D28" s="125">
        <v>0</v>
      </c>
      <c r="E28" s="125">
        <v>0</v>
      </c>
      <c r="F28" s="125">
        <v>3275488</v>
      </c>
      <c r="G28" s="247">
        <v>3275488</v>
      </c>
      <c r="H28" s="125">
        <v>5401309</v>
      </c>
      <c r="I28" s="125">
        <v>7500000</v>
      </c>
      <c r="J28" s="125">
        <v>7500000</v>
      </c>
      <c r="K28" s="125">
        <v>7000000</v>
      </c>
      <c r="L28" s="125">
        <v>0</v>
      </c>
      <c r="M28" s="125">
        <v>0</v>
      </c>
      <c r="N28" s="247">
        <v>0</v>
      </c>
      <c r="O28" s="247">
        <v>500000</v>
      </c>
      <c r="P28" s="145"/>
      <c r="Q28" s="145"/>
      <c r="R28" s="145"/>
      <c r="S28" s="145"/>
      <c r="T28" s="145"/>
      <c r="U28" s="145"/>
      <c r="V28" s="145"/>
      <c r="W28" s="145"/>
      <c r="X28" s="145"/>
      <c r="Y28" s="145"/>
      <c r="Z28" s="145"/>
      <c r="AA28" s="145"/>
      <c r="AB28" s="145"/>
      <c r="AC28" s="145"/>
      <c r="AD28" s="145"/>
      <c r="AE28" s="145"/>
      <c r="AF28" s="145"/>
      <c r="AG28" s="145"/>
      <c r="AH28" s="145"/>
      <c r="AI28" s="145"/>
      <c r="AJ28" s="145"/>
      <c r="AK28" s="145"/>
      <c r="AL28" s="145"/>
      <c r="AM28" s="145"/>
      <c r="AN28" s="145"/>
      <c r="AO28" s="145"/>
      <c r="AP28" s="145"/>
      <c r="AQ28" s="145"/>
      <c r="AR28" s="145"/>
      <c r="AS28" s="145"/>
      <c r="AT28" s="145"/>
      <c r="AU28" s="145"/>
      <c r="AV28" s="145"/>
      <c r="AW28" s="145"/>
      <c r="AX28" s="145"/>
      <c r="AY28" s="145"/>
      <c r="AZ28" s="145"/>
      <c r="BA28" s="145"/>
      <c r="BB28" s="145"/>
      <c r="BC28" s="145"/>
      <c r="BD28" s="145"/>
      <c r="BE28" s="145"/>
      <c r="BF28" s="145"/>
      <c r="BG28" s="145"/>
      <c r="BH28" s="145"/>
      <c r="BI28" s="145"/>
      <c r="BJ28" s="145"/>
      <c r="BK28" s="145"/>
      <c r="BL28" s="145"/>
      <c r="BM28" s="145"/>
      <c r="BN28" s="145"/>
      <c r="BO28" s="145"/>
      <c r="BP28" s="145"/>
      <c r="BQ28" s="145"/>
      <c r="BR28" s="145"/>
      <c r="BS28" s="145"/>
      <c r="BT28" s="145"/>
      <c r="BU28" s="145"/>
      <c r="BV28" s="145"/>
      <c r="BW28" s="145"/>
      <c r="BX28" s="145"/>
    </row>
    <row r="29" spans="1:76" ht="15.75">
      <c r="A29" s="70" t="s">
        <v>3460</v>
      </c>
      <c r="B29" s="104" t="s">
        <v>5757</v>
      </c>
      <c r="C29" s="72" t="s">
        <v>652</v>
      </c>
      <c r="D29" s="125">
        <v>3305964246</v>
      </c>
      <c r="E29" s="125">
        <v>3087694698</v>
      </c>
      <c r="F29" s="125">
        <v>400282726</v>
      </c>
      <c r="G29" s="247">
        <v>400282726</v>
      </c>
      <c r="H29" s="125">
        <v>0</v>
      </c>
      <c r="I29" s="125">
        <v>1630361499</v>
      </c>
      <c r="J29" s="125">
        <v>1630361499</v>
      </c>
      <c r="K29" s="125">
        <v>-554075727</v>
      </c>
      <c r="L29" s="125">
        <v>0</v>
      </c>
      <c r="M29" s="125">
        <v>0</v>
      </c>
      <c r="N29" s="247">
        <v>0</v>
      </c>
      <c r="O29" s="247">
        <v>2184437226</v>
      </c>
      <c r="P29" s="145"/>
      <c r="Q29" s="145"/>
      <c r="R29" s="145"/>
      <c r="S29" s="145"/>
      <c r="T29" s="145"/>
      <c r="U29" s="145"/>
      <c r="V29" s="145"/>
      <c r="W29" s="145"/>
      <c r="X29" s="145"/>
      <c r="Y29" s="145"/>
      <c r="Z29" s="145"/>
      <c r="AA29" s="145"/>
      <c r="AB29" s="145"/>
      <c r="AC29" s="145"/>
      <c r="AD29" s="145"/>
      <c r="AE29" s="145"/>
      <c r="AF29" s="145"/>
      <c r="AG29" s="145"/>
      <c r="AH29" s="145"/>
      <c r="AI29" s="145"/>
      <c r="AJ29" s="145"/>
      <c r="AK29" s="145"/>
      <c r="AL29" s="145"/>
      <c r="AM29" s="145"/>
      <c r="AN29" s="145"/>
      <c r="AO29" s="145"/>
      <c r="AP29" s="145"/>
      <c r="AQ29" s="145"/>
      <c r="AR29" s="145"/>
      <c r="AS29" s="145"/>
      <c r="AT29" s="145"/>
      <c r="AU29" s="145"/>
      <c r="AV29" s="145"/>
      <c r="AW29" s="145"/>
      <c r="AX29" s="145"/>
      <c r="AY29" s="145"/>
      <c r="AZ29" s="145"/>
      <c r="BA29" s="145"/>
      <c r="BB29" s="145"/>
      <c r="BC29" s="145"/>
      <c r="BD29" s="145"/>
      <c r="BE29" s="145"/>
      <c r="BF29" s="145"/>
      <c r="BG29" s="145"/>
      <c r="BH29" s="145"/>
      <c r="BI29" s="145"/>
      <c r="BJ29" s="145"/>
      <c r="BK29" s="145"/>
      <c r="BL29" s="145"/>
      <c r="BM29" s="145"/>
      <c r="BN29" s="145"/>
      <c r="BO29" s="145"/>
      <c r="BP29" s="145"/>
      <c r="BQ29" s="145"/>
      <c r="BR29" s="145"/>
      <c r="BS29" s="145"/>
      <c r="BT29" s="145"/>
      <c r="BU29" s="145"/>
      <c r="BV29" s="145"/>
      <c r="BW29" s="145"/>
      <c r="BX29" s="145"/>
    </row>
    <row r="30" spans="1:76" ht="15.75">
      <c r="A30" s="70"/>
      <c r="B30" s="248"/>
      <c r="C30" s="72"/>
      <c r="D30" s="125">
        <v>0</v>
      </c>
      <c r="E30" s="125">
        <v>0</v>
      </c>
      <c r="F30" s="125">
        <v>0</v>
      </c>
      <c r="G30" s="247">
        <v>0</v>
      </c>
      <c r="H30" s="125">
        <v>0</v>
      </c>
      <c r="I30" s="125">
        <v>0</v>
      </c>
      <c r="J30" s="125">
        <v>0</v>
      </c>
      <c r="K30" s="125">
        <v>0</v>
      </c>
      <c r="L30" s="125">
        <v>0</v>
      </c>
      <c r="M30" s="125">
        <v>0</v>
      </c>
      <c r="N30" s="247">
        <v>0</v>
      </c>
      <c r="O30" s="247">
        <v>0</v>
      </c>
      <c r="P30" s="145"/>
      <c r="Q30" s="145"/>
      <c r="R30" s="145"/>
      <c r="S30" s="145"/>
      <c r="T30" s="145"/>
      <c r="U30" s="145"/>
      <c r="V30" s="145"/>
      <c r="W30" s="145"/>
      <c r="X30" s="145"/>
      <c r="Y30" s="145"/>
      <c r="Z30" s="145"/>
      <c r="AA30" s="145"/>
      <c r="AB30" s="145"/>
      <c r="AC30" s="145"/>
      <c r="AD30" s="145"/>
      <c r="AE30" s="145"/>
      <c r="AF30" s="145"/>
      <c r="AG30" s="145"/>
      <c r="AH30" s="145"/>
      <c r="AI30" s="145"/>
      <c r="AJ30" s="145"/>
      <c r="AK30" s="145"/>
      <c r="AL30" s="145"/>
      <c r="AM30" s="145"/>
      <c r="AN30" s="145"/>
      <c r="AO30" s="145"/>
      <c r="AP30" s="145"/>
      <c r="AQ30" s="145"/>
      <c r="AR30" s="145"/>
      <c r="AS30" s="145"/>
      <c r="AT30" s="145"/>
      <c r="AU30" s="145"/>
      <c r="AV30" s="145"/>
      <c r="AW30" s="145"/>
      <c r="AX30" s="145"/>
      <c r="AY30" s="145"/>
      <c r="AZ30" s="145"/>
      <c r="BA30" s="145"/>
      <c r="BB30" s="145"/>
      <c r="BC30" s="145"/>
      <c r="BD30" s="145"/>
      <c r="BE30" s="145"/>
      <c r="BF30" s="145"/>
      <c r="BG30" s="145"/>
      <c r="BH30" s="145"/>
      <c r="BI30" s="145"/>
      <c r="BJ30" s="145"/>
      <c r="BK30" s="145"/>
      <c r="BL30" s="145"/>
      <c r="BM30" s="145"/>
      <c r="BN30" s="145"/>
      <c r="BO30" s="145"/>
      <c r="BP30" s="145"/>
      <c r="BQ30" s="145"/>
      <c r="BR30" s="145"/>
      <c r="BS30" s="145"/>
      <c r="BT30" s="145"/>
      <c r="BU30" s="145"/>
      <c r="BV30" s="145"/>
      <c r="BW30" s="145"/>
      <c r="BX30" s="145"/>
    </row>
    <row r="31" spans="1:76" ht="15.75">
      <c r="A31" s="77" t="s">
        <v>3446</v>
      </c>
      <c r="B31" s="104" t="s">
        <v>146</v>
      </c>
      <c r="C31" s="72"/>
      <c r="D31" s="125">
        <v>4782638747</v>
      </c>
      <c r="E31" s="125">
        <v>5165719080</v>
      </c>
      <c r="F31" s="125">
        <v>3145131258</v>
      </c>
      <c r="G31" s="247">
        <v>1606728440.22</v>
      </c>
      <c r="H31" s="125">
        <v>1388033342</v>
      </c>
      <c r="I31" s="125">
        <v>6214961499</v>
      </c>
      <c r="J31" s="125">
        <v>6214961499</v>
      </c>
      <c r="K31" s="125">
        <v>3586124273</v>
      </c>
      <c r="L31" s="125">
        <v>0</v>
      </c>
      <c r="M31" s="125">
        <v>0</v>
      </c>
      <c r="N31" s="123">
        <v>348800000</v>
      </c>
      <c r="O31" s="123">
        <v>2977637226</v>
      </c>
      <c r="P31" s="145"/>
      <c r="Q31" s="145"/>
      <c r="R31" s="145"/>
      <c r="S31" s="145"/>
      <c r="T31" s="145"/>
      <c r="U31" s="145"/>
      <c r="V31" s="145"/>
      <c r="W31" s="145"/>
      <c r="X31" s="145"/>
      <c r="Y31" s="145"/>
      <c r="Z31" s="145"/>
      <c r="AA31" s="145"/>
      <c r="AB31" s="145"/>
      <c r="AC31" s="145"/>
      <c r="AD31" s="145"/>
      <c r="AE31" s="145"/>
      <c r="AF31" s="145"/>
      <c r="AG31" s="145"/>
      <c r="AH31" s="145"/>
      <c r="AI31" s="145"/>
      <c r="AJ31" s="145"/>
      <c r="AK31" s="145"/>
      <c r="AL31" s="145"/>
      <c r="AM31" s="145"/>
      <c r="AN31" s="145"/>
      <c r="AO31" s="145"/>
      <c r="AP31" s="145"/>
      <c r="AQ31" s="145"/>
      <c r="AR31" s="145"/>
      <c r="AS31" s="145"/>
      <c r="AT31" s="145"/>
      <c r="AU31" s="145"/>
      <c r="AV31" s="145"/>
      <c r="AW31" s="145"/>
      <c r="AX31" s="145"/>
      <c r="AY31" s="145"/>
      <c r="AZ31" s="145"/>
      <c r="BA31" s="145"/>
      <c r="BB31" s="145"/>
      <c r="BC31" s="145"/>
      <c r="BD31" s="145"/>
      <c r="BE31" s="145"/>
      <c r="BF31" s="145"/>
      <c r="BG31" s="145"/>
      <c r="BH31" s="145"/>
      <c r="BI31" s="145"/>
      <c r="BJ31" s="145"/>
      <c r="BK31" s="145"/>
      <c r="BL31" s="145"/>
      <c r="BM31" s="145"/>
      <c r="BN31" s="145"/>
      <c r="BO31" s="145"/>
      <c r="BP31" s="145"/>
      <c r="BQ31" s="145"/>
      <c r="BR31" s="145"/>
      <c r="BS31" s="145"/>
      <c r="BT31" s="145"/>
      <c r="BU31" s="145"/>
      <c r="BV31" s="145"/>
      <c r="BW31" s="145"/>
      <c r="BX31" s="145"/>
    </row>
    <row r="32" spans="1:76" ht="15.75">
      <c r="A32" s="70"/>
      <c r="B32" s="248"/>
      <c r="C32" s="72"/>
      <c r="D32" s="125">
        <v>0</v>
      </c>
      <c r="E32" s="125">
        <v>0</v>
      </c>
      <c r="F32" s="125">
        <v>0</v>
      </c>
      <c r="G32" s="247">
        <v>0</v>
      </c>
      <c r="H32" s="125">
        <v>0</v>
      </c>
      <c r="I32" s="125">
        <v>0</v>
      </c>
      <c r="J32" s="125">
        <v>0</v>
      </c>
      <c r="K32" s="125">
        <v>0</v>
      </c>
      <c r="L32" s="125">
        <v>0</v>
      </c>
      <c r="M32" s="125">
        <v>0</v>
      </c>
      <c r="N32" s="247">
        <v>0</v>
      </c>
      <c r="O32" s="247">
        <v>0</v>
      </c>
      <c r="P32" s="145"/>
      <c r="Q32" s="145"/>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5"/>
      <c r="AO32" s="145"/>
      <c r="AP32" s="145"/>
      <c r="AQ32" s="145"/>
      <c r="AR32" s="145"/>
      <c r="AS32" s="145"/>
      <c r="AT32" s="145"/>
      <c r="AU32" s="145"/>
      <c r="AV32" s="145"/>
      <c r="AW32" s="145"/>
      <c r="AX32" s="145"/>
      <c r="AY32" s="145"/>
      <c r="AZ32" s="145"/>
      <c r="BA32" s="145"/>
      <c r="BB32" s="145"/>
      <c r="BC32" s="145"/>
      <c r="BD32" s="145"/>
      <c r="BE32" s="145"/>
      <c r="BF32" s="145"/>
      <c r="BG32" s="145"/>
      <c r="BH32" s="145"/>
      <c r="BI32" s="145"/>
      <c r="BJ32" s="145"/>
      <c r="BK32" s="145"/>
      <c r="BL32" s="145"/>
      <c r="BM32" s="145"/>
      <c r="BN32" s="145"/>
      <c r="BO32" s="145"/>
      <c r="BP32" s="145"/>
      <c r="BQ32" s="145"/>
      <c r="BR32" s="145"/>
      <c r="BS32" s="145"/>
      <c r="BT32" s="145"/>
      <c r="BU32" s="145"/>
      <c r="BV32" s="145"/>
      <c r="BW32" s="145"/>
      <c r="BX32" s="145"/>
    </row>
    <row r="33" spans="1:76" ht="15.75">
      <c r="A33" s="70" t="s">
        <v>3447</v>
      </c>
      <c r="B33" s="104" t="s">
        <v>5758</v>
      </c>
      <c r="C33" s="72"/>
      <c r="D33" s="125">
        <v>0</v>
      </c>
      <c r="E33" s="125">
        <v>0</v>
      </c>
      <c r="F33" s="125">
        <v>0</v>
      </c>
      <c r="G33" s="247">
        <v>0</v>
      </c>
      <c r="H33" s="125">
        <v>0</v>
      </c>
      <c r="I33" s="125">
        <v>0</v>
      </c>
      <c r="J33" s="125">
        <v>0</v>
      </c>
      <c r="K33" s="125">
        <v>0</v>
      </c>
      <c r="L33" s="125">
        <v>0</v>
      </c>
      <c r="M33" s="125">
        <v>0</v>
      </c>
      <c r="N33" s="247">
        <v>0</v>
      </c>
      <c r="O33" s="247">
        <v>0</v>
      </c>
      <c r="P33" s="145"/>
      <c r="Q33" s="145"/>
      <c r="R33" s="145"/>
      <c r="S33" s="145"/>
      <c r="T33" s="145"/>
      <c r="U33" s="145"/>
      <c r="V33" s="145"/>
      <c r="W33" s="145"/>
      <c r="X33" s="145"/>
      <c r="Y33" s="145"/>
      <c r="Z33" s="145"/>
      <c r="AA33" s="145"/>
      <c r="AB33" s="145"/>
      <c r="AC33" s="145"/>
      <c r="AD33" s="145"/>
      <c r="AE33" s="145"/>
      <c r="AF33" s="145"/>
      <c r="AG33" s="145"/>
      <c r="AH33" s="145"/>
      <c r="AI33" s="145"/>
      <c r="AJ33" s="145"/>
      <c r="AK33" s="145"/>
      <c r="AL33" s="145"/>
      <c r="AM33" s="145"/>
      <c r="AN33" s="145"/>
      <c r="AO33" s="145"/>
      <c r="AP33" s="145"/>
      <c r="AQ33" s="145"/>
      <c r="AR33" s="145"/>
      <c r="AS33" s="145"/>
      <c r="AT33" s="145"/>
      <c r="AU33" s="145"/>
      <c r="AV33" s="145"/>
      <c r="AW33" s="145"/>
      <c r="AX33" s="145"/>
      <c r="AY33" s="145"/>
      <c r="AZ33" s="145"/>
      <c r="BA33" s="145"/>
      <c r="BB33" s="145"/>
      <c r="BC33" s="145"/>
      <c r="BD33" s="145"/>
      <c r="BE33" s="145"/>
      <c r="BF33" s="145"/>
      <c r="BG33" s="145"/>
      <c r="BH33" s="145"/>
      <c r="BI33" s="145"/>
      <c r="BJ33" s="145"/>
      <c r="BK33" s="145"/>
      <c r="BL33" s="145"/>
      <c r="BM33" s="145"/>
      <c r="BN33" s="145"/>
      <c r="BO33" s="145"/>
      <c r="BP33" s="145"/>
      <c r="BQ33" s="145"/>
      <c r="BR33" s="145"/>
      <c r="BS33" s="145"/>
      <c r="BT33" s="145"/>
      <c r="BU33" s="145"/>
      <c r="BV33" s="145"/>
      <c r="BW33" s="145"/>
      <c r="BX33" s="145"/>
    </row>
    <row r="34" spans="1:76" ht="15.75">
      <c r="A34" s="70" t="s">
        <v>3448</v>
      </c>
      <c r="B34" s="248" t="s">
        <v>5759</v>
      </c>
      <c r="C34" s="72" t="s">
        <v>749</v>
      </c>
      <c r="D34" s="125">
        <v>193347221</v>
      </c>
      <c r="E34" s="125">
        <v>181297563</v>
      </c>
      <c r="F34" s="125">
        <v>237495666</v>
      </c>
      <c r="G34" s="247">
        <v>204553091</v>
      </c>
      <c r="H34" s="125">
        <v>106743016</v>
      </c>
      <c r="I34" s="125">
        <v>170000000</v>
      </c>
      <c r="J34" s="125">
        <v>170000000</v>
      </c>
      <c r="K34" s="125">
        <v>130000000</v>
      </c>
      <c r="L34" s="125">
        <v>0</v>
      </c>
      <c r="M34" s="125">
        <v>0</v>
      </c>
      <c r="N34" s="247">
        <v>0</v>
      </c>
      <c r="O34" s="247">
        <v>40000000</v>
      </c>
      <c r="P34" s="145"/>
      <c r="Q34" s="145"/>
      <c r="R34" s="145"/>
      <c r="S34" s="145"/>
      <c r="T34" s="145"/>
      <c r="U34" s="145"/>
      <c r="V34" s="145"/>
      <c r="W34" s="145"/>
      <c r="X34" s="145"/>
      <c r="Y34" s="145"/>
      <c r="Z34" s="145"/>
      <c r="AA34" s="145"/>
      <c r="AB34" s="145"/>
      <c r="AC34" s="145"/>
      <c r="AD34" s="145"/>
      <c r="AE34" s="145"/>
      <c r="AF34" s="145"/>
      <c r="AG34" s="145"/>
      <c r="AH34" s="145"/>
      <c r="AI34" s="145"/>
      <c r="AJ34" s="145"/>
      <c r="AK34" s="145"/>
      <c r="AL34" s="145"/>
      <c r="AM34" s="145"/>
      <c r="AN34" s="145"/>
      <c r="AO34" s="145"/>
      <c r="AP34" s="145"/>
      <c r="AQ34" s="145"/>
      <c r="AR34" s="145"/>
      <c r="AS34" s="145"/>
      <c r="AT34" s="145"/>
      <c r="AU34" s="145"/>
      <c r="AV34" s="145"/>
      <c r="AW34" s="145"/>
      <c r="AX34" s="145"/>
      <c r="AY34" s="145"/>
      <c r="AZ34" s="145"/>
      <c r="BA34" s="145"/>
      <c r="BB34" s="145"/>
      <c r="BC34" s="145"/>
      <c r="BD34" s="145"/>
      <c r="BE34" s="145"/>
      <c r="BF34" s="145"/>
      <c r="BG34" s="145"/>
      <c r="BH34" s="145"/>
      <c r="BI34" s="145"/>
      <c r="BJ34" s="145"/>
      <c r="BK34" s="145"/>
      <c r="BL34" s="145"/>
      <c r="BM34" s="145"/>
      <c r="BN34" s="145"/>
      <c r="BO34" s="145"/>
      <c r="BP34" s="145"/>
      <c r="BQ34" s="145"/>
      <c r="BR34" s="145"/>
      <c r="BS34" s="145"/>
      <c r="BT34" s="145"/>
      <c r="BU34" s="145"/>
      <c r="BV34" s="145"/>
      <c r="BW34" s="145"/>
      <c r="BX34" s="145"/>
    </row>
    <row r="35" spans="1:76" ht="15.75">
      <c r="A35" s="70" t="s">
        <v>3449</v>
      </c>
      <c r="B35" s="104" t="s">
        <v>5760</v>
      </c>
      <c r="C35" s="72" t="s">
        <v>750</v>
      </c>
      <c r="D35" s="125">
        <v>34000327</v>
      </c>
      <c r="E35" s="125">
        <v>20768047</v>
      </c>
      <c r="F35" s="125">
        <v>12409034</v>
      </c>
      <c r="G35" s="247">
        <v>12409034</v>
      </c>
      <c r="H35" s="125">
        <v>31243551</v>
      </c>
      <c r="I35" s="125">
        <v>55000000</v>
      </c>
      <c r="J35" s="125">
        <v>55000000</v>
      </c>
      <c r="K35" s="125">
        <v>50000000</v>
      </c>
      <c r="L35" s="125">
        <v>0</v>
      </c>
      <c r="M35" s="125">
        <v>0</v>
      </c>
      <c r="N35" s="247">
        <v>0</v>
      </c>
      <c r="O35" s="247">
        <v>5000000</v>
      </c>
      <c r="P35" s="145"/>
      <c r="Q35" s="145"/>
      <c r="R35" s="145"/>
      <c r="S35" s="145"/>
      <c r="T35" s="145"/>
      <c r="U35" s="145"/>
      <c r="V35" s="145"/>
      <c r="W35" s="145"/>
      <c r="X35" s="145"/>
      <c r="Y35" s="145"/>
      <c r="Z35" s="145"/>
      <c r="AA35" s="145"/>
      <c r="AB35" s="145"/>
      <c r="AC35" s="145"/>
      <c r="AD35" s="145"/>
      <c r="AE35" s="145"/>
      <c r="AF35" s="145"/>
      <c r="AG35" s="145"/>
      <c r="AH35" s="145"/>
      <c r="AI35" s="145"/>
      <c r="AJ35" s="145"/>
      <c r="AK35" s="145"/>
      <c r="AL35" s="145"/>
      <c r="AM35" s="145"/>
      <c r="AN35" s="145"/>
      <c r="AO35" s="145"/>
      <c r="AP35" s="145"/>
      <c r="AQ35" s="145"/>
      <c r="AR35" s="145"/>
      <c r="AS35" s="145"/>
      <c r="AT35" s="145"/>
      <c r="AU35" s="145"/>
      <c r="AV35" s="145"/>
      <c r="AW35" s="145"/>
      <c r="AX35" s="145"/>
      <c r="AY35" s="145"/>
      <c r="AZ35" s="145"/>
      <c r="BA35" s="145"/>
      <c r="BB35" s="145"/>
      <c r="BC35" s="145"/>
      <c r="BD35" s="145"/>
      <c r="BE35" s="145"/>
      <c r="BF35" s="145"/>
      <c r="BG35" s="145"/>
      <c r="BH35" s="145"/>
      <c r="BI35" s="145"/>
      <c r="BJ35" s="145"/>
      <c r="BK35" s="145"/>
      <c r="BL35" s="145"/>
      <c r="BM35" s="145"/>
      <c r="BN35" s="145"/>
      <c r="BO35" s="145"/>
      <c r="BP35" s="145"/>
      <c r="BQ35" s="145"/>
      <c r="BR35" s="145"/>
      <c r="BS35" s="145"/>
      <c r="BT35" s="145"/>
      <c r="BU35" s="145"/>
      <c r="BV35" s="145"/>
      <c r="BW35" s="145"/>
      <c r="BX35" s="145"/>
    </row>
    <row r="36" spans="1:76" ht="15.75">
      <c r="A36" s="70"/>
      <c r="B36" s="248"/>
      <c r="C36" s="72"/>
      <c r="D36" s="125">
        <v>0</v>
      </c>
      <c r="E36" s="125">
        <v>0</v>
      </c>
      <c r="F36" s="125">
        <v>0</v>
      </c>
      <c r="G36" s="247">
        <v>0</v>
      </c>
      <c r="H36" s="125">
        <v>0</v>
      </c>
      <c r="I36" s="125">
        <v>0</v>
      </c>
      <c r="J36" s="125">
        <v>0</v>
      </c>
      <c r="K36" s="125">
        <v>0</v>
      </c>
      <c r="L36" s="125">
        <v>0</v>
      </c>
      <c r="M36" s="125">
        <v>0</v>
      </c>
      <c r="N36" s="247">
        <v>0</v>
      </c>
      <c r="O36" s="247">
        <v>0</v>
      </c>
      <c r="P36" s="145"/>
      <c r="Q36" s="145"/>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5"/>
      <c r="BA36" s="145"/>
      <c r="BB36" s="145"/>
      <c r="BC36" s="145"/>
      <c r="BD36" s="145"/>
      <c r="BE36" s="145"/>
      <c r="BF36" s="145"/>
      <c r="BG36" s="145"/>
      <c r="BH36" s="145"/>
      <c r="BI36" s="145"/>
      <c r="BJ36" s="145"/>
      <c r="BK36" s="145"/>
      <c r="BL36" s="145"/>
      <c r="BM36" s="145"/>
      <c r="BN36" s="145"/>
      <c r="BO36" s="145"/>
      <c r="BP36" s="145"/>
      <c r="BQ36" s="145"/>
      <c r="BR36" s="145"/>
      <c r="BS36" s="145"/>
      <c r="BT36" s="145"/>
      <c r="BU36" s="145"/>
      <c r="BV36" s="145"/>
      <c r="BW36" s="145"/>
      <c r="BX36" s="145"/>
    </row>
    <row r="37" spans="1:76" ht="15.75">
      <c r="A37" s="77" t="s">
        <v>3450</v>
      </c>
      <c r="B37" s="104" t="s">
        <v>146</v>
      </c>
      <c r="C37" s="72"/>
      <c r="D37" s="125">
        <v>227347548</v>
      </c>
      <c r="E37" s="125">
        <v>202065610</v>
      </c>
      <c r="F37" s="125">
        <v>249904700</v>
      </c>
      <c r="G37" s="247">
        <v>216962125</v>
      </c>
      <c r="H37" s="125">
        <v>137986567</v>
      </c>
      <c r="I37" s="125">
        <v>225000000</v>
      </c>
      <c r="J37" s="125">
        <v>225000000</v>
      </c>
      <c r="K37" s="125">
        <v>180000000</v>
      </c>
      <c r="L37" s="125">
        <v>0</v>
      </c>
      <c r="M37" s="125">
        <v>0</v>
      </c>
      <c r="N37" s="123">
        <v>0</v>
      </c>
      <c r="O37" s="123">
        <v>45000000</v>
      </c>
      <c r="P37" s="145"/>
      <c r="Q37" s="145"/>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5"/>
      <c r="AR37" s="145"/>
      <c r="AS37" s="145"/>
      <c r="AT37" s="145"/>
      <c r="AU37" s="145"/>
      <c r="AV37" s="145"/>
      <c r="AW37" s="145"/>
      <c r="AX37" s="145"/>
      <c r="AY37" s="145"/>
      <c r="AZ37" s="145"/>
      <c r="BA37" s="145"/>
      <c r="BB37" s="145"/>
      <c r="BC37" s="145"/>
      <c r="BD37" s="145"/>
      <c r="BE37" s="145"/>
      <c r="BF37" s="145"/>
      <c r="BG37" s="145"/>
      <c r="BH37" s="145"/>
      <c r="BI37" s="145"/>
      <c r="BJ37" s="145"/>
      <c r="BK37" s="145"/>
      <c r="BL37" s="145"/>
      <c r="BM37" s="145"/>
      <c r="BN37" s="145"/>
      <c r="BO37" s="145"/>
      <c r="BP37" s="145"/>
      <c r="BQ37" s="145"/>
      <c r="BR37" s="145"/>
      <c r="BS37" s="145"/>
      <c r="BT37" s="145"/>
      <c r="BU37" s="145"/>
      <c r="BV37" s="145"/>
      <c r="BW37" s="145"/>
      <c r="BX37" s="145"/>
    </row>
    <row r="38" spans="1:76" ht="15.75">
      <c r="A38" s="70"/>
      <c r="B38" s="248"/>
      <c r="C38" s="72"/>
      <c r="D38" s="125">
        <v>0</v>
      </c>
      <c r="E38" s="125">
        <v>0</v>
      </c>
      <c r="F38" s="125">
        <v>0</v>
      </c>
      <c r="G38" s="247">
        <v>0</v>
      </c>
      <c r="H38" s="125">
        <v>0</v>
      </c>
      <c r="I38" s="125">
        <v>0</v>
      </c>
      <c r="J38" s="125">
        <v>0</v>
      </c>
      <c r="K38" s="125">
        <v>0</v>
      </c>
      <c r="L38" s="125">
        <v>0</v>
      </c>
      <c r="M38" s="125">
        <v>0</v>
      </c>
      <c r="N38" s="247">
        <v>0</v>
      </c>
      <c r="O38" s="247">
        <v>0</v>
      </c>
      <c r="P38" s="145"/>
      <c r="Q38" s="145"/>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5"/>
      <c r="BD38" s="145"/>
      <c r="BE38" s="145"/>
      <c r="BF38" s="145"/>
      <c r="BG38" s="145"/>
      <c r="BH38" s="145"/>
      <c r="BI38" s="145"/>
      <c r="BJ38" s="145"/>
      <c r="BK38" s="145"/>
      <c r="BL38" s="145"/>
      <c r="BM38" s="145"/>
      <c r="BN38" s="145"/>
      <c r="BO38" s="145"/>
      <c r="BP38" s="145"/>
      <c r="BQ38" s="145"/>
      <c r="BR38" s="145"/>
      <c r="BS38" s="145"/>
      <c r="BT38" s="145"/>
      <c r="BU38" s="145"/>
      <c r="BV38" s="145"/>
      <c r="BW38" s="145"/>
      <c r="BX38" s="145"/>
    </row>
    <row r="39" spans="1:76" ht="31.5">
      <c r="A39" s="70" t="s">
        <v>10519</v>
      </c>
      <c r="B39" s="104"/>
      <c r="C39" s="72" t="s">
        <v>12670</v>
      </c>
      <c r="D39" s="125"/>
      <c r="E39" s="125"/>
      <c r="F39" s="125"/>
      <c r="G39" s="247"/>
      <c r="H39" s="125"/>
      <c r="I39" s="125"/>
      <c r="J39" s="125"/>
      <c r="K39" s="125">
        <v>350000000</v>
      </c>
      <c r="L39" s="125">
        <v>0</v>
      </c>
      <c r="M39" s="125"/>
      <c r="N39" s="247">
        <v>350000000</v>
      </c>
      <c r="O39" s="247">
        <v>0</v>
      </c>
      <c r="P39" s="145"/>
      <c r="Q39" s="145"/>
      <c r="R39" s="145"/>
      <c r="S39" s="145"/>
      <c r="T39" s="145"/>
      <c r="U39" s="145"/>
      <c r="V39" s="145"/>
      <c r="W39" s="145"/>
      <c r="X39" s="145"/>
      <c r="Y39" s="145"/>
      <c r="Z39" s="145"/>
      <c r="AA39" s="145"/>
      <c r="AB39" s="145"/>
      <c r="AC39" s="145"/>
      <c r="AD39" s="145"/>
      <c r="AE39" s="145"/>
      <c r="AF39" s="145"/>
      <c r="AG39" s="145"/>
      <c r="AH39" s="145"/>
      <c r="AI39" s="145"/>
      <c r="AJ39" s="145"/>
      <c r="AK39" s="145"/>
      <c r="AL39" s="145"/>
      <c r="AM39" s="145"/>
      <c r="AN39" s="145"/>
      <c r="AO39" s="145"/>
      <c r="AP39" s="145"/>
      <c r="AQ39" s="145"/>
      <c r="AR39" s="145"/>
      <c r="AS39" s="145"/>
      <c r="AT39" s="145"/>
      <c r="AU39" s="145"/>
      <c r="AV39" s="145"/>
      <c r="AW39" s="145"/>
      <c r="AX39" s="145"/>
      <c r="AY39" s="145"/>
      <c r="AZ39" s="145"/>
      <c r="BA39" s="145"/>
      <c r="BB39" s="145"/>
      <c r="BC39" s="145"/>
      <c r="BD39" s="145"/>
      <c r="BE39" s="145"/>
      <c r="BF39" s="145"/>
      <c r="BG39" s="145"/>
      <c r="BH39" s="145"/>
      <c r="BI39" s="145"/>
      <c r="BJ39" s="145"/>
      <c r="BK39" s="145"/>
      <c r="BL39" s="145"/>
      <c r="BM39" s="145"/>
      <c r="BN39" s="145"/>
      <c r="BO39" s="145"/>
      <c r="BP39" s="145"/>
      <c r="BQ39" s="145"/>
      <c r="BR39" s="145"/>
      <c r="BS39" s="145"/>
      <c r="BT39" s="145"/>
      <c r="BU39" s="145"/>
      <c r="BV39" s="145"/>
      <c r="BW39" s="145"/>
      <c r="BX39" s="145"/>
    </row>
    <row r="40" spans="1:76" ht="31.5">
      <c r="A40" s="70" t="s">
        <v>10520</v>
      </c>
      <c r="B40" s="104"/>
      <c r="C40" s="72" t="s">
        <v>12671</v>
      </c>
      <c r="D40" s="125"/>
      <c r="E40" s="125"/>
      <c r="F40" s="125"/>
      <c r="G40" s="247"/>
      <c r="H40" s="125"/>
      <c r="I40" s="125"/>
      <c r="J40" s="125"/>
      <c r="K40" s="125">
        <v>2610000000</v>
      </c>
      <c r="L40" s="125">
        <v>0</v>
      </c>
      <c r="M40" s="125"/>
      <c r="N40" s="247">
        <v>2610000000</v>
      </c>
      <c r="O40" s="247">
        <v>0</v>
      </c>
      <c r="P40" s="145"/>
      <c r="Q40" s="145"/>
      <c r="R40" s="145"/>
      <c r="S40" s="145"/>
      <c r="T40" s="145"/>
      <c r="U40" s="145"/>
      <c r="V40" s="145"/>
      <c r="W40" s="145"/>
      <c r="X40" s="145"/>
      <c r="Y40" s="145"/>
      <c r="Z40" s="145"/>
      <c r="AA40" s="145"/>
      <c r="AB40" s="145"/>
      <c r="AC40" s="145"/>
      <c r="AD40" s="145"/>
      <c r="AE40" s="145"/>
      <c r="AF40" s="145"/>
      <c r="AG40" s="145"/>
      <c r="AH40" s="145"/>
      <c r="AI40" s="145"/>
      <c r="AJ40" s="145"/>
      <c r="AK40" s="145"/>
      <c r="AL40" s="145"/>
      <c r="AM40" s="145"/>
      <c r="AN40" s="145"/>
      <c r="AO40" s="145"/>
      <c r="AP40" s="145"/>
      <c r="AQ40" s="145"/>
      <c r="AR40" s="145"/>
      <c r="AS40" s="145"/>
      <c r="AT40" s="145"/>
      <c r="AU40" s="145"/>
      <c r="AV40" s="145"/>
      <c r="AW40" s="145"/>
      <c r="AX40" s="145"/>
      <c r="AY40" s="145"/>
      <c r="AZ40" s="145"/>
      <c r="BA40" s="145"/>
      <c r="BB40" s="145"/>
      <c r="BC40" s="145"/>
      <c r="BD40" s="145"/>
      <c r="BE40" s="145"/>
      <c r="BF40" s="145"/>
      <c r="BG40" s="145"/>
      <c r="BH40" s="145"/>
      <c r="BI40" s="145"/>
      <c r="BJ40" s="145"/>
      <c r="BK40" s="145"/>
      <c r="BL40" s="145"/>
      <c r="BM40" s="145"/>
      <c r="BN40" s="145"/>
      <c r="BO40" s="145"/>
      <c r="BP40" s="145"/>
      <c r="BQ40" s="145"/>
      <c r="BR40" s="145"/>
      <c r="BS40" s="145"/>
      <c r="BT40" s="145"/>
      <c r="BU40" s="145"/>
      <c r="BV40" s="145"/>
      <c r="BW40" s="145"/>
      <c r="BX40" s="145"/>
    </row>
    <row r="41" spans="1:76" ht="15.75">
      <c r="A41" s="70"/>
      <c r="B41" s="248"/>
      <c r="C41" s="72"/>
      <c r="D41" s="125"/>
      <c r="E41" s="125"/>
      <c r="F41" s="125"/>
      <c r="G41" s="247"/>
      <c r="H41" s="125"/>
      <c r="I41" s="125"/>
      <c r="J41" s="125"/>
      <c r="K41" s="125">
        <v>0</v>
      </c>
      <c r="L41" s="125">
        <v>0</v>
      </c>
      <c r="M41" s="125"/>
      <c r="N41" s="247">
        <v>0</v>
      </c>
      <c r="O41" s="247">
        <v>0</v>
      </c>
      <c r="P41" s="145"/>
      <c r="Q41" s="145"/>
      <c r="R41" s="145"/>
      <c r="S41" s="145"/>
      <c r="T41" s="145"/>
      <c r="U41" s="145"/>
      <c r="V41" s="145"/>
      <c r="W41" s="145"/>
      <c r="X41" s="145"/>
      <c r="Y41" s="145"/>
      <c r="Z41" s="145"/>
      <c r="AA41" s="145"/>
      <c r="AB41" s="145"/>
      <c r="AC41" s="145"/>
      <c r="AD41" s="145"/>
      <c r="AE41" s="145"/>
      <c r="AF41" s="145"/>
      <c r="AG41" s="145"/>
      <c r="AH41" s="145"/>
      <c r="AI41" s="145"/>
      <c r="AJ41" s="145"/>
      <c r="AK41" s="145"/>
      <c r="AL41" s="145"/>
      <c r="AM41" s="145"/>
      <c r="AN41" s="145"/>
      <c r="AO41" s="145"/>
      <c r="AP41" s="145"/>
      <c r="AQ41" s="145"/>
      <c r="AR41" s="145"/>
      <c r="AS41" s="145"/>
      <c r="AT41" s="145"/>
      <c r="AU41" s="145"/>
      <c r="AV41" s="145"/>
      <c r="AW41" s="145"/>
      <c r="AX41" s="145"/>
      <c r="AY41" s="145"/>
      <c r="AZ41" s="145"/>
      <c r="BA41" s="145"/>
      <c r="BB41" s="145"/>
      <c r="BC41" s="145"/>
      <c r="BD41" s="145"/>
      <c r="BE41" s="145"/>
      <c r="BF41" s="145"/>
      <c r="BG41" s="145"/>
      <c r="BH41" s="145"/>
      <c r="BI41" s="145"/>
      <c r="BJ41" s="145"/>
      <c r="BK41" s="145"/>
      <c r="BL41" s="145"/>
      <c r="BM41" s="145"/>
      <c r="BN41" s="145"/>
      <c r="BO41" s="145"/>
      <c r="BP41" s="145"/>
      <c r="BQ41" s="145"/>
      <c r="BR41" s="145"/>
      <c r="BS41" s="145"/>
      <c r="BT41" s="145"/>
      <c r="BU41" s="145"/>
      <c r="BV41" s="145"/>
      <c r="BW41" s="145"/>
      <c r="BX41" s="145"/>
    </row>
    <row r="42" spans="1:76" ht="33.75">
      <c r="A42" s="70" t="s">
        <v>4751</v>
      </c>
      <c r="B42" s="104" t="s">
        <v>5761</v>
      </c>
      <c r="C42" s="72" t="s">
        <v>4809</v>
      </c>
      <c r="D42" s="125">
        <v>0</v>
      </c>
      <c r="E42" s="125">
        <v>0</v>
      </c>
      <c r="F42" s="125">
        <v>0</v>
      </c>
      <c r="G42" s="247">
        <v>0</v>
      </c>
      <c r="H42" s="125">
        <v>0</v>
      </c>
      <c r="I42" s="125">
        <v>896000000</v>
      </c>
      <c r="J42" s="125">
        <v>896000000</v>
      </c>
      <c r="K42" s="125">
        <v>0</v>
      </c>
      <c r="L42" s="125">
        <v>0</v>
      </c>
      <c r="M42" s="125">
        <v>0</v>
      </c>
      <c r="N42" s="247">
        <v>0</v>
      </c>
      <c r="O42" s="247">
        <v>896000000</v>
      </c>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c r="AO42" s="145"/>
      <c r="AP42" s="145"/>
      <c r="AQ42" s="145"/>
      <c r="AR42" s="145"/>
      <c r="AS42" s="145"/>
      <c r="AT42" s="145"/>
      <c r="AU42" s="145"/>
      <c r="AV42" s="145"/>
      <c r="AW42" s="145"/>
      <c r="AX42" s="145"/>
      <c r="AY42" s="145"/>
      <c r="AZ42" s="145"/>
      <c r="BA42" s="145"/>
      <c r="BB42" s="145"/>
      <c r="BC42" s="145"/>
      <c r="BD42" s="145"/>
      <c r="BE42" s="145"/>
      <c r="BF42" s="145"/>
      <c r="BG42" s="145"/>
      <c r="BH42" s="145"/>
      <c r="BI42" s="145"/>
      <c r="BJ42" s="145"/>
      <c r="BK42" s="145"/>
      <c r="BL42" s="145"/>
      <c r="BM42" s="145"/>
      <c r="BN42" s="145"/>
      <c r="BO42" s="145"/>
      <c r="BP42" s="145"/>
      <c r="BQ42" s="145"/>
      <c r="BR42" s="145"/>
      <c r="BS42" s="145"/>
      <c r="BT42" s="145"/>
      <c r="BU42" s="145"/>
      <c r="BV42" s="145"/>
      <c r="BW42" s="145"/>
      <c r="BX42" s="145"/>
    </row>
    <row r="43" spans="1:76" ht="22.5">
      <c r="A43" s="70" t="s">
        <v>4750</v>
      </c>
      <c r="B43" s="104" t="s">
        <v>5762</v>
      </c>
      <c r="C43" s="72" t="s">
        <v>4810</v>
      </c>
      <c r="D43" s="125">
        <v>0</v>
      </c>
      <c r="E43" s="125">
        <v>0</v>
      </c>
      <c r="F43" s="125">
        <v>0</v>
      </c>
      <c r="G43" s="247">
        <v>0</v>
      </c>
      <c r="H43" s="125">
        <v>0</v>
      </c>
      <c r="I43" s="125">
        <v>560000000</v>
      </c>
      <c r="J43" s="125">
        <v>560000000</v>
      </c>
      <c r="K43" s="125">
        <v>1700000000</v>
      </c>
      <c r="L43" s="125">
        <v>0</v>
      </c>
      <c r="M43" s="125">
        <v>0</v>
      </c>
      <c r="N43" s="247">
        <v>1140000000</v>
      </c>
      <c r="O43" s="247">
        <v>0</v>
      </c>
      <c r="P43" s="145"/>
      <c r="Q43" s="145"/>
      <c r="R43" s="145"/>
      <c r="S43" s="145"/>
      <c r="T43" s="145"/>
      <c r="U43" s="145"/>
      <c r="V43" s="145"/>
      <c r="W43" s="145"/>
      <c r="X43" s="145"/>
      <c r="Y43" s="145"/>
      <c r="Z43" s="145"/>
      <c r="AA43" s="145"/>
      <c r="AB43" s="145"/>
      <c r="AC43" s="145"/>
      <c r="AD43" s="145"/>
      <c r="AE43" s="145"/>
      <c r="AF43" s="145"/>
      <c r="AG43" s="145"/>
      <c r="AH43" s="145"/>
      <c r="AI43" s="145"/>
      <c r="AJ43" s="145"/>
      <c r="AK43" s="145"/>
      <c r="AL43" s="145"/>
      <c r="AM43" s="145"/>
      <c r="AN43" s="145"/>
      <c r="AO43" s="145"/>
      <c r="AP43" s="145"/>
      <c r="AQ43" s="145"/>
      <c r="AR43" s="145"/>
      <c r="AS43" s="145"/>
      <c r="AT43" s="145"/>
      <c r="AU43" s="145"/>
      <c r="AV43" s="145"/>
      <c r="AW43" s="145"/>
      <c r="AX43" s="145"/>
      <c r="AY43" s="145"/>
      <c r="AZ43" s="145"/>
      <c r="BA43" s="145"/>
      <c r="BB43" s="145"/>
      <c r="BC43" s="145"/>
      <c r="BD43" s="145"/>
      <c r="BE43" s="145"/>
      <c r="BF43" s="145"/>
      <c r="BG43" s="145"/>
      <c r="BH43" s="145"/>
      <c r="BI43" s="145"/>
      <c r="BJ43" s="145"/>
      <c r="BK43" s="145"/>
      <c r="BL43" s="145"/>
      <c r="BM43" s="145"/>
      <c r="BN43" s="145"/>
      <c r="BO43" s="145"/>
      <c r="BP43" s="145"/>
      <c r="BQ43" s="145"/>
      <c r="BR43" s="145"/>
      <c r="BS43" s="145"/>
      <c r="BT43" s="145"/>
      <c r="BU43" s="145"/>
      <c r="BV43" s="145"/>
      <c r="BW43" s="145"/>
      <c r="BX43" s="145"/>
    </row>
    <row r="44" spans="1:76" ht="31.5">
      <c r="A44" s="70" t="s">
        <v>4747</v>
      </c>
      <c r="B44" s="104" t="s">
        <v>5763</v>
      </c>
      <c r="C44" s="72" t="s">
        <v>4811</v>
      </c>
      <c r="D44" s="125">
        <v>0</v>
      </c>
      <c r="E44" s="125">
        <v>0</v>
      </c>
      <c r="F44" s="125">
        <v>0</v>
      </c>
      <c r="G44" s="247">
        <v>0</v>
      </c>
      <c r="H44" s="125">
        <v>0</v>
      </c>
      <c r="I44" s="125">
        <v>189000000</v>
      </c>
      <c r="J44" s="125">
        <v>189000000</v>
      </c>
      <c r="K44" s="125">
        <v>0</v>
      </c>
      <c r="L44" s="125">
        <v>0</v>
      </c>
      <c r="M44" s="125">
        <v>0</v>
      </c>
      <c r="N44" s="247">
        <v>0</v>
      </c>
      <c r="O44" s="247">
        <v>189000000</v>
      </c>
      <c r="P44" s="145"/>
      <c r="Q44" s="145"/>
      <c r="R44" s="145"/>
      <c r="S44" s="145"/>
      <c r="T44" s="145"/>
      <c r="U44" s="145"/>
      <c r="V44" s="145"/>
      <c r="W44" s="145"/>
      <c r="X44" s="145"/>
      <c r="Y44" s="145"/>
      <c r="Z44" s="145"/>
      <c r="AA44" s="145"/>
      <c r="AB44" s="145"/>
      <c r="AC44" s="145"/>
      <c r="AD44" s="145"/>
      <c r="AE44" s="145"/>
      <c r="AF44" s="145"/>
      <c r="AG44" s="145"/>
      <c r="AH44" s="145"/>
      <c r="AI44" s="145"/>
      <c r="AJ44" s="145"/>
      <c r="AK44" s="145"/>
      <c r="AL44" s="145"/>
      <c r="AM44" s="145"/>
      <c r="AN44" s="145"/>
      <c r="AO44" s="145"/>
      <c r="AP44" s="145"/>
      <c r="AQ44" s="145"/>
      <c r="AR44" s="145"/>
      <c r="AS44" s="145"/>
      <c r="AT44" s="145"/>
      <c r="AU44" s="145"/>
      <c r="AV44" s="145"/>
      <c r="AW44" s="145"/>
      <c r="AX44" s="145"/>
      <c r="AY44" s="145"/>
      <c r="AZ44" s="145"/>
      <c r="BA44" s="145"/>
      <c r="BB44" s="145"/>
      <c r="BC44" s="145"/>
      <c r="BD44" s="145"/>
      <c r="BE44" s="145"/>
      <c r="BF44" s="145"/>
      <c r="BG44" s="145"/>
      <c r="BH44" s="145"/>
      <c r="BI44" s="145"/>
      <c r="BJ44" s="145"/>
      <c r="BK44" s="145"/>
      <c r="BL44" s="145"/>
      <c r="BM44" s="145"/>
      <c r="BN44" s="145"/>
      <c r="BO44" s="145"/>
      <c r="BP44" s="145"/>
      <c r="BQ44" s="145"/>
      <c r="BR44" s="145"/>
      <c r="BS44" s="145"/>
      <c r="BT44" s="145"/>
      <c r="BU44" s="145"/>
      <c r="BV44" s="145"/>
      <c r="BW44" s="145"/>
      <c r="BX44" s="145"/>
    </row>
    <row r="45" spans="1:76" ht="15.75" customHeight="1">
      <c r="A45" s="70"/>
      <c r="B45" s="248"/>
      <c r="C45" s="72"/>
      <c r="D45" s="125">
        <v>0</v>
      </c>
      <c r="E45" s="125">
        <v>0</v>
      </c>
      <c r="F45" s="125">
        <v>0</v>
      </c>
      <c r="G45" s="247">
        <v>0</v>
      </c>
      <c r="H45" s="125">
        <v>0</v>
      </c>
      <c r="I45" s="125">
        <v>0</v>
      </c>
      <c r="J45" s="125">
        <v>0</v>
      </c>
      <c r="K45" s="125">
        <v>0</v>
      </c>
      <c r="L45" s="125">
        <v>0</v>
      </c>
      <c r="M45" s="125">
        <v>0</v>
      </c>
      <c r="N45" s="247">
        <v>0</v>
      </c>
      <c r="O45" s="247">
        <v>0</v>
      </c>
      <c r="P45" s="145"/>
      <c r="Q45" s="145"/>
      <c r="R45" s="145"/>
      <c r="S45" s="145"/>
      <c r="T45" s="145"/>
      <c r="U45" s="145"/>
      <c r="V45" s="145"/>
      <c r="W45" s="145"/>
      <c r="X45" s="145"/>
      <c r="Y45" s="145"/>
      <c r="Z45" s="145"/>
      <c r="AA45" s="145"/>
      <c r="AB45" s="145"/>
      <c r="AC45" s="145"/>
      <c r="AD45" s="145"/>
      <c r="AE45" s="145"/>
      <c r="AF45" s="145"/>
      <c r="AG45" s="145"/>
      <c r="AH45" s="145"/>
      <c r="AI45" s="145"/>
      <c r="AJ45" s="145"/>
      <c r="AK45" s="145"/>
      <c r="AL45" s="145"/>
      <c r="AM45" s="145"/>
      <c r="AN45" s="145"/>
      <c r="AO45" s="145"/>
      <c r="AP45" s="145"/>
      <c r="AQ45" s="145"/>
      <c r="AR45" s="145"/>
      <c r="AS45" s="145"/>
      <c r="AT45" s="145"/>
      <c r="AU45" s="145"/>
      <c r="AV45" s="145"/>
      <c r="AW45" s="145"/>
      <c r="AX45" s="145"/>
      <c r="AY45" s="145"/>
      <c r="AZ45" s="145"/>
      <c r="BA45" s="145"/>
      <c r="BB45" s="145"/>
      <c r="BC45" s="145"/>
      <c r="BD45" s="145"/>
      <c r="BE45" s="145"/>
      <c r="BF45" s="145"/>
      <c r="BG45" s="145"/>
      <c r="BH45" s="145"/>
      <c r="BI45" s="145"/>
      <c r="BJ45" s="145"/>
      <c r="BK45" s="145"/>
      <c r="BL45" s="145"/>
      <c r="BM45" s="145"/>
      <c r="BN45" s="145"/>
      <c r="BO45" s="145"/>
      <c r="BP45" s="145"/>
      <c r="BQ45" s="145"/>
      <c r="BR45" s="145"/>
      <c r="BS45" s="145"/>
      <c r="BT45" s="145"/>
      <c r="BU45" s="145"/>
      <c r="BV45" s="145"/>
      <c r="BW45" s="145"/>
      <c r="BX45" s="145"/>
    </row>
    <row r="46" spans="1:76" ht="15.75">
      <c r="A46" s="77" t="s">
        <v>3451</v>
      </c>
      <c r="B46" s="104" t="s">
        <v>5764</v>
      </c>
      <c r="C46" s="72"/>
      <c r="D46" s="125">
        <v>5009986295</v>
      </c>
      <c r="E46" s="125">
        <v>5367784690</v>
      </c>
      <c r="F46" s="125">
        <v>3395035958</v>
      </c>
      <c r="G46" s="247">
        <v>1823690565.22</v>
      </c>
      <c r="H46" s="125">
        <v>1526019909</v>
      </c>
      <c r="I46" s="125">
        <v>8084961499</v>
      </c>
      <c r="J46" s="125">
        <v>8084961499</v>
      </c>
      <c r="K46" s="125">
        <v>8426124273</v>
      </c>
      <c r="L46" s="125">
        <v>0</v>
      </c>
      <c r="M46" s="125">
        <v>0</v>
      </c>
      <c r="N46" s="123">
        <v>1488800000</v>
      </c>
      <c r="O46" s="123">
        <v>4107637226</v>
      </c>
      <c r="P46" s="145"/>
      <c r="Q46" s="145"/>
      <c r="R46" s="145"/>
      <c r="S46" s="145"/>
      <c r="T46" s="145"/>
      <c r="U46" s="145"/>
      <c r="V46" s="145"/>
      <c r="W46" s="145"/>
      <c r="X46" s="145"/>
      <c r="Y46" s="145"/>
      <c r="Z46" s="145"/>
      <c r="AA46" s="145"/>
      <c r="AB46" s="145"/>
      <c r="AC46" s="145"/>
      <c r="AD46" s="145"/>
      <c r="AE46" s="145"/>
      <c r="AF46" s="145"/>
      <c r="AG46" s="145"/>
      <c r="AH46" s="145"/>
      <c r="AI46" s="145"/>
      <c r="AJ46" s="145"/>
      <c r="AK46" s="145"/>
      <c r="AL46" s="145"/>
      <c r="AM46" s="145"/>
      <c r="AN46" s="145"/>
      <c r="AO46" s="145"/>
      <c r="AP46" s="145"/>
      <c r="AQ46" s="145"/>
      <c r="AR46" s="145"/>
      <c r="AS46" s="145"/>
      <c r="AT46" s="145"/>
      <c r="AU46" s="145"/>
      <c r="AV46" s="145"/>
      <c r="AW46" s="145"/>
      <c r="AX46" s="145"/>
      <c r="AY46" s="145"/>
      <c r="AZ46" s="145"/>
      <c r="BA46" s="145"/>
      <c r="BB46" s="145"/>
      <c r="BC46" s="145"/>
      <c r="BD46" s="145"/>
      <c r="BE46" s="145"/>
      <c r="BF46" s="145"/>
      <c r="BG46" s="145"/>
      <c r="BH46" s="145"/>
      <c r="BI46" s="145"/>
      <c r="BJ46" s="145"/>
      <c r="BK46" s="145"/>
      <c r="BL46" s="145"/>
      <c r="BM46" s="145"/>
      <c r="BN46" s="145"/>
      <c r="BO46" s="145"/>
      <c r="BP46" s="145"/>
      <c r="BQ46" s="145"/>
      <c r="BR46" s="145"/>
      <c r="BS46" s="145"/>
      <c r="BT46" s="145"/>
      <c r="BU46" s="145"/>
      <c r="BV46" s="145"/>
      <c r="BW46" s="145"/>
      <c r="BX46" s="145"/>
    </row>
    <row r="47" spans="1:76" ht="15.75">
      <c r="A47" s="70"/>
      <c r="B47" s="248"/>
      <c r="C47" s="72"/>
      <c r="D47" s="125">
        <v>0</v>
      </c>
      <c r="E47" s="125">
        <v>0</v>
      </c>
      <c r="F47" s="125">
        <v>0</v>
      </c>
      <c r="G47" s="247">
        <v>0</v>
      </c>
      <c r="H47" s="125">
        <v>0</v>
      </c>
      <c r="I47" s="125">
        <v>0</v>
      </c>
      <c r="J47" s="125">
        <v>0</v>
      </c>
      <c r="K47" s="125">
        <v>0</v>
      </c>
      <c r="L47" s="125">
        <v>0</v>
      </c>
      <c r="M47" s="125">
        <v>0</v>
      </c>
      <c r="N47" s="247">
        <v>0</v>
      </c>
      <c r="O47" s="247">
        <v>0</v>
      </c>
      <c r="P47" s="145"/>
      <c r="Q47" s="145"/>
      <c r="R47" s="145"/>
      <c r="S47" s="145"/>
      <c r="T47" s="145"/>
      <c r="U47" s="145"/>
      <c r="V47" s="145"/>
      <c r="W47" s="145"/>
      <c r="X47" s="145"/>
      <c r="Y47" s="145"/>
      <c r="Z47" s="145"/>
      <c r="AA47" s="145"/>
      <c r="AB47" s="145"/>
      <c r="AC47" s="145"/>
      <c r="AD47" s="145"/>
      <c r="AE47" s="145"/>
      <c r="AF47" s="145"/>
      <c r="AG47" s="145"/>
      <c r="AH47" s="145"/>
      <c r="AI47" s="145"/>
      <c r="AJ47" s="145"/>
      <c r="AK47" s="145"/>
      <c r="AL47" s="145"/>
      <c r="AM47" s="145"/>
      <c r="AN47" s="145"/>
      <c r="AO47" s="145"/>
      <c r="AP47" s="145"/>
      <c r="AQ47" s="145"/>
      <c r="AR47" s="145"/>
      <c r="AS47" s="145"/>
      <c r="AT47" s="145"/>
      <c r="AU47" s="145"/>
      <c r="AV47" s="145"/>
      <c r="AW47" s="145"/>
      <c r="AX47" s="145"/>
      <c r="AY47" s="145"/>
      <c r="AZ47" s="145"/>
      <c r="BA47" s="145"/>
      <c r="BB47" s="145"/>
      <c r="BC47" s="145"/>
      <c r="BD47" s="145"/>
      <c r="BE47" s="145"/>
      <c r="BF47" s="145"/>
      <c r="BG47" s="145"/>
      <c r="BH47" s="145"/>
      <c r="BI47" s="145"/>
      <c r="BJ47" s="145"/>
      <c r="BK47" s="145"/>
      <c r="BL47" s="145"/>
      <c r="BM47" s="145"/>
      <c r="BN47" s="145"/>
      <c r="BO47" s="145"/>
      <c r="BP47" s="145"/>
      <c r="BQ47" s="145"/>
      <c r="BR47" s="145"/>
      <c r="BS47" s="145"/>
      <c r="BT47" s="145"/>
      <c r="BU47" s="145"/>
      <c r="BV47" s="145"/>
      <c r="BW47" s="145"/>
      <c r="BX47" s="145"/>
    </row>
    <row r="48" spans="1:76" ht="15.75">
      <c r="A48" s="70" t="s">
        <v>3452</v>
      </c>
      <c r="B48" s="104" t="s">
        <v>5765</v>
      </c>
      <c r="C48" s="72"/>
      <c r="D48" s="125">
        <v>0</v>
      </c>
      <c r="E48" s="125">
        <v>0</v>
      </c>
      <c r="F48" s="125">
        <v>0</v>
      </c>
      <c r="G48" s="247">
        <v>0</v>
      </c>
      <c r="H48" s="125">
        <v>0</v>
      </c>
      <c r="I48" s="125">
        <v>0</v>
      </c>
      <c r="J48" s="125">
        <v>0</v>
      </c>
      <c r="K48" s="125">
        <v>0</v>
      </c>
      <c r="L48" s="125">
        <v>0</v>
      </c>
      <c r="M48" s="125">
        <v>0</v>
      </c>
      <c r="N48" s="247">
        <v>0</v>
      </c>
      <c r="O48" s="247">
        <v>0</v>
      </c>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45"/>
      <c r="AS48" s="145"/>
      <c r="AT48" s="145"/>
      <c r="AU48" s="145"/>
      <c r="AV48" s="145"/>
      <c r="AW48" s="145"/>
      <c r="AX48" s="145"/>
      <c r="AY48" s="145"/>
      <c r="AZ48" s="145"/>
      <c r="BA48" s="145"/>
      <c r="BB48" s="145"/>
      <c r="BC48" s="145"/>
      <c r="BD48" s="145"/>
      <c r="BE48" s="145"/>
      <c r="BF48" s="145"/>
      <c r="BG48" s="145"/>
      <c r="BH48" s="145"/>
      <c r="BI48" s="145"/>
      <c r="BJ48" s="145"/>
      <c r="BK48" s="145"/>
      <c r="BL48" s="145"/>
      <c r="BM48" s="145"/>
      <c r="BN48" s="145"/>
      <c r="BO48" s="145"/>
      <c r="BP48" s="145"/>
      <c r="BQ48" s="145"/>
      <c r="BR48" s="145"/>
      <c r="BS48" s="145"/>
      <c r="BT48" s="145"/>
      <c r="BU48" s="145"/>
      <c r="BV48" s="145"/>
      <c r="BW48" s="145"/>
      <c r="BX48" s="145"/>
    </row>
    <row r="49" spans="1:76" ht="15.75">
      <c r="A49" s="70" t="s">
        <v>3453</v>
      </c>
      <c r="B49" s="104" t="s">
        <v>5766</v>
      </c>
      <c r="C49" s="72" t="s">
        <v>992</v>
      </c>
      <c r="D49" s="125">
        <v>1266493037</v>
      </c>
      <c r="E49" s="125">
        <v>1496037193</v>
      </c>
      <c r="F49" s="125">
        <v>2066573109</v>
      </c>
      <c r="G49" s="247">
        <v>849562913</v>
      </c>
      <c r="H49" s="125">
        <v>1288856583</v>
      </c>
      <c r="I49" s="125">
        <v>1768800000</v>
      </c>
      <c r="J49" s="125">
        <v>1768800000</v>
      </c>
      <c r="K49" s="125">
        <v>2750000000</v>
      </c>
      <c r="L49" s="125">
        <v>0</v>
      </c>
      <c r="M49" s="125">
        <v>0</v>
      </c>
      <c r="N49" s="247">
        <v>981200000</v>
      </c>
      <c r="O49" s="247">
        <v>0</v>
      </c>
      <c r="P49" s="145"/>
      <c r="Q49" s="145"/>
      <c r="R49" s="145"/>
      <c r="S49" s="145"/>
      <c r="T49" s="145"/>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45"/>
      <c r="AS49" s="145"/>
      <c r="AT49" s="145"/>
      <c r="AU49" s="145"/>
      <c r="AV49" s="145"/>
      <c r="AW49" s="145"/>
      <c r="AX49" s="145"/>
      <c r="AY49" s="145"/>
      <c r="AZ49" s="145"/>
      <c r="BA49" s="145"/>
      <c r="BB49" s="145"/>
      <c r="BC49" s="145"/>
      <c r="BD49" s="145"/>
      <c r="BE49" s="145"/>
      <c r="BF49" s="145"/>
      <c r="BG49" s="145"/>
      <c r="BH49" s="145"/>
      <c r="BI49" s="145"/>
      <c r="BJ49" s="145"/>
      <c r="BK49" s="145"/>
      <c r="BL49" s="145"/>
      <c r="BM49" s="145"/>
      <c r="BN49" s="145"/>
      <c r="BO49" s="145"/>
      <c r="BP49" s="145"/>
      <c r="BQ49" s="145"/>
      <c r="BR49" s="145"/>
      <c r="BS49" s="145"/>
      <c r="BT49" s="145"/>
      <c r="BU49" s="145"/>
      <c r="BV49" s="145"/>
      <c r="BW49" s="145"/>
      <c r="BX49" s="145"/>
    </row>
    <row r="50" spans="1:76" ht="31.5">
      <c r="A50" s="70" t="s">
        <v>3454</v>
      </c>
      <c r="B50" s="104" t="s">
        <v>5767</v>
      </c>
      <c r="C50" s="72" t="s">
        <v>891</v>
      </c>
      <c r="D50" s="125">
        <v>514638663</v>
      </c>
      <c r="E50" s="125">
        <v>619016536</v>
      </c>
      <c r="F50" s="125">
        <v>883719673</v>
      </c>
      <c r="G50" s="247">
        <v>380608530</v>
      </c>
      <c r="H50" s="125">
        <v>584049305</v>
      </c>
      <c r="I50" s="125">
        <v>850000000</v>
      </c>
      <c r="J50" s="125">
        <v>850000000</v>
      </c>
      <c r="K50" s="125">
        <v>1600000000</v>
      </c>
      <c r="L50" s="125">
        <v>0</v>
      </c>
      <c r="M50" s="125">
        <v>0</v>
      </c>
      <c r="N50" s="247">
        <v>750000000</v>
      </c>
      <c r="O50" s="247">
        <v>0</v>
      </c>
      <c r="P50" s="145"/>
      <c r="Q50" s="145"/>
      <c r="R50" s="145"/>
      <c r="S50" s="145"/>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45"/>
      <c r="AS50" s="145"/>
      <c r="AT50" s="145"/>
      <c r="AU50" s="145"/>
      <c r="AV50" s="145"/>
      <c r="AW50" s="145"/>
      <c r="AX50" s="145"/>
      <c r="AY50" s="145"/>
      <c r="AZ50" s="145"/>
      <c r="BA50" s="145"/>
      <c r="BB50" s="145"/>
      <c r="BC50" s="145"/>
      <c r="BD50" s="145"/>
      <c r="BE50" s="145"/>
      <c r="BF50" s="145"/>
      <c r="BG50" s="145"/>
      <c r="BH50" s="145"/>
      <c r="BI50" s="145"/>
      <c r="BJ50" s="145"/>
      <c r="BK50" s="145"/>
      <c r="BL50" s="145"/>
      <c r="BM50" s="145"/>
      <c r="BN50" s="145"/>
      <c r="BO50" s="145"/>
      <c r="BP50" s="145"/>
      <c r="BQ50" s="145"/>
      <c r="BR50" s="145"/>
      <c r="BS50" s="145"/>
      <c r="BT50" s="145"/>
      <c r="BU50" s="145"/>
      <c r="BV50" s="145"/>
      <c r="BW50" s="145"/>
      <c r="BX50" s="145"/>
    </row>
    <row r="51" spans="1:76" ht="31.5">
      <c r="A51" s="70" t="s">
        <v>10437</v>
      </c>
      <c r="B51" s="104" t="s">
        <v>5768</v>
      </c>
      <c r="C51" s="72" t="s">
        <v>927</v>
      </c>
      <c r="D51" s="125">
        <v>8013571</v>
      </c>
      <c r="E51" s="125">
        <v>7333434</v>
      </c>
      <c r="F51" s="125">
        <v>8579633</v>
      </c>
      <c r="G51" s="247">
        <v>4996272.5</v>
      </c>
      <c r="H51" s="125">
        <v>4771276</v>
      </c>
      <c r="I51" s="125">
        <v>10000000</v>
      </c>
      <c r="J51" s="125">
        <v>10000000</v>
      </c>
      <c r="K51" s="125">
        <v>10000000</v>
      </c>
      <c r="L51" s="125">
        <v>0</v>
      </c>
      <c r="M51" s="125">
        <v>0</v>
      </c>
      <c r="N51" s="247">
        <v>0</v>
      </c>
      <c r="O51" s="247">
        <v>0</v>
      </c>
      <c r="P51" s="145"/>
      <c r="Q51" s="145"/>
      <c r="R51" s="145"/>
      <c r="S51" s="145"/>
      <c r="T51" s="145"/>
      <c r="U51" s="145"/>
      <c r="V51" s="145"/>
      <c r="W51" s="145"/>
      <c r="X51" s="145"/>
      <c r="Y51" s="145"/>
      <c r="Z51" s="145"/>
      <c r="AA51" s="145"/>
      <c r="AB51" s="145"/>
      <c r="AC51" s="145"/>
      <c r="AD51" s="145"/>
      <c r="AE51" s="145"/>
      <c r="AF51" s="145"/>
      <c r="AG51" s="145"/>
      <c r="AH51" s="145"/>
      <c r="AI51" s="145"/>
      <c r="AJ51" s="145"/>
      <c r="AK51" s="145"/>
      <c r="AL51" s="145"/>
      <c r="AM51" s="145"/>
      <c r="AN51" s="145"/>
      <c r="AO51" s="145"/>
      <c r="AP51" s="145"/>
      <c r="AQ51" s="145"/>
      <c r="AR51" s="145"/>
      <c r="AS51" s="145"/>
      <c r="AT51" s="145"/>
      <c r="AU51" s="145"/>
      <c r="AV51" s="145"/>
      <c r="AW51" s="145"/>
      <c r="AX51" s="145"/>
      <c r="AY51" s="145"/>
      <c r="AZ51" s="145"/>
      <c r="BA51" s="145"/>
      <c r="BB51" s="145"/>
      <c r="BC51" s="145"/>
      <c r="BD51" s="145"/>
      <c r="BE51" s="145"/>
      <c r="BF51" s="145"/>
      <c r="BG51" s="145"/>
      <c r="BH51" s="145"/>
      <c r="BI51" s="145"/>
      <c r="BJ51" s="145"/>
      <c r="BK51" s="145"/>
      <c r="BL51" s="145"/>
      <c r="BM51" s="145"/>
      <c r="BN51" s="145"/>
      <c r="BO51" s="145"/>
      <c r="BP51" s="145"/>
      <c r="BQ51" s="145"/>
      <c r="BR51" s="145"/>
      <c r="BS51" s="145"/>
      <c r="BT51" s="145"/>
      <c r="BU51" s="145"/>
      <c r="BV51" s="145"/>
      <c r="BW51" s="145"/>
      <c r="BX51" s="145"/>
    </row>
    <row r="52" spans="1:76" ht="15.75">
      <c r="A52" s="70"/>
      <c r="B52" s="248"/>
      <c r="C52" s="72"/>
      <c r="D52" s="125">
        <v>0</v>
      </c>
      <c r="E52" s="125">
        <v>0</v>
      </c>
      <c r="F52" s="125">
        <v>0</v>
      </c>
      <c r="G52" s="247">
        <v>0</v>
      </c>
      <c r="H52" s="125">
        <v>0</v>
      </c>
      <c r="I52" s="125">
        <v>0</v>
      </c>
      <c r="J52" s="125">
        <v>0</v>
      </c>
      <c r="K52" s="125">
        <v>0</v>
      </c>
      <c r="L52" s="125">
        <v>0</v>
      </c>
      <c r="M52" s="125">
        <v>0</v>
      </c>
      <c r="N52" s="247">
        <v>0</v>
      </c>
      <c r="O52" s="247">
        <v>0</v>
      </c>
      <c r="P52" s="145"/>
      <c r="Q52" s="145"/>
      <c r="R52" s="145"/>
      <c r="S52" s="145"/>
      <c r="T52" s="145"/>
      <c r="U52" s="145"/>
      <c r="V52" s="145"/>
      <c r="W52" s="145"/>
      <c r="X52" s="145"/>
      <c r="Y52" s="145"/>
      <c r="Z52" s="145"/>
      <c r="AA52" s="145"/>
      <c r="AB52" s="145"/>
      <c r="AC52" s="145"/>
      <c r="AD52" s="145"/>
      <c r="AE52" s="145"/>
      <c r="AF52" s="145"/>
      <c r="AG52" s="145"/>
      <c r="AH52" s="145"/>
      <c r="AI52" s="145"/>
      <c r="AJ52" s="145"/>
      <c r="AK52" s="145"/>
      <c r="AL52" s="145"/>
      <c r="AM52" s="145"/>
      <c r="AN52" s="145"/>
      <c r="AO52" s="145"/>
      <c r="AP52" s="145"/>
      <c r="AQ52" s="145"/>
      <c r="AR52" s="145"/>
      <c r="AS52" s="145"/>
      <c r="AT52" s="145"/>
      <c r="AU52" s="145"/>
      <c r="AV52" s="145"/>
      <c r="AW52" s="145"/>
      <c r="AX52" s="145"/>
      <c r="AY52" s="145"/>
      <c r="AZ52" s="145"/>
      <c r="BA52" s="145"/>
      <c r="BB52" s="145"/>
      <c r="BC52" s="145"/>
      <c r="BD52" s="145"/>
      <c r="BE52" s="145"/>
      <c r="BF52" s="145"/>
      <c r="BG52" s="145"/>
      <c r="BH52" s="145"/>
      <c r="BI52" s="145"/>
      <c r="BJ52" s="145"/>
      <c r="BK52" s="145"/>
      <c r="BL52" s="145"/>
      <c r="BM52" s="145"/>
      <c r="BN52" s="145"/>
      <c r="BO52" s="145"/>
      <c r="BP52" s="145"/>
      <c r="BQ52" s="145"/>
      <c r="BR52" s="145"/>
      <c r="BS52" s="145"/>
      <c r="BT52" s="145"/>
      <c r="BU52" s="145"/>
      <c r="BV52" s="145"/>
      <c r="BW52" s="145"/>
      <c r="BX52" s="145"/>
    </row>
    <row r="53" spans="1:76" ht="15.75">
      <c r="A53" s="77" t="s">
        <v>3455</v>
      </c>
      <c r="B53" s="104" t="s">
        <v>146</v>
      </c>
      <c r="C53" s="72"/>
      <c r="D53" s="125">
        <v>1789145271</v>
      </c>
      <c r="E53" s="125">
        <v>2122387163</v>
      </c>
      <c r="F53" s="125">
        <v>2958872415</v>
      </c>
      <c r="G53" s="247">
        <v>1235167715.5</v>
      </c>
      <c r="H53" s="125">
        <v>1877677164</v>
      </c>
      <c r="I53" s="125">
        <v>2628800000</v>
      </c>
      <c r="J53" s="125">
        <v>2628800000</v>
      </c>
      <c r="K53" s="125">
        <v>4360000000</v>
      </c>
      <c r="L53" s="125">
        <v>0</v>
      </c>
      <c r="M53" s="125">
        <v>0</v>
      </c>
      <c r="N53" s="123">
        <v>1731200000</v>
      </c>
      <c r="O53" s="123">
        <v>0</v>
      </c>
      <c r="P53" s="145"/>
      <c r="Q53" s="145"/>
      <c r="R53" s="145"/>
      <c r="S53" s="145"/>
      <c r="T53" s="145"/>
      <c r="U53" s="145"/>
      <c r="V53" s="145"/>
      <c r="W53" s="145"/>
      <c r="X53" s="145"/>
      <c r="Y53" s="145"/>
      <c r="Z53" s="145"/>
      <c r="AA53" s="145"/>
      <c r="AB53" s="145"/>
      <c r="AC53" s="145"/>
      <c r="AD53" s="145"/>
      <c r="AE53" s="145"/>
      <c r="AF53" s="145"/>
      <c r="AG53" s="145"/>
      <c r="AH53" s="145"/>
      <c r="AI53" s="145"/>
      <c r="AJ53" s="145"/>
      <c r="AK53" s="145"/>
      <c r="AL53" s="145"/>
      <c r="AM53" s="145"/>
      <c r="AN53" s="145"/>
      <c r="AO53" s="145"/>
      <c r="AP53" s="145"/>
      <c r="AQ53" s="145"/>
      <c r="AR53" s="145"/>
      <c r="AS53" s="145"/>
      <c r="AT53" s="145"/>
      <c r="AU53" s="145"/>
      <c r="AV53" s="145"/>
      <c r="AW53" s="145"/>
      <c r="AX53" s="145"/>
      <c r="AY53" s="145"/>
      <c r="AZ53" s="145"/>
      <c r="BA53" s="145"/>
      <c r="BB53" s="145"/>
      <c r="BC53" s="145"/>
      <c r="BD53" s="145"/>
      <c r="BE53" s="145"/>
      <c r="BF53" s="145"/>
      <c r="BG53" s="145"/>
      <c r="BH53" s="145"/>
      <c r="BI53" s="145"/>
      <c r="BJ53" s="145"/>
      <c r="BK53" s="145"/>
      <c r="BL53" s="145"/>
      <c r="BM53" s="145"/>
      <c r="BN53" s="145"/>
      <c r="BO53" s="145"/>
      <c r="BP53" s="145"/>
      <c r="BQ53" s="145"/>
      <c r="BR53" s="145"/>
      <c r="BS53" s="145"/>
      <c r="BT53" s="145"/>
      <c r="BU53" s="145"/>
      <c r="BV53" s="145"/>
      <c r="BW53" s="145"/>
      <c r="BX53" s="145"/>
    </row>
    <row r="54" spans="1:76" ht="15.75">
      <c r="A54" s="70"/>
      <c r="B54" s="248"/>
      <c r="C54" s="72"/>
      <c r="D54" s="125">
        <v>0</v>
      </c>
      <c r="E54" s="125">
        <v>0</v>
      </c>
      <c r="F54" s="125">
        <v>0</v>
      </c>
      <c r="G54" s="247">
        <v>0</v>
      </c>
      <c r="H54" s="125">
        <v>0</v>
      </c>
      <c r="I54" s="125">
        <v>0</v>
      </c>
      <c r="J54" s="125">
        <v>0</v>
      </c>
      <c r="K54" s="125">
        <v>0</v>
      </c>
      <c r="L54" s="125">
        <v>0</v>
      </c>
      <c r="M54" s="125">
        <v>0</v>
      </c>
      <c r="N54" s="247">
        <v>0</v>
      </c>
      <c r="O54" s="247">
        <v>0</v>
      </c>
      <c r="P54" s="145"/>
      <c r="Q54" s="145"/>
      <c r="R54" s="145"/>
      <c r="S54" s="145"/>
      <c r="T54" s="145"/>
      <c r="U54" s="145"/>
      <c r="V54" s="145"/>
      <c r="W54" s="145"/>
      <c r="X54" s="145"/>
      <c r="Y54" s="145"/>
      <c r="Z54" s="145"/>
      <c r="AA54" s="145"/>
      <c r="AB54" s="145"/>
      <c r="AC54" s="145"/>
      <c r="AD54" s="145"/>
      <c r="AE54" s="145"/>
      <c r="AF54" s="145"/>
      <c r="AG54" s="145"/>
      <c r="AH54" s="145"/>
      <c r="AI54" s="145"/>
      <c r="AJ54" s="145"/>
      <c r="AK54" s="145"/>
      <c r="AL54" s="145"/>
      <c r="AM54" s="145"/>
      <c r="AN54" s="145"/>
      <c r="AO54" s="145"/>
      <c r="AP54" s="145"/>
      <c r="AQ54" s="145"/>
      <c r="AR54" s="145"/>
      <c r="AS54" s="145"/>
      <c r="AT54" s="145"/>
      <c r="AU54" s="145"/>
      <c r="AV54" s="145"/>
      <c r="AW54" s="145"/>
      <c r="AX54" s="145"/>
      <c r="AY54" s="145"/>
      <c r="AZ54" s="145"/>
      <c r="BA54" s="145"/>
      <c r="BB54" s="145"/>
      <c r="BC54" s="145"/>
      <c r="BD54" s="145"/>
      <c r="BE54" s="145"/>
      <c r="BF54" s="145"/>
      <c r="BG54" s="145"/>
      <c r="BH54" s="145"/>
      <c r="BI54" s="145"/>
      <c r="BJ54" s="145"/>
      <c r="BK54" s="145"/>
      <c r="BL54" s="145"/>
      <c r="BM54" s="145"/>
      <c r="BN54" s="145"/>
      <c r="BO54" s="145"/>
      <c r="BP54" s="145"/>
      <c r="BQ54" s="145"/>
      <c r="BR54" s="145"/>
      <c r="BS54" s="145"/>
      <c r="BT54" s="145"/>
      <c r="BU54" s="145"/>
      <c r="BV54" s="145"/>
      <c r="BW54" s="145"/>
      <c r="BX54" s="145"/>
    </row>
    <row r="55" spans="1:76" ht="15.75">
      <c r="A55" s="70" t="s">
        <v>3456</v>
      </c>
      <c r="B55" s="104" t="s">
        <v>5769</v>
      </c>
      <c r="C55" s="72" t="s">
        <v>892</v>
      </c>
      <c r="D55" s="125">
        <v>424062175</v>
      </c>
      <c r="E55" s="125">
        <v>450385939</v>
      </c>
      <c r="F55" s="125">
        <v>632249002</v>
      </c>
      <c r="G55" s="247">
        <v>632249002</v>
      </c>
      <c r="H55" s="125">
        <v>0</v>
      </c>
      <c r="I55" s="125">
        <v>500000000</v>
      </c>
      <c r="J55" s="125">
        <v>500000000</v>
      </c>
      <c r="K55" s="125">
        <v>900000000</v>
      </c>
      <c r="L55" s="125">
        <v>0</v>
      </c>
      <c r="M55" s="125">
        <v>0</v>
      </c>
      <c r="N55" s="247">
        <v>400000000</v>
      </c>
      <c r="O55" s="247">
        <v>0</v>
      </c>
      <c r="P55" s="145"/>
      <c r="Q55" s="145"/>
      <c r="R55" s="145"/>
      <c r="S55" s="145"/>
      <c r="T55" s="145"/>
      <c r="U55" s="145"/>
      <c r="V55" s="145"/>
      <c r="W55" s="145"/>
      <c r="X55" s="145"/>
      <c r="Y55" s="145"/>
      <c r="Z55" s="145"/>
      <c r="AA55" s="145"/>
      <c r="AB55" s="145"/>
      <c r="AC55" s="145"/>
      <c r="AD55" s="145"/>
      <c r="AE55" s="145"/>
      <c r="AF55" s="145"/>
      <c r="AG55" s="145"/>
      <c r="AH55" s="145"/>
      <c r="AI55" s="145"/>
      <c r="AJ55" s="145"/>
      <c r="AK55" s="145"/>
      <c r="AL55" s="145"/>
      <c r="AM55" s="145"/>
      <c r="AN55" s="145"/>
      <c r="AO55" s="145"/>
      <c r="AP55" s="145"/>
      <c r="AQ55" s="145"/>
      <c r="AR55" s="145"/>
      <c r="AS55" s="145"/>
      <c r="AT55" s="145"/>
      <c r="AU55" s="145"/>
      <c r="AV55" s="145"/>
      <c r="AW55" s="145"/>
      <c r="AX55" s="145"/>
      <c r="AY55" s="145"/>
      <c r="AZ55" s="145"/>
      <c r="BA55" s="145"/>
      <c r="BB55" s="145"/>
      <c r="BC55" s="145"/>
      <c r="BD55" s="145"/>
      <c r="BE55" s="145"/>
      <c r="BF55" s="145"/>
      <c r="BG55" s="145"/>
      <c r="BH55" s="145"/>
      <c r="BI55" s="145"/>
      <c r="BJ55" s="145"/>
      <c r="BK55" s="145"/>
      <c r="BL55" s="145"/>
      <c r="BM55" s="145"/>
      <c r="BN55" s="145"/>
      <c r="BO55" s="145"/>
      <c r="BP55" s="145"/>
      <c r="BQ55" s="145"/>
      <c r="BR55" s="145"/>
      <c r="BS55" s="145"/>
      <c r="BT55" s="145"/>
      <c r="BU55" s="145"/>
      <c r="BV55" s="145"/>
      <c r="BW55" s="145"/>
      <c r="BX55" s="145"/>
    </row>
    <row r="56" spans="1:76" ht="15.75">
      <c r="A56" s="70"/>
      <c r="B56" s="248"/>
      <c r="C56" s="72"/>
      <c r="D56" s="125">
        <v>0</v>
      </c>
      <c r="E56" s="125">
        <v>0</v>
      </c>
      <c r="F56" s="125">
        <v>0</v>
      </c>
      <c r="G56" s="247">
        <v>0</v>
      </c>
      <c r="H56" s="125">
        <v>0</v>
      </c>
      <c r="I56" s="125">
        <v>0</v>
      </c>
      <c r="J56" s="125">
        <v>0</v>
      </c>
      <c r="K56" s="125">
        <v>0</v>
      </c>
      <c r="L56" s="125">
        <v>0</v>
      </c>
      <c r="M56" s="125">
        <v>0</v>
      </c>
      <c r="N56" s="247">
        <v>0</v>
      </c>
      <c r="O56" s="247">
        <v>0</v>
      </c>
      <c r="P56" s="145"/>
      <c r="Q56" s="145"/>
      <c r="R56" s="145"/>
      <c r="S56" s="145"/>
      <c r="T56" s="14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c r="AU56" s="145"/>
      <c r="AV56" s="145"/>
      <c r="AW56" s="145"/>
      <c r="AX56" s="145"/>
      <c r="AY56" s="145"/>
      <c r="AZ56" s="145"/>
      <c r="BA56" s="145"/>
      <c r="BB56" s="145"/>
      <c r="BC56" s="145"/>
      <c r="BD56" s="145"/>
      <c r="BE56" s="145"/>
      <c r="BF56" s="145"/>
      <c r="BG56" s="145"/>
      <c r="BH56" s="145"/>
      <c r="BI56" s="145"/>
      <c r="BJ56" s="145"/>
      <c r="BK56" s="145"/>
      <c r="BL56" s="145"/>
      <c r="BM56" s="145"/>
      <c r="BN56" s="145"/>
      <c r="BO56" s="145"/>
      <c r="BP56" s="145"/>
      <c r="BQ56" s="145"/>
      <c r="BR56" s="145"/>
      <c r="BS56" s="145"/>
      <c r="BT56" s="145"/>
      <c r="BU56" s="145"/>
      <c r="BV56" s="145"/>
      <c r="BW56" s="145"/>
      <c r="BX56" s="145"/>
    </row>
    <row r="57" spans="1:76" ht="15.75">
      <c r="A57" s="77" t="s">
        <v>3457</v>
      </c>
      <c r="B57" s="104" t="s">
        <v>5770</v>
      </c>
      <c r="C57" s="72"/>
      <c r="D57" s="125">
        <v>7223193741</v>
      </c>
      <c r="E57" s="125">
        <v>7940557792</v>
      </c>
      <c r="F57" s="125">
        <v>6986157375</v>
      </c>
      <c r="G57" s="247">
        <v>3691107282.7200003</v>
      </c>
      <c r="H57" s="125">
        <v>3403697073</v>
      </c>
      <c r="I57" s="125">
        <v>11213761499</v>
      </c>
      <c r="J57" s="125">
        <v>11213761499</v>
      </c>
      <c r="K57" s="125">
        <v>13686124273</v>
      </c>
      <c r="L57" s="125">
        <v>0</v>
      </c>
      <c r="M57" s="125">
        <v>0</v>
      </c>
      <c r="N57" s="123">
        <v>3620000000</v>
      </c>
      <c r="O57" s="123">
        <v>4107637226</v>
      </c>
      <c r="P57" s="145"/>
      <c r="Q57" s="145"/>
      <c r="R57" s="145"/>
      <c r="S57" s="145"/>
      <c r="T57" s="145"/>
      <c r="U57" s="145"/>
      <c r="V57" s="145"/>
      <c r="W57" s="145"/>
      <c r="X57" s="145"/>
      <c r="Y57" s="145"/>
      <c r="Z57" s="145"/>
      <c r="AA57" s="145"/>
      <c r="AB57" s="145"/>
      <c r="AC57" s="145"/>
      <c r="AD57" s="145"/>
      <c r="AE57" s="145"/>
      <c r="AF57" s="145"/>
      <c r="AG57" s="145"/>
      <c r="AH57" s="145"/>
      <c r="AI57" s="145"/>
      <c r="AJ57" s="145"/>
      <c r="AK57" s="145"/>
      <c r="AL57" s="145"/>
      <c r="AM57" s="145"/>
      <c r="AN57" s="145"/>
      <c r="AO57" s="145"/>
      <c r="AP57" s="145"/>
      <c r="AQ57" s="145"/>
      <c r="AR57" s="145"/>
      <c r="AS57" s="145"/>
      <c r="AT57" s="145"/>
      <c r="AU57" s="145"/>
      <c r="AV57" s="145"/>
      <c r="AW57" s="145"/>
      <c r="AX57" s="145"/>
      <c r="AY57" s="145"/>
      <c r="AZ57" s="145"/>
      <c r="BA57" s="145"/>
      <c r="BB57" s="145"/>
      <c r="BC57" s="145"/>
      <c r="BD57" s="145"/>
      <c r="BE57" s="145"/>
      <c r="BF57" s="145"/>
      <c r="BG57" s="145"/>
      <c r="BH57" s="145"/>
      <c r="BI57" s="145"/>
      <c r="BJ57" s="145"/>
      <c r="BK57" s="145"/>
      <c r="BL57" s="145"/>
      <c r="BM57" s="145"/>
      <c r="BN57" s="145"/>
      <c r="BO57" s="145"/>
      <c r="BP57" s="145"/>
      <c r="BQ57" s="145"/>
      <c r="BR57" s="145"/>
      <c r="BS57" s="145"/>
      <c r="BT57" s="145"/>
      <c r="BU57" s="145"/>
      <c r="BV57" s="145"/>
      <c r="BW57" s="145"/>
      <c r="BX57" s="145"/>
    </row>
    <row r="58" spans="1:76" ht="15.75">
      <c r="A58" s="70"/>
      <c r="B58" s="248"/>
      <c r="C58" s="72"/>
      <c r="D58" s="125">
        <v>0</v>
      </c>
      <c r="E58" s="125">
        <v>0</v>
      </c>
      <c r="F58" s="125">
        <v>0</v>
      </c>
      <c r="G58" s="247">
        <v>0</v>
      </c>
      <c r="H58" s="125">
        <v>0</v>
      </c>
      <c r="I58" s="125">
        <v>0</v>
      </c>
      <c r="J58" s="125">
        <v>0</v>
      </c>
      <c r="K58" s="125">
        <v>0</v>
      </c>
      <c r="L58" s="125">
        <v>0</v>
      </c>
      <c r="M58" s="125">
        <v>0</v>
      </c>
      <c r="N58" s="247">
        <v>0</v>
      </c>
      <c r="O58" s="247">
        <v>0</v>
      </c>
      <c r="P58" s="145"/>
      <c r="Q58" s="145"/>
      <c r="R58" s="145"/>
      <c r="S58" s="145"/>
      <c r="T58" s="145"/>
      <c r="U58" s="145"/>
      <c r="V58" s="145"/>
      <c r="W58" s="145"/>
      <c r="X58" s="145"/>
      <c r="Y58" s="145"/>
      <c r="Z58" s="145"/>
      <c r="AA58" s="145"/>
      <c r="AB58" s="145"/>
      <c r="AC58" s="145"/>
      <c r="AD58" s="145"/>
      <c r="AE58" s="145"/>
      <c r="AF58" s="145"/>
      <c r="AG58" s="145"/>
      <c r="AH58" s="145"/>
      <c r="AI58" s="145"/>
      <c r="AJ58" s="145"/>
      <c r="AK58" s="145"/>
      <c r="AL58" s="145"/>
      <c r="AM58" s="145"/>
      <c r="AN58" s="145"/>
      <c r="AO58" s="145"/>
      <c r="AP58" s="145"/>
      <c r="AQ58" s="145"/>
      <c r="AR58" s="145"/>
      <c r="AS58" s="145"/>
      <c r="AT58" s="145"/>
      <c r="AU58" s="145"/>
      <c r="AV58" s="145"/>
      <c r="AW58" s="145"/>
      <c r="AX58" s="145"/>
      <c r="AY58" s="145"/>
      <c r="AZ58" s="145"/>
      <c r="BA58" s="145"/>
      <c r="BB58" s="145"/>
      <c r="BC58" s="145"/>
      <c r="BD58" s="145"/>
      <c r="BE58" s="145"/>
      <c r="BF58" s="145"/>
      <c r="BG58" s="145"/>
      <c r="BH58" s="145"/>
      <c r="BI58" s="145"/>
      <c r="BJ58" s="145"/>
      <c r="BK58" s="145"/>
      <c r="BL58" s="145"/>
      <c r="BM58" s="145"/>
      <c r="BN58" s="145"/>
      <c r="BO58" s="145"/>
      <c r="BP58" s="145"/>
      <c r="BQ58" s="145"/>
      <c r="BR58" s="145"/>
      <c r="BS58" s="145"/>
      <c r="BT58" s="145"/>
      <c r="BU58" s="145"/>
      <c r="BV58" s="145"/>
      <c r="BW58" s="145"/>
      <c r="BX58" s="145"/>
    </row>
    <row r="59" spans="1:76" ht="22.5">
      <c r="A59" s="70" t="s">
        <v>3458</v>
      </c>
      <c r="B59" s="104" t="s">
        <v>5771</v>
      </c>
      <c r="C59" s="72"/>
      <c r="D59" s="125">
        <v>7223293741</v>
      </c>
      <c r="E59" s="125">
        <v>7940657792</v>
      </c>
      <c r="F59" s="125">
        <v>6986257375</v>
      </c>
      <c r="G59" s="247">
        <v>3691207282.7200003</v>
      </c>
      <c r="H59" s="125">
        <v>3403697073</v>
      </c>
      <c r="I59" s="125">
        <v>11213861499</v>
      </c>
      <c r="J59" s="125">
        <v>11213861499</v>
      </c>
      <c r="K59" s="125">
        <v>13686224273</v>
      </c>
      <c r="L59" s="125">
        <v>0</v>
      </c>
      <c r="M59" s="125">
        <v>0</v>
      </c>
      <c r="N59" s="123">
        <v>3620000000</v>
      </c>
      <c r="O59" s="123">
        <v>4107637226</v>
      </c>
      <c r="P59" s="145"/>
      <c r="Q59" s="145"/>
      <c r="R59" s="145"/>
      <c r="S59" s="145"/>
      <c r="T59" s="145"/>
      <c r="U59" s="145"/>
      <c r="V59" s="145"/>
      <c r="W59" s="145"/>
      <c r="X59" s="145"/>
      <c r="Y59" s="145"/>
      <c r="Z59" s="145"/>
      <c r="AA59" s="145"/>
      <c r="AB59" s="145"/>
      <c r="AC59" s="145"/>
      <c r="AD59" s="145"/>
      <c r="AE59" s="145"/>
      <c r="AF59" s="145"/>
      <c r="AG59" s="145"/>
      <c r="AH59" s="145"/>
      <c r="AI59" s="145"/>
      <c r="AJ59" s="145"/>
      <c r="AK59" s="145"/>
      <c r="AL59" s="145"/>
      <c r="AM59" s="145"/>
      <c r="AN59" s="145"/>
      <c r="AO59" s="145"/>
      <c r="AP59" s="145"/>
      <c r="AQ59" s="145"/>
      <c r="AR59" s="145"/>
      <c r="AS59" s="145"/>
      <c r="AT59" s="145"/>
      <c r="AU59" s="145"/>
      <c r="AV59" s="145"/>
      <c r="AW59" s="145"/>
      <c r="AX59" s="145"/>
      <c r="AY59" s="145"/>
      <c r="AZ59" s="145"/>
      <c r="BA59" s="145"/>
      <c r="BB59" s="145"/>
      <c r="BC59" s="145"/>
      <c r="BD59" s="145"/>
      <c r="BE59" s="145"/>
      <c r="BF59" s="145"/>
      <c r="BG59" s="145"/>
      <c r="BH59" s="145"/>
      <c r="BI59" s="145"/>
      <c r="BJ59" s="145"/>
      <c r="BK59" s="145"/>
      <c r="BL59" s="145"/>
      <c r="BM59" s="145"/>
      <c r="BN59" s="145"/>
      <c r="BO59" s="145"/>
      <c r="BP59" s="145"/>
      <c r="BQ59" s="145"/>
      <c r="BR59" s="145"/>
      <c r="BS59" s="145"/>
      <c r="BT59" s="145"/>
      <c r="BU59" s="145"/>
      <c r="BV59" s="145"/>
      <c r="BW59" s="145"/>
      <c r="BX59" s="145"/>
    </row>
    <row r="60" spans="1:76" ht="15.75">
      <c r="A60" s="70"/>
      <c r="B60" s="248"/>
      <c r="C60" s="72"/>
      <c r="D60" s="125">
        <v>0</v>
      </c>
      <c r="E60" s="125">
        <v>0</v>
      </c>
      <c r="F60" s="125">
        <v>0</v>
      </c>
      <c r="G60" s="247">
        <v>0</v>
      </c>
      <c r="H60" s="125">
        <v>0</v>
      </c>
      <c r="I60" s="125">
        <v>0</v>
      </c>
      <c r="J60" s="125">
        <v>0</v>
      </c>
      <c r="K60" s="125">
        <v>0</v>
      </c>
      <c r="L60" s="125">
        <v>0</v>
      </c>
      <c r="M60" s="125">
        <v>0</v>
      </c>
      <c r="N60" s="247">
        <v>0</v>
      </c>
      <c r="O60" s="247">
        <v>0</v>
      </c>
      <c r="P60" s="145"/>
      <c r="Q60" s="145"/>
      <c r="R60" s="145"/>
      <c r="S60" s="145"/>
      <c r="T60" s="145"/>
      <c r="U60" s="145"/>
      <c r="V60" s="145"/>
      <c r="W60" s="145"/>
      <c r="X60" s="145"/>
      <c r="Y60" s="145"/>
      <c r="Z60" s="145"/>
      <c r="AA60" s="145"/>
      <c r="AB60" s="145"/>
      <c r="AC60" s="145"/>
      <c r="AD60" s="145"/>
      <c r="AE60" s="145"/>
      <c r="AF60" s="145"/>
      <c r="AG60" s="145"/>
      <c r="AH60" s="145"/>
      <c r="AI60" s="145"/>
      <c r="AJ60" s="145"/>
      <c r="AK60" s="145"/>
      <c r="AL60" s="145"/>
      <c r="AM60" s="145"/>
      <c r="AN60" s="145"/>
      <c r="AO60" s="145"/>
      <c r="AP60" s="145"/>
      <c r="AQ60" s="145"/>
      <c r="AR60" s="145"/>
      <c r="AS60" s="145"/>
      <c r="AT60" s="145"/>
      <c r="AU60" s="145"/>
      <c r="AV60" s="145"/>
      <c r="AW60" s="145"/>
      <c r="AX60" s="145"/>
      <c r="AY60" s="145"/>
      <c r="AZ60" s="145"/>
      <c r="BA60" s="145"/>
      <c r="BB60" s="145"/>
      <c r="BC60" s="145"/>
      <c r="BD60" s="145"/>
      <c r="BE60" s="145"/>
      <c r="BF60" s="145"/>
      <c r="BG60" s="145"/>
      <c r="BH60" s="145"/>
      <c r="BI60" s="145"/>
      <c r="BJ60" s="145"/>
      <c r="BK60" s="145"/>
      <c r="BL60" s="145"/>
      <c r="BM60" s="145"/>
      <c r="BN60" s="145"/>
      <c r="BO60" s="145"/>
      <c r="BP60" s="145"/>
      <c r="BQ60" s="145"/>
      <c r="BR60" s="145"/>
      <c r="BS60" s="145"/>
      <c r="BT60" s="145"/>
      <c r="BU60" s="145"/>
      <c r="BV60" s="145"/>
      <c r="BW60" s="145"/>
      <c r="BX60" s="145"/>
    </row>
    <row r="61" spans="1:76" ht="15.75">
      <c r="A61" s="77" t="s">
        <v>3121</v>
      </c>
      <c r="B61" s="104" t="s">
        <v>5772</v>
      </c>
      <c r="C61" s="72"/>
      <c r="D61" s="125">
        <v>7223293741</v>
      </c>
      <c r="E61" s="125">
        <v>7940657792</v>
      </c>
      <c r="F61" s="125">
        <v>6986257375</v>
      </c>
      <c r="G61" s="247">
        <v>3691207282.7200003</v>
      </c>
      <c r="H61" s="125">
        <v>3403697073</v>
      </c>
      <c r="I61" s="125">
        <v>11213861499</v>
      </c>
      <c r="J61" s="125">
        <v>11213861499</v>
      </c>
      <c r="K61" s="125">
        <v>13686224273</v>
      </c>
      <c r="L61" s="125">
        <v>0</v>
      </c>
      <c r="M61" s="125">
        <v>0</v>
      </c>
      <c r="N61" s="123">
        <v>3620000000</v>
      </c>
      <c r="O61" s="123">
        <v>4107637226</v>
      </c>
      <c r="P61" s="145"/>
      <c r="Q61" s="145"/>
      <c r="R61" s="145"/>
      <c r="S61" s="145"/>
      <c r="T61" s="145"/>
      <c r="U61" s="145"/>
      <c r="V61" s="145"/>
      <c r="W61" s="145"/>
      <c r="X61" s="145"/>
      <c r="Y61" s="145"/>
      <c r="Z61" s="145"/>
      <c r="AA61" s="145"/>
      <c r="AB61" s="145"/>
      <c r="AC61" s="145"/>
      <c r="AD61" s="145"/>
      <c r="AE61" s="145"/>
      <c r="AF61" s="145"/>
      <c r="AG61" s="145"/>
      <c r="AH61" s="145"/>
      <c r="AI61" s="145"/>
      <c r="AJ61" s="145"/>
      <c r="AK61" s="145"/>
      <c r="AL61" s="145"/>
      <c r="AM61" s="145"/>
      <c r="AN61" s="145"/>
      <c r="AO61" s="145"/>
      <c r="AP61" s="145"/>
      <c r="AQ61" s="145"/>
      <c r="AR61" s="145"/>
      <c r="AS61" s="145"/>
      <c r="AT61" s="145"/>
      <c r="AU61" s="145"/>
      <c r="AV61" s="145"/>
      <c r="AW61" s="145"/>
      <c r="AX61" s="145"/>
      <c r="AY61" s="145"/>
      <c r="AZ61" s="145"/>
      <c r="BA61" s="145"/>
      <c r="BB61" s="145"/>
      <c r="BC61" s="145"/>
      <c r="BD61" s="145"/>
      <c r="BE61" s="145"/>
      <c r="BF61" s="145"/>
      <c r="BG61" s="145"/>
      <c r="BH61" s="145"/>
      <c r="BI61" s="145"/>
      <c r="BJ61" s="145"/>
      <c r="BK61" s="145"/>
      <c r="BL61" s="145"/>
      <c r="BM61" s="145"/>
      <c r="BN61" s="145"/>
      <c r="BO61" s="145"/>
      <c r="BP61" s="145"/>
      <c r="BQ61" s="145"/>
      <c r="BR61" s="145"/>
      <c r="BS61" s="145"/>
      <c r="BT61" s="145"/>
      <c r="BU61" s="145"/>
      <c r="BV61" s="145"/>
      <c r="BW61" s="145"/>
      <c r="BX61" s="145"/>
    </row>
    <row r="62" spans="1:76" ht="15.75">
      <c r="A62" s="249"/>
      <c r="B62" s="249"/>
      <c r="C62" s="72"/>
      <c r="D62" s="157"/>
      <c r="E62" s="157"/>
      <c r="F62" s="157"/>
      <c r="G62" s="157"/>
      <c r="H62" s="157"/>
      <c r="I62" s="157"/>
      <c r="J62" s="125"/>
      <c r="K62" s="157"/>
      <c r="L62" s="157"/>
      <c r="M62" s="157"/>
      <c r="N62" s="157"/>
      <c r="O62" s="157"/>
      <c r="P62" s="145"/>
      <c r="Q62" s="145"/>
      <c r="R62" s="145"/>
      <c r="S62" s="145"/>
      <c r="T62" s="145"/>
      <c r="U62" s="145"/>
      <c r="V62" s="145"/>
      <c r="W62" s="145"/>
      <c r="X62" s="145"/>
      <c r="Y62" s="145"/>
      <c r="Z62" s="145"/>
      <c r="AA62" s="145"/>
      <c r="AB62" s="145"/>
      <c r="AC62" s="145"/>
      <c r="AD62" s="145"/>
      <c r="AE62" s="145"/>
      <c r="AF62" s="145"/>
      <c r="AG62" s="145"/>
      <c r="AH62" s="145"/>
      <c r="AI62" s="145"/>
      <c r="AJ62" s="145"/>
      <c r="AK62" s="145"/>
      <c r="AL62" s="145"/>
      <c r="AM62" s="145"/>
      <c r="AN62" s="145"/>
      <c r="AO62" s="145"/>
      <c r="AP62" s="145"/>
      <c r="AQ62" s="145"/>
      <c r="AR62" s="145"/>
      <c r="AS62" s="145"/>
      <c r="AT62" s="145"/>
      <c r="AU62" s="145"/>
      <c r="AV62" s="145"/>
      <c r="AW62" s="145"/>
      <c r="AX62" s="145"/>
      <c r="AY62" s="145"/>
      <c r="AZ62" s="145"/>
      <c r="BA62" s="145"/>
      <c r="BB62" s="145"/>
      <c r="BC62" s="145"/>
      <c r="BD62" s="145"/>
      <c r="BE62" s="145"/>
      <c r="BF62" s="145"/>
      <c r="BG62" s="145"/>
      <c r="BH62" s="145"/>
      <c r="BI62" s="145"/>
      <c r="BJ62" s="145"/>
      <c r="BK62" s="145"/>
      <c r="BL62" s="145"/>
      <c r="BM62" s="145"/>
      <c r="BN62" s="145"/>
      <c r="BO62" s="145"/>
      <c r="BP62" s="145"/>
      <c r="BQ62" s="145"/>
      <c r="BR62" s="145"/>
      <c r="BS62" s="145"/>
      <c r="BT62" s="145"/>
      <c r="BU62" s="145"/>
      <c r="BV62" s="145"/>
      <c r="BW62" s="145"/>
      <c r="BX62" s="145"/>
    </row>
    <row r="63" spans="1:76" ht="11.25">
      <c r="A63" s="145"/>
      <c r="B63" s="145"/>
      <c r="C63" s="145"/>
      <c r="D63" s="157"/>
      <c r="E63" s="157"/>
      <c r="F63" s="157"/>
      <c r="G63" s="157"/>
      <c r="H63" s="157"/>
      <c r="I63" s="157"/>
      <c r="J63" s="157"/>
      <c r="K63" s="157"/>
      <c r="L63" s="157"/>
      <c r="M63" s="157"/>
      <c r="N63" s="157"/>
      <c r="O63" s="157"/>
      <c r="P63" s="145"/>
      <c r="Q63" s="145"/>
      <c r="R63" s="145"/>
      <c r="S63" s="145"/>
      <c r="T63" s="145"/>
      <c r="U63" s="145"/>
      <c r="V63" s="145"/>
      <c r="W63" s="145"/>
      <c r="X63" s="145"/>
      <c r="Y63" s="145"/>
      <c r="Z63" s="145"/>
      <c r="AA63" s="145"/>
      <c r="AB63" s="145"/>
      <c r="AC63" s="145"/>
      <c r="AD63" s="145"/>
      <c r="AE63" s="145"/>
      <c r="AF63" s="145"/>
      <c r="AG63" s="145"/>
      <c r="AH63" s="145"/>
      <c r="AI63" s="145"/>
      <c r="AJ63" s="145"/>
      <c r="AK63" s="145"/>
      <c r="AL63" s="145"/>
      <c r="AM63" s="145"/>
      <c r="AN63" s="145"/>
      <c r="AO63" s="145"/>
      <c r="AP63" s="145"/>
      <c r="AQ63" s="145"/>
      <c r="AR63" s="145"/>
      <c r="AS63" s="145"/>
      <c r="AT63" s="145"/>
      <c r="AU63" s="145"/>
      <c r="AV63" s="145"/>
      <c r="AW63" s="145"/>
      <c r="AX63" s="145"/>
      <c r="AY63" s="145"/>
      <c r="AZ63" s="145"/>
      <c r="BA63" s="145"/>
      <c r="BB63" s="145"/>
      <c r="BC63" s="145"/>
      <c r="BD63" s="145"/>
      <c r="BE63" s="145"/>
      <c r="BF63" s="145"/>
      <c r="BG63" s="145"/>
      <c r="BH63" s="145"/>
      <c r="BI63" s="145"/>
      <c r="BJ63" s="145"/>
      <c r="BK63" s="145"/>
      <c r="BL63" s="145"/>
      <c r="BM63" s="145"/>
      <c r="BN63" s="145"/>
      <c r="BO63" s="145"/>
      <c r="BP63" s="145"/>
      <c r="BQ63" s="145"/>
      <c r="BR63" s="145"/>
      <c r="BS63" s="145"/>
      <c r="BT63" s="145"/>
      <c r="BU63" s="145"/>
      <c r="BV63" s="145"/>
      <c r="BW63" s="145"/>
      <c r="BX63" s="145"/>
    </row>
    <row r="64" spans="1:76" ht="11.25">
      <c r="A64" s="145"/>
      <c r="B64" s="145"/>
      <c r="C64" s="145"/>
      <c r="D64" s="157"/>
      <c r="E64" s="157"/>
      <c r="F64" s="157"/>
      <c r="G64" s="157"/>
      <c r="H64" s="157"/>
      <c r="I64" s="157"/>
      <c r="J64" s="157"/>
      <c r="K64" s="157"/>
      <c r="L64" s="157"/>
      <c r="M64" s="157"/>
      <c r="N64" s="157"/>
      <c r="O64" s="157"/>
      <c r="P64" s="145"/>
      <c r="Q64" s="145"/>
      <c r="R64" s="145"/>
      <c r="S64" s="145"/>
      <c r="T64" s="145"/>
      <c r="U64" s="145"/>
      <c r="V64" s="145"/>
      <c r="W64" s="145"/>
      <c r="X64" s="145"/>
      <c r="Y64" s="145"/>
      <c r="Z64" s="145"/>
      <c r="AA64" s="145"/>
      <c r="AB64" s="145"/>
      <c r="AC64" s="145"/>
      <c r="AD64" s="145"/>
      <c r="AE64" s="145"/>
      <c r="AF64" s="145"/>
      <c r="AG64" s="145"/>
      <c r="AH64" s="145"/>
      <c r="AI64" s="145"/>
      <c r="AJ64" s="145"/>
      <c r="AK64" s="145"/>
      <c r="AL64" s="145"/>
      <c r="AM64" s="145"/>
      <c r="AN64" s="145"/>
      <c r="AO64" s="145"/>
      <c r="AP64" s="145"/>
      <c r="AQ64" s="145"/>
      <c r="AR64" s="145"/>
      <c r="AS64" s="145"/>
      <c r="AT64" s="145"/>
      <c r="AU64" s="145"/>
      <c r="AV64" s="145"/>
      <c r="AW64" s="145"/>
      <c r="AX64" s="145"/>
      <c r="AY64" s="145"/>
      <c r="AZ64" s="145"/>
      <c r="BA64" s="145"/>
      <c r="BB64" s="145"/>
      <c r="BC64" s="145"/>
      <c r="BD64" s="145"/>
      <c r="BE64" s="145"/>
      <c r="BF64" s="145"/>
      <c r="BG64" s="145"/>
      <c r="BH64" s="145"/>
      <c r="BI64" s="145"/>
      <c r="BJ64" s="145"/>
      <c r="BK64" s="145"/>
      <c r="BL64" s="145"/>
      <c r="BM64" s="145"/>
      <c r="BN64" s="145"/>
      <c r="BO64" s="145"/>
      <c r="BP64" s="145"/>
      <c r="BQ64" s="145"/>
      <c r="BR64" s="145"/>
      <c r="BS64" s="145"/>
      <c r="BT64" s="145"/>
      <c r="BU64" s="145"/>
      <c r="BV64" s="145"/>
      <c r="BW64" s="145"/>
      <c r="BX64" s="145"/>
    </row>
    <row r="65" spans="1:76" ht="11.25">
      <c r="A65" s="145"/>
      <c r="B65" s="145"/>
      <c r="C65" s="145"/>
      <c r="D65" s="157"/>
      <c r="E65" s="157"/>
      <c r="F65" s="157"/>
      <c r="G65" s="157"/>
      <c r="H65" s="157"/>
      <c r="I65" s="157"/>
      <c r="J65" s="157"/>
      <c r="K65" s="157"/>
      <c r="L65" s="157"/>
      <c r="M65" s="157"/>
      <c r="N65" s="157"/>
      <c r="O65" s="157"/>
      <c r="P65" s="145"/>
      <c r="Q65" s="145"/>
      <c r="R65" s="145"/>
      <c r="S65" s="145"/>
      <c r="T65" s="145"/>
      <c r="U65" s="145"/>
      <c r="V65" s="145"/>
      <c r="W65" s="145"/>
      <c r="X65" s="145"/>
      <c r="Y65" s="145"/>
      <c r="Z65" s="145"/>
      <c r="AA65" s="145"/>
      <c r="AB65" s="145"/>
      <c r="AC65" s="145"/>
      <c r="AD65" s="145"/>
      <c r="AE65" s="145"/>
      <c r="AF65" s="145"/>
      <c r="AG65" s="145"/>
      <c r="AH65" s="145"/>
      <c r="AI65" s="145"/>
      <c r="AJ65" s="145"/>
      <c r="AK65" s="145"/>
      <c r="AL65" s="145"/>
      <c r="AM65" s="145"/>
      <c r="AN65" s="145"/>
      <c r="AO65" s="145"/>
      <c r="AP65" s="145"/>
      <c r="AQ65" s="145"/>
      <c r="AR65" s="145"/>
      <c r="AS65" s="145"/>
      <c r="AT65" s="145"/>
      <c r="AU65" s="145"/>
      <c r="AV65" s="145"/>
      <c r="AW65" s="145"/>
      <c r="AX65" s="145"/>
      <c r="AY65" s="145"/>
      <c r="AZ65" s="145"/>
      <c r="BA65" s="145"/>
      <c r="BB65" s="145"/>
      <c r="BC65" s="145"/>
      <c r="BD65" s="145"/>
      <c r="BE65" s="145"/>
      <c r="BF65" s="145"/>
      <c r="BG65" s="145"/>
      <c r="BH65" s="145"/>
      <c r="BI65" s="145"/>
      <c r="BJ65" s="145"/>
      <c r="BK65" s="145"/>
      <c r="BL65" s="145"/>
      <c r="BM65" s="145"/>
      <c r="BN65" s="145"/>
      <c r="BO65" s="145"/>
      <c r="BP65" s="145"/>
      <c r="BQ65" s="145"/>
      <c r="BR65" s="145"/>
      <c r="BS65" s="145"/>
      <c r="BT65" s="145"/>
      <c r="BU65" s="145"/>
      <c r="BV65" s="145"/>
      <c r="BW65" s="145"/>
      <c r="BX65" s="145"/>
    </row>
    <row r="66" spans="1:76" ht="11.25">
      <c r="A66" s="145"/>
      <c r="B66" s="145"/>
      <c r="C66" s="145"/>
      <c r="D66" s="157"/>
      <c r="E66" s="157"/>
      <c r="F66" s="157"/>
      <c r="G66" s="157"/>
      <c r="H66" s="157"/>
      <c r="I66" s="157"/>
      <c r="J66" s="157"/>
      <c r="K66" s="157"/>
      <c r="L66" s="157"/>
      <c r="M66" s="157"/>
      <c r="N66" s="157"/>
      <c r="O66" s="157"/>
      <c r="P66" s="145"/>
      <c r="Q66" s="145"/>
      <c r="R66" s="145"/>
      <c r="S66" s="145"/>
      <c r="T66" s="145"/>
      <c r="U66" s="145"/>
      <c r="V66" s="145"/>
      <c r="W66" s="145"/>
      <c r="X66" s="145"/>
      <c r="Y66" s="145"/>
      <c r="Z66" s="145"/>
      <c r="AA66" s="145"/>
      <c r="AB66" s="145"/>
      <c r="AC66" s="145"/>
      <c r="AD66" s="145"/>
      <c r="AE66" s="145"/>
      <c r="AF66" s="145"/>
      <c r="AG66" s="145"/>
      <c r="AH66" s="145"/>
      <c r="AI66" s="145"/>
      <c r="AJ66" s="145"/>
      <c r="AK66" s="145"/>
      <c r="AL66" s="145"/>
      <c r="AM66" s="145"/>
      <c r="AN66" s="145"/>
      <c r="AO66" s="145"/>
      <c r="AP66" s="145"/>
      <c r="AQ66" s="145"/>
      <c r="AR66" s="145"/>
      <c r="AS66" s="145"/>
      <c r="AT66" s="145"/>
      <c r="AU66" s="145"/>
      <c r="AV66" s="145"/>
      <c r="AW66" s="145"/>
      <c r="AX66" s="145"/>
      <c r="AY66" s="145"/>
      <c r="AZ66" s="145"/>
      <c r="BA66" s="145"/>
      <c r="BB66" s="145"/>
      <c r="BC66" s="145"/>
      <c r="BD66" s="145"/>
      <c r="BE66" s="145"/>
      <c r="BF66" s="145"/>
      <c r="BG66" s="145"/>
      <c r="BH66" s="145"/>
      <c r="BI66" s="145"/>
      <c r="BJ66" s="145"/>
      <c r="BK66" s="145"/>
      <c r="BL66" s="145"/>
      <c r="BM66" s="145"/>
      <c r="BN66" s="145"/>
      <c r="BO66" s="145"/>
      <c r="BP66" s="145"/>
      <c r="BQ66" s="145"/>
      <c r="BR66" s="145"/>
      <c r="BS66" s="145"/>
      <c r="BT66" s="145"/>
      <c r="BU66" s="145"/>
      <c r="BV66" s="145"/>
      <c r="BW66" s="145"/>
      <c r="BX66" s="145"/>
    </row>
    <row r="67" spans="1:76">
      <c r="A67" s="145"/>
      <c r="B67" s="145"/>
      <c r="C67" s="145"/>
      <c r="D67" s="89"/>
      <c r="E67" s="89"/>
      <c r="F67" s="89"/>
      <c r="G67" s="89"/>
      <c r="H67" s="89"/>
      <c r="I67" s="89"/>
      <c r="J67" s="89"/>
      <c r="K67" s="89"/>
      <c r="L67" s="89"/>
      <c r="M67" s="89"/>
      <c r="N67" s="89"/>
      <c r="O67" s="89"/>
      <c r="P67" s="145"/>
      <c r="Q67" s="145"/>
      <c r="R67" s="145"/>
      <c r="S67" s="145"/>
      <c r="T67" s="145"/>
      <c r="U67" s="145"/>
      <c r="V67" s="145"/>
      <c r="W67" s="145"/>
      <c r="X67" s="145"/>
      <c r="Y67" s="145"/>
      <c r="Z67" s="145"/>
      <c r="AA67" s="145"/>
      <c r="AB67" s="145"/>
      <c r="AC67" s="145"/>
      <c r="AD67" s="145"/>
      <c r="AE67" s="145"/>
      <c r="AF67" s="145"/>
      <c r="AG67" s="145"/>
      <c r="AH67" s="145"/>
      <c r="AI67" s="145"/>
      <c r="AJ67" s="145"/>
      <c r="AK67" s="145"/>
      <c r="AL67" s="145"/>
      <c r="AM67" s="145"/>
      <c r="AN67" s="145"/>
      <c r="AO67" s="145"/>
      <c r="AP67" s="145"/>
      <c r="AQ67" s="145"/>
      <c r="AR67" s="145"/>
      <c r="AS67" s="145"/>
      <c r="AT67" s="145"/>
      <c r="AU67" s="145"/>
      <c r="AV67" s="145"/>
      <c r="AW67" s="145"/>
      <c r="AX67" s="145"/>
      <c r="AY67" s="145"/>
      <c r="AZ67" s="145"/>
      <c r="BA67" s="145"/>
      <c r="BB67" s="145"/>
      <c r="BC67" s="145"/>
      <c r="BD67" s="145"/>
      <c r="BE67" s="145"/>
      <c r="BF67" s="145"/>
      <c r="BG67" s="145"/>
      <c r="BH67" s="145"/>
      <c r="BI67" s="145"/>
      <c r="BJ67" s="145"/>
      <c r="BK67" s="145"/>
      <c r="BL67" s="145"/>
      <c r="BM67" s="145"/>
      <c r="BN67" s="145"/>
      <c r="BO67" s="145"/>
      <c r="BP67" s="145"/>
      <c r="BQ67" s="145"/>
      <c r="BR67" s="145"/>
      <c r="BS67" s="145"/>
      <c r="BT67" s="145"/>
      <c r="BU67" s="145"/>
      <c r="BV67" s="145"/>
      <c r="BW67" s="145"/>
      <c r="BX67" s="145"/>
    </row>
    <row r="68" spans="1:76">
      <c r="A68" s="145"/>
      <c r="B68" s="145"/>
      <c r="C68" s="145"/>
      <c r="D68" s="89"/>
      <c r="E68" s="89"/>
      <c r="F68" s="89"/>
      <c r="G68" s="89"/>
      <c r="H68" s="89"/>
      <c r="I68" s="89"/>
      <c r="J68" s="89"/>
      <c r="K68" s="89"/>
      <c r="L68" s="89"/>
      <c r="M68" s="89"/>
      <c r="N68" s="89"/>
      <c r="O68" s="89"/>
      <c r="P68" s="145"/>
      <c r="Q68" s="145"/>
      <c r="R68" s="145"/>
      <c r="S68" s="145"/>
      <c r="T68" s="145"/>
      <c r="U68" s="145"/>
      <c r="V68" s="145"/>
      <c r="W68" s="145"/>
      <c r="X68" s="145"/>
      <c r="Y68" s="145"/>
      <c r="Z68" s="145"/>
      <c r="AA68" s="145"/>
      <c r="AB68" s="145"/>
      <c r="AC68" s="145"/>
      <c r="AD68" s="145"/>
      <c r="AE68" s="145"/>
      <c r="AF68" s="145"/>
      <c r="AG68" s="145"/>
      <c r="AH68" s="145"/>
      <c r="AI68" s="145"/>
      <c r="AJ68" s="145"/>
      <c r="AK68" s="145"/>
      <c r="AL68" s="145"/>
      <c r="AM68" s="145"/>
      <c r="AN68" s="145"/>
      <c r="AO68" s="145"/>
      <c r="AP68" s="145"/>
      <c r="AQ68" s="145"/>
      <c r="AR68" s="145"/>
      <c r="AS68" s="145"/>
      <c r="AT68" s="145"/>
      <c r="AU68" s="145"/>
      <c r="AV68" s="145"/>
      <c r="AW68" s="145"/>
      <c r="AX68" s="145"/>
      <c r="AY68" s="145"/>
      <c r="AZ68" s="145"/>
      <c r="BA68" s="145"/>
      <c r="BB68" s="145"/>
      <c r="BC68" s="145"/>
      <c r="BD68" s="145"/>
      <c r="BE68" s="145"/>
      <c r="BF68" s="145"/>
      <c r="BG68" s="145"/>
      <c r="BH68" s="145"/>
      <c r="BI68" s="145"/>
      <c r="BJ68" s="145"/>
      <c r="BK68" s="145"/>
      <c r="BL68" s="145"/>
      <c r="BM68" s="145"/>
      <c r="BN68" s="145"/>
      <c r="BO68" s="145"/>
      <c r="BP68" s="145"/>
      <c r="BQ68" s="145"/>
      <c r="BR68" s="145"/>
      <c r="BS68" s="145"/>
      <c r="BT68" s="145"/>
      <c r="BU68" s="145"/>
      <c r="BV68" s="145"/>
      <c r="BW68" s="145"/>
      <c r="BX68" s="145"/>
    </row>
    <row r="69" spans="1:76">
      <c r="A69" s="145"/>
      <c r="B69" s="145"/>
      <c r="C69" s="145"/>
      <c r="D69" s="89"/>
      <c r="E69" s="89"/>
      <c r="F69" s="89"/>
      <c r="G69" s="89"/>
      <c r="H69" s="89"/>
      <c r="I69" s="89"/>
      <c r="J69" s="89"/>
      <c r="K69" s="89"/>
      <c r="L69" s="89"/>
      <c r="M69" s="89"/>
      <c r="N69" s="89"/>
      <c r="O69" s="89"/>
      <c r="P69" s="145"/>
      <c r="Q69" s="145"/>
      <c r="R69" s="145"/>
      <c r="S69" s="145"/>
      <c r="T69" s="145"/>
      <c r="U69" s="145"/>
      <c r="V69" s="145"/>
      <c r="W69" s="145"/>
      <c r="X69" s="145"/>
      <c r="Y69" s="145"/>
      <c r="Z69" s="145"/>
      <c r="AA69" s="145"/>
      <c r="AB69" s="145"/>
      <c r="AC69" s="145"/>
      <c r="AD69" s="145"/>
      <c r="AE69" s="145"/>
      <c r="AF69" s="145"/>
      <c r="AG69" s="145"/>
      <c r="AH69" s="145"/>
      <c r="AI69" s="145"/>
      <c r="AJ69" s="145"/>
      <c r="AK69" s="145"/>
      <c r="AL69" s="145"/>
      <c r="AM69" s="145"/>
      <c r="AN69" s="145"/>
      <c r="AO69" s="145"/>
      <c r="AP69" s="145"/>
      <c r="AQ69" s="145"/>
      <c r="AR69" s="145"/>
      <c r="AS69" s="145"/>
      <c r="AT69" s="145"/>
      <c r="AU69" s="145"/>
      <c r="AV69" s="145"/>
      <c r="AW69" s="145"/>
      <c r="AX69" s="145"/>
      <c r="AY69" s="145"/>
      <c r="AZ69" s="145"/>
      <c r="BA69" s="145"/>
      <c r="BB69" s="145"/>
      <c r="BC69" s="145"/>
      <c r="BD69" s="145"/>
      <c r="BE69" s="145"/>
      <c r="BF69" s="145"/>
      <c r="BG69" s="145"/>
      <c r="BH69" s="145"/>
      <c r="BI69" s="145"/>
      <c r="BJ69" s="145"/>
      <c r="BK69" s="145"/>
      <c r="BL69" s="145"/>
      <c r="BM69" s="145"/>
      <c r="BN69" s="145"/>
      <c r="BO69" s="145"/>
      <c r="BP69" s="145"/>
      <c r="BQ69" s="145"/>
      <c r="BR69" s="145"/>
      <c r="BS69" s="145"/>
      <c r="BT69" s="145"/>
      <c r="BU69" s="145"/>
      <c r="BV69" s="145"/>
      <c r="BW69" s="145"/>
      <c r="BX69" s="145"/>
    </row>
    <row r="70" spans="1:76">
      <c r="A70" s="145"/>
      <c r="B70" s="145"/>
      <c r="C70" s="145"/>
      <c r="D70" s="89"/>
      <c r="E70" s="89"/>
      <c r="F70" s="89"/>
      <c r="G70" s="89"/>
      <c r="H70" s="89"/>
      <c r="I70" s="89"/>
      <c r="J70" s="89"/>
      <c r="K70" s="89"/>
      <c r="L70" s="89"/>
      <c r="M70" s="89"/>
      <c r="N70" s="89"/>
      <c r="O70" s="89"/>
      <c r="P70" s="145"/>
      <c r="Q70" s="145"/>
      <c r="R70" s="145"/>
      <c r="S70" s="145"/>
      <c r="T70" s="145"/>
      <c r="U70" s="145"/>
      <c r="V70" s="145"/>
      <c r="W70" s="145"/>
      <c r="X70" s="145"/>
      <c r="Y70" s="145"/>
      <c r="Z70" s="145"/>
      <c r="AA70" s="145"/>
      <c r="AB70" s="145"/>
      <c r="AC70" s="145"/>
      <c r="AD70" s="145"/>
      <c r="AE70" s="145"/>
      <c r="AF70" s="145"/>
      <c r="AG70" s="145"/>
      <c r="AH70" s="145"/>
      <c r="AI70" s="145"/>
      <c r="AJ70" s="145"/>
      <c r="AK70" s="145"/>
      <c r="AL70" s="145"/>
      <c r="AM70" s="145"/>
      <c r="AN70" s="145"/>
      <c r="AO70" s="145"/>
      <c r="AP70" s="145"/>
      <c r="AQ70" s="145"/>
      <c r="AR70" s="145"/>
      <c r="AS70" s="145"/>
      <c r="AT70" s="145"/>
      <c r="AU70" s="145"/>
      <c r="AV70" s="145"/>
      <c r="AW70" s="145"/>
      <c r="AX70" s="145"/>
      <c r="AY70" s="145"/>
      <c r="AZ70" s="145"/>
      <c r="BA70" s="145"/>
      <c r="BB70" s="145"/>
      <c r="BC70" s="145"/>
      <c r="BD70" s="145"/>
      <c r="BE70" s="145"/>
      <c r="BF70" s="145"/>
      <c r="BG70" s="145"/>
      <c r="BH70" s="145"/>
      <c r="BI70" s="145"/>
      <c r="BJ70" s="145"/>
      <c r="BK70" s="145"/>
      <c r="BL70" s="145"/>
      <c r="BM70" s="145"/>
      <c r="BN70" s="145"/>
      <c r="BO70" s="145"/>
      <c r="BP70" s="145"/>
      <c r="BQ70" s="145"/>
      <c r="BR70" s="145"/>
      <c r="BS70" s="145"/>
      <c r="BT70" s="145"/>
      <c r="BU70" s="145"/>
      <c r="BV70" s="145"/>
      <c r="BW70" s="145"/>
      <c r="BX70" s="145"/>
    </row>
    <row r="71" spans="1:76">
      <c r="A71" s="145"/>
      <c r="B71" s="145"/>
      <c r="C71" s="145"/>
      <c r="D71" s="89"/>
      <c r="E71" s="89"/>
      <c r="F71" s="89"/>
      <c r="G71" s="89"/>
      <c r="H71" s="89"/>
      <c r="I71" s="89"/>
      <c r="J71" s="89"/>
      <c r="K71" s="89"/>
      <c r="L71" s="89"/>
      <c r="M71" s="89"/>
      <c r="N71" s="89"/>
      <c r="O71" s="89"/>
      <c r="P71" s="145"/>
      <c r="Q71" s="145"/>
      <c r="R71" s="145"/>
      <c r="S71" s="145"/>
      <c r="T71" s="145"/>
      <c r="U71" s="145"/>
      <c r="V71" s="145"/>
      <c r="W71" s="145"/>
      <c r="X71" s="145"/>
      <c r="Y71" s="145"/>
      <c r="Z71" s="145"/>
      <c r="AA71" s="145"/>
      <c r="AB71" s="145"/>
      <c r="AC71" s="145"/>
      <c r="AD71" s="145"/>
      <c r="AE71" s="145"/>
      <c r="AF71" s="145"/>
      <c r="AG71" s="145"/>
      <c r="AH71" s="145"/>
      <c r="AI71" s="145"/>
      <c r="AJ71" s="145"/>
      <c r="AK71" s="145"/>
      <c r="AL71" s="145"/>
      <c r="AM71" s="145"/>
      <c r="AN71" s="145"/>
      <c r="AO71" s="145"/>
      <c r="AP71" s="145"/>
      <c r="AQ71" s="145"/>
      <c r="AR71" s="145"/>
      <c r="AS71" s="145"/>
      <c r="AT71" s="145"/>
      <c r="AU71" s="145"/>
      <c r="AV71" s="145"/>
      <c r="AW71" s="145"/>
      <c r="AX71" s="145"/>
      <c r="AY71" s="145"/>
      <c r="AZ71" s="145"/>
      <c r="BA71" s="145"/>
      <c r="BB71" s="145"/>
      <c r="BC71" s="145"/>
      <c r="BD71" s="145"/>
      <c r="BE71" s="145"/>
      <c r="BF71" s="145"/>
      <c r="BG71" s="145"/>
      <c r="BH71" s="145"/>
      <c r="BI71" s="145"/>
      <c r="BJ71" s="145"/>
      <c r="BK71" s="145"/>
      <c r="BL71" s="145"/>
      <c r="BM71" s="145"/>
      <c r="BN71" s="145"/>
      <c r="BO71" s="145"/>
      <c r="BP71" s="145"/>
      <c r="BQ71" s="145"/>
      <c r="BR71" s="145"/>
      <c r="BS71" s="145"/>
      <c r="BT71" s="145"/>
      <c r="BU71" s="145"/>
      <c r="BV71" s="145"/>
      <c r="BW71" s="145"/>
      <c r="BX71" s="145"/>
    </row>
    <row r="72" spans="1:76">
      <c r="A72" s="145"/>
      <c r="B72" s="145"/>
      <c r="C72" s="145"/>
      <c r="D72" s="89"/>
      <c r="E72" s="89"/>
      <c r="F72" s="89"/>
      <c r="G72" s="89"/>
      <c r="H72" s="89"/>
      <c r="I72" s="89"/>
      <c r="J72" s="89"/>
      <c r="K72" s="89"/>
      <c r="L72" s="89"/>
      <c r="M72" s="89"/>
      <c r="N72" s="89"/>
      <c r="O72" s="89"/>
      <c r="P72" s="145"/>
      <c r="Q72" s="145"/>
      <c r="R72" s="145"/>
      <c r="S72" s="145"/>
      <c r="T72" s="145"/>
      <c r="U72" s="145"/>
      <c r="V72" s="145"/>
      <c r="W72" s="145"/>
      <c r="X72" s="145"/>
      <c r="Y72" s="145"/>
      <c r="Z72" s="145"/>
      <c r="AA72" s="145"/>
      <c r="AB72" s="145"/>
      <c r="AC72" s="145"/>
      <c r="AD72" s="145"/>
      <c r="AE72" s="145"/>
      <c r="AF72" s="145"/>
      <c r="AG72" s="145"/>
      <c r="AH72" s="145"/>
      <c r="AI72" s="145"/>
      <c r="AJ72" s="145"/>
      <c r="AK72" s="145"/>
      <c r="AL72" s="145"/>
      <c r="AM72" s="145"/>
      <c r="AN72" s="145"/>
      <c r="AO72" s="145"/>
      <c r="AP72" s="145"/>
      <c r="AQ72" s="145"/>
      <c r="AR72" s="145"/>
      <c r="AS72" s="145"/>
      <c r="AT72" s="145"/>
      <c r="AU72" s="145"/>
      <c r="AV72" s="145"/>
      <c r="AW72" s="145"/>
      <c r="AX72" s="145"/>
      <c r="AY72" s="145"/>
      <c r="AZ72" s="145"/>
      <c r="BA72" s="145"/>
      <c r="BB72" s="145"/>
      <c r="BC72" s="145"/>
      <c r="BD72" s="145"/>
      <c r="BE72" s="145"/>
      <c r="BF72" s="145"/>
      <c r="BG72" s="145"/>
      <c r="BH72" s="145"/>
      <c r="BI72" s="145"/>
      <c r="BJ72" s="145"/>
      <c r="BK72" s="145"/>
      <c r="BL72" s="145"/>
      <c r="BM72" s="145"/>
      <c r="BN72" s="145"/>
      <c r="BO72" s="145"/>
      <c r="BP72" s="145"/>
      <c r="BQ72" s="145"/>
      <c r="BR72" s="145"/>
      <c r="BS72" s="145"/>
      <c r="BT72" s="145"/>
      <c r="BU72" s="145"/>
      <c r="BV72" s="145"/>
      <c r="BW72" s="145"/>
      <c r="BX72" s="145"/>
    </row>
    <row r="73" spans="1:76">
      <c r="A73" s="145"/>
      <c r="B73" s="145"/>
      <c r="C73" s="145"/>
      <c r="D73" s="89"/>
      <c r="E73" s="89"/>
      <c r="F73" s="89"/>
      <c r="G73" s="89"/>
      <c r="H73" s="89"/>
      <c r="I73" s="89"/>
      <c r="J73" s="89"/>
      <c r="K73" s="89"/>
      <c r="L73" s="89"/>
      <c r="M73" s="89"/>
      <c r="N73" s="89"/>
      <c r="O73" s="89"/>
      <c r="P73" s="145"/>
      <c r="Q73" s="145"/>
      <c r="R73" s="145"/>
      <c r="S73" s="145"/>
      <c r="T73" s="145"/>
      <c r="U73" s="145"/>
      <c r="V73" s="145"/>
      <c r="W73" s="145"/>
      <c r="X73" s="145"/>
      <c r="Y73" s="145"/>
      <c r="Z73" s="145"/>
      <c r="AA73" s="145"/>
      <c r="AB73" s="145"/>
      <c r="AC73" s="145"/>
      <c r="AD73" s="145"/>
      <c r="AE73" s="145"/>
      <c r="AF73" s="145"/>
      <c r="AG73" s="145"/>
      <c r="AH73" s="145"/>
      <c r="AI73" s="145"/>
      <c r="AJ73" s="145"/>
      <c r="AK73" s="145"/>
      <c r="AL73" s="145"/>
      <c r="AM73" s="145"/>
      <c r="AN73" s="145"/>
      <c r="AO73" s="145"/>
      <c r="AP73" s="145"/>
      <c r="AQ73" s="145"/>
      <c r="AR73" s="145"/>
      <c r="AS73" s="145"/>
      <c r="AT73" s="145"/>
      <c r="AU73" s="145"/>
      <c r="AV73" s="145"/>
      <c r="AW73" s="145"/>
      <c r="AX73" s="145"/>
      <c r="AY73" s="145"/>
      <c r="AZ73" s="145"/>
      <c r="BA73" s="145"/>
      <c r="BB73" s="145"/>
      <c r="BC73" s="145"/>
      <c r="BD73" s="145"/>
      <c r="BE73" s="145"/>
      <c r="BF73" s="145"/>
      <c r="BG73" s="145"/>
      <c r="BH73" s="145"/>
      <c r="BI73" s="145"/>
      <c r="BJ73" s="145"/>
      <c r="BK73" s="145"/>
      <c r="BL73" s="145"/>
      <c r="BM73" s="145"/>
      <c r="BN73" s="145"/>
      <c r="BO73" s="145"/>
      <c r="BP73" s="145"/>
      <c r="BQ73" s="145"/>
      <c r="BR73" s="145"/>
      <c r="BS73" s="145"/>
      <c r="BT73" s="145"/>
      <c r="BU73" s="145"/>
      <c r="BV73" s="145"/>
      <c r="BW73" s="145"/>
      <c r="BX73" s="145"/>
    </row>
    <row r="74" spans="1:76">
      <c r="A74" s="145"/>
      <c r="B74" s="145"/>
      <c r="C74" s="145"/>
      <c r="D74" s="89"/>
      <c r="E74" s="89"/>
      <c r="F74" s="89"/>
      <c r="G74" s="89"/>
      <c r="H74" s="89"/>
      <c r="I74" s="89"/>
      <c r="J74" s="89"/>
      <c r="K74" s="89"/>
      <c r="L74" s="89"/>
      <c r="M74" s="89"/>
      <c r="N74" s="89"/>
      <c r="O74" s="89"/>
      <c r="P74" s="145"/>
      <c r="Q74" s="145"/>
      <c r="R74" s="145"/>
      <c r="S74" s="145"/>
      <c r="T74" s="145"/>
      <c r="U74" s="145"/>
      <c r="V74" s="145"/>
      <c r="W74" s="145"/>
      <c r="X74" s="145"/>
      <c r="Y74" s="145"/>
      <c r="Z74" s="145"/>
      <c r="AA74" s="145"/>
      <c r="AB74" s="145"/>
      <c r="AC74" s="145"/>
      <c r="AD74" s="145"/>
      <c r="AE74" s="145"/>
      <c r="AF74" s="145"/>
      <c r="AG74" s="145"/>
      <c r="AH74" s="145"/>
      <c r="AI74" s="145"/>
      <c r="AJ74" s="145"/>
      <c r="AK74" s="145"/>
      <c r="AL74" s="145"/>
      <c r="AM74" s="145"/>
      <c r="AN74" s="145"/>
      <c r="AO74" s="145"/>
      <c r="AP74" s="145"/>
      <c r="AQ74" s="145"/>
      <c r="AR74" s="145"/>
      <c r="AS74" s="145"/>
      <c r="AT74" s="145"/>
      <c r="AU74" s="145"/>
      <c r="AV74" s="145"/>
      <c r="AW74" s="145"/>
      <c r="AX74" s="145"/>
      <c r="AY74" s="145"/>
      <c r="AZ74" s="145"/>
      <c r="BA74" s="145"/>
      <c r="BB74" s="145"/>
      <c r="BC74" s="145"/>
      <c r="BD74" s="145"/>
      <c r="BE74" s="145"/>
      <c r="BF74" s="145"/>
      <c r="BG74" s="145"/>
      <c r="BH74" s="145"/>
      <c r="BI74" s="145"/>
      <c r="BJ74" s="145"/>
      <c r="BK74" s="145"/>
      <c r="BL74" s="145"/>
      <c r="BM74" s="145"/>
      <c r="BN74" s="145"/>
      <c r="BO74" s="145"/>
      <c r="BP74" s="145"/>
      <c r="BQ74" s="145"/>
      <c r="BR74" s="145"/>
      <c r="BS74" s="145"/>
      <c r="BT74" s="145"/>
      <c r="BU74" s="145"/>
      <c r="BV74" s="145"/>
      <c r="BW74" s="145"/>
      <c r="BX74" s="145"/>
    </row>
    <row r="75" spans="1:76">
      <c r="A75" s="145"/>
      <c r="B75" s="145"/>
      <c r="C75" s="145"/>
      <c r="D75" s="89"/>
      <c r="E75" s="89"/>
      <c r="F75" s="89"/>
      <c r="G75" s="89"/>
      <c r="H75" s="89"/>
      <c r="I75" s="89"/>
      <c r="J75" s="89"/>
      <c r="K75" s="89"/>
      <c r="L75" s="89"/>
      <c r="M75" s="89"/>
      <c r="N75" s="89"/>
      <c r="O75" s="89"/>
      <c r="P75" s="145"/>
      <c r="Q75" s="145"/>
      <c r="R75" s="145"/>
      <c r="S75" s="145"/>
      <c r="T75" s="145"/>
      <c r="U75" s="145"/>
      <c r="V75" s="145"/>
      <c r="W75" s="145"/>
      <c r="X75" s="145"/>
      <c r="Y75" s="145"/>
      <c r="Z75" s="145"/>
      <c r="AA75" s="145"/>
      <c r="AB75" s="145"/>
      <c r="AC75" s="145"/>
      <c r="AD75" s="145"/>
      <c r="AE75" s="145"/>
      <c r="AF75" s="145"/>
      <c r="AG75" s="145"/>
      <c r="AH75" s="145"/>
      <c r="AI75" s="145"/>
      <c r="AJ75" s="145"/>
      <c r="AK75" s="145"/>
      <c r="AL75" s="145"/>
      <c r="AM75" s="145"/>
      <c r="AN75" s="145"/>
      <c r="AO75" s="145"/>
      <c r="AP75" s="145"/>
      <c r="AQ75" s="145"/>
      <c r="AR75" s="145"/>
      <c r="AS75" s="145"/>
      <c r="AT75" s="145"/>
      <c r="AU75" s="145"/>
      <c r="AV75" s="145"/>
      <c r="AW75" s="145"/>
      <c r="AX75" s="145"/>
      <c r="AY75" s="145"/>
      <c r="AZ75" s="145"/>
      <c r="BA75" s="145"/>
      <c r="BB75" s="145"/>
      <c r="BC75" s="145"/>
      <c r="BD75" s="145"/>
      <c r="BE75" s="145"/>
      <c r="BF75" s="145"/>
      <c r="BG75" s="145"/>
      <c r="BH75" s="145"/>
      <c r="BI75" s="145"/>
      <c r="BJ75" s="145"/>
      <c r="BK75" s="145"/>
      <c r="BL75" s="145"/>
      <c r="BM75" s="145"/>
      <c r="BN75" s="145"/>
      <c r="BO75" s="145"/>
      <c r="BP75" s="145"/>
      <c r="BQ75" s="145"/>
      <c r="BR75" s="145"/>
      <c r="BS75" s="145"/>
      <c r="BT75" s="145"/>
      <c r="BU75" s="145"/>
      <c r="BV75" s="145"/>
      <c r="BW75" s="145"/>
      <c r="BX75" s="145"/>
    </row>
    <row r="76" spans="1:76">
      <c r="A76" s="145"/>
      <c r="B76" s="145"/>
      <c r="C76" s="145"/>
      <c r="D76" s="89"/>
      <c r="E76" s="89"/>
      <c r="F76" s="89"/>
      <c r="G76" s="89"/>
      <c r="H76" s="89"/>
      <c r="I76" s="89"/>
      <c r="J76" s="89"/>
      <c r="K76" s="89"/>
      <c r="L76" s="89"/>
      <c r="M76" s="89"/>
      <c r="N76" s="89"/>
      <c r="O76" s="89"/>
      <c r="P76" s="145"/>
      <c r="Q76" s="145"/>
      <c r="R76" s="145"/>
      <c r="S76" s="145"/>
      <c r="T76" s="145"/>
      <c r="U76" s="145"/>
      <c r="V76" s="145"/>
      <c r="W76" s="145"/>
      <c r="X76" s="145"/>
      <c r="Y76" s="145"/>
      <c r="Z76" s="145"/>
      <c r="AA76" s="145"/>
      <c r="AB76" s="145"/>
      <c r="AC76" s="145"/>
      <c r="AD76" s="145"/>
      <c r="AE76" s="145"/>
      <c r="AF76" s="145"/>
      <c r="AG76" s="145"/>
      <c r="AH76" s="145"/>
      <c r="AI76" s="145"/>
      <c r="AJ76" s="145"/>
      <c r="AK76" s="145"/>
      <c r="AL76" s="145"/>
      <c r="AM76" s="145"/>
      <c r="AN76" s="145"/>
      <c r="AO76" s="145"/>
      <c r="AP76" s="145"/>
      <c r="AQ76" s="145"/>
      <c r="AR76" s="145"/>
      <c r="AS76" s="145"/>
      <c r="AT76" s="145"/>
      <c r="AU76" s="145"/>
      <c r="AV76" s="145"/>
      <c r="AW76" s="145"/>
      <c r="AX76" s="145"/>
      <c r="AY76" s="145"/>
      <c r="AZ76" s="145"/>
      <c r="BA76" s="145"/>
      <c r="BB76" s="145"/>
      <c r="BC76" s="145"/>
      <c r="BD76" s="145"/>
      <c r="BE76" s="145"/>
      <c r="BF76" s="145"/>
      <c r="BG76" s="145"/>
      <c r="BH76" s="145"/>
      <c r="BI76" s="145"/>
      <c r="BJ76" s="145"/>
      <c r="BK76" s="145"/>
      <c r="BL76" s="145"/>
      <c r="BM76" s="145"/>
      <c r="BN76" s="145"/>
      <c r="BO76" s="145"/>
      <c r="BP76" s="145"/>
      <c r="BQ76" s="145"/>
      <c r="BR76" s="145"/>
      <c r="BS76" s="145"/>
      <c r="BT76" s="145"/>
      <c r="BU76" s="145"/>
      <c r="BV76" s="145"/>
      <c r="BW76" s="145"/>
      <c r="BX76" s="145"/>
    </row>
    <row r="77" spans="1:76">
      <c r="A77" s="145"/>
      <c r="B77" s="145"/>
      <c r="C77" s="145"/>
      <c r="D77" s="89"/>
      <c r="E77" s="89"/>
      <c r="F77" s="89"/>
      <c r="G77" s="89"/>
      <c r="H77" s="89"/>
      <c r="I77" s="89"/>
      <c r="J77" s="89"/>
      <c r="K77" s="89"/>
      <c r="L77" s="89"/>
      <c r="M77" s="89"/>
      <c r="N77" s="89"/>
      <c r="O77" s="89"/>
      <c r="P77" s="145"/>
      <c r="Q77" s="145"/>
      <c r="R77" s="145"/>
      <c r="S77" s="145"/>
      <c r="T77" s="145"/>
      <c r="U77" s="145"/>
      <c r="V77" s="145"/>
      <c r="W77" s="145"/>
      <c r="X77" s="145"/>
      <c r="Y77" s="145"/>
      <c r="Z77" s="145"/>
      <c r="AA77" s="145"/>
      <c r="AB77" s="145"/>
      <c r="AC77" s="145"/>
      <c r="AD77" s="145"/>
      <c r="AE77" s="145"/>
      <c r="AF77" s="145"/>
      <c r="AG77" s="145"/>
      <c r="AH77" s="145"/>
      <c r="AI77" s="145"/>
      <c r="AJ77" s="145"/>
      <c r="AK77" s="145"/>
      <c r="AL77" s="145"/>
      <c r="AM77" s="145"/>
      <c r="AN77" s="145"/>
      <c r="AO77" s="145"/>
      <c r="AP77" s="145"/>
      <c r="AQ77" s="145"/>
      <c r="AR77" s="145"/>
      <c r="AS77" s="145"/>
      <c r="AT77" s="145"/>
      <c r="AU77" s="145"/>
      <c r="AV77" s="145"/>
      <c r="AW77" s="145"/>
      <c r="AX77" s="145"/>
      <c r="AY77" s="145"/>
      <c r="AZ77" s="145"/>
      <c r="BA77" s="145"/>
      <c r="BB77" s="145"/>
      <c r="BC77" s="145"/>
      <c r="BD77" s="145"/>
      <c r="BE77" s="145"/>
      <c r="BF77" s="145"/>
      <c r="BG77" s="145"/>
      <c r="BH77" s="145"/>
      <c r="BI77" s="145"/>
      <c r="BJ77" s="145"/>
      <c r="BK77" s="145"/>
      <c r="BL77" s="145"/>
      <c r="BM77" s="145"/>
      <c r="BN77" s="145"/>
      <c r="BO77" s="145"/>
      <c r="BP77" s="145"/>
      <c r="BQ77" s="145"/>
      <c r="BR77" s="145"/>
      <c r="BS77" s="145"/>
      <c r="BT77" s="145"/>
      <c r="BU77" s="145"/>
      <c r="BV77" s="145"/>
      <c r="BW77" s="145"/>
      <c r="BX77" s="145"/>
    </row>
  </sheetData>
  <dataConsolidate/>
  <mergeCells count="19">
    <mergeCell ref="J3:J5"/>
    <mergeCell ref="H3:H5"/>
    <mergeCell ref="I3:I5"/>
    <mergeCell ref="A1:G1"/>
    <mergeCell ref="H1:O1"/>
    <mergeCell ref="D2:H2"/>
    <mergeCell ref="I2:J2"/>
    <mergeCell ref="K2:M2"/>
    <mergeCell ref="N2:O4"/>
    <mergeCell ref="D3:D5"/>
    <mergeCell ref="K3:K5"/>
    <mergeCell ref="L3:L5"/>
    <mergeCell ref="M3:M5"/>
    <mergeCell ref="C2:C5"/>
    <mergeCell ref="E3:E5"/>
    <mergeCell ref="F3:F5"/>
    <mergeCell ref="G3:G5"/>
    <mergeCell ref="A2:A5"/>
    <mergeCell ref="B2:B5"/>
  </mergeCells>
  <phoneticPr fontId="8" type="noConversion"/>
  <printOptions horizontalCentered="1" gridLines="1"/>
  <pageMargins left="0.5" right="0.5" top="0.7" bottom="1.5" header="0.5" footer="0.5"/>
  <pageSetup paperSize="5" firstPageNumber="4" pageOrder="overThenDown" orientation="portrait" blackAndWhite="1" useFirstPageNumber="1" r:id="rId1"/>
  <headerFooter alignWithMargins="0">
    <oddHeader>&amp;C(&amp;P)</oddHeader>
  </headerFooter>
  <rowBreaks count="1" manualBreakCount="1">
    <brk id="46" max="1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5" codeName="Sheet33">
    <tabColor indexed="40"/>
  </sheetPr>
  <dimension ref="A1:I341"/>
  <sheetViews>
    <sheetView showZeros="0" zoomScaleNormal="100" zoomScaleSheetLayoutView="100" workbookViewId="0">
      <pane ySplit="4" topLeftCell="A5" activePane="bottomLeft" state="frozen"/>
      <selection activeCell="A7" sqref="A7"/>
      <selection pane="bottomLeft" activeCell="A5" sqref="A5"/>
    </sheetView>
  </sheetViews>
  <sheetFormatPr defaultColWidth="9.33203125" defaultRowHeight="15.75"/>
  <cols>
    <col min="1" max="1" width="30.83203125" style="65" customWidth="1"/>
    <col min="2" max="2" width="30.83203125" style="102" hidden="1" customWidth="1"/>
    <col min="3" max="3" width="12.33203125" style="68" customWidth="1"/>
    <col min="4" max="4" width="3.33203125" style="78" customWidth="1"/>
    <col min="5" max="9" width="14.83203125" style="67" customWidth="1"/>
    <col min="10" max="128" width="10.1640625" style="64" customWidth="1"/>
    <col min="129" max="16384" width="9.33203125" style="64"/>
  </cols>
  <sheetData>
    <row r="1" spans="1:9">
      <c r="A1" s="306" t="s">
        <v>2072</v>
      </c>
      <c r="B1" s="306"/>
      <c r="C1" s="306"/>
      <c r="D1" s="306"/>
      <c r="E1" s="306"/>
      <c r="F1" s="306"/>
      <c r="G1" s="306"/>
      <c r="H1" s="306"/>
      <c r="I1" s="306"/>
    </row>
    <row r="2" spans="1:9" ht="16.5" customHeight="1">
      <c r="A2" s="309" t="s">
        <v>2071</v>
      </c>
      <c r="B2" s="311" t="s">
        <v>924</v>
      </c>
      <c r="C2" s="313"/>
      <c r="D2" s="313"/>
      <c r="E2" s="307" t="s">
        <v>2073</v>
      </c>
      <c r="F2" s="307"/>
      <c r="G2" s="307"/>
      <c r="H2" s="308" t="s">
        <v>13059</v>
      </c>
      <c r="I2" s="345" t="s">
        <v>13060</v>
      </c>
    </row>
    <row r="3" spans="1:9">
      <c r="A3" s="310"/>
      <c r="B3" s="312"/>
      <c r="C3" s="314"/>
      <c r="D3" s="314"/>
      <c r="E3" s="85" t="s">
        <v>1727</v>
      </c>
      <c r="F3" s="85" t="s">
        <v>2069</v>
      </c>
      <c r="G3" s="85" t="s">
        <v>1762</v>
      </c>
      <c r="H3" s="308"/>
      <c r="I3" s="346"/>
    </row>
    <row r="4" spans="1:9">
      <c r="A4" s="51"/>
    </row>
    <row r="5" spans="1:9" s="145" customFormat="1">
      <c r="A5" s="70" t="s">
        <v>2940</v>
      </c>
      <c r="B5" s="105" t="s">
        <v>1029</v>
      </c>
      <c r="C5" s="72"/>
      <c r="D5" s="250"/>
      <c r="E5" s="125">
        <v>0</v>
      </c>
      <c r="F5" s="125">
        <v>0</v>
      </c>
      <c r="G5" s="125">
        <v>0</v>
      </c>
      <c r="H5" s="125">
        <v>0</v>
      </c>
      <c r="I5" s="125">
        <v>0</v>
      </c>
    </row>
    <row r="6" spans="1:9" s="145" customFormat="1">
      <c r="A6" s="70" t="s">
        <v>2941</v>
      </c>
      <c r="B6" s="105" t="s">
        <v>1029</v>
      </c>
      <c r="C6" s="72"/>
      <c r="D6" s="250"/>
      <c r="E6" s="125">
        <v>0</v>
      </c>
      <c r="F6" s="125">
        <v>0</v>
      </c>
      <c r="G6" s="125">
        <v>0</v>
      </c>
      <c r="H6" s="125">
        <v>0</v>
      </c>
      <c r="I6" s="125">
        <v>0</v>
      </c>
    </row>
    <row r="7" spans="1:9" s="145" customFormat="1">
      <c r="A7" s="70" t="s">
        <v>3105</v>
      </c>
      <c r="B7" s="105" t="s">
        <v>6770</v>
      </c>
      <c r="C7" s="72" t="s">
        <v>279</v>
      </c>
      <c r="D7" s="250"/>
      <c r="E7" s="125">
        <v>13724143</v>
      </c>
      <c r="F7" s="125">
        <v>17277661</v>
      </c>
      <c r="G7" s="125">
        <v>20163697</v>
      </c>
      <c r="H7" s="125">
        <v>25000000</v>
      </c>
      <c r="I7" s="125">
        <v>28000000</v>
      </c>
    </row>
    <row r="8" spans="1:9" s="145" customFormat="1" ht="15.75" customHeight="1">
      <c r="A8" s="70" t="s">
        <v>2942</v>
      </c>
      <c r="B8" s="105" t="s">
        <v>6771</v>
      </c>
      <c r="C8" s="72" t="s">
        <v>280</v>
      </c>
      <c r="D8" s="250"/>
      <c r="E8" s="125">
        <v>85088436</v>
      </c>
      <c r="F8" s="125">
        <v>94860971</v>
      </c>
      <c r="G8" s="125">
        <v>112681352</v>
      </c>
      <c r="H8" s="125">
        <v>130000000</v>
      </c>
      <c r="I8" s="125">
        <v>145000000</v>
      </c>
    </row>
    <row r="9" spans="1:9" s="145" customFormat="1" ht="15.75" customHeight="1">
      <c r="A9" s="70" t="s">
        <v>2943</v>
      </c>
      <c r="B9" s="105" t="s">
        <v>6772</v>
      </c>
      <c r="C9" s="72" t="s">
        <v>475</v>
      </c>
      <c r="D9" s="250"/>
      <c r="E9" s="125">
        <v>9246112</v>
      </c>
      <c r="F9" s="125">
        <v>9542874</v>
      </c>
      <c r="G9" s="125">
        <v>10813818</v>
      </c>
      <c r="H9" s="125">
        <v>12500000</v>
      </c>
      <c r="I9" s="125">
        <v>15000000</v>
      </c>
    </row>
    <row r="10" spans="1:9" s="145" customFormat="1" ht="15.75" customHeight="1">
      <c r="A10" s="70" t="s">
        <v>2123</v>
      </c>
      <c r="B10" s="105" t="s">
        <v>6465</v>
      </c>
      <c r="C10" s="72" t="s">
        <v>476</v>
      </c>
      <c r="D10" s="250"/>
      <c r="E10" s="125">
        <v>1267246</v>
      </c>
      <c r="F10" s="125">
        <v>785104</v>
      </c>
      <c r="G10" s="125">
        <v>799999</v>
      </c>
      <c r="H10" s="125">
        <v>1100000</v>
      </c>
      <c r="I10" s="125">
        <v>1200000</v>
      </c>
    </row>
    <row r="11" spans="1:9" s="145" customFormat="1" ht="15.75" customHeight="1">
      <c r="A11" s="70" t="s">
        <v>2944</v>
      </c>
      <c r="B11" s="105" t="s">
        <v>6773</v>
      </c>
      <c r="C11" s="72" t="s">
        <v>477</v>
      </c>
      <c r="D11" s="250"/>
      <c r="E11" s="125">
        <v>159000000</v>
      </c>
      <c r="F11" s="125">
        <v>161500000</v>
      </c>
      <c r="G11" s="125">
        <v>149074723</v>
      </c>
      <c r="H11" s="125">
        <v>145000000</v>
      </c>
      <c r="I11" s="125">
        <v>145000000</v>
      </c>
    </row>
    <row r="12" spans="1:9" s="145" customFormat="1" ht="15.75" customHeight="1">
      <c r="A12" s="70" t="s">
        <v>2945</v>
      </c>
      <c r="B12" s="105" t="s">
        <v>6774</v>
      </c>
      <c r="C12" s="72" t="s">
        <v>478</v>
      </c>
      <c r="D12" s="250"/>
      <c r="E12" s="125">
        <v>54155100</v>
      </c>
      <c r="F12" s="125">
        <v>52999452</v>
      </c>
      <c r="G12" s="125">
        <v>54099331</v>
      </c>
      <c r="H12" s="125">
        <v>45000000</v>
      </c>
      <c r="I12" s="125">
        <v>43200000</v>
      </c>
    </row>
    <row r="13" spans="1:9" s="145" customFormat="1" ht="15.75" customHeight="1">
      <c r="A13" s="70" t="s">
        <v>2946</v>
      </c>
      <c r="B13" s="105" t="s">
        <v>6775</v>
      </c>
      <c r="C13" s="72" t="s">
        <v>479</v>
      </c>
      <c r="D13" s="250"/>
      <c r="E13" s="125">
        <v>1373228</v>
      </c>
      <c r="F13" s="125">
        <v>1193434</v>
      </c>
      <c r="G13" s="125">
        <v>1131134</v>
      </c>
      <c r="H13" s="125">
        <v>1200000</v>
      </c>
      <c r="I13" s="125">
        <v>1200000</v>
      </c>
    </row>
    <row r="14" spans="1:9" s="145" customFormat="1" ht="15.75" customHeight="1">
      <c r="A14" s="70" t="s">
        <v>2947</v>
      </c>
      <c r="B14" s="105" t="s">
        <v>6776</v>
      </c>
      <c r="C14" s="72" t="s">
        <v>480</v>
      </c>
      <c r="D14" s="250"/>
      <c r="E14" s="125">
        <v>462455350</v>
      </c>
      <c r="F14" s="125">
        <v>494546000</v>
      </c>
      <c r="G14" s="125">
        <v>493452559</v>
      </c>
      <c r="H14" s="125">
        <v>530000000</v>
      </c>
      <c r="I14" s="125">
        <v>580000000</v>
      </c>
    </row>
    <row r="15" spans="1:9" s="145" customFormat="1" ht="15.75" customHeight="1">
      <c r="A15" s="70" t="s">
        <v>2948</v>
      </c>
      <c r="B15" s="105" t="s">
        <v>6777</v>
      </c>
      <c r="C15" s="72" t="s">
        <v>298</v>
      </c>
      <c r="D15" s="250"/>
      <c r="E15" s="125">
        <v>3221160</v>
      </c>
      <c r="F15" s="125">
        <v>3239120</v>
      </c>
      <c r="G15" s="125">
        <v>1275116</v>
      </c>
      <c r="H15" s="125">
        <v>3500000</v>
      </c>
      <c r="I15" s="125">
        <v>2800000</v>
      </c>
    </row>
    <row r="16" spans="1:9" s="145" customFormat="1" ht="31.5" customHeight="1">
      <c r="A16" s="70" t="s">
        <v>2949</v>
      </c>
      <c r="B16" s="105" t="s">
        <v>6778</v>
      </c>
      <c r="C16" s="72" t="s">
        <v>299</v>
      </c>
      <c r="D16" s="250"/>
      <c r="E16" s="125">
        <v>193922</v>
      </c>
      <c r="F16" s="125">
        <v>163912</v>
      </c>
      <c r="G16" s="125">
        <v>163906</v>
      </c>
      <c r="H16" s="125">
        <v>164000</v>
      </c>
      <c r="I16" s="125">
        <v>190000</v>
      </c>
    </row>
    <row r="17" spans="1:9" s="145" customFormat="1" ht="15.75" customHeight="1">
      <c r="A17" s="70" t="s">
        <v>2950</v>
      </c>
      <c r="B17" s="105" t="s">
        <v>6779</v>
      </c>
      <c r="C17" s="72" t="s">
        <v>300</v>
      </c>
      <c r="D17" s="250"/>
      <c r="E17" s="125">
        <v>2436058</v>
      </c>
      <c r="F17" s="125">
        <v>8850000</v>
      </c>
      <c r="G17" s="125">
        <v>3224833</v>
      </c>
      <c r="H17" s="125">
        <v>6000000</v>
      </c>
      <c r="I17" s="125">
        <v>4800000</v>
      </c>
    </row>
    <row r="18" spans="1:9" s="145" customFormat="1" ht="31.5" customHeight="1">
      <c r="A18" s="70" t="s">
        <v>2951</v>
      </c>
      <c r="B18" s="105" t="s">
        <v>6780</v>
      </c>
      <c r="C18" s="72" t="s">
        <v>474</v>
      </c>
      <c r="D18" s="250"/>
      <c r="E18" s="125">
        <v>0</v>
      </c>
      <c r="F18" s="125">
        <v>0</v>
      </c>
      <c r="G18" s="125">
        <v>0</v>
      </c>
      <c r="H18" s="125">
        <v>440000</v>
      </c>
      <c r="I18" s="125">
        <v>400000</v>
      </c>
    </row>
    <row r="19" spans="1:9" s="145" customFormat="1" ht="31.5" customHeight="1">
      <c r="A19" s="70" t="s">
        <v>2952</v>
      </c>
      <c r="B19" s="105" t="s">
        <v>6781</v>
      </c>
      <c r="C19" s="72" t="s">
        <v>679</v>
      </c>
      <c r="D19" s="250"/>
      <c r="E19" s="125">
        <v>1767731</v>
      </c>
      <c r="F19" s="125">
        <v>2013650</v>
      </c>
      <c r="G19" s="125">
        <v>1657550</v>
      </c>
      <c r="H19" s="125">
        <v>2500000</v>
      </c>
      <c r="I19" s="125">
        <v>2000000</v>
      </c>
    </row>
    <row r="20" spans="1:9" s="145" customFormat="1" ht="31.5" customHeight="1">
      <c r="A20" s="70" t="s">
        <v>2953</v>
      </c>
      <c r="B20" s="105" t="s">
        <v>6782</v>
      </c>
      <c r="C20" s="72" t="s">
        <v>1083</v>
      </c>
      <c r="D20" s="250"/>
      <c r="E20" s="125">
        <v>0</v>
      </c>
      <c r="F20" s="125">
        <v>0</v>
      </c>
      <c r="G20" s="125">
        <v>0</v>
      </c>
      <c r="H20" s="125">
        <v>200000</v>
      </c>
      <c r="I20" s="125">
        <v>160000</v>
      </c>
    </row>
    <row r="21" spans="1:9" s="145" customFormat="1" ht="31.5" customHeight="1">
      <c r="A21" s="70" t="s">
        <v>2954</v>
      </c>
      <c r="B21" s="105" t="s">
        <v>6783</v>
      </c>
      <c r="C21" s="72" t="s">
        <v>1084</v>
      </c>
      <c r="D21" s="250"/>
      <c r="E21" s="125">
        <v>29365372</v>
      </c>
      <c r="F21" s="125">
        <v>29750000</v>
      </c>
      <c r="G21" s="125">
        <v>24000000</v>
      </c>
      <c r="H21" s="125">
        <v>30000000</v>
      </c>
      <c r="I21" s="125">
        <v>36000000</v>
      </c>
    </row>
    <row r="22" spans="1:9" s="145" customFormat="1" ht="78.75" customHeight="1">
      <c r="A22" s="70" t="s">
        <v>2955</v>
      </c>
      <c r="B22" s="105" t="s">
        <v>6784</v>
      </c>
      <c r="C22" s="72" t="s">
        <v>1085</v>
      </c>
      <c r="D22" s="250"/>
      <c r="E22" s="125">
        <v>27989408</v>
      </c>
      <c r="F22" s="125">
        <v>31429812</v>
      </c>
      <c r="G22" s="125">
        <v>30717041</v>
      </c>
      <c r="H22" s="125">
        <v>40000000</v>
      </c>
      <c r="I22" s="125">
        <v>48000000</v>
      </c>
    </row>
    <row r="23" spans="1:9" s="145" customFormat="1" ht="47.25" customHeight="1">
      <c r="A23" s="70" t="s">
        <v>12672</v>
      </c>
      <c r="B23" s="105" t="s">
        <v>6785</v>
      </c>
      <c r="C23" s="72" t="s">
        <v>1375</v>
      </c>
      <c r="D23" s="250"/>
      <c r="E23" s="125">
        <v>0</v>
      </c>
      <c r="F23" s="125">
        <v>0</v>
      </c>
      <c r="G23" s="125">
        <v>0</v>
      </c>
      <c r="H23" s="125">
        <v>300000</v>
      </c>
      <c r="I23" s="125">
        <v>240000</v>
      </c>
    </row>
    <row r="24" spans="1:9" s="145" customFormat="1" ht="15.75" customHeight="1">
      <c r="A24" s="70" t="s">
        <v>2956</v>
      </c>
      <c r="B24" s="105" t="s">
        <v>6786</v>
      </c>
      <c r="C24" s="72" t="s">
        <v>1507</v>
      </c>
      <c r="D24" s="250"/>
      <c r="E24" s="125">
        <v>962887</v>
      </c>
      <c r="F24" s="125">
        <v>0</v>
      </c>
      <c r="G24" s="125">
        <v>0</v>
      </c>
      <c r="H24" s="125">
        <v>0</v>
      </c>
      <c r="I24" s="125">
        <v>2400000</v>
      </c>
    </row>
    <row r="25" spans="1:9" s="145" customFormat="1" ht="15.75" customHeight="1">
      <c r="A25" s="70" t="s">
        <v>2957</v>
      </c>
      <c r="B25" s="105" t="s">
        <v>6787</v>
      </c>
      <c r="C25" s="72" t="s">
        <v>1508</v>
      </c>
      <c r="D25" s="250"/>
      <c r="E25" s="125">
        <v>0</v>
      </c>
      <c r="F25" s="125">
        <v>0</v>
      </c>
      <c r="G25" s="125">
        <v>0</v>
      </c>
      <c r="H25" s="125">
        <v>0</v>
      </c>
      <c r="I25" s="125">
        <v>800000</v>
      </c>
    </row>
    <row r="26" spans="1:9" s="145" customFormat="1" ht="47.25">
      <c r="A26" s="70" t="s">
        <v>2958</v>
      </c>
      <c r="B26" s="105" t="s">
        <v>6788</v>
      </c>
      <c r="C26" s="72" t="s">
        <v>1677</v>
      </c>
      <c r="D26" s="250"/>
      <c r="E26" s="125">
        <v>630063</v>
      </c>
      <c r="F26" s="125">
        <v>0</v>
      </c>
      <c r="G26" s="125">
        <v>0</v>
      </c>
      <c r="H26" s="125">
        <v>0</v>
      </c>
      <c r="I26" s="125">
        <v>800000</v>
      </c>
    </row>
    <row r="27" spans="1:9" s="145" customFormat="1" ht="47.25">
      <c r="A27" s="70" t="s">
        <v>2959</v>
      </c>
      <c r="B27" s="105" t="s">
        <v>6789</v>
      </c>
      <c r="C27" s="72" t="s">
        <v>1678</v>
      </c>
      <c r="D27" s="250"/>
      <c r="E27" s="125">
        <v>726405</v>
      </c>
      <c r="F27" s="125">
        <v>0</v>
      </c>
      <c r="G27" s="125">
        <v>0</v>
      </c>
      <c r="H27" s="125">
        <v>0</v>
      </c>
      <c r="I27" s="125">
        <v>800000</v>
      </c>
    </row>
    <row r="28" spans="1:9" s="145" customFormat="1" ht="31.5">
      <c r="A28" s="70" t="s">
        <v>2960</v>
      </c>
      <c r="B28" s="105" t="s">
        <v>6790</v>
      </c>
      <c r="C28" s="72" t="s">
        <v>1679</v>
      </c>
      <c r="D28" s="250"/>
      <c r="E28" s="125">
        <v>891152</v>
      </c>
      <c r="F28" s="125">
        <v>0</v>
      </c>
      <c r="G28" s="125">
        <v>0</v>
      </c>
      <c r="H28" s="125">
        <v>0</v>
      </c>
      <c r="I28" s="125">
        <v>0</v>
      </c>
    </row>
    <row r="29" spans="1:9" s="145" customFormat="1" ht="31.5">
      <c r="A29" s="70" t="s">
        <v>3106</v>
      </c>
      <c r="B29" s="105" t="s">
        <v>6791</v>
      </c>
      <c r="C29" s="72" t="s">
        <v>1680</v>
      </c>
      <c r="D29" s="250"/>
      <c r="E29" s="125">
        <v>893098</v>
      </c>
      <c r="F29" s="125">
        <v>0</v>
      </c>
      <c r="G29" s="125">
        <v>0</v>
      </c>
      <c r="H29" s="125">
        <v>0</v>
      </c>
      <c r="I29" s="125">
        <v>800000</v>
      </c>
    </row>
    <row r="30" spans="1:9" s="145" customFormat="1" ht="31.5">
      <c r="A30" s="70" t="s">
        <v>2961</v>
      </c>
      <c r="B30" s="105" t="s">
        <v>6792</v>
      </c>
      <c r="C30" s="72" t="s">
        <v>1681</v>
      </c>
      <c r="D30" s="250"/>
      <c r="E30" s="125">
        <v>923290</v>
      </c>
      <c r="F30" s="125">
        <v>0</v>
      </c>
      <c r="G30" s="125">
        <v>0</v>
      </c>
      <c r="H30" s="125">
        <v>0</v>
      </c>
      <c r="I30" s="125">
        <v>800000</v>
      </c>
    </row>
    <row r="31" spans="1:9" s="145" customFormat="1" ht="47.25">
      <c r="A31" s="70" t="s">
        <v>2962</v>
      </c>
      <c r="B31" s="105" t="s">
        <v>6793</v>
      </c>
      <c r="C31" s="72" t="s">
        <v>1682</v>
      </c>
      <c r="D31" s="250"/>
      <c r="E31" s="125">
        <v>11924000</v>
      </c>
      <c r="F31" s="125">
        <v>0</v>
      </c>
      <c r="G31" s="125">
        <v>0</v>
      </c>
      <c r="H31" s="125">
        <v>0</v>
      </c>
      <c r="I31" s="125">
        <v>0</v>
      </c>
    </row>
    <row r="32" spans="1:9" s="145" customFormat="1" ht="31.5">
      <c r="A32" s="70" t="s">
        <v>2963</v>
      </c>
      <c r="B32" s="105" t="s">
        <v>6794</v>
      </c>
      <c r="C32" s="72" t="s">
        <v>1683</v>
      </c>
      <c r="D32" s="250"/>
      <c r="E32" s="125">
        <v>865731</v>
      </c>
      <c r="F32" s="125">
        <v>0</v>
      </c>
      <c r="G32" s="125">
        <v>0</v>
      </c>
      <c r="H32" s="125">
        <v>0</v>
      </c>
      <c r="I32" s="125">
        <v>800000</v>
      </c>
    </row>
    <row r="33" spans="1:9" s="145" customFormat="1" ht="31.5">
      <c r="A33" s="70" t="s">
        <v>2964</v>
      </c>
      <c r="B33" s="105" t="s">
        <v>6795</v>
      </c>
      <c r="C33" s="72" t="s">
        <v>1684</v>
      </c>
      <c r="D33" s="250"/>
      <c r="E33" s="125">
        <v>1990989</v>
      </c>
      <c r="F33" s="125">
        <v>0</v>
      </c>
      <c r="G33" s="125">
        <v>0</v>
      </c>
      <c r="H33" s="125">
        <v>0</v>
      </c>
      <c r="I33" s="125">
        <v>0</v>
      </c>
    </row>
    <row r="34" spans="1:9" s="145" customFormat="1" ht="31.5">
      <c r="A34" s="70" t="s">
        <v>4316</v>
      </c>
      <c r="B34" s="105" t="s">
        <v>6796</v>
      </c>
      <c r="C34" s="72" t="s">
        <v>4794</v>
      </c>
      <c r="D34" s="250"/>
      <c r="E34" s="125">
        <v>0</v>
      </c>
      <c r="F34" s="125">
        <v>0</v>
      </c>
      <c r="G34" s="125">
        <v>0</v>
      </c>
      <c r="H34" s="125">
        <v>5000000</v>
      </c>
      <c r="I34" s="125">
        <v>24000000</v>
      </c>
    </row>
    <row r="35" spans="1:9" s="145" customFormat="1" ht="63">
      <c r="A35" s="70" t="s">
        <v>4731</v>
      </c>
      <c r="B35" s="105" t="s">
        <v>6797</v>
      </c>
      <c r="C35" s="72" t="s">
        <v>4795</v>
      </c>
      <c r="D35" s="250"/>
      <c r="E35" s="125">
        <v>0</v>
      </c>
      <c r="F35" s="125">
        <v>0</v>
      </c>
      <c r="G35" s="125">
        <v>0</v>
      </c>
      <c r="H35" s="125">
        <v>2700000</v>
      </c>
      <c r="I35" s="125">
        <v>2400000</v>
      </c>
    </row>
    <row r="36" spans="1:9" s="145" customFormat="1" ht="31.5">
      <c r="A36" s="70" t="s">
        <v>4732</v>
      </c>
      <c r="B36" s="105" t="s">
        <v>6798</v>
      </c>
      <c r="C36" s="72" t="s">
        <v>4796</v>
      </c>
      <c r="D36" s="250"/>
      <c r="E36" s="125">
        <v>0</v>
      </c>
      <c r="F36" s="125">
        <v>0</v>
      </c>
      <c r="G36" s="125">
        <v>0</v>
      </c>
      <c r="H36" s="125">
        <v>0</v>
      </c>
      <c r="I36" s="125">
        <v>400000</v>
      </c>
    </row>
    <row r="37" spans="1:9" s="145" customFormat="1" ht="31.5">
      <c r="A37" s="70" t="s">
        <v>4733</v>
      </c>
      <c r="B37" s="105" t="s">
        <v>6799</v>
      </c>
      <c r="C37" s="72" t="s">
        <v>4797</v>
      </c>
      <c r="D37" s="250"/>
      <c r="E37" s="125">
        <v>0</v>
      </c>
      <c r="F37" s="125">
        <v>0</v>
      </c>
      <c r="G37" s="125">
        <v>0</v>
      </c>
      <c r="H37" s="125">
        <v>0</v>
      </c>
      <c r="I37" s="125">
        <v>400000</v>
      </c>
    </row>
    <row r="38" spans="1:9" s="145" customFormat="1" ht="47.25">
      <c r="A38" s="70" t="s">
        <v>4734</v>
      </c>
      <c r="B38" s="105" t="s">
        <v>6800</v>
      </c>
      <c r="C38" s="72" t="s">
        <v>4798</v>
      </c>
      <c r="D38" s="250"/>
      <c r="E38" s="125">
        <v>0</v>
      </c>
      <c r="F38" s="125">
        <v>0</v>
      </c>
      <c r="G38" s="125">
        <v>0</v>
      </c>
      <c r="H38" s="125">
        <v>0</v>
      </c>
      <c r="I38" s="125">
        <v>400000</v>
      </c>
    </row>
    <row r="39" spans="1:9" s="145" customFormat="1" ht="15.75" customHeight="1">
      <c r="A39" s="77" t="s">
        <v>2320</v>
      </c>
      <c r="B39" s="136" t="s">
        <v>146</v>
      </c>
      <c r="C39" s="72"/>
      <c r="D39" s="250"/>
      <c r="E39" s="125">
        <v>871090881</v>
      </c>
      <c r="F39" s="125">
        <v>908151990</v>
      </c>
      <c r="G39" s="125">
        <v>903255059</v>
      </c>
      <c r="H39" s="125">
        <v>980604000</v>
      </c>
      <c r="I39" s="125">
        <v>1087990000</v>
      </c>
    </row>
    <row r="40" spans="1:9" s="145" customFormat="1" ht="15.75" customHeight="1">
      <c r="A40" s="70"/>
      <c r="B40" s="105"/>
      <c r="C40" s="72"/>
      <c r="D40" s="250"/>
      <c r="E40" s="125">
        <v>0</v>
      </c>
      <c r="F40" s="125">
        <v>0</v>
      </c>
      <c r="G40" s="125">
        <v>0</v>
      </c>
      <c r="H40" s="125">
        <v>0</v>
      </c>
      <c r="I40" s="125">
        <v>0</v>
      </c>
    </row>
    <row r="41" spans="1:9" s="145" customFormat="1" ht="15.75" customHeight="1">
      <c r="A41" s="70" t="s">
        <v>2965</v>
      </c>
      <c r="B41" s="105" t="s">
        <v>6801</v>
      </c>
      <c r="C41" s="72"/>
      <c r="D41" s="250"/>
      <c r="E41" s="125">
        <v>0</v>
      </c>
      <c r="F41" s="125">
        <v>0</v>
      </c>
      <c r="G41" s="125">
        <v>0</v>
      </c>
      <c r="H41" s="125">
        <v>0</v>
      </c>
      <c r="I41" s="125">
        <v>0</v>
      </c>
    </row>
    <row r="42" spans="1:9" s="145" customFormat="1" ht="15.75" customHeight="1">
      <c r="A42" s="70" t="s">
        <v>2382</v>
      </c>
      <c r="B42" s="105" t="s">
        <v>6802</v>
      </c>
      <c r="C42" s="72" t="s">
        <v>658</v>
      </c>
      <c r="D42" s="250"/>
      <c r="E42" s="125">
        <v>153660558</v>
      </c>
      <c r="F42" s="125">
        <v>166857797</v>
      </c>
      <c r="G42" s="125">
        <v>180097170</v>
      </c>
      <c r="H42" s="125">
        <v>205000000</v>
      </c>
      <c r="I42" s="125">
        <v>225000000</v>
      </c>
    </row>
    <row r="43" spans="1:9" s="145" customFormat="1" ht="15.75" customHeight="1">
      <c r="A43" s="70" t="s">
        <v>2149</v>
      </c>
      <c r="B43" s="105" t="s">
        <v>6465</v>
      </c>
      <c r="C43" s="72" t="s">
        <v>659</v>
      </c>
      <c r="D43" s="250"/>
      <c r="E43" s="125">
        <v>885210</v>
      </c>
      <c r="F43" s="125">
        <v>344423</v>
      </c>
      <c r="G43" s="125">
        <v>665438</v>
      </c>
      <c r="H43" s="125">
        <v>800000</v>
      </c>
      <c r="I43" s="125">
        <v>1000000</v>
      </c>
    </row>
    <row r="44" spans="1:9" s="145" customFormat="1" ht="31.5" customHeight="1">
      <c r="A44" s="70" t="s">
        <v>2966</v>
      </c>
      <c r="B44" s="105" t="s">
        <v>6803</v>
      </c>
      <c r="C44" s="72" t="s">
        <v>660</v>
      </c>
      <c r="D44" s="250"/>
      <c r="E44" s="125">
        <v>23900210</v>
      </c>
      <c r="F44" s="125">
        <v>26432807</v>
      </c>
      <c r="G44" s="125">
        <v>41880675</v>
      </c>
      <c r="H44" s="125">
        <v>35830000</v>
      </c>
      <c r="I44" s="125">
        <v>44000000</v>
      </c>
    </row>
    <row r="45" spans="1:9" s="145" customFormat="1" ht="15.75" customHeight="1">
      <c r="A45" s="70" t="s">
        <v>2967</v>
      </c>
      <c r="B45" s="105" t="s">
        <v>6804</v>
      </c>
      <c r="C45" s="72" t="s">
        <v>661</v>
      </c>
      <c r="D45" s="250"/>
      <c r="E45" s="125">
        <v>6483276</v>
      </c>
      <c r="F45" s="125">
        <v>10314298</v>
      </c>
      <c r="G45" s="125">
        <v>12384914</v>
      </c>
      <c r="H45" s="125">
        <v>19000000</v>
      </c>
      <c r="I45" s="125">
        <v>8000000</v>
      </c>
    </row>
    <row r="46" spans="1:9" s="145" customFormat="1" ht="15.75" customHeight="1">
      <c r="A46" s="70" t="s">
        <v>2968</v>
      </c>
      <c r="B46" s="105" t="s">
        <v>6805</v>
      </c>
      <c r="C46" s="72" t="s">
        <v>662</v>
      </c>
      <c r="D46" s="250"/>
      <c r="E46" s="125">
        <v>14733918</v>
      </c>
      <c r="F46" s="125">
        <v>15266437</v>
      </c>
      <c r="G46" s="125">
        <v>11946296</v>
      </c>
      <c r="H46" s="125">
        <v>25500000</v>
      </c>
      <c r="I46" s="125">
        <v>24000000</v>
      </c>
    </row>
    <row r="47" spans="1:9" s="145" customFormat="1" ht="40.5" customHeight="1">
      <c r="A47" s="71" t="s">
        <v>2969</v>
      </c>
      <c r="B47" s="105" t="s">
        <v>6806</v>
      </c>
      <c r="C47" s="72" t="s">
        <v>1086</v>
      </c>
      <c r="D47" s="250"/>
      <c r="E47" s="125">
        <v>29914211</v>
      </c>
      <c r="F47" s="125">
        <v>27459984</v>
      </c>
      <c r="G47" s="125">
        <v>27690999</v>
      </c>
      <c r="H47" s="125">
        <v>50000000</v>
      </c>
      <c r="I47" s="125">
        <v>48000000</v>
      </c>
    </row>
    <row r="48" spans="1:9" s="145" customFormat="1" ht="15.75" customHeight="1">
      <c r="A48" s="70" t="s">
        <v>3107</v>
      </c>
      <c r="B48" s="105" t="s">
        <v>6807</v>
      </c>
      <c r="C48" s="72" t="s">
        <v>1087</v>
      </c>
      <c r="D48" s="250"/>
      <c r="E48" s="125">
        <v>0</v>
      </c>
      <c r="F48" s="125">
        <v>99862</v>
      </c>
      <c r="G48" s="125">
        <v>0</v>
      </c>
      <c r="H48" s="125">
        <v>1000000</v>
      </c>
      <c r="I48" s="125">
        <v>800000</v>
      </c>
    </row>
    <row r="49" spans="1:9" s="145" customFormat="1" ht="31.5">
      <c r="A49" s="70" t="s">
        <v>5238</v>
      </c>
      <c r="B49" s="105" t="s">
        <v>6808</v>
      </c>
      <c r="C49" s="72" t="s">
        <v>5236</v>
      </c>
      <c r="D49" s="250"/>
      <c r="E49" s="125">
        <v>0</v>
      </c>
      <c r="F49" s="125">
        <v>0</v>
      </c>
      <c r="G49" s="125">
        <v>0</v>
      </c>
      <c r="H49" s="125">
        <v>43500000</v>
      </c>
      <c r="I49" s="125">
        <v>18500000</v>
      </c>
    </row>
    <row r="50" spans="1:9" s="145" customFormat="1" ht="15.75" customHeight="1">
      <c r="A50" s="70"/>
      <c r="B50" s="105"/>
      <c r="C50" s="72"/>
      <c r="D50" s="250"/>
      <c r="E50" s="125">
        <v>0</v>
      </c>
      <c r="F50" s="125">
        <v>0</v>
      </c>
      <c r="G50" s="125">
        <v>0</v>
      </c>
      <c r="H50" s="125">
        <v>0</v>
      </c>
      <c r="I50" s="125">
        <v>0</v>
      </c>
    </row>
    <row r="51" spans="1:9" s="145" customFormat="1" ht="15.75" customHeight="1">
      <c r="A51" s="77" t="s">
        <v>2351</v>
      </c>
      <c r="B51" s="136" t="s">
        <v>146</v>
      </c>
      <c r="C51" s="72"/>
      <c r="D51" s="250"/>
      <c r="E51" s="125">
        <v>229577383</v>
      </c>
      <c r="F51" s="125">
        <v>246775608</v>
      </c>
      <c r="G51" s="125">
        <v>274665492</v>
      </c>
      <c r="H51" s="125">
        <v>380630000</v>
      </c>
      <c r="I51" s="125">
        <v>369300000</v>
      </c>
    </row>
    <row r="52" spans="1:9" s="145" customFormat="1" ht="15.75" customHeight="1">
      <c r="A52" s="70"/>
      <c r="B52" s="105"/>
      <c r="C52" s="72"/>
      <c r="D52" s="250"/>
      <c r="E52" s="125">
        <v>0</v>
      </c>
      <c r="F52" s="125">
        <v>0</v>
      </c>
      <c r="G52" s="125">
        <v>0</v>
      </c>
      <c r="H52" s="125">
        <v>0</v>
      </c>
      <c r="I52" s="125">
        <v>0</v>
      </c>
    </row>
    <row r="53" spans="1:9" s="145" customFormat="1" ht="15.75" customHeight="1">
      <c r="A53" s="70" t="s">
        <v>2970</v>
      </c>
      <c r="B53" s="105" t="s">
        <v>6809</v>
      </c>
      <c r="C53" s="72"/>
      <c r="D53" s="250"/>
      <c r="E53" s="125">
        <v>0</v>
      </c>
      <c r="F53" s="125">
        <v>0</v>
      </c>
      <c r="G53" s="125">
        <v>0</v>
      </c>
      <c r="H53" s="125">
        <v>0</v>
      </c>
      <c r="I53" s="125">
        <v>0</v>
      </c>
    </row>
    <row r="54" spans="1:9" s="145" customFormat="1" ht="15.75" customHeight="1">
      <c r="A54" s="70" t="s">
        <v>2148</v>
      </c>
      <c r="B54" s="105" t="s">
        <v>6802</v>
      </c>
      <c r="C54" s="72" t="s">
        <v>663</v>
      </c>
      <c r="D54" s="250"/>
      <c r="E54" s="125">
        <v>35324245</v>
      </c>
      <c r="F54" s="125">
        <v>35079153</v>
      </c>
      <c r="G54" s="125">
        <v>38369636</v>
      </c>
      <c r="H54" s="125">
        <v>45000000</v>
      </c>
      <c r="I54" s="125">
        <v>55000000</v>
      </c>
    </row>
    <row r="55" spans="1:9" s="145" customFormat="1" ht="15.75" customHeight="1">
      <c r="A55" s="70" t="s">
        <v>2357</v>
      </c>
      <c r="B55" s="105" t="s">
        <v>6810</v>
      </c>
      <c r="C55" s="155" t="s">
        <v>1332</v>
      </c>
      <c r="D55" s="76"/>
      <c r="E55" s="125">
        <v>0</v>
      </c>
      <c r="F55" s="125">
        <v>0</v>
      </c>
      <c r="G55" s="125">
        <v>0</v>
      </c>
      <c r="H55" s="125">
        <v>2000000</v>
      </c>
      <c r="I55" s="125">
        <v>2400000</v>
      </c>
    </row>
    <row r="56" spans="1:9" s="145" customFormat="1" ht="31.5" customHeight="1">
      <c r="A56" s="70" t="s">
        <v>2358</v>
      </c>
      <c r="B56" s="105" t="s">
        <v>6811</v>
      </c>
      <c r="C56" s="155" t="s">
        <v>1333</v>
      </c>
      <c r="D56" s="76"/>
      <c r="E56" s="125">
        <v>3054966</v>
      </c>
      <c r="F56" s="125">
        <v>5632324</v>
      </c>
      <c r="G56" s="125">
        <v>4386080</v>
      </c>
      <c r="H56" s="125">
        <v>12800000</v>
      </c>
      <c r="I56" s="125">
        <v>10200000</v>
      </c>
    </row>
    <row r="57" spans="1:9" s="145" customFormat="1" ht="15.75" customHeight="1">
      <c r="A57" s="70"/>
      <c r="B57" s="105"/>
      <c r="C57" s="72"/>
      <c r="D57" s="250"/>
      <c r="E57" s="125">
        <v>0</v>
      </c>
      <c r="F57" s="125">
        <v>0</v>
      </c>
      <c r="G57" s="125">
        <v>0</v>
      </c>
      <c r="H57" s="125">
        <v>0</v>
      </c>
      <c r="I57" s="125">
        <v>0</v>
      </c>
    </row>
    <row r="58" spans="1:9" s="145" customFormat="1" ht="15.75" customHeight="1">
      <c r="A58" s="77" t="s">
        <v>2359</v>
      </c>
      <c r="B58" s="136" t="s">
        <v>146</v>
      </c>
      <c r="C58" s="72"/>
      <c r="D58" s="250"/>
      <c r="E58" s="125">
        <v>38379211</v>
      </c>
      <c r="F58" s="125">
        <v>40711477</v>
      </c>
      <c r="G58" s="125">
        <v>42755716</v>
      </c>
      <c r="H58" s="125">
        <v>59800000</v>
      </c>
      <c r="I58" s="125">
        <v>67600000</v>
      </c>
    </row>
    <row r="59" spans="1:9" s="145" customFormat="1" ht="15.75" customHeight="1">
      <c r="A59" s="70"/>
      <c r="B59" s="105"/>
      <c r="C59" s="72"/>
      <c r="D59" s="250"/>
      <c r="E59" s="125">
        <v>0</v>
      </c>
      <c r="F59" s="125">
        <v>0</v>
      </c>
      <c r="G59" s="125">
        <v>0</v>
      </c>
      <c r="H59" s="125">
        <v>0</v>
      </c>
      <c r="I59" s="125">
        <v>0</v>
      </c>
    </row>
    <row r="60" spans="1:9" s="145" customFormat="1" ht="15.75" customHeight="1">
      <c r="A60" s="77" t="s">
        <v>2360</v>
      </c>
      <c r="B60" s="136" t="s">
        <v>146</v>
      </c>
      <c r="C60" s="72"/>
      <c r="D60" s="250"/>
      <c r="E60" s="125">
        <v>267956594</v>
      </c>
      <c r="F60" s="125">
        <v>287487085</v>
      </c>
      <c r="G60" s="125">
        <v>317421208</v>
      </c>
      <c r="H60" s="125">
        <v>440430000</v>
      </c>
      <c r="I60" s="125">
        <v>436900000</v>
      </c>
    </row>
    <row r="61" spans="1:9" s="145" customFormat="1" ht="15.75" customHeight="1">
      <c r="A61" s="70"/>
      <c r="B61" s="105"/>
      <c r="C61" s="72"/>
      <c r="D61" s="250"/>
      <c r="E61" s="125">
        <v>0</v>
      </c>
      <c r="F61" s="125">
        <v>0</v>
      </c>
      <c r="G61" s="125">
        <v>0</v>
      </c>
      <c r="H61" s="125">
        <v>0</v>
      </c>
      <c r="I61" s="125">
        <v>0</v>
      </c>
    </row>
    <row r="62" spans="1:9" s="145" customFormat="1" ht="15.75" customHeight="1">
      <c r="A62" s="70" t="s">
        <v>2971</v>
      </c>
      <c r="B62" s="105" t="s">
        <v>6812</v>
      </c>
      <c r="C62" s="72"/>
      <c r="D62" s="250"/>
      <c r="E62" s="125">
        <v>0</v>
      </c>
      <c r="F62" s="125">
        <v>0</v>
      </c>
      <c r="G62" s="125">
        <v>0</v>
      </c>
      <c r="H62" s="125">
        <v>0</v>
      </c>
      <c r="I62" s="125">
        <v>0</v>
      </c>
    </row>
    <row r="63" spans="1:9" s="145" customFormat="1" ht="15.75" customHeight="1">
      <c r="A63" s="70" t="s">
        <v>2972</v>
      </c>
      <c r="B63" s="105" t="s">
        <v>6813</v>
      </c>
      <c r="C63" s="72" t="s">
        <v>664</v>
      </c>
      <c r="D63" s="250"/>
      <c r="E63" s="125">
        <v>0</v>
      </c>
      <c r="F63" s="125">
        <v>0</v>
      </c>
      <c r="G63" s="125">
        <v>148032</v>
      </c>
      <c r="H63" s="125">
        <v>200000</v>
      </c>
      <c r="I63" s="125">
        <v>240000</v>
      </c>
    </row>
    <row r="64" spans="1:9" s="145" customFormat="1" ht="31.5" customHeight="1">
      <c r="A64" s="70" t="s">
        <v>2973</v>
      </c>
      <c r="B64" s="105" t="s">
        <v>6814</v>
      </c>
      <c r="C64" s="72" t="s">
        <v>665</v>
      </c>
      <c r="D64" s="250"/>
      <c r="E64" s="125">
        <v>445252</v>
      </c>
      <c r="F64" s="125">
        <v>0</v>
      </c>
      <c r="G64" s="125">
        <v>363600</v>
      </c>
      <c r="H64" s="125">
        <v>480000</v>
      </c>
      <c r="I64" s="125">
        <v>480000</v>
      </c>
    </row>
    <row r="65" spans="1:9" s="145" customFormat="1" ht="15.75" customHeight="1">
      <c r="A65" s="70" t="s">
        <v>2974</v>
      </c>
      <c r="B65" s="105" t="s">
        <v>6815</v>
      </c>
      <c r="C65" s="72" t="s">
        <v>666</v>
      </c>
      <c r="D65" s="250"/>
      <c r="E65" s="125">
        <v>16187</v>
      </c>
      <c r="F65" s="125">
        <v>0</v>
      </c>
      <c r="G65" s="125">
        <v>0</v>
      </c>
      <c r="H65" s="125">
        <v>430000</v>
      </c>
      <c r="I65" s="125">
        <v>400000</v>
      </c>
    </row>
    <row r="66" spans="1:9" s="145" customFormat="1" ht="15.75" customHeight="1">
      <c r="A66" s="70"/>
      <c r="B66" s="105"/>
      <c r="C66" s="72"/>
      <c r="D66" s="250"/>
      <c r="E66" s="125">
        <v>0</v>
      </c>
      <c r="F66" s="125">
        <v>0</v>
      </c>
      <c r="G66" s="125">
        <v>0</v>
      </c>
      <c r="H66" s="125">
        <v>0</v>
      </c>
      <c r="I66" s="125">
        <v>0</v>
      </c>
    </row>
    <row r="67" spans="1:9" s="145" customFormat="1" ht="15.75" customHeight="1">
      <c r="A67" s="77" t="s">
        <v>2387</v>
      </c>
      <c r="B67" s="136" t="s">
        <v>146</v>
      </c>
      <c r="C67" s="72"/>
      <c r="D67" s="250"/>
      <c r="E67" s="125">
        <v>461439</v>
      </c>
      <c r="F67" s="125">
        <v>0</v>
      </c>
      <c r="G67" s="125">
        <v>511632</v>
      </c>
      <c r="H67" s="125">
        <v>1110000</v>
      </c>
      <c r="I67" s="125">
        <v>1120000</v>
      </c>
    </row>
    <row r="68" spans="1:9" s="145" customFormat="1" ht="8.1" customHeight="1">
      <c r="A68" s="70"/>
      <c r="B68" s="105"/>
      <c r="C68" s="72"/>
      <c r="D68" s="250"/>
      <c r="E68" s="125">
        <v>0</v>
      </c>
      <c r="F68" s="125">
        <v>0</v>
      </c>
      <c r="G68" s="125">
        <v>0</v>
      </c>
      <c r="H68" s="125">
        <v>0</v>
      </c>
      <c r="I68" s="125">
        <v>0</v>
      </c>
    </row>
    <row r="69" spans="1:9" s="145" customFormat="1" ht="15.75" customHeight="1">
      <c r="A69" s="70" t="s">
        <v>3108</v>
      </c>
      <c r="B69" s="105" t="s">
        <v>6816</v>
      </c>
      <c r="C69" s="72" t="s">
        <v>842</v>
      </c>
      <c r="D69" s="250"/>
      <c r="E69" s="125">
        <v>6764430</v>
      </c>
      <c r="F69" s="125">
        <v>7328815</v>
      </c>
      <c r="G69" s="125">
        <v>3861139</v>
      </c>
      <c r="H69" s="125">
        <v>15000000</v>
      </c>
      <c r="I69" s="125">
        <v>20000000</v>
      </c>
    </row>
    <row r="70" spans="1:9" s="145" customFormat="1" ht="31.5" customHeight="1">
      <c r="A70" s="70" t="s">
        <v>3109</v>
      </c>
      <c r="B70" s="105" t="s">
        <v>5895</v>
      </c>
      <c r="C70" s="72" t="s">
        <v>843</v>
      </c>
      <c r="D70" s="250"/>
      <c r="E70" s="125">
        <v>20801776</v>
      </c>
      <c r="F70" s="125">
        <v>21175165</v>
      </c>
      <c r="G70" s="125">
        <v>17071529</v>
      </c>
      <c r="H70" s="125">
        <v>0</v>
      </c>
      <c r="I70" s="125">
        <v>0</v>
      </c>
    </row>
    <row r="71" spans="1:9" s="145" customFormat="1" ht="15.75" customHeight="1">
      <c r="A71" s="70" t="s">
        <v>2975</v>
      </c>
      <c r="B71" s="105" t="s">
        <v>5897</v>
      </c>
      <c r="C71" s="72" t="s">
        <v>844</v>
      </c>
      <c r="D71" s="250"/>
      <c r="E71" s="125">
        <v>23926953</v>
      </c>
      <c r="F71" s="125">
        <v>24105719</v>
      </c>
      <c r="G71" s="125">
        <v>28248873</v>
      </c>
      <c r="H71" s="125">
        <v>0</v>
      </c>
      <c r="I71" s="125">
        <v>50000000</v>
      </c>
    </row>
    <row r="72" spans="1:9" s="145" customFormat="1" ht="31.5" customHeight="1">
      <c r="A72" s="70" t="s">
        <v>3110</v>
      </c>
      <c r="B72" s="105" t="s">
        <v>5898</v>
      </c>
      <c r="C72" s="72" t="s">
        <v>845</v>
      </c>
      <c r="D72" s="250"/>
      <c r="E72" s="125">
        <v>467500</v>
      </c>
      <c r="F72" s="125">
        <v>749000</v>
      </c>
      <c r="G72" s="125">
        <v>588000</v>
      </c>
      <c r="H72" s="125">
        <v>10000000</v>
      </c>
      <c r="I72" s="125">
        <v>10000000</v>
      </c>
    </row>
    <row r="73" spans="1:9" s="145" customFormat="1" ht="15.75" customHeight="1">
      <c r="A73" s="70" t="s">
        <v>2976</v>
      </c>
      <c r="B73" s="105" t="s">
        <v>6817</v>
      </c>
      <c r="C73" s="72" t="s">
        <v>358</v>
      </c>
      <c r="D73" s="250"/>
      <c r="E73" s="125">
        <v>110000000</v>
      </c>
      <c r="F73" s="125">
        <v>110000000</v>
      </c>
      <c r="G73" s="125">
        <v>150000000</v>
      </c>
      <c r="H73" s="125">
        <v>170000000</v>
      </c>
      <c r="I73" s="125">
        <v>200000000</v>
      </c>
    </row>
    <row r="74" spans="1:9" s="145" customFormat="1" ht="31.5" customHeight="1">
      <c r="A74" s="70" t="s">
        <v>2977</v>
      </c>
      <c r="B74" s="105" t="s">
        <v>6818</v>
      </c>
      <c r="C74" s="72" t="s">
        <v>359</v>
      </c>
      <c r="D74" s="250"/>
      <c r="E74" s="125">
        <v>14995497</v>
      </c>
      <c r="F74" s="125">
        <v>8496859</v>
      </c>
      <c r="G74" s="125">
        <v>7862004</v>
      </c>
      <c r="H74" s="125">
        <v>7000000</v>
      </c>
      <c r="I74" s="125">
        <v>7000000</v>
      </c>
    </row>
    <row r="75" spans="1:9" s="145" customFormat="1" ht="31.5" customHeight="1">
      <c r="A75" s="70" t="s">
        <v>2978</v>
      </c>
      <c r="B75" s="105" t="s">
        <v>6819</v>
      </c>
      <c r="C75" s="72" t="s">
        <v>360</v>
      </c>
      <c r="D75" s="250"/>
      <c r="E75" s="125">
        <v>60147000</v>
      </c>
      <c r="F75" s="125">
        <v>70458965</v>
      </c>
      <c r="G75" s="125">
        <v>60324000</v>
      </c>
      <c r="H75" s="125">
        <v>276424550</v>
      </c>
      <c r="I75" s="125">
        <v>255260536</v>
      </c>
    </row>
    <row r="76" spans="1:9" s="145" customFormat="1" ht="15.75" customHeight="1">
      <c r="A76" s="70"/>
      <c r="B76" s="105"/>
      <c r="C76" s="72"/>
      <c r="D76" s="250"/>
      <c r="E76" s="125">
        <v>0</v>
      </c>
      <c r="F76" s="125">
        <v>0</v>
      </c>
      <c r="G76" s="125">
        <v>0</v>
      </c>
      <c r="H76" s="125">
        <v>0</v>
      </c>
      <c r="I76" s="125">
        <v>0</v>
      </c>
    </row>
    <row r="77" spans="1:9" s="145" customFormat="1" ht="15.75" customHeight="1">
      <c r="A77" s="77" t="s">
        <v>2979</v>
      </c>
      <c r="B77" s="136" t="s">
        <v>6820</v>
      </c>
      <c r="C77" s="72"/>
      <c r="D77" s="250"/>
      <c r="E77" s="125">
        <v>1376612070</v>
      </c>
      <c r="F77" s="125">
        <v>1437953598</v>
      </c>
      <c r="G77" s="125">
        <v>1489143444</v>
      </c>
      <c r="H77" s="125">
        <v>1900568550</v>
      </c>
      <c r="I77" s="125">
        <v>2068270536</v>
      </c>
    </row>
    <row r="78" spans="1:9" s="145" customFormat="1" ht="15.75" customHeight="1">
      <c r="A78" s="70"/>
      <c r="B78" s="105"/>
      <c r="C78" s="72"/>
      <c r="D78" s="250"/>
      <c r="E78" s="125">
        <v>0</v>
      </c>
      <c r="F78" s="125">
        <v>0</v>
      </c>
      <c r="G78" s="125">
        <v>0</v>
      </c>
      <c r="H78" s="125">
        <v>0</v>
      </c>
      <c r="I78" s="125">
        <v>0</v>
      </c>
    </row>
    <row r="79" spans="1:9" s="145" customFormat="1" ht="15.75" customHeight="1">
      <c r="A79" s="70" t="s">
        <v>2980</v>
      </c>
      <c r="B79" s="105" t="s">
        <v>6821</v>
      </c>
      <c r="C79" s="72"/>
      <c r="D79" s="250"/>
      <c r="E79" s="125">
        <v>0</v>
      </c>
      <c r="F79" s="125">
        <v>0</v>
      </c>
      <c r="G79" s="125">
        <v>0</v>
      </c>
      <c r="H79" s="125">
        <v>0</v>
      </c>
      <c r="I79" s="125">
        <v>0</v>
      </c>
    </row>
    <row r="80" spans="1:9" s="145" customFormat="1" ht="15.75" customHeight="1">
      <c r="A80" s="70" t="s">
        <v>2981</v>
      </c>
      <c r="B80" s="105" t="s">
        <v>6822</v>
      </c>
      <c r="C80" s="72"/>
      <c r="D80" s="250"/>
      <c r="E80" s="125">
        <v>0</v>
      </c>
      <c r="F80" s="125">
        <v>0</v>
      </c>
      <c r="G80" s="125">
        <v>0</v>
      </c>
      <c r="H80" s="125">
        <v>0</v>
      </c>
      <c r="I80" s="125">
        <v>0</v>
      </c>
    </row>
    <row r="81" spans="1:9" s="145" customFormat="1" ht="15.75" customHeight="1">
      <c r="A81" s="70" t="s">
        <v>2148</v>
      </c>
      <c r="B81" s="105" t="s">
        <v>6802</v>
      </c>
      <c r="C81" s="72" t="s">
        <v>361</v>
      </c>
      <c r="D81" s="250"/>
      <c r="E81" s="125">
        <v>115604957</v>
      </c>
      <c r="F81" s="125">
        <v>125571755</v>
      </c>
      <c r="G81" s="125">
        <v>141758453</v>
      </c>
      <c r="H81" s="125">
        <v>155000000</v>
      </c>
      <c r="I81" s="125">
        <v>170000000</v>
      </c>
    </row>
    <row r="82" spans="1:9" s="145" customFormat="1" ht="15.75" customHeight="1">
      <c r="A82" s="70" t="s">
        <v>2149</v>
      </c>
      <c r="B82" s="105" t="s">
        <v>6465</v>
      </c>
      <c r="C82" s="72" t="s">
        <v>451</v>
      </c>
      <c r="D82" s="250"/>
      <c r="E82" s="125">
        <v>605545</v>
      </c>
      <c r="F82" s="125">
        <v>591350</v>
      </c>
      <c r="G82" s="125">
        <v>791489</v>
      </c>
      <c r="H82" s="125">
        <v>1200000</v>
      </c>
      <c r="I82" s="125">
        <v>1200000</v>
      </c>
    </row>
    <row r="83" spans="1:9" s="145" customFormat="1" ht="15.75" customHeight="1">
      <c r="A83" s="70" t="s">
        <v>2982</v>
      </c>
      <c r="B83" s="105" t="s">
        <v>6823</v>
      </c>
      <c r="C83" s="72" t="s">
        <v>452</v>
      </c>
      <c r="D83" s="250"/>
      <c r="E83" s="125">
        <v>36527109</v>
      </c>
      <c r="F83" s="125">
        <v>55250000</v>
      </c>
      <c r="G83" s="125">
        <v>44200000</v>
      </c>
      <c r="H83" s="125">
        <v>47200000</v>
      </c>
      <c r="I83" s="125">
        <v>47200000</v>
      </c>
    </row>
    <row r="84" spans="1:9" s="145" customFormat="1" ht="15.75" customHeight="1">
      <c r="A84" s="70" t="s">
        <v>2983</v>
      </c>
      <c r="B84" s="105" t="s">
        <v>6824</v>
      </c>
      <c r="C84" s="72" t="s">
        <v>453</v>
      </c>
      <c r="D84" s="250"/>
      <c r="E84" s="125">
        <v>4790308</v>
      </c>
      <c r="F84" s="125">
        <v>5237396</v>
      </c>
      <c r="G84" s="125">
        <v>9805000</v>
      </c>
      <c r="H84" s="125">
        <v>7500000</v>
      </c>
      <c r="I84" s="125">
        <v>6800000</v>
      </c>
    </row>
    <row r="85" spans="1:9" s="145" customFormat="1" ht="13.5">
      <c r="A85" s="71" t="s">
        <v>2984</v>
      </c>
      <c r="B85" s="105" t="s">
        <v>6825</v>
      </c>
      <c r="C85" s="72" t="s">
        <v>484</v>
      </c>
      <c r="D85" s="250"/>
      <c r="E85" s="125">
        <v>331385</v>
      </c>
      <c r="F85" s="125">
        <v>333940</v>
      </c>
      <c r="G85" s="125">
        <v>621063</v>
      </c>
      <c r="H85" s="125">
        <v>880000</v>
      </c>
      <c r="I85" s="125">
        <v>800000</v>
      </c>
    </row>
    <row r="86" spans="1:9" s="145" customFormat="1" ht="15.75" customHeight="1">
      <c r="A86" s="70" t="s">
        <v>2985</v>
      </c>
      <c r="B86" s="105" t="s">
        <v>6826</v>
      </c>
      <c r="C86" s="72" t="s">
        <v>485</v>
      </c>
      <c r="D86" s="250"/>
      <c r="E86" s="125">
        <v>132749520</v>
      </c>
      <c r="F86" s="125">
        <v>205299773</v>
      </c>
      <c r="G86" s="125">
        <v>125601032</v>
      </c>
      <c r="H86" s="125">
        <v>170000000</v>
      </c>
      <c r="I86" s="125">
        <v>190000000</v>
      </c>
    </row>
    <row r="87" spans="1:9" s="145" customFormat="1" ht="15.75" customHeight="1">
      <c r="A87" s="70" t="s">
        <v>2986</v>
      </c>
      <c r="B87" s="105" t="s">
        <v>6827</v>
      </c>
      <c r="C87" s="72" t="s">
        <v>301</v>
      </c>
      <c r="D87" s="250"/>
      <c r="E87" s="125">
        <v>389253</v>
      </c>
      <c r="F87" s="125">
        <v>392453</v>
      </c>
      <c r="G87" s="125">
        <v>0</v>
      </c>
      <c r="H87" s="125">
        <v>440000</v>
      </c>
      <c r="I87" s="125">
        <v>400000</v>
      </c>
    </row>
    <row r="88" spans="1:9" s="145" customFormat="1" ht="31.5" customHeight="1">
      <c r="A88" s="70" t="s">
        <v>2987</v>
      </c>
      <c r="B88" s="105" t="s">
        <v>6828</v>
      </c>
      <c r="C88" s="72" t="s">
        <v>302</v>
      </c>
      <c r="D88" s="250"/>
      <c r="E88" s="125">
        <v>434555</v>
      </c>
      <c r="F88" s="125">
        <v>401925</v>
      </c>
      <c r="G88" s="125">
        <v>0</v>
      </c>
      <c r="H88" s="125">
        <v>440000</v>
      </c>
      <c r="I88" s="125">
        <v>400000</v>
      </c>
    </row>
    <row r="89" spans="1:9" s="145" customFormat="1" ht="31.5" customHeight="1">
      <c r="A89" s="70" t="s">
        <v>2988</v>
      </c>
      <c r="B89" s="105" t="s">
        <v>6829</v>
      </c>
      <c r="C89" s="72" t="s">
        <v>949</v>
      </c>
      <c r="D89" s="250"/>
      <c r="E89" s="125">
        <v>0</v>
      </c>
      <c r="F89" s="125">
        <v>0</v>
      </c>
      <c r="G89" s="125">
        <v>0</v>
      </c>
      <c r="H89" s="125">
        <v>440000</v>
      </c>
      <c r="I89" s="125">
        <v>500000</v>
      </c>
    </row>
    <row r="90" spans="1:9" s="145" customFormat="1" ht="31.5">
      <c r="A90" s="70" t="s">
        <v>5074</v>
      </c>
      <c r="B90" s="105" t="s">
        <v>6830</v>
      </c>
      <c r="C90" s="72" t="s">
        <v>522</v>
      </c>
      <c r="D90" s="250"/>
      <c r="E90" s="125">
        <v>372881</v>
      </c>
      <c r="F90" s="125">
        <v>247504</v>
      </c>
      <c r="G90" s="125">
        <v>0</v>
      </c>
      <c r="H90" s="125">
        <v>0</v>
      </c>
      <c r="I90" s="125">
        <v>0</v>
      </c>
    </row>
    <row r="91" spans="1:9" s="145" customFormat="1" ht="31.5" customHeight="1">
      <c r="A91" s="70" t="s">
        <v>2989</v>
      </c>
      <c r="B91" s="105" t="s">
        <v>6831</v>
      </c>
      <c r="C91" s="72" t="s">
        <v>815</v>
      </c>
      <c r="D91" s="250"/>
      <c r="E91" s="125">
        <v>10993857</v>
      </c>
      <c r="F91" s="125">
        <v>10664463</v>
      </c>
      <c r="G91" s="125">
        <v>11465014</v>
      </c>
      <c r="H91" s="125">
        <v>30000000</v>
      </c>
      <c r="I91" s="125">
        <v>24000000</v>
      </c>
    </row>
    <row r="92" spans="1:9" s="145" customFormat="1" ht="15.75" customHeight="1">
      <c r="A92" s="70" t="s">
        <v>2990</v>
      </c>
      <c r="B92" s="105" t="s">
        <v>6832</v>
      </c>
      <c r="C92" s="72" t="s">
        <v>816</v>
      </c>
      <c r="D92" s="250"/>
      <c r="E92" s="125">
        <v>5183736</v>
      </c>
      <c r="F92" s="125">
        <v>9933536</v>
      </c>
      <c r="G92" s="125">
        <v>15046296</v>
      </c>
      <c r="H92" s="125">
        <v>15000000</v>
      </c>
      <c r="I92" s="125">
        <v>16000000</v>
      </c>
    </row>
    <row r="93" spans="1:9" s="145" customFormat="1" ht="67.5">
      <c r="A93" s="71" t="s">
        <v>2991</v>
      </c>
      <c r="B93" s="105" t="s">
        <v>6833</v>
      </c>
      <c r="C93" s="72" t="s">
        <v>1088</v>
      </c>
      <c r="D93" s="250"/>
      <c r="E93" s="125">
        <v>15819776</v>
      </c>
      <c r="F93" s="125">
        <v>13029975</v>
      </c>
      <c r="G93" s="125">
        <v>18472788</v>
      </c>
      <c r="H93" s="125">
        <v>30000000</v>
      </c>
      <c r="I93" s="125">
        <v>23000000</v>
      </c>
    </row>
    <row r="94" spans="1:9" s="145" customFormat="1" ht="15.75" customHeight="1">
      <c r="A94" s="70" t="s">
        <v>3111</v>
      </c>
      <c r="B94" s="105" t="s">
        <v>6834</v>
      </c>
      <c r="C94" s="72" t="s">
        <v>1089</v>
      </c>
      <c r="D94" s="250"/>
      <c r="E94" s="125">
        <v>1729083</v>
      </c>
      <c r="F94" s="125">
        <v>1341888</v>
      </c>
      <c r="G94" s="125">
        <v>799280</v>
      </c>
      <c r="H94" s="125">
        <v>800000</v>
      </c>
      <c r="I94" s="125">
        <v>640000</v>
      </c>
    </row>
    <row r="95" spans="1:9" s="145" customFormat="1" ht="47.25">
      <c r="A95" s="70" t="s">
        <v>2992</v>
      </c>
      <c r="B95" s="105" t="s">
        <v>6835</v>
      </c>
      <c r="C95" s="72" t="s">
        <v>1378</v>
      </c>
      <c r="D95" s="250"/>
      <c r="E95" s="125">
        <v>1066259</v>
      </c>
      <c r="F95" s="125">
        <v>1266449</v>
      </c>
      <c r="G95" s="125">
        <v>800000</v>
      </c>
      <c r="H95" s="125">
        <v>800000</v>
      </c>
      <c r="I95" s="125">
        <v>1200000</v>
      </c>
    </row>
    <row r="96" spans="1:9" s="145" customFormat="1" ht="47.25">
      <c r="A96" s="70" t="s">
        <v>2993</v>
      </c>
      <c r="B96" s="105" t="s">
        <v>6836</v>
      </c>
      <c r="C96" s="72" t="s">
        <v>1883</v>
      </c>
      <c r="D96" s="250"/>
      <c r="E96" s="125">
        <v>0</v>
      </c>
      <c r="F96" s="125">
        <v>0</v>
      </c>
      <c r="G96" s="125">
        <v>4617384</v>
      </c>
      <c r="H96" s="125">
        <v>7500000</v>
      </c>
      <c r="I96" s="125">
        <v>6000000</v>
      </c>
    </row>
    <row r="97" spans="1:9" s="145" customFormat="1" ht="15.75" customHeight="1">
      <c r="A97" s="70"/>
      <c r="B97" s="105"/>
      <c r="C97" s="72"/>
      <c r="D97" s="250"/>
      <c r="E97" s="125">
        <v>0</v>
      </c>
      <c r="F97" s="125">
        <v>0</v>
      </c>
      <c r="G97" s="125">
        <v>0</v>
      </c>
      <c r="H97" s="125">
        <v>0</v>
      </c>
      <c r="I97" s="125">
        <v>0</v>
      </c>
    </row>
    <row r="98" spans="1:9" s="145" customFormat="1" ht="15.75" customHeight="1">
      <c r="A98" s="77" t="s">
        <v>2994</v>
      </c>
      <c r="B98" s="136" t="s">
        <v>6837</v>
      </c>
      <c r="C98" s="72"/>
      <c r="D98" s="250"/>
      <c r="E98" s="125">
        <v>326598224</v>
      </c>
      <c r="F98" s="125">
        <v>429562407</v>
      </c>
      <c r="G98" s="125">
        <v>373977799</v>
      </c>
      <c r="H98" s="125">
        <v>467200000</v>
      </c>
      <c r="I98" s="125">
        <v>488140000</v>
      </c>
    </row>
    <row r="99" spans="1:9" s="145" customFormat="1" ht="8.1" customHeight="1">
      <c r="A99" s="70"/>
      <c r="B99" s="105"/>
      <c r="C99" s="72"/>
      <c r="D99" s="250"/>
      <c r="E99" s="125">
        <v>0</v>
      </c>
      <c r="F99" s="125">
        <v>0</v>
      </c>
      <c r="G99" s="125">
        <v>0</v>
      </c>
      <c r="H99" s="125">
        <v>0</v>
      </c>
      <c r="I99" s="125">
        <v>0</v>
      </c>
    </row>
    <row r="100" spans="1:9" s="145" customFormat="1" ht="15.75" customHeight="1">
      <c r="A100" s="88" t="s">
        <v>2995</v>
      </c>
      <c r="B100" s="105" t="s">
        <v>6838</v>
      </c>
      <c r="C100" s="72"/>
      <c r="D100" s="250"/>
      <c r="E100" s="125">
        <v>0</v>
      </c>
      <c r="F100" s="125">
        <v>0</v>
      </c>
      <c r="G100" s="125">
        <v>0</v>
      </c>
      <c r="H100" s="125">
        <v>0</v>
      </c>
      <c r="I100" s="125">
        <v>0</v>
      </c>
    </row>
    <row r="101" spans="1:9" s="145" customFormat="1" ht="15.75" customHeight="1">
      <c r="A101" s="70" t="s">
        <v>2382</v>
      </c>
      <c r="B101" s="105" t="s">
        <v>6802</v>
      </c>
      <c r="C101" s="72" t="s">
        <v>817</v>
      </c>
      <c r="D101" s="250"/>
      <c r="E101" s="125">
        <v>2851619</v>
      </c>
      <c r="F101" s="125">
        <v>5515675</v>
      </c>
      <c r="G101" s="125">
        <v>4824374</v>
      </c>
      <c r="H101" s="125">
        <v>7500000</v>
      </c>
      <c r="I101" s="125">
        <v>10000000</v>
      </c>
    </row>
    <row r="102" spans="1:9" s="145" customFormat="1" ht="15.75" customHeight="1">
      <c r="A102" s="70"/>
      <c r="B102" s="105"/>
      <c r="C102" s="72"/>
      <c r="D102" s="250"/>
      <c r="E102" s="125">
        <v>0</v>
      </c>
      <c r="F102" s="125">
        <v>0</v>
      </c>
      <c r="G102" s="125">
        <v>0</v>
      </c>
      <c r="H102" s="125">
        <v>0</v>
      </c>
      <c r="I102" s="125">
        <v>0</v>
      </c>
    </row>
    <row r="103" spans="1:9" s="145" customFormat="1" ht="15.75" customHeight="1">
      <c r="A103" s="77" t="s">
        <v>2348</v>
      </c>
      <c r="B103" s="136" t="s">
        <v>146</v>
      </c>
      <c r="C103" s="72"/>
      <c r="D103" s="250"/>
      <c r="E103" s="125">
        <v>2851619</v>
      </c>
      <c r="F103" s="125">
        <v>5515675</v>
      </c>
      <c r="G103" s="125">
        <v>4824374</v>
      </c>
      <c r="H103" s="125">
        <v>7500000</v>
      </c>
      <c r="I103" s="125">
        <v>10000000</v>
      </c>
    </row>
    <row r="104" spans="1:9" s="145" customFormat="1" ht="15.75" customHeight="1">
      <c r="A104" s="70"/>
      <c r="B104" s="105"/>
      <c r="C104" s="72"/>
      <c r="D104" s="250"/>
      <c r="E104" s="125">
        <v>0</v>
      </c>
      <c r="F104" s="125">
        <v>0</v>
      </c>
      <c r="G104" s="125">
        <v>0</v>
      </c>
      <c r="H104" s="125">
        <v>0</v>
      </c>
      <c r="I104" s="125">
        <v>0</v>
      </c>
    </row>
    <row r="105" spans="1:9" s="145" customFormat="1" ht="15.75" customHeight="1">
      <c r="A105" s="77" t="s">
        <v>2349</v>
      </c>
      <c r="B105" s="136" t="s">
        <v>146</v>
      </c>
      <c r="C105" s="72"/>
      <c r="D105" s="250"/>
      <c r="E105" s="125">
        <v>329449843</v>
      </c>
      <c r="F105" s="125">
        <v>435078082</v>
      </c>
      <c r="G105" s="125">
        <v>378802173</v>
      </c>
      <c r="H105" s="125">
        <v>474700000</v>
      </c>
      <c r="I105" s="125">
        <v>498140000</v>
      </c>
    </row>
    <row r="106" spans="1:9" s="145" customFormat="1" ht="8.1" customHeight="1">
      <c r="A106" s="70"/>
      <c r="B106" s="105"/>
      <c r="C106" s="72"/>
      <c r="D106" s="250"/>
      <c r="E106" s="125">
        <v>0</v>
      </c>
      <c r="F106" s="125">
        <v>0</v>
      </c>
      <c r="G106" s="125">
        <v>0</v>
      </c>
      <c r="H106" s="125">
        <v>0</v>
      </c>
      <c r="I106" s="125">
        <v>0</v>
      </c>
    </row>
    <row r="107" spans="1:9" s="145" customFormat="1" ht="15.75" customHeight="1">
      <c r="A107" s="88" t="s">
        <v>10456</v>
      </c>
      <c r="B107" s="105" t="s">
        <v>6839</v>
      </c>
      <c r="C107" s="72"/>
      <c r="D107" s="250"/>
      <c r="E107" s="125">
        <v>0</v>
      </c>
      <c r="F107" s="125">
        <v>0</v>
      </c>
      <c r="G107" s="125">
        <v>0</v>
      </c>
      <c r="H107" s="125">
        <v>0</v>
      </c>
      <c r="I107" s="125">
        <v>0</v>
      </c>
    </row>
    <row r="108" spans="1:9" s="145" customFormat="1" ht="15.75" customHeight="1">
      <c r="A108" s="70" t="s">
        <v>2148</v>
      </c>
      <c r="B108" s="105" t="s">
        <v>6802</v>
      </c>
      <c r="C108" s="72" t="s">
        <v>818</v>
      </c>
      <c r="D108" s="250"/>
      <c r="E108" s="125">
        <v>15222673</v>
      </c>
      <c r="F108" s="125">
        <v>15931207</v>
      </c>
      <c r="G108" s="125">
        <v>15370386</v>
      </c>
      <c r="H108" s="125">
        <v>25000000</v>
      </c>
      <c r="I108" s="125">
        <v>30000000</v>
      </c>
    </row>
    <row r="109" spans="1:9" s="145" customFormat="1" ht="15.75" customHeight="1">
      <c r="A109" s="70" t="s">
        <v>2149</v>
      </c>
      <c r="B109" s="105" t="s">
        <v>6465</v>
      </c>
      <c r="C109" s="72" t="s">
        <v>819</v>
      </c>
      <c r="D109" s="250"/>
      <c r="E109" s="125">
        <v>120390</v>
      </c>
      <c r="F109" s="125">
        <v>192046</v>
      </c>
      <c r="G109" s="125">
        <v>201181</v>
      </c>
      <c r="H109" s="125">
        <v>300000</v>
      </c>
      <c r="I109" s="125">
        <v>300000</v>
      </c>
    </row>
    <row r="110" spans="1:9" s="145" customFormat="1" ht="15.75" customHeight="1">
      <c r="A110" s="70" t="s">
        <v>2982</v>
      </c>
      <c r="B110" s="105" t="s">
        <v>6823</v>
      </c>
      <c r="C110" s="72" t="s">
        <v>820</v>
      </c>
      <c r="D110" s="250"/>
      <c r="E110" s="125">
        <v>30000000</v>
      </c>
      <c r="F110" s="125">
        <v>25500000</v>
      </c>
      <c r="G110" s="125">
        <v>18780489</v>
      </c>
      <c r="H110" s="125">
        <v>25000000</v>
      </c>
      <c r="I110" s="125">
        <v>25000000</v>
      </c>
    </row>
    <row r="111" spans="1:9" s="145" customFormat="1" ht="15.75" customHeight="1">
      <c r="A111" s="70" t="s">
        <v>2996</v>
      </c>
      <c r="B111" s="105" t="s">
        <v>6824</v>
      </c>
      <c r="C111" s="72" t="s">
        <v>821</v>
      </c>
      <c r="D111" s="250"/>
      <c r="E111" s="125">
        <v>982656</v>
      </c>
      <c r="F111" s="125">
        <v>200894</v>
      </c>
      <c r="G111" s="125">
        <v>946730</v>
      </c>
      <c r="H111" s="125">
        <v>1000000</v>
      </c>
      <c r="I111" s="125">
        <v>1200000</v>
      </c>
    </row>
    <row r="112" spans="1:9" s="145" customFormat="1" ht="15.75" customHeight="1">
      <c r="A112" s="70" t="s">
        <v>2985</v>
      </c>
      <c r="B112" s="105" t="s">
        <v>6840</v>
      </c>
      <c r="C112" s="72" t="s">
        <v>822</v>
      </c>
      <c r="D112" s="250"/>
      <c r="E112" s="125">
        <v>17012820</v>
      </c>
      <c r="F112" s="125">
        <v>6372930</v>
      </c>
      <c r="G112" s="125">
        <v>31870</v>
      </c>
      <c r="H112" s="125">
        <v>10000000</v>
      </c>
      <c r="I112" s="125">
        <v>12500000</v>
      </c>
    </row>
    <row r="113" spans="1:9" s="145" customFormat="1" ht="15.75" customHeight="1">
      <c r="A113" s="70" t="s">
        <v>2997</v>
      </c>
      <c r="B113" s="105" t="s">
        <v>6827</v>
      </c>
      <c r="C113" s="72" t="s">
        <v>733</v>
      </c>
      <c r="D113" s="250"/>
      <c r="E113" s="125">
        <v>0</v>
      </c>
      <c r="F113" s="125">
        <v>109176</v>
      </c>
      <c r="G113" s="125">
        <v>30264</v>
      </c>
      <c r="H113" s="125">
        <v>350000</v>
      </c>
      <c r="I113" s="125">
        <v>280000</v>
      </c>
    </row>
    <row r="114" spans="1:9" s="145" customFormat="1" ht="31.5" customHeight="1">
      <c r="A114" s="70" t="s">
        <v>2998</v>
      </c>
      <c r="B114" s="105" t="s">
        <v>6841</v>
      </c>
      <c r="C114" s="72" t="s">
        <v>309</v>
      </c>
      <c r="D114" s="250"/>
      <c r="E114" s="125">
        <v>500000</v>
      </c>
      <c r="F114" s="125">
        <v>0</v>
      </c>
      <c r="G114" s="125">
        <v>0</v>
      </c>
      <c r="H114" s="125">
        <v>0</v>
      </c>
      <c r="I114" s="125">
        <v>0</v>
      </c>
    </row>
    <row r="115" spans="1:9" s="145" customFormat="1" ht="15.75" customHeight="1">
      <c r="A115" s="70" t="s">
        <v>3112</v>
      </c>
      <c r="B115" s="105" t="s">
        <v>6842</v>
      </c>
      <c r="C115" s="72" t="s">
        <v>1090</v>
      </c>
      <c r="D115" s="250"/>
      <c r="E115" s="125">
        <v>0</v>
      </c>
      <c r="F115" s="125">
        <v>496377</v>
      </c>
      <c r="G115" s="125">
        <v>879137</v>
      </c>
      <c r="H115" s="125">
        <v>1800000</v>
      </c>
      <c r="I115" s="125">
        <v>900000</v>
      </c>
    </row>
    <row r="116" spans="1:9" s="145" customFormat="1" ht="31.5" customHeight="1">
      <c r="A116" s="70" t="s">
        <v>2999</v>
      </c>
      <c r="B116" s="105" t="s">
        <v>6843</v>
      </c>
      <c r="C116" s="72" t="s">
        <v>1091</v>
      </c>
      <c r="D116" s="250"/>
      <c r="E116" s="125">
        <v>17033703</v>
      </c>
      <c r="F116" s="125">
        <v>16862280</v>
      </c>
      <c r="G116" s="125">
        <v>26192028</v>
      </c>
      <c r="H116" s="125">
        <v>40000000</v>
      </c>
      <c r="I116" s="125">
        <v>27000000</v>
      </c>
    </row>
    <row r="117" spans="1:9" s="145" customFormat="1" ht="15.75" customHeight="1">
      <c r="A117" s="70" t="s">
        <v>3000</v>
      </c>
      <c r="B117" s="105" t="s">
        <v>6844</v>
      </c>
      <c r="C117" s="72" t="s">
        <v>1092</v>
      </c>
      <c r="D117" s="250"/>
      <c r="E117" s="125">
        <v>5112070</v>
      </c>
      <c r="F117" s="125">
        <v>7312657</v>
      </c>
      <c r="G117" s="125">
        <v>7047999</v>
      </c>
      <c r="H117" s="125">
        <v>10000000</v>
      </c>
      <c r="I117" s="125">
        <v>10000000</v>
      </c>
    </row>
    <row r="118" spans="1:9" s="145" customFormat="1" ht="15.75" customHeight="1">
      <c r="A118" s="70" t="s">
        <v>3113</v>
      </c>
      <c r="B118" s="105" t="s">
        <v>6845</v>
      </c>
      <c r="C118" s="72" t="s">
        <v>1093</v>
      </c>
      <c r="D118" s="250"/>
      <c r="E118" s="125">
        <v>3060089</v>
      </c>
      <c r="F118" s="125">
        <v>3803772</v>
      </c>
      <c r="G118" s="125">
        <v>11344047</v>
      </c>
      <c r="H118" s="125">
        <v>22500000</v>
      </c>
      <c r="I118" s="125">
        <v>18000000</v>
      </c>
    </row>
    <row r="119" spans="1:9" s="145" customFormat="1" ht="15.75" customHeight="1">
      <c r="A119" s="70"/>
      <c r="B119" s="105"/>
      <c r="C119" s="72"/>
      <c r="D119" s="250"/>
      <c r="E119" s="125">
        <v>0</v>
      </c>
      <c r="F119" s="125">
        <v>0</v>
      </c>
      <c r="G119" s="125">
        <v>0</v>
      </c>
      <c r="H119" s="125">
        <v>0</v>
      </c>
      <c r="I119" s="125">
        <v>0</v>
      </c>
    </row>
    <row r="120" spans="1:9" s="145" customFormat="1" ht="15.75" customHeight="1">
      <c r="A120" s="77" t="s">
        <v>2351</v>
      </c>
      <c r="B120" s="136" t="s">
        <v>146</v>
      </c>
      <c r="C120" s="72"/>
      <c r="D120" s="250"/>
      <c r="E120" s="125">
        <v>89044401</v>
      </c>
      <c r="F120" s="125">
        <v>76781339</v>
      </c>
      <c r="G120" s="125">
        <v>80824131</v>
      </c>
      <c r="H120" s="125">
        <v>135950000</v>
      </c>
      <c r="I120" s="125">
        <v>125180000</v>
      </c>
    </row>
    <row r="121" spans="1:9" s="145" customFormat="1" ht="15.75" customHeight="1">
      <c r="A121" s="70"/>
      <c r="B121" s="105"/>
      <c r="C121" s="72"/>
      <c r="D121" s="250"/>
      <c r="E121" s="125">
        <v>0</v>
      </c>
      <c r="F121" s="125">
        <v>0</v>
      </c>
      <c r="G121" s="125">
        <v>0</v>
      </c>
      <c r="H121" s="125">
        <v>0</v>
      </c>
      <c r="I121" s="125">
        <v>0</v>
      </c>
    </row>
    <row r="122" spans="1:9" s="145" customFormat="1" ht="31.5" customHeight="1">
      <c r="A122" s="70" t="s">
        <v>10457</v>
      </c>
      <c r="B122" s="105" t="s">
        <v>6846</v>
      </c>
      <c r="C122" s="72"/>
      <c r="D122" s="250"/>
      <c r="E122" s="125">
        <v>0</v>
      </c>
      <c r="F122" s="125">
        <v>0</v>
      </c>
      <c r="G122" s="125">
        <v>0</v>
      </c>
      <c r="H122" s="125">
        <v>0</v>
      </c>
      <c r="I122" s="125">
        <v>0</v>
      </c>
    </row>
    <row r="123" spans="1:9" s="145" customFormat="1" ht="15.75" customHeight="1">
      <c r="A123" s="70" t="s">
        <v>2148</v>
      </c>
      <c r="B123" s="105" t="s">
        <v>6802</v>
      </c>
      <c r="C123" s="72" t="s">
        <v>766</v>
      </c>
      <c r="D123" s="250"/>
      <c r="E123" s="125">
        <v>358132</v>
      </c>
      <c r="F123" s="125">
        <v>308548</v>
      </c>
      <c r="G123" s="125">
        <v>338046</v>
      </c>
      <c r="H123" s="125">
        <v>1500000</v>
      </c>
      <c r="I123" s="125">
        <v>2000000</v>
      </c>
    </row>
    <row r="124" spans="1:9" s="145" customFormat="1" ht="15.75" customHeight="1">
      <c r="A124" s="70"/>
      <c r="B124" s="105"/>
      <c r="C124" s="72"/>
      <c r="D124" s="250"/>
      <c r="E124" s="125">
        <v>0</v>
      </c>
      <c r="F124" s="125">
        <v>0</v>
      </c>
      <c r="G124" s="125">
        <v>0</v>
      </c>
      <c r="H124" s="125">
        <v>0</v>
      </c>
      <c r="I124" s="125">
        <v>0</v>
      </c>
    </row>
    <row r="125" spans="1:9" s="145" customFormat="1" ht="15.75" customHeight="1">
      <c r="A125" s="77" t="s">
        <v>2359</v>
      </c>
      <c r="B125" s="136" t="s">
        <v>146</v>
      </c>
      <c r="C125" s="72"/>
      <c r="D125" s="250"/>
      <c r="E125" s="125">
        <v>358132</v>
      </c>
      <c r="F125" s="125">
        <v>308548</v>
      </c>
      <c r="G125" s="125">
        <v>338046</v>
      </c>
      <c r="H125" s="125">
        <v>1500000</v>
      </c>
      <c r="I125" s="125">
        <v>2000000</v>
      </c>
    </row>
    <row r="126" spans="1:9" s="145" customFormat="1" ht="15.75" customHeight="1">
      <c r="A126" s="70"/>
      <c r="B126" s="105"/>
      <c r="C126" s="72"/>
      <c r="D126" s="250"/>
      <c r="E126" s="125">
        <v>0</v>
      </c>
      <c r="F126" s="125">
        <v>0</v>
      </c>
      <c r="G126" s="125">
        <v>0</v>
      </c>
      <c r="H126" s="125">
        <v>0</v>
      </c>
      <c r="I126" s="125">
        <v>0</v>
      </c>
    </row>
    <row r="127" spans="1:9" s="145" customFormat="1" ht="15.75" customHeight="1">
      <c r="A127" s="251" t="s">
        <v>2360</v>
      </c>
      <c r="B127" s="136" t="s">
        <v>146</v>
      </c>
      <c r="C127" s="72"/>
      <c r="D127" s="250"/>
      <c r="E127" s="125">
        <v>89402533</v>
      </c>
      <c r="F127" s="125">
        <v>77089887</v>
      </c>
      <c r="G127" s="125">
        <v>81162177</v>
      </c>
      <c r="H127" s="125">
        <v>137450000</v>
      </c>
      <c r="I127" s="125">
        <v>127180000</v>
      </c>
    </row>
    <row r="128" spans="1:9" s="145" customFormat="1" ht="15.75" customHeight="1">
      <c r="A128" s="70"/>
      <c r="B128" s="105"/>
      <c r="C128" s="72"/>
      <c r="D128" s="250"/>
      <c r="E128" s="125">
        <v>0</v>
      </c>
      <c r="F128" s="125">
        <v>0</v>
      </c>
      <c r="G128" s="125">
        <v>0</v>
      </c>
      <c r="H128" s="125">
        <v>0</v>
      </c>
      <c r="I128" s="125">
        <v>0</v>
      </c>
    </row>
    <row r="129" spans="1:9" s="145" customFormat="1" ht="31.5" customHeight="1">
      <c r="A129" s="70" t="s">
        <v>3114</v>
      </c>
      <c r="B129" s="105" t="s">
        <v>5895</v>
      </c>
      <c r="C129" s="72" t="s">
        <v>767</v>
      </c>
      <c r="D129" s="250"/>
      <c r="E129" s="125">
        <v>11075250</v>
      </c>
      <c r="F129" s="125">
        <v>11385260</v>
      </c>
      <c r="G129" s="125">
        <v>9719499</v>
      </c>
      <c r="H129" s="125">
        <v>0</v>
      </c>
      <c r="I129" s="125">
        <v>0</v>
      </c>
    </row>
    <row r="130" spans="1:9" s="145" customFormat="1" ht="15.75" customHeight="1">
      <c r="A130" s="70" t="s">
        <v>3001</v>
      </c>
      <c r="B130" s="105" t="s">
        <v>5897</v>
      </c>
      <c r="C130" s="72" t="s">
        <v>768</v>
      </c>
      <c r="D130" s="250"/>
      <c r="E130" s="125">
        <v>12441451</v>
      </c>
      <c r="F130" s="125">
        <v>12244559</v>
      </c>
      <c r="G130" s="125">
        <v>13656630</v>
      </c>
      <c r="H130" s="125">
        <v>0</v>
      </c>
      <c r="I130" s="125">
        <v>30000000</v>
      </c>
    </row>
    <row r="131" spans="1:9" s="145" customFormat="1" ht="15.75" customHeight="1">
      <c r="A131" s="70" t="s">
        <v>3115</v>
      </c>
      <c r="B131" s="105" t="s">
        <v>6816</v>
      </c>
      <c r="C131" s="72" t="s">
        <v>724</v>
      </c>
      <c r="D131" s="250"/>
      <c r="E131" s="125">
        <v>3596168</v>
      </c>
      <c r="F131" s="125">
        <v>3487547</v>
      </c>
      <c r="G131" s="125">
        <v>1840330</v>
      </c>
      <c r="H131" s="125">
        <v>8000000</v>
      </c>
      <c r="I131" s="125">
        <v>10000000</v>
      </c>
    </row>
    <row r="132" spans="1:9" s="145" customFormat="1" ht="31.5" customHeight="1">
      <c r="A132" s="70" t="s">
        <v>3116</v>
      </c>
      <c r="B132" s="105" t="s">
        <v>5898</v>
      </c>
      <c r="C132" s="72" t="s">
        <v>725</v>
      </c>
      <c r="D132" s="250"/>
      <c r="E132" s="125">
        <v>300000</v>
      </c>
      <c r="F132" s="125">
        <v>275305</v>
      </c>
      <c r="G132" s="125">
        <v>222000</v>
      </c>
      <c r="H132" s="125">
        <v>5000000</v>
      </c>
      <c r="I132" s="125">
        <v>7500000</v>
      </c>
    </row>
    <row r="133" spans="1:9" s="145" customFormat="1" ht="15.75" customHeight="1">
      <c r="A133" s="70" t="s">
        <v>3002</v>
      </c>
      <c r="B133" s="105" t="s">
        <v>6847</v>
      </c>
      <c r="C133" s="72" t="s">
        <v>726</v>
      </c>
      <c r="D133" s="250"/>
      <c r="E133" s="125">
        <v>110000000</v>
      </c>
      <c r="F133" s="125">
        <v>110000000</v>
      </c>
      <c r="G133" s="125">
        <v>150000000</v>
      </c>
      <c r="H133" s="125">
        <v>200000000</v>
      </c>
      <c r="I133" s="125">
        <v>200000000</v>
      </c>
    </row>
    <row r="134" spans="1:9" s="145" customFormat="1" ht="15.75" customHeight="1">
      <c r="A134" s="70"/>
      <c r="B134" s="105"/>
      <c r="C134" s="72"/>
      <c r="D134" s="250"/>
      <c r="E134" s="125">
        <v>0</v>
      </c>
      <c r="F134" s="125">
        <v>0</v>
      </c>
      <c r="G134" s="125">
        <v>0</v>
      </c>
      <c r="H134" s="125">
        <v>0</v>
      </c>
      <c r="I134" s="125">
        <v>0</v>
      </c>
    </row>
    <row r="135" spans="1:9" s="145" customFormat="1" ht="31.5" customHeight="1">
      <c r="A135" s="77" t="s">
        <v>10458</v>
      </c>
      <c r="B135" s="136" t="s">
        <v>6848</v>
      </c>
      <c r="C135" s="72"/>
      <c r="D135" s="250"/>
      <c r="E135" s="125">
        <v>556265245</v>
      </c>
      <c r="F135" s="125">
        <v>649560640</v>
      </c>
      <c r="G135" s="125">
        <v>635402809</v>
      </c>
      <c r="H135" s="125">
        <v>825150000</v>
      </c>
      <c r="I135" s="125">
        <v>872820000</v>
      </c>
    </row>
    <row r="136" spans="1:9" s="145" customFormat="1" ht="15.75" customHeight="1">
      <c r="A136" s="70"/>
      <c r="B136" s="105"/>
      <c r="C136" s="72"/>
      <c r="D136" s="250"/>
      <c r="E136" s="125">
        <v>0</v>
      </c>
      <c r="F136" s="125">
        <v>0</v>
      </c>
      <c r="G136" s="125">
        <v>0</v>
      </c>
      <c r="H136" s="125">
        <v>0</v>
      </c>
      <c r="I136" s="125">
        <v>0</v>
      </c>
    </row>
    <row r="137" spans="1:9" s="145" customFormat="1" ht="15.75" customHeight="1">
      <c r="A137" s="70" t="s">
        <v>3003</v>
      </c>
      <c r="B137" s="105" t="s">
        <v>6849</v>
      </c>
      <c r="C137" s="72"/>
      <c r="D137" s="250"/>
      <c r="E137" s="125">
        <v>0</v>
      </c>
      <c r="F137" s="125">
        <v>0</v>
      </c>
      <c r="G137" s="125">
        <v>0</v>
      </c>
      <c r="H137" s="125">
        <v>0</v>
      </c>
      <c r="I137" s="125">
        <v>0</v>
      </c>
    </row>
    <row r="138" spans="1:9" s="145" customFormat="1" ht="15.75" customHeight="1">
      <c r="A138" s="70" t="s">
        <v>3004</v>
      </c>
      <c r="B138" s="105" t="s">
        <v>6850</v>
      </c>
      <c r="C138" s="72" t="s">
        <v>727</v>
      </c>
      <c r="D138" s="250"/>
      <c r="E138" s="125">
        <v>9367073</v>
      </c>
      <c r="F138" s="125">
        <v>6178682</v>
      </c>
      <c r="G138" s="125">
        <v>6893999</v>
      </c>
      <c r="H138" s="125">
        <v>16000000</v>
      </c>
      <c r="I138" s="125">
        <v>20000000</v>
      </c>
    </row>
    <row r="139" spans="1:9" s="145" customFormat="1" ht="15.75" customHeight="1">
      <c r="A139" s="70" t="s">
        <v>3005</v>
      </c>
      <c r="B139" s="105" t="s">
        <v>6465</v>
      </c>
      <c r="C139" s="72" t="s">
        <v>728</v>
      </c>
      <c r="D139" s="250"/>
      <c r="E139" s="125">
        <v>5054</v>
      </c>
      <c r="F139" s="125">
        <v>60617</v>
      </c>
      <c r="G139" s="125">
        <v>0</v>
      </c>
      <c r="H139" s="125">
        <v>440000</v>
      </c>
      <c r="I139" s="125">
        <v>450000</v>
      </c>
    </row>
    <row r="140" spans="1:9" s="145" customFormat="1" ht="15.75" customHeight="1">
      <c r="A140" s="70" t="s">
        <v>2982</v>
      </c>
      <c r="B140" s="105" t="s">
        <v>6823</v>
      </c>
      <c r="C140" s="72" t="s">
        <v>809</v>
      </c>
      <c r="D140" s="250"/>
      <c r="E140" s="125">
        <v>10465972</v>
      </c>
      <c r="F140" s="125">
        <v>11049871</v>
      </c>
      <c r="G140" s="125">
        <v>7803281</v>
      </c>
      <c r="H140" s="125">
        <v>9000000</v>
      </c>
      <c r="I140" s="125">
        <v>9000000</v>
      </c>
    </row>
    <row r="141" spans="1:9" s="145" customFormat="1" ht="15.75" customHeight="1">
      <c r="A141" s="70" t="s">
        <v>2996</v>
      </c>
      <c r="B141" s="105" t="s">
        <v>6824</v>
      </c>
      <c r="C141" s="72" t="s">
        <v>810</v>
      </c>
      <c r="D141" s="250"/>
      <c r="E141" s="125">
        <v>826848</v>
      </c>
      <c r="F141" s="125">
        <v>850000</v>
      </c>
      <c r="G141" s="125">
        <v>800000</v>
      </c>
      <c r="H141" s="125">
        <v>800000</v>
      </c>
      <c r="I141" s="125">
        <v>800000</v>
      </c>
    </row>
    <row r="142" spans="1:9" s="145" customFormat="1" ht="15.75" customHeight="1">
      <c r="A142" s="70" t="s">
        <v>3006</v>
      </c>
      <c r="B142" s="105" t="s">
        <v>6840</v>
      </c>
      <c r="C142" s="72" t="s">
        <v>811</v>
      </c>
      <c r="D142" s="250"/>
      <c r="E142" s="125">
        <v>18000000</v>
      </c>
      <c r="F142" s="125">
        <v>17720200</v>
      </c>
      <c r="G142" s="125">
        <v>22934560</v>
      </c>
      <c r="H142" s="125">
        <v>25000000</v>
      </c>
      <c r="I142" s="125">
        <v>27500000</v>
      </c>
    </row>
    <row r="143" spans="1:9" s="145" customFormat="1" ht="15.75" customHeight="1">
      <c r="A143" s="70" t="s">
        <v>3007</v>
      </c>
      <c r="B143" s="105" t="s">
        <v>6827</v>
      </c>
      <c r="C143" s="72" t="s">
        <v>169</v>
      </c>
      <c r="D143" s="250"/>
      <c r="E143" s="125">
        <v>180898</v>
      </c>
      <c r="F143" s="125">
        <v>0</v>
      </c>
      <c r="G143" s="125">
        <v>0</v>
      </c>
      <c r="H143" s="125">
        <v>800000</v>
      </c>
      <c r="I143" s="125">
        <v>800000</v>
      </c>
    </row>
    <row r="144" spans="1:9" s="145" customFormat="1" ht="15.75" customHeight="1">
      <c r="A144" s="70" t="s">
        <v>3008</v>
      </c>
      <c r="B144" s="105" t="s">
        <v>6851</v>
      </c>
      <c r="C144" s="72" t="s">
        <v>734</v>
      </c>
      <c r="D144" s="250"/>
      <c r="E144" s="125">
        <v>347625</v>
      </c>
      <c r="F144" s="125">
        <v>868656</v>
      </c>
      <c r="G144" s="125">
        <v>660911</v>
      </c>
      <c r="H144" s="125">
        <v>1000000</v>
      </c>
      <c r="I144" s="125">
        <v>800000</v>
      </c>
    </row>
    <row r="145" spans="1:9" s="145" customFormat="1" ht="31.5" customHeight="1">
      <c r="A145" s="70" t="s">
        <v>3009</v>
      </c>
      <c r="B145" s="105" t="s">
        <v>6852</v>
      </c>
      <c r="C145" s="72" t="s">
        <v>1094</v>
      </c>
      <c r="D145" s="250"/>
      <c r="E145" s="125">
        <v>249927</v>
      </c>
      <c r="F145" s="125">
        <v>231917</v>
      </c>
      <c r="G145" s="125">
        <v>1043365</v>
      </c>
      <c r="H145" s="125">
        <v>1500000</v>
      </c>
      <c r="I145" s="125">
        <v>1200000</v>
      </c>
    </row>
    <row r="146" spans="1:9" s="145" customFormat="1" ht="15.75" customHeight="1">
      <c r="A146" s="70" t="s">
        <v>3117</v>
      </c>
      <c r="B146" s="105" t="s">
        <v>6853</v>
      </c>
      <c r="C146" s="72" t="s">
        <v>1095</v>
      </c>
      <c r="D146" s="250"/>
      <c r="E146" s="125">
        <v>0</v>
      </c>
      <c r="F146" s="125">
        <v>453778</v>
      </c>
      <c r="G146" s="125">
        <v>388583</v>
      </c>
      <c r="H146" s="125">
        <v>1000000</v>
      </c>
      <c r="I146" s="125">
        <v>800000</v>
      </c>
    </row>
    <row r="147" spans="1:9" s="145" customFormat="1" ht="15.75" customHeight="1">
      <c r="A147" s="70"/>
      <c r="B147" s="105"/>
      <c r="C147" s="72"/>
      <c r="D147" s="250"/>
      <c r="E147" s="125">
        <v>0</v>
      </c>
      <c r="F147" s="125">
        <v>0</v>
      </c>
      <c r="G147" s="125">
        <v>0</v>
      </c>
      <c r="H147" s="125">
        <v>0</v>
      </c>
      <c r="I147" s="125">
        <v>0</v>
      </c>
    </row>
    <row r="148" spans="1:9" s="145" customFormat="1" ht="31.5" customHeight="1">
      <c r="A148" s="77" t="s">
        <v>3010</v>
      </c>
      <c r="B148" s="136" t="s">
        <v>6854</v>
      </c>
      <c r="C148" s="72"/>
      <c r="D148" s="250"/>
      <c r="E148" s="125">
        <v>39443397</v>
      </c>
      <c r="F148" s="125">
        <v>37413721</v>
      </c>
      <c r="G148" s="125">
        <v>40524699</v>
      </c>
      <c r="H148" s="125">
        <v>55540000</v>
      </c>
      <c r="I148" s="125">
        <v>61350000</v>
      </c>
    </row>
    <row r="149" spans="1:9" s="145" customFormat="1" ht="15.75" customHeight="1">
      <c r="A149" s="70"/>
      <c r="B149" s="105"/>
      <c r="C149" s="72"/>
      <c r="D149" s="250"/>
      <c r="E149" s="125">
        <v>0</v>
      </c>
      <c r="F149" s="125">
        <v>0</v>
      </c>
      <c r="G149" s="125">
        <v>0</v>
      </c>
      <c r="H149" s="125">
        <v>0</v>
      </c>
      <c r="I149" s="125">
        <v>0</v>
      </c>
    </row>
    <row r="150" spans="1:9" s="145" customFormat="1" ht="15.75" customHeight="1">
      <c r="A150" s="70" t="s">
        <v>3011</v>
      </c>
      <c r="B150" s="105" t="s">
        <v>6855</v>
      </c>
      <c r="C150" s="72"/>
      <c r="D150" s="250"/>
      <c r="E150" s="125">
        <v>0</v>
      </c>
      <c r="F150" s="125">
        <v>0</v>
      </c>
      <c r="G150" s="125">
        <v>0</v>
      </c>
      <c r="H150" s="125">
        <v>0</v>
      </c>
      <c r="I150" s="125">
        <v>0</v>
      </c>
    </row>
    <row r="151" spans="1:9" s="145" customFormat="1" ht="15.75" customHeight="1">
      <c r="A151" s="70" t="s">
        <v>3012</v>
      </c>
      <c r="B151" s="105" t="s">
        <v>6856</v>
      </c>
      <c r="C151" s="72"/>
      <c r="D151" s="250"/>
      <c r="E151" s="125">
        <v>0</v>
      </c>
      <c r="F151" s="125">
        <v>0</v>
      </c>
      <c r="G151" s="125">
        <v>0</v>
      </c>
      <c r="H151" s="125">
        <v>0</v>
      </c>
      <c r="I151" s="125">
        <v>0</v>
      </c>
    </row>
    <row r="152" spans="1:9" s="145" customFormat="1" ht="15.75" customHeight="1">
      <c r="A152" s="70" t="s">
        <v>3004</v>
      </c>
      <c r="B152" s="105" t="s">
        <v>6850</v>
      </c>
      <c r="C152" s="72" t="s">
        <v>735</v>
      </c>
      <c r="D152" s="250"/>
      <c r="E152" s="125">
        <v>7722223</v>
      </c>
      <c r="F152" s="125">
        <v>10967399</v>
      </c>
      <c r="G152" s="125">
        <v>22864217</v>
      </c>
      <c r="H152" s="125">
        <v>26500000</v>
      </c>
      <c r="I152" s="125">
        <v>30000000</v>
      </c>
    </row>
    <row r="153" spans="1:9" s="145" customFormat="1" ht="15.75" customHeight="1">
      <c r="A153" s="70" t="s">
        <v>3005</v>
      </c>
      <c r="B153" s="105" t="s">
        <v>6465</v>
      </c>
      <c r="C153" s="72" t="s">
        <v>1030</v>
      </c>
      <c r="D153" s="250"/>
      <c r="E153" s="125">
        <v>4320</v>
      </c>
      <c r="F153" s="125">
        <v>0</v>
      </c>
      <c r="G153" s="125">
        <v>293013</v>
      </c>
      <c r="H153" s="125">
        <v>100000</v>
      </c>
      <c r="I153" s="125">
        <v>200000</v>
      </c>
    </row>
    <row r="154" spans="1:9" s="145" customFormat="1" ht="15.75" customHeight="1">
      <c r="A154" s="70" t="s">
        <v>2982</v>
      </c>
      <c r="B154" s="105" t="s">
        <v>6823</v>
      </c>
      <c r="C154" s="72" t="s">
        <v>1031</v>
      </c>
      <c r="D154" s="250"/>
      <c r="E154" s="125">
        <v>1500000</v>
      </c>
      <c r="F154" s="125">
        <v>1275000</v>
      </c>
      <c r="G154" s="125">
        <v>0</v>
      </c>
      <c r="H154" s="125">
        <v>1800000</v>
      </c>
      <c r="I154" s="125">
        <v>1800000</v>
      </c>
    </row>
    <row r="155" spans="1:9" s="145" customFormat="1" ht="15.75" customHeight="1">
      <c r="A155" s="70" t="s">
        <v>2996</v>
      </c>
      <c r="B155" s="105" t="s">
        <v>6824</v>
      </c>
      <c r="C155" s="72" t="s">
        <v>1032</v>
      </c>
      <c r="D155" s="250"/>
      <c r="E155" s="125">
        <v>184020</v>
      </c>
      <c r="F155" s="125">
        <v>0</v>
      </c>
      <c r="G155" s="125">
        <v>653268</v>
      </c>
      <c r="H155" s="125">
        <v>1000000</v>
      </c>
      <c r="I155" s="125">
        <v>960000</v>
      </c>
    </row>
    <row r="156" spans="1:9" s="145" customFormat="1" ht="15.75" customHeight="1">
      <c r="A156" s="70" t="s">
        <v>3006</v>
      </c>
      <c r="B156" s="105" t="s">
        <v>6840</v>
      </c>
      <c r="C156" s="72" t="s">
        <v>1033</v>
      </c>
      <c r="D156" s="250"/>
      <c r="E156" s="125">
        <v>6176270</v>
      </c>
      <c r="F156" s="125">
        <v>12523830</v>
      </c>
      <c r="G156" s="125">
        <v>21471320</v>
      </c>
      <c r="H156" s="125">
        <v>30000000</v>
      </c>
      <c r="I156" s="125">
        <v>35000000</v>
      </c>
    </row>
    <row r="157" spans="1:9" s="145" customFormat="1" ht="15.75" customHeight="1">
      <c r="A157" s="70" t="s">
        <v>3007</v>
      </c>
      <c r="B157" s="105" t="s">
        <v>6827</v>
      </c>
      <c r="C157" s="72" t="s">
        <v>1034</v>
      </c>
      <c r="D157" s="250"/>
      <c r="E157" s="125">
        <v>0</v>
      </c>
      <c r="F157" s="125">
        <v>0</v>
      </c>
      <c r="G157" s="125">
        <v>594638</v>
      </c>
      <c r="H157" s="125">
        <v>1000000</v>
      </c>
      <c r="I157" s="125">
        <v>800000</v>
      </c>
    </row>
    <row r="158" spans="1:9" s="145" customFormat="1" ht="15.75" customHeight="1">
      <c r="A158" s="70" t="s">
        <v>3013</v>
      </c>
      <c r="B158" s="105" t="s">
        <v>6851</v>
      </c>
      <c r="C158" s="72" t="s">
        <v>1035</v>
      </c>
      <c r="D158" s="250"/>
      <c r="E158" s="125">
        <v>466396</v>
      </c>
      <c r="F158" s="125">
        <v>671654</v>
      </c>
      <c r="G158" s="125">
        <v>0</v>
      </c>
      <c r="H158" s="125">
        <v>3500000</v>
      </c>
      <c r="I158" s="125">
        <v>2400000</v>
      </c>
    </row>
    <row r="159" spans="1:9" s="145" customFormat="1" ht="78.75" customHeight="1">
      <c r="A159" s="70" t="s">
        <v>3014</v>
      </c>
      <c r="B159" s="105" t="s">
        <v>6833</v>
      </c>
      <c r="C159" s="72" t="s">
        <v>1096</v>
      </c>
      <c r="D159" s="250"/>
      <c r="E159" s="125">
        <v>948953</v>
      </c>
      <c r="F159" s="125">
        <v>0</v>
      </c>
      <c r="G159" s="125">
        <v>0</v>
      </c>
      <c r="H159" s="125">
        <v>4000000</v>
      </c>
      <c r="I159" s="125">
        <v>3200000</v>
      </c>
    </row>
    <row r="160" spans="1:9" s="145" customFormat="1" ht="15.75" customHeight="1">
      <c r="A160" s="70"/>
      <c r="B160" s="105"/>
      <c r="C160" s="72"/>
      <c r="D160" s="250"/>
      <c r="E160" s="125">
        <v>0</v>
      </c>
      <c r="F160" s="125">
        <v>0</v>
      </c>
      <c r="G160" s="125">
        <v>0</v>
      </c>
      <c r="H160" s="125">
        <v>0</v>
      </c>
      <c r="I160" s="125">
        <v>0</v>
      </c>
    </row>
    <row r="161" spans="1:9" s="145" customFormat="1" ht="31.5" customHeight="1">
      <c r="A161" s="77" t="s">
        <v>3015</v>
      </c>
      <c r="B161" s="136" t="s">
        <v>6857</v>
      </c>
      <c r="C161" s="72"/>
      <c r="D161" s="250"/>
      <c r="E161" s="125">
        <v>17002182</v>
      </c>
      <c r="F161" s="125">
        <v>25437883</v>
      </c>
      <c r="G161" s="125">
        <v>45876456</v>
      </c>
      <c r="H161" s="125">
        <v>67900000</v>
      </c>
      <c r="I161" s="125">
        <v>74360000</v>
      </c>
    </row>
    <row r="162" spans="1:9" s="145" customFormat="1" ht="15.75" customHeight="1">
      <c r="A162" s="70"/>
      <c r="B162" s="105"/>
      <c r="C162" s="72"/>
      <c r="D162" s="250"/>
      <c r="E162" s="125">
        <v>0</v>
      </c>
      <c r="F162" s="125">
        <v>0</v>
      </c>
      <c r="G162" s="125">
        <v>0</v>
      </c>
      <c r="H162" s="125">
        <v>0</v>
      </c>
      <c r="I162" s="125">
        <v>0</v>
      </c>
    </row>
    <row r="163" spans="1:9" s="145" customFormat="1" ht="15.75" customHeight="1">
      <c r="A163" s="70" t="s">
        <v>3016</v>
      </c>
      <c r="B163" s="105" t="s">
        <v>6858</v>
      </c>
      <c r="C163" s="72"/>
      <c r="D163" s="250"/>
      <c r="E163" s="125">
        <v>0</v>
      </c>
      <c r="F163" s="125">
        <v>0</v>
      </c>
      <c r="G163" s="125">
        <v>0</v>
      </c>
      <c r="H163" s="125">
        <v>0</v>
      </c>
      <c r="I163" s="125">
        <v>0</v>
      </c>
    </row>
    <row r="164" spans="1:9" s="145" customFormat="1" ht="15.75" customHeight="1">
      <c r="A164" s="70" t="s">
        <v>3017</v>
      </c>
      <c r="B164" s="105" t="s">
        <v>6465</v>
      </c>
      <c r="C164" s="72" t="s">
        <v>925</v>
      </c>
      <c r="D164" s="250"/>
      <c r="E164" s="125">
        <v>91179</v>
      </c>
      <c r="F164" s="125">
        <v>108518</v>
      </c>
      <c r="G164" s="125">
        <v>379905</v>
      </c>
      <c r="H164" s="125">
        <v>400000</v>
      </c>
      <c r="I164" s="125">
        <v>450000</v>
      </c>
    </row>
    <row r="165" spans="1:9" s="145" customFormat="1" ht="15.75" customHeight="1">
      <c r="A165" s="70" t="s">
        <v>3018</v>
      </c>
      <c r="B165" s="105" t="s">
        <v>6823</v>
      </c>
      <c r="C165" s="72" t="s">
        <v>184</v>
      </c>
      <c r="D165" s="250"/>
      <c r="E165" s="125">
        <v>12500000</v>
      </c>
      <c r="F165" s="125">
        <v>12750000</v>
      </c>
      <c r="G165" s="125">
        <v>12800000</v>
      </c>
      <c r="H165" s="125">
        <v>30000000</v>
      </c>
      <c r="I165" s="125">
        <v>30000000</v>
      </c>
    </row>
    <row r="166" spans="1:9" s="145" customFormat="1" ht="15.75" customHeight="1">
      <c r="A166" s="70" t="s">
        <v>3019</v>
      </c>
      <c r="B166" s="105" t="s">
        <v>6824</v>
      </c>
      <c r="C166" s="72" t="s">
        <v>185</v>
      </c>
      <c r="D166" s="250"/>
      <c r="E166" s="125">
        <v>1275750</v>
      </c>
      <c r="F166" s="125">
        <v>323794</v>
      </c>
      <c r="G166" s="125">
        <v>5863859</v>
      </c>
      <c r="H166" s="125">
        <v>9000000</v>
      </c>
      <c r="I166" s="125">
        <v>8000000</v>
      </c>
    </row>
    <row r="167" spans="1:9" s="145" customFormat="1" ht="15.75" customHeight="1">
      <c r="A167" s="70" t="s">
        <v>3020</v>
      </c>
      <c r="B167" s="105" t="s">
        <v>6840</v>
      </c>
      <c r="C167" s="72" t="s">
        <v>408</v>
      </c>
      <c r="D167" s="250"/>
      <c r="E167" s="125">
        <v>69392990</v>
      </c>
      <c r="F167" s="125">
        <v>105183410</v>
      </c>
      <c r="G167" s="125">
        <v>106259370</v>
      </c>
      <c r="H167" s="125">
        <v>116500000</v>
      </c>
      <c r="I167" s="125">
        <v>120000000</v>
      </c>
    </row>
    <row r="168" spans="1:9" s="145" customFormat="1" ht="15.75" customHeight="1">
      <c r="A168" s="70" t="s">
        <v>3021</v>
      </c>
      <c r="B168" s="105" t="s">
        <v>6859</v>
      </c>
      <c r="C168" s="72" t="s">
        <v>409</v>
      </c>
      <c r="D168" s="250"/>
      <c r="E168" s="125">
        <v>1499453</v>
      </c>
      <c r="F168" s="125">
        <v>458133</v>
      </c>
      <c r="G168" s="125">
        <v>900028</v>
      </c>
      <c r="H168" s="125">
        <v>3500000</v>
      </c>
      <c r="I168" s="125">
        <v>2800000</v>
      </c>
    </row>
    <row r="169" spans="1:9" s="145" customFormat="1" ht="15.75" customHeight="1">
      <c r="A169" s="70" t="s">
        <v>3022</v>
      </c>
      <c r="B169" s="105" t="s">
        <v>6851</v>
      </c>
      <c r="C169" s="72" t="s">
        <v>154</v>
      </c>
      <c r="D169" s="250"/>
      <c r="E169" s="125">
        <v>5000000</v>
      </c>
      <c r="F169" s="125">
        <v>5913291</v>
      </c>
      <c r="G169" s="125">
        <v>5769183</v>
      </c>
      <c r="H169" s="125">
        <v>15000000</v>
      </c>
      <c r="I169" s="125">
        <v>12000000</v>
      </c>
    </row>
    <row r="170" spans="1:9" s="145" customFormat="1" ht="31.5" customHeight="1">
      <c r="A170" s="70" t="s">
        <v>3023</v>
      </c>
      <c r="B170" s="105" t="s">
        <v>6860</v>
      </c>
      <c r="C170" s="72" t="s">
        <v>1499</v>
      </c>
      <c r="D170" s="250"/>
      <c r="E170" s="125">
        <v>3999993</v>
      </c>
      <c r="F170" s="125">
        <v>2474957</v>
      </c>
      <c r="G170" s="125">
        <v>0</v>
      </c>
      <c r="H170" s="125">
        <v>6000000</v>
      </c>
      <c r="I170" s="125">
        <v>4800000</v>
      </c>
    </row>
    <row r="171" spans="1:9" s="145" customFormat="1" ht="15.75" customHeight="1">
      <c r="A171" s="70"/>
      <c r="B171" s="105"/>
      <c r="C171" s="72"/>
      <c r="D171" s="250"/>
      <c r="E171" s="125">
        <v>0</v>
      </c>
      <c r="F171" s="125">
        <v>0</v>
      </c>
      <c r="G171" s="125">
        <v>0</v>
      </c>
      <c r="H171" s="125">
        <v>0</v>
      </c>
      <c r="I171" s="125">
        <v>0</v>
      </c>
    </row>
    <row r="172" spans="1:9" s="145" customFormat="1" ht="31.5" customHeight="1">
      <c r="A172" s="77" t="s">
        <v>3024</v>
      </c>
      <c r="B172" s="136" t="s">
        <v>6861</v>
      </c>
      <c r="C172" s="72"/>
      <c r="D172" s="250"/>
      <c r="E172" s="125">
        <v>93759365</v>
      </c>
      <c r="F172" s="125">
        <v>127212103</v>
      </c>
      <c r="G172" s="125">
        <v>131972345</v>
      </c>
      <c r="H172" s="125">
        <v>180400000</v>
      </c>
      <c r="I172" s="125">
        <v>178050000</v>
      </c>
    </row>
    <row r="173" spans="1:9" s="145" customFormat="1" ht="15.75" customHeight="1">
      <c r="A173" s="70"/>
      <c r="B173" s="105"/>
      <c r="C173" s="72"/>
      <c r="D173" s="250"/>
      <c r="E173" s="125">
        <v>0</v>
      </c>
      <c r="F173" s="125">
        <v>0</v>
      </c>
      <c r="G173" s="125">
        <v>0</v>
      </c>
      <c r="H173" s="125">
        <v>0</v>
      </c>
      <c r="I173" s="125">
        <v>0</v>
      </c>
    </row>
    <row r="174" spans="1:9" s="145" customFormat="1" ht="15.75" customHeight="1">
      <c r="A174" s="70" t="s">
        <v>3025</v>
      </c>
      <c r="B174" s="105" t="s">
        <v>6862</v>
      </c>
      <c r="C174" s="72"/>
      <c r="D174" s="250"/>
      <c r="E174" s="125">
        <v>0</v>
      </c>
      <c r="F174" s="125">
        <v>0</v>
      </c>
      <c r="G174" s="125">
        <v>0</v>
      </c>
      <c r="H174" s="125">
        <v>0</v>
      </c>
      <c r="I174" s="125">
        <v>0</v>
      </c>
    </row>
    <row r="175" spans="1:9" s="145" customFormat="1" ht="15.75" customHeight="1">
      <c r="A175" s="70" t="s">
        <v>3017</v>
      </c>
      <c r="B175" s="105" t="s">
        <v>6465</v>
      </c>
      <c r="C175" s="72" t="s">
        <v>132</v>
      </c>
      <c r="D175" s="250"/>
      <c r="E175" s="125">
        <v>3796</v>
      </c>
      <c r="F175" s="125">
        <v>0</v>
      </c>
      <c r="G175" s="125">
        <v>0</v>
      </c>
      <c r="H175" s="125">
        <v>400000</v>
      </c>
      <c r="I175" s="125">
        <v>400000</v>
      </c>
    </row>
    <row r="176" spans="1:9" s="145" customFormat="1" ht="15.75" customHeight="1">
      <c r="A176" s="70" t="s">
        <v>3018</v>
      </c>
      <c r="B176" s="105" t="s">
        <v>6823</v>
      </c>
      <c r="C176" s="72" t="s">
        <v>133</v>
      </c>
      <c r="D176" s="250"/>
      <c r="E176" s="125">
        <v>5000000</v>
      </c>
      <c r="F176" s="125">
        <v>4250000</v>
      </c>
      <c r="G176" s="125">
        <v>0</v>
      </c>
      <c r="H176" s="125">
        <v>7000000</v>
      </c>
      <c r="I176" s="125">
        <v>7000000</v>
      </c>
    </row>
    <row r="177" spans="1:9" s="145" customFormat="1" ht="15.75" customHeight="1">
      <c r="A177" s="70" t="s">
        <v>3019</v>
      </c>
      <c r="B177" s="105" t="s">
        <v>6824</v>
      </c>
      <c r="C177" s="72" t="s">
        <v>134</v>
      </c>
      <c r="D177" s="250"/>
      <c r="E177" s="125">
        <v>881767</v>
      </c>
      <c r="F177" s="125">
        <v>1700000</v>
      </c>
      <c r="G177" s="125">
        <v>1545028</v>
      </c>
      <c r="H177" s="125">
        <v>2500000</v>
      </c>
      <c r="I177" s="125">
        <v>2000000</v>
      </c>
    </row>
    <row r="178" spans="1:9" s="145" customFormat="1" ht="15.75" customHeight="1">
      <c r="A178" s="70" t="s">
        <v>3020</v>
      </c>
      <c r="B178" s="105" t="s">
        <v>6840</v>
      </c>
      <c r="C178" s="72" t="s">
        <v>135</v>
      </c>
      <c r="D178" s="250"/>
      <c r="E178" s="125">
        <v>27568970</v>
      </c>
      <c r="F178" s="125">
        <v>23502640</v>
      </c>
      <c r="G178" s="125">
        <v>31355220</v>
      </c>
      <c r="H178" s="125">
        <v>40000000</v>
      </c>
      <c r="I178" s="125">
        <v>45000000</v>
      </c>
    </row>
    <row r="179" spans="1:9" s="145" customFormat="1" ht="15.75" customHeight="1">
      <c r="A179" s="70" t="s">
        <v>3026</v>
      </c>
      <c r="B179" s="105" t="s">
        <v>6863</v>
      </c>
      <c r="C179" s="72" t="s">
        <v>136</v>
      </c>
      <c r="D179" s="250"/>
      <c r="E179" s="125">
        <v>5669951</v>
      </c>
      <c r="F179" s="125">
        <v>9665370</v>
      </c>
      <c r="G179" s="125">
        <v>4443916</v>
      </c>
      <c r="H179" s="125">
        <v>10000000</v>
      </c>
      <c r="I179" s="125">
        <v>6400000</v>
      </c>
    </row>
    <row r="180" spans="1:9" s="145" customFormat="1" ht="15.75" customHeight="1">
      <c r="A180" s="70" t="s">
        <v>3027</v>
      </c>
      <c r="B180" s="105" t="s">
        <v>6859</v>
      </c>
      <c r="C180" s="72" t="s">
        <v>1097</v>
      </c>
      <c r="D180" s="250"/>
      <c r="E180" s="125">
        <v>221248</v>
      </c>
      <c r="F180" s="125">
        <v>0</v>
      </c>
      <c r="G180" s="125">
        <v>217701</v>
      </c>
      <c r="H180" s="125">
        <v>3600000</v>
      </c>
      <c r="I180" s="125">
        <v>2800000</v>
      </c>
    </row>
    <row r="181" spans="1:9" s="145" customFormat="1" ht="15.75" customHeight="1">
      <c r="A181" s="70"/>
      <c r="B181" s="105"/>
      <c r="C181" s="72"/>
      <c r="D181" s="250"/>
      <c r="E181" s="125">
        <v>0</v>
      </c>
      <c r="F181" s="125">
        <v>0</v>
      </c>
      <c r="G181" s="125">
        <v>0</v>
      </c>
      <c r="H181" s="125">
        <v>0</v>
      </c>
      <c r="I181" s="125">
        <v>0</v>
      </c>
    </row>
    <row r="182" spans="1:9" s="145" customFormat="1" ht="15.75" customHeight="1">
      <c r="A182" s="77" t="s">
        <v>3028</v>
      </c>
      <c r="B182" s="136" t="s">
        <v>6864</v>
      </c>
      <c r="C182" s="72"/>
      <c r="D182" s="250"/>
      <c r="E182" s="125">
        <v>39345732</v>
      </c>
      <c r="F182" s="125">
        <v>39118010</v>
      </c>
      <c r="G182" s="125">
        <v>37561865</v>
      </c>
      <c r="H182" s="125">
        <v>63500000</v>
      </c>
      <c r="I182" s="125">
        <v>63600000</v>
      </c>
    </row>
    <row r="183" spans="1:9" s="145" customFormat="1" ht="15.75" customHeight="1">
      <c r="A183" s="70"/>
      <c r="B183" s="105"/>
      <c r="C183" s="72"/>
      <c r="D183" s="250"/>
      <c r="E183" s="125">
        <v>0</v>
      </c>
      <c r="F183" s="125">
        <v>0</v>
      </c>
      <c r="G183" s="125">
        <v>0</v>
      </c>
      <c r="H183" s="125">
        <v>0</v>
      </c>
      <c r="I183" s="125">
        <v>0</v>
      </c>
    </row>
    <row r="184" spans="1:9" s="145" customFormat="1" ht="15.75" customHeight="1">
      <c r="A184" s="70" t="s">
        <v>3029</v>
      </c>
      <c r="B184" s="105" t="s">
        <v>6865</v>
      </c>
      <c r="C184" s="72"/>
      <c r="D184" s="250"/>
      <c r="E184" s="125">
        <v>0</v>
      </c>
      <c r="F184" s="125">
        <v>0</v>
      </c>
      <c r="G184" s="125">
        <v>0</v>
      </c>
      <c r="H184" s="125">
        <v>0</v>
      </c>
      <c r="I184" s="125">
        <v>0</v>
      </c>
    </row>
    <row r="185" spans="1:9" s="145" customFormat="1" ht="15.75" customHeight="1">
      <c r="A185" s="70" t="s">
        <v>3017</v>
      </c>
      <c r="B185" s="105" t="s">
        <v>6465</v>
      </c>
      <c r="C185" s="72" t="s">
        <v>116</v>
      </c>
      <c r="D185" s="250"/>
      <c r="E185" s="125">
        <v>0</v>
      </c>
      <c r="F185" s="125">
        <v>46188</v>
      </c>
      <c r="G185" s="125">
        <v>206400</v>
      </c>
      <c r="H185" s="125">
        <v>400000</v>
      </c>
      <c r="I185" s="125">
        <v>400000</v>
      </c>
    </row>
    <row r="186" spans="1:9" s="145" customFormat="1" ht="15.75" customHeight="1">
      <c r="A186" s="70" t="s">
        <v>3018</v>
      </c>
      <c r="B186" s="105" t="s">
        <v>6823</v>
      </c>
      <c r="C186" s="72" t="s">
        <v>117</v>
      </c>
      <c r="D186" s="250"/>
      <c r="E186" s="125">
        <v>1800000</v>
      </c>
      <c r="F186" s="125">
        <v>2975000</v>
      </c>
      <c r="G186" s="125">
        <v>0</v>
      </c>
      <c r="H186" s="125">
        <v>3000000</v>
      </c>
      <c r="I186" s="125">
        <v>3000000</v>
      </c>
    </row>
    <row r="187" spans="1:9" s="145" customFormat="1" ht="15.75" customHeight="1">
      <c r="A187" s="70" t="s">
        <v>3019</v>
      </c>
      <c r="B187" s="105" t="s">
        <v>6824</v>
      </c>
      <c r="C187" s="72" t="s">
        <v>118</v>
      </c>
      <c r="D187" s="250"/>
      <c r="E187" s="125">
        <v>1500000</v>
      </c>
      <c r="F187" s="125">
        <v>1447247</v>
      </c>
      <c r="G187" s="125">
        <v>1956203</v>
      </c>
      <c r="H187" s="125">
        <v>2500000</v>
      </c>
      <c r="I187" s="125">
        <v>2000000</v>
      </c>
    </row>
    <row r="188" spans="1:9" s="145" customFormat="1" ht="15.75" customHeight="1">
      <c r="A188" s="70" t="s">
        <v>3020</v>
      </c>
      <c r="B188" s="105" t="s">
        <v>6840</v>
      </c>
      <c r="C188" s="72" t="s">
        <v>119</v>
      </c>
      <c r="D188" s="250"/>
      <c r="E188" s="125">
        <v>14269030</v>
      </c>
      <c r="F188" s="125">
        <v>12451405</v>
      </c>
      <c r="G188" s="125">
        <v>20673820</v>
      </c>
      <c r="H188" s="125">
        <v>35000000</v>
      </c>
      <c r="I188" s="125">
        <v>35000000</v>
      </c>
    </row>
    <row r="189" spans="1:9" s="145" customFormat="1" ht="15.75" customHeight="1">
      <c r="A189" s="70" t="s">
        <v>3026</v>
      </c>
      <c r="B189" s="105" t="s">
        <v>6863</v>
      </c>
      <c r="C189" s="72" t="s">
        <v>60</v>
      </c>
      <c r="D189" s="250"/>
      <c r="E189" s="125">
        <v>2118004</v>
      </c>
      <c r="F189" s="125">
        <v>1544017</v>
      </c>
      <c r="G189" s="125">
        <v>1333956</v>
      </c>
      <c r="H189" s="125">
        <v>2600000</v>
      </c>
      <c r="I189" s="125">
        <v>2000000</v>
      </c>
    </row>
    <row r="190" spans="1:9" s="145" customFormat="1" ht="15.75" customHeight="1">
      <c r="A190" s="70" t="s">
        <v>3027</v>
      </c>
      <c r="B190" s="105" t="s">
        <v>6859</v>
      </c>
      <c r="C190" s="72" t="s">
        <v>1098</v>
      </c>
      <c r="D190" s="250"/>
      <c r="E190" s="125">
        <v>777301</v>
      </c>
      <c r="F190" s="125">
        <v>1832185</v>
      </c>
      <c r="G190" s="125">
        <v>1824490</v>
      </c>
      <c r="H190" s="125">
        <v>2200000</v>
      </c>
      <c r="I190" s="125">
        <v>1600000</v>
      </c>
    </row>
    <row r="191" spans="1:9" s="145" customFormat="1" ht="31.5">
      <c r="A191" s="90" t="s">
        <v>3030</v>
      </c>
      <c r="B191" s="105" t="s">
        <v>6866</v>
      </c>
      <c r="C191" s="72" t="s">
        <v>1884</v>
      </c>
      <c r="D191" s="250"/>
      <c r="E191" s="125">
        <v>0</v>
      </c>
      <c r="F191" s="125">
        <v>0</v>
      </c>
      <c r="G191" s="125">
        <v>749881</v>
      </c>
      <c r="H191" s="125">
        <v>4000000</v>
      </c>
      <c r="I191" s="125">
        <v>3200000</v>
      </c>
    </row>
    <row r="192" spans="1:9" s="145" customFormat="1" ht="15.75" customHeight="1">
      <c r="A192" s="70"/>
      <c r="B192" s="105"/>
      <c r="C192" s="72"/>
      <c r="D192" s="250"/>
      <c r="E192" s="125">
        <v>0</v>
      </c>
      <c r="F192" s="125">
        <v>0</v>
      </c>
      <c r="G192" s="125">
        <v>0</v>
      </c>
      <c r="H192" s="125">
        <v>0</v>
      </c>
      <c r="I192" s="125">
        <v>0</v>
      </c>
    </row>
    <row r="193" spans="1:9" s="145" customFormat="1" ht="15.75" customHeight="1">
      <c r="A193" s="77" t="s">
        <v>3031</v>
      </c>
      <c r="B193" s="136" t="s">
        <v>6867</v>
      </c>
      <c r="C193" s="72"/>
      <c r="D193" s="250"/>
      <c r="E193" s="125">
        <v>20464335</v>
      </c>
      <c r="F193" s="125">
        <v>20296042</v>
      </c>
      <c r="G193" s="125">
        <v>26744750</v>
      </c>
      <c r="H193" s="125">
        <v>49700000</v>
      </c>
      <c r="I193" s="125">
        <v>47200000</v>
      </c>
    </row>
    <row r="194" spans="1:9" s="145" customFormat="1" ht="15.75" customHeight="1">
      <c r="A194" s="70"/>
      <c r="B194" s="105"/>
      <c r="C194" s="72"/>
      <c r="D194" s="250"/>
      <c r="E194" s="125">
        <v>0</v>
      </c>
      <c r="F194" s="125">
        <v>0</v>
      </c>
      <c r="G194" s="125">
        <v>0</v>
      </c>
      <c r="H194" s="125">
        <v>0</v>
      </c>
      <c r="I194" s="125">
        <v>0</v>
      </c>
    </row>
    <row r="195" spans="1:9" s="145" customFormat="1" ht="15.75" customHeight="1">
      <c r="A195" s="70" t="s">
        <v>3032</v>
      </c>
      <c r="B195" s="105" t="s">
        <v>6868</v>
      </c>
      <c r="C195" s="72"/>
      <c r="D195" s="250"/>
      <c r="E195" s="125">
        <v>0</v>
      </c>
      <c r="F195" s="125">
        <v>0</v>
      </c>
      <c r="G195" s="125">
        <v>0</v>
      </c>
      <c r="H195" s="125">
        <v>0</v>
      </c>
      <c r="I195" s="125">
        <v>0</v>
      </c>
    </row>
    <row r="196" spans="1:9" s="145" customFormat="1" ht="15.75" customHeight="1">
      <c r="A196" s="70" t="s">
        <v>3017</v>
      </c>
      <c r="B196" s="105" t="s">
        <v>6465</v>
      </c>
      <c r="C196" s="72" t="s">
        <v>112</v>
      </c>
      <c r="D196" s="250"/>
      <c r="E196" s="125">
        <v>312330</v>
      </c>
      <c r="F196" s="125">
        <v>255000</v>
      </c>
      <c r="G196" s="125">
        <v>0</v>
      </c>
      <c r="H196" s="125">
        <v>400000</v>
      </c>
      <c r="I196" s="125">
        <v>400000</v>
      </c>
    </row>
    <row r="197" spans="1:9" s="145" customFormat="1" ht="15.75" customHeight="1">
      <c r="A197" s="70" t="s">
        <v>3018</v>
      </c>
      <c r="B197" s="105" t="s">
        <v>6823</v>
      </c>
      <c r="C197" s="72" t="s">
        <v>113</v>
      </c>
      <c r="D197" s="250"/>
      <c r="E197" s="125">
        <v>16000000</v>
      </c>
      <c r="F197" s="125">
        <v>12750000</v>
      </c>
      <c r="G197" s="125">
        <v>7956844</v>
      </c>
      <c r="H197" s="125">
        <v>12000000</v>
      </c>
      <c r="I197" s="125">
        <v>12000000</v>
      </c>
    </row>
    <row r="198" spans="1:9" s="145" customFormat="1" ht="15.75" customHeight="1">
      <c r="A198" s="70" t="s">
        <v>3019</v>
      </c>
      <c r="B198" s="105" t="s">
        <v>6824</v>
      </c>
      <c r="C198" s="72" t="s">
        <v>114</v>
      </c>
      <c r="D198" s="250"/>
      <c r="E198" s="125">
        <v>1311173</v>
      </c>
      <c r="F198" s="125">
        <v>1275000</v>
      </c>
      <c r="G198" s="125">
        <v>3337632</v>
      </c>
      <c r="H198" s="125">
        <v>2500000</v>
      </c>
      <c r="I198" s="125">
        <v>2400000</v>
      </c>
    </row>
    <row r="199" spans="1:9" s="145" customFormat="1" ht="15.75" customHeight="1">
      <c r="A199" s="70" t="s">
        <v>3020</v>
      </c>
      <c r="B199" s="105" t="s">
        <v>6840</v>
      </c>
      <c r="C199" s="72" t="s">
        <v>115</v>
      </c>
      <c r="D199" s="250"/>
      <c r="E199" s="125">
        <v>30000000</v>
      </c>
      <c r="F199" s="125">
        <v>29919999</v>
      </c>
      <c r="G199" s="125">
        <v>45857510</v>
      </c>
      <c r="H199" s="125">
        <v>50000000</v>
      </c>
      <c r="I199" s="125">
        <v>57500000</v>
      </c>
    </row>
    <row r="200" spans="1:9" s="145" customFormat="1" ht="15.75" customHeight="1">
      <c r="A200" s="70" t="s">
        <v>3026</v>
      </c>
      <c r="B200" s="105" t="s">
        <v>6863</v>
      </c>
      <c r="C200" s="72" t="s">
        <v>153</v>
      </c>
      <c r="D200" s="250"/>
      <c r="E200" s="125">
        <v>931193</v>
      </c>
      <c r="F200" s="125">
        <v>1700000</v>
      </c>
      <c r="G200" s="125">
        <v>0</v>
      </c>
      <c r="H200" s="125">
        <v>1650000</v>
      </c>
      <c r="I200" s="125">
        <v>1200000</v>
      </c>
    </row>
    <row r="201" spans="1:9" s="145" customFormat="1" ht="15.75" customHeight="1">
      <c r="A201" s="70" t="s">
        <v>3027</v>
      </c>
      <c r="B201" s="105" t="s">
        <v>6859</v>
      </c>
      <c r="C201" s="72" t="s">
        <v>1099</v>
      </c>
      <c r="D201" s="250"/>
      <c r="E201" s="125">
        <v>945888</v>
      </c>
      <c r="F201" s="125">
        <v>466580</v>
      </c>
      <c r="G201" s="125">
        <v>1221529</v>
      </c>
      <c r="H201" s="125">
        <v>1650000</v>
      </c>
      <c r="I201" s="125">
        <v>800000</v>
      </c>
    </row>
    <row r="202" spans="1:9" s="145" customFormat="1" ht="31.5">
      <c r="A202" s="90" t="s">
        <v>3033</v>
      </c>
      <c r="B202" s="105" t="s">
        <v>6869</v>
      </c>
      <c r="C202" s="72" t="s">
        <v>1885</v>
      </c>
      <c r="D202" s="250"/>
      <c r="E202" s="125">
        <v>0</v>
      </c>
      <c r="F202" s="125">
        <v>0</v>
      </c>
      <c r="G202" s="125">
        <v>3496125</v>
      </c>
      <c r="H202" s="125">
        <v>4000000</v>
      </c>
      <c r="I202" s="125">
        <v>3200000</v>
      </c>
    </row>
    <row r="203" spans="1:9" s="145" customFormat="1" ht="15.75" customHeight="1">
      <c r="A203" s="70"/>
      <c r="B203" s="105"/>
      <c r="C203" s="72"/>
      <c r="D203" s="250"/>
      <c r="E203" s="125">
        <v>0</v>
      </c>
      <c r="F203" s="125">
        <v>0</v>
      </c>
      <c r="G203" s="125">
        <v>0</v>
      </c>
      <c r="H203" s="125">
        <v>0</v>
      </c>
      <c r="I203" s="125">
        <v>0</v>
      </c>
    </row>
    <row r="204" spans="1:9" s="145" customFormat="1" ht="15.75" customHeight="1">
      <c r="A204" s="77" t="s">
        <v>3034</v>
      </c>
      <c r="B204" s="136" t="s">
        <v>6870</v>
      </c>
      <c r="C204" s="72"/>
      <c r="D204" s="250"/>
      <c r="E204" s="125">
        <v>49500584</v>
      </c>
      <c r="F204" s="125">
        <v>46366579</v>
      </c>
      <c r="G204" s="125">
        <v>61869640</v>
      </c>
      <c r="H204" s="125">
        <v>72200000</v>
      </c>
      <c r="I204" s="125">
        <v>77500000</v>
      </c>
    </row>
    <row r="205" spans="1:9" s="145" customFormat="1" ht="15.75" customHeight="1">
      <c r="A205" s="70"/>
      <c r="B205" s="105"/>
      <c r="C205" s="72"/>
      <c r="D205" s="250"/>
      <c r="E205" s="125">
        <v>0</v>
      </c>
      <c r="F205" s="125">
        <v>0</v>
      </c>
      <c r="G205" s="125">
        <v>0</v>
      </c>
      <c r="H205" s="125">
        <v>0</v>
      </c>
      <c r="I205" s="125">
        <v>0</v>
      </c>
    </row>
    <row r="206" spans="1:9" s="145" customFormat="1" ht="15.75" customHeight="1">
      <c r="A206" s="70" t="s">
        <v>12673</v>
      </c>
      <c r="B206" s="105" t="s">
        <v>6871</v>
      </c>
      <c r="C206" s="72"/>
      <c r="D206" s="250"/>
      <c r="E206" s="125">
        <v>0</v>
      </c>
      <c r="F206" s="125">
        <v>0</v>
      </c>
      <c r="G206" s="125">
        <v>0</v>
      </c>
      <c r="H206" s="125">
        <v>0</v>
      </c>
      <c r="I206" s="125">
        <v>0</v>
      </c>
    </row>
    <row r="207" spans="1:9" s="145" customFormat="1" ht="15.75" customHeight="1">
      <c r="A207" s="70" t="s">
        <v>3017</v>
      </c>
      <c r="B207" s="105" t="s">
        <v>6465</v>
      </c>
      <c r="C207" s="72" t="s">
        <v>1100</v>
      </c>
      <c r="D207" s="250"/>
      <c r="E207" s="125">
        <v>0</v>
      </c>
      <c r="F207" s="125">
        <v>0</v>
      </c>
      <c r="G207" s="125">
        <v>0</v>
      </c>
      <c r="H207" s="125">
        <v>400000</v>
      </c>
      <c r="I207" s="125">
        <v>400000</v>
      </c>
    </row>
    <row r="208" spans="1:9" s="145" customFormat="1" ht="15.75" customHeight="1">
      <c r="A208" s="70" t="s">
        <v>3035</v>
      </c>
      <c r="B208" s="105" t="s">
        <v>6840</v>
      </c>
      <c r="C208" s="72" t="s">
        <v>1101</v>
      </c>
      <c r="D208" s="250"/>
      <c r="E208" s="125">
        <v>41394760</v>
      </c>
      <c r="F208" s="125">
        <v>44515550</v>
      </c>
      <c r="G208" s="125">
        <v>29769740</v>
      </c>
      <c r="H208" s="125">
        <v>50000000</v>
      </c>
      <c r="I208" s="125">
        <v>57500000</v>
      </c>
    </row>
    <row r="209" spans="1:9" s="145" customFormat="1" ht="15.75" customHeight="1">
      <c r="A209" s="71" t="s">
        <v>3036</v>
      </c>
      <c r="B209" s="105" t="s">
        <v>6872</v>
      </c>
      <c r="C209" s="72" t="s">
        <v>1102</v>
      </c>
      <c r="D209" s="250"/>
      <c r="E209" s="125">
        <v>679086</v>
      </c>
      <c r="F209" s="125">
        <v>824894</v>
      </c>
      <c r="G209" s="125">
        <v>779592</v>
      </c>
      <c r="H209" s="125">
        <v>2000000</v>
      </c>
      <c r="I209" s="125">
        <v>2400000</v>
      </c>
    </row>
    <row r="210" spans="1:9" s="145" customFormat="1" ht="31.5" customHeight="1">
      <c r="A210" s="70" t="s">
        <v>3118</v>
      </c>
      <c r="B210" s="105" t="s">
        <v>6873</v>
      </c>
      <c r="C210" s="72" t="s">
        <v>1103</v>
      </c>
      <c r="D210" s="250"/>
      <c r="E210" s="125">
        <v>298824</v>
      </c>
      <c r="F210" s="125">
        <v>383160</v>
      </c>
      <c r="G210" s="125">
        <v>553338</v>
      </c>
      <c r="H210" s="125">
        <v>2000000</v>
      </c>
      <c r="I210" s="125">
        <v>3000000</v>
      </c>
    </row>
    <row r="211" spans="1:9" s="145" customFormat="1" ht="15.75" customHeight="1">
      <c r="A211" s="70" t="s">
        <v>3037</v>
      </c>
      <c r="B211" s="105" t="s">
        <v>6874</v>
      </c>
      <c r="C211" s="72" t="s">
        <v>1509</v>
      </c>
      <c r="D211" s="250"/>
      <c r="E211" s="125">
        <v>0</v>
      </c>
      <c r="F211" s="125">
        <v>0</v>
      </c>
      <c r="G211" s="125">
        <v>0</v>
      </c>
      <c r="H211" s="125">
        <v>0</v>
      </c>
      <c r="I211" s="125">
        <v>0</v>
      </c>
    </row>
    <row r="212" spans="1:9" s="145" customFormat="1" ht="47.25" customHeight="1">
      <c r="A212" s="70" t="s">
        <v>3038</v>
      </c>
      <c r="B212" s="105" t="s">
        <v>6875</v>
      </c>
      <c r="C212" s="72" t="s">
        <v>1510</v>
      </c>
      <c r="D212" s="250"/>
      <c r="E212" s="125">
        <v>0</v>
      </c>
      <c r="F212" s="125">
        <v>0</v>
      </c>
      <c r="G212" s="125">
        <v>0</v>
      </c>
      <c r="H212" s="125">
        <v>0</v>
      </c>
      <c r="I212" s="125">
        <v>0</v>
      </c>
    </row>
    <row r="213" spans="1:9" s="145" customFormat="1" ht="15.75" customHeight="1">
      <c r="A213" s="77" t="s">
        <v>12674</v>
      </c>
      <c r="B213" s="136" t="s">
        <v>6876</v>
      </c>
      <c r="C213" s="72"/>
      <c r="D213" s="250"/>
      <c r="E213" s="125">
        <v>42372670</v>
      </c>
      <c r="F213" s="125">
        <v>45723604</v>
      </c>
      <c r="G213" s="125">
        <v>31102670</v>
      </c>
      <c r="H213" s="125">
        <v>54400000</v>
      </c>
      <c r="I213" s="125">
        <v>63300000</v>
      </c>
    </row>
    <row r="214" spans="1:9" s="145" customFormat="1" ht="15.75" customHeight="1">
      <c r="A214" s="70"/>
      <c r="B214" s="105"/>
      <c r="C214" s="72"/>
      <c r="D214" s="250"/>
      <c r="E214" s="125">
        <v>0</v>
      </c>
      <c r="F214" s="125">
        <v>0</v>
      </c>
      <c r="G214" s="125">
        <v>0</v>
      </c>
      <c r="H214" s="125">
        <v>0</v>
      </c>
      <c r="I214" s="125">
        <v>0</v>
      </c>
    </row>
    <row r="215" spans="1:9" s="145" customFormat="1" ht="15.75" customHeight="1">
      <c r="A215" s="70" t="s">
        <v>3039</v>
      </c>
      <c r="B215" s="105" t="s">
        <v>6877</v>
      </c>
      <c r="C215" s="72"/>
      <c r="D215" s="250"/>
      <c r="E215" s="125">
        <v>0</v>
      </c>
      <c r="F215" s="125">
        <v>0</v>
      </c>
      <c r="G215" s="125">
        <v>0</v>
      </c>
      <c r="H215" s="125">
        <v>0</v>
      </c>
      <c r="I215" s="125">
        <v>0</v>
      </c>
    </row>
    <row r="216" spans="1:9" s="145" customFormat="1" ht="15.75" customHeight="1">
      <c r="A216" s="70" t="s">
        <v>3017</v>
      </c>
      <c r="B216" s="105" t="s">
        <v>6465</v>
      </c>
      <c r="C216" s="72" t="s">
        <v>1104</v>
      </c>
      <c r="D216" s="250"/>
      <c r="E216" s="125">
        <v>0</v>
      </c>
      <c r="F216" s="125">
        <v>0</v>
      </c>
      <c r="G216" s="125">
        <v>209295</v>
      </c>
      <c r="H216" s="125">
        <v>300000</v>
      </c>
      <c r="I216" s="125">
        <v>500000</v>
      </c>
    </row>
    <row r="217" spans="1:9" s="145" customFormat="1" ht="15.75" customHeight="1">
      <c r="A217" s="70" t="s">
        <v>3035</v>
      </c>
      <c r="B217" s="105" t="s">
        <v>6840</v>
      </c>
      <c r="C217" s="72" t="s">
        <v>1105</v>
      </c>
      <c r="D217" s="250"/>
      <c r="E217" s="125">
        <v>4996754</v>
      </c>
      <c r="F217" s="125">
        <v>6824260</v>
      </c>
      <c r="G217" s="125">
        <v>7114689</v>
      </c>
      <c r="H217" s="125">
        <v>12500000</v>
      </c>
      <c r="I217" s="125">
        <v>15000000</v>
      </c>
    </row>
    <row r="218" spans="1:9" s="145" customFormat="1" ht="15.75" customHeight="1">
      <c r="A218" s="71" t="s">
        <v>3036</v>
      </c>
      <c r="B218" s="105" t="s">
        <v>6872</v>
      </c>
      <c r="C218" s="72" t="s">
        <v>1106</v>
      </c>
      <c r="D218" s="250"/>
      <c r="E218" s="125">
        <v>211498</v>
      </c>
      <c r="F218" s="125">
        <v>171712</v>
      </c>
      <c r="G218" s="125">
        <v>791590</v>
      </c>
      <c r="H218" s="125">
        <v>1500000</v>
      </c>
      <c r="I218" s="125">
        <v>1200000</v>
      </c>
    </row>
    <row r="219" spans="1:9" s="145" customFormat="1" ht="31.5" customHeight="1">
      <c r="A219" s="70" t="s">
        <v>3118</v>
      </c>
      <c r="B219" s="105" t="s">
        <v>6873</v>
      </c>
      <c r="C219" s="72" t="s">
        <v>1107</v>
      </c>
      <c r="D219" s="250"/>
      <c r="E219" s="125">
        <v>119130</v>
      </c>
      <c r="F219" s="125">
        <v>198104</v>
      </c>
      <c r="G219" s="125">
        <v>969925</v>
      </c>
      <c r="H219" s="125">
        <v>1500000</v>
      </c>
      <c r="I219" s="125" t="s">
        <v>10408</v>
      </c>
    </row>
    <row r="220" spans="1:9" s="145" customFormat="1" ht="15.75" customHeight="1">
      <c r="A220" s="77" t="s">
        <v>3040</v>
      </c>
      <c r="B220" s="136" t="s">
        <v>6878</v>
      </c>
      <c r="C220" s="72"/>
      <c r="D220" s="250"/>
      <c r="E220" s="125">
        <v>5327382</v>
      </c>
      <c r="F220" s="125">
        <v>7194076</v>
      </c>
      <c r="G220" s="125">
        <v>9085499</v>
      </c>
      <c r="H220" s="125">
        <v>15800000</v>
      </c>
      <c r="I220" s="125">
        <v>16700000</v>
      </c>
    </row>
    <row r="221" spans="1:9" s="145" customFormat="1" ht="15.75" customHeight="1">
      <c r="A221" s="70"/>
      <c r="B221" s="105"/>
      <c r="C221" s="72"/>
      <c r="D221" s="250"/>
      <c r="E221" s="125">
        <v>0</v>
      </c>
      <c r="F221" s="125">
        <v>0</v>
      </c>
      <c r="G221" s="125">
        <v>0</v>
      </c>
      <c r="H221" s="125">
        <v>0</v>
      </c>
      <c r="I221" s="125">
        <v>0</v>
      </c>
    </row>
    <row r="222" spans="1:9" s="145" customFormat="1" ht="15.75" customHeight="1">
      <c r="A222" s="70" t="s">
        <v>3041</v>
      </c>
      <c r="B222" s="105" t="s">
        <v>6879</v>
      </c>
      <c r="C222" s="72" t="s">
        <v>410</v>
      </c>
      <c r="D222" s="250"/>
      <c r="E222" s="125">
        <v>1633024639</v>
      </c>
      <c r="F222" s="125">
        <v>2544601100</v>
      </c>
      <c r="G222" s="125">
        <v>2263137488</v>
      </c>
      <c r="H222" s="125">
        <v>1163045000</v>
      </c>
      <c r="I222" s="125">
        <v>715700000</v>
      </c>
    </row>
    <row r="223" spans="1:9" s="145" customFormat="1" ht="15.75" customHeight="1">
      <c r="A223" s="70"/>
      <c r="B223" s="105"/>
      <c r="C223" s="72"/>
      <c r="D223" s="250"/>
      <c r="E223" s="125">
        <v>0</v>
      </c>
      <c r="F223" s="125">
        <v>0</v>
      </c>
      <c r="G223" s="125">
        <v>0</v>
      </c>
      <c r="H223" s="125">
        <v>0</v>
      </c>
      <c r="I223" s="125">
        <v>0</v>
      </c>
    </row>
    <row r="224" spans="1:9" s="145" customFormat="1" ht="15.75" customHeight="1">
      <c r="A224" s="70"/>
      <c r="B224" s="105"/>
      <c r="C224" s="72"/>
      <c r="D224" s="250"/>
      <c r="E224" s="125">
        <v>0</v>
      </c>
      <c r="F224" s="125">
        <v>0</v>
      </c>
      <c r="G224" s="125">
        <v>0</v>
      </c>
      <c r="H224" s="125">
        <v>0</v>
      </c>
      <c r="I224" s="125">
        <v>0</v>
      </c>
    </row>
    <row r="225" spans="1:9" s="145" customFormat="1" ht="15.75" customHeight="1">
      <c r="A225" s="77" t="s">
        <v>3042</v>
      </c>
      <c r="B225" s="136" t="s">
        <v>6880</v>
      </c>
      <c r="C225" s="72"/>
      <c r="D225" s="250"/>
      <c r="E225" s="125">
        <v>3873117601</v>
      </c>
      <c r="F225" s="125">
        <v>4980877356</v>
      </c>
      <c r="G225" s="125">
        <v>4772421665</v>
      </c>
      <c r="H225" s="125">
        <v>4448203550</v>
      </c>
      <c r="I225" s="125">
        <v>4238850536</v>
      </c>
    </row>
    <row r="226" spans="1:9" s="145" customFormat="1" ht="15.75" customHeight="1">
      <c r="A226" s="70"/>
      <c r="B226" s="105"/>
      <c r="C226" s="72"/>
      <c r="D226" s="250"/>
      <c r="E226" s="125">
        <v>0</v>
      </c>
      <c r="F226" s="125">
        <v>0</v>
      </c>
      <c r="G226" s="125">
        <v>0</v>
      </c>
      <c r="H226" s="125">
        <v>0</v>
      </c>
      <c r="I226" s="125">
        <v>0</v>
      </c>
    </row>
    <row r="227" spans="1:9" s="145" customFormat="1" ht="15.75" customHeight="1">
      <c r="A227" s="70" t="s">
        <v>3043</v>
      </c>
      <c r="B227" s="105" t="s">
        <v>6881</v>
      </c>
      <c r="C227" s="72"/>
      <c r="D227" s="250"/>
      <c r="E227" s="125">
        <v>0</v>
      </c>
      <c r="F227" s="125">
        <v>0</v>
      </c>
      <c r="G227" s="125">
        <v>0</v>
      </c>
      <c r="H227" s="125">
        <v>0</v>
      </c>
      <c r="I227" s="125">
        <v>0</v>
      </c>
    </row>
    <row r="228" spans="1:9" s="145" customFormat="1" ht="15.75" customHeight="1">
      <c r="A228" s="70" t="s">
        <v>3044</v>
      </c>
      <c r="B228" s="105" t="s">
        <v>6882</v>
      </c>
      <c r="C228" s="72"/>
      <c r="D228" s="250"/>
      <c r="E228" s="125">
        <v>0</v>
      </c>
      <c r="F228" s="125">
        <v>0</v>
      </c>
      <c r="G228" s="125">
        <v>0</v>
      </c>
      <c r="H228" s="125">
        <v>0</v>
      </c>
      <c r="I228" s="125">
        <v>0</v>
      </c>
    </row>
    <row r="229" spans="1:9" s="145" customFormat="1" ht="15.75" customHeight="1">
      <c r="A229" s="70" t="s">
        <v>3045</v>
      </c>
      <c r="B229" s="105" t="s">
        <v>6883</v>
      </c>
      <c r="C229" s="72" t="s">
        <v>498</v>
      </c>
      <c r="D229" s="250"/>
      <c r="E229" s="125">
        <v>22782851</v>
      </c>
      <c r="F229" s="125">
        <v>30524786</v>
      </c>
      <c r="G229" s="125">
        <v>24274410</v>
      </c>
      <c r="H229" s="125">
        <v>42500000</v>
      </c>
      <c r="I229" s="125">
        <v>50000000</v>
      </c>
    </row>
    <row r="230" spans="1:9" s="145" customFormat="1" ht="15.75" customHeight="1">
      <c r="A230" s="70" t="s">
        <v>3046</v>
      </c>
      <c r="B230" s="105" t="s">
        <v>6884</v>
      </c>
      <c r="C230" s="72" t="s">
        <v>181</v>
      </c>
      <c r="D230" s="250"/>
      <c r="E230" s="125">
        <v>52027052</v>
      </c>
      <c r="F230" s="125">
        <v>60762844</v>
      </c>
      <c r="G230" s="125">
        <v>57383826</v>
      </c>
      <c r="H230" s="125">
        <v>90000000</v>
      </c>
      <c r="I230" s="125">
        <v>100000000</v>
      </c>
    </row>
    <row r="231" spans="1:9" s="145" customFormat="1" ht="15.75" customHeight="1">
      <c r="A231" s="70" t="s">
        <v>2123</v>
      </c>
      <c r="B231" s="105" t="s">
        <v>6465</v>
      </c>
      <c r="C231" s="72" t="s">
        <v>182</v>
      </c>
      <c r="D231" s="250"/>
      <c r="E231" s="125">
        <v>0</v>
      </c>
      <c r="F231" s="125">
        <v>145185</v>
      </c>
      <c r="G231" s="125">
        <v>140987</v>
      </c>
      <c r="H231" s="125">
        <v>200000</v>
      </c>
      <c r="I231" s="125">
        <v>200000</v>
      </c>
    </row>
    <row r="232" spans="1:9" s="145" customFormat="1" ht="31.5" customHeight="1">
      <c r="A232" s="70" t="s">
        <v>3047</v>
      </c>
      <c r="B232" s="105" t="s">
        <v>6885</v>
      </c>
      <c r="C232" s="72" t="s">
        <v>473</v>
      </c>
      <c r="D232" s="250"/>
      <c r="E232" s="125">
        <v>19469178</v>
      </c>
      <c r="F232" s="125">
        <v>12654269</v>
      </c>
      <c r="G232" s="125">
        <v>13578230</v>
      </c>
      <c r="H232" s="125">
        <v>25000000</v>
      </c>
      <c r="I232" s="125">
        <v>20000000</v>
      </c>
    </row>
    <row r="233" spans="1:9" s="145" customFormat="1" ht="31.5" customHeight="1">
      <c r="A233" s="70" t="s">
        <v>3048</v>
      </c>
      <c r="B233" s="105" t="s">
        <v>6886</v>
      </c>
      <c r="C233" s="72" t="s">
        <v>621</v>
      </c>
      <c r="D233" s="250"/>
      <c r="E233" s="125">
        <v>10443347</v>
      </c>
      <c r="F233" s="125">
        <v>9794011</v>
      </c>
      <c r="G233" s="125">
        <v>11044463</v>
      </c>
      <c r="H233" s="125">
        <v>30000000</v>
      </c>
      <c r="I233" s="125">
        <v>24000000</v>
      </c>
    </row>
    <row r="234" spans="1:9" s="145" customFormat="1" ht="31.5" customHeight="1">
      <c r="A234" s="70" t="s">
        <v>3049</v>
      </c>
      <c r="B234" s="105" t="s">
        <v>6887</v>
      </c>
      <c r="C234" s="72" t="s">
        <v>1108</v>
      </c>
      <c r="D234" s="250"/>
      <c r="E234" s="125">
        <v>7733081</v>
      </c>
      <c r="F234" s="125">
        <v>5650215</v>
      </c>
      <c r="G234" s="125">
        <v>9401122</v>
      </c>
      <c r="H234" s="125">
        <v>19135000</v>
      </c>
      <c r="I234" s="125">
        <v>15308000</v>
      </c>
    </row>
    <row r="235" spans="1:9" s="145" customFormat="1" ht="31.5" customHeight="1">
      <c r="A235" s="70" t="s">
        <v>3050</v>
      </c>
      <c r="B235" s="105" t="s">
        <v>6888</v>
      </c>
      <c r="C235" s="72" t="s">
        <v>1109</v>
      </c>
      <c r="D235" s="250"/>
      <c r="E235" s="125">
        <v>9253869</v>
      </c>
      <c r="F235" s="125">
        <v>7304726</v>
      </c>
      <c r="G235" s="125">
        <v>12313378</v>
      </c>
      <c r="H235" s="125">
        <v>20000000</v>
      </c>
      <c r="I235" s="125">
        <v>16000000</v>
      </c>
    </row>
    <row r="236" spans="1:9" s="145" customFormat="1" ht="31.5" customHeight="1">
      <c r="A236" s="70" t="s">
        <v>3051</v>
      </c>
      <c r="B236" s="105" t="s">
        <v>6889</v>
      </c>
      <c r="C236" s="72" t="s">
        <v>1110</v>
      </c>
      <c r="D236" s="250"/>
      <c r="E236" s="125">
        <v>1522641</v>
      </c>
      <c r="F236" s="125">
        <v>1560882</v>
      </c>
      <c r="G236" s="125">
        <v>1373300</v>
      </c>
      <c r="H236" s="125">
        <v>5000000</v>
      </c>
      <c r="I236" s="125">
        <v>4000000</v>
      </c>
    </row>
    <row r="237" spans="1:9" s="145" customFormat="1" ht="31.5" customHeight="1">
      <c r="A237" s="70" t="s">
        <v>2531</v>
      </c>
      <c r="B237" s="105" t="s">
        <v>6890</v>
      </c>
      <c r="C237" s="72" t="s">
        <v>1111</v>
      </c>
      <c r="D237" s="250"/>
      <c r="E237" s="125">
        <v>3634083</v>
      </c>
      <c r="F237" s="125">
        <v>2768573</v>
      </c>
      <c r="G237" s="125">
        <v>6928032</v>
      </c>
      <c r="H237" s="125">
        <v>12424000</v>
      </c>
      <c r="I237" s="125">
        <v>9939200</v>
      </c>
    </row>
    <row r="238" spans="1:9" s="145" customFormat="1" ht="15.75" customHeight="1">
      <c r="A238" s="70" t="s">
        <v>2357</v>
      </c>
      <c r="B238" s="105" t="s">
        <v>6891</v>
      </c>
      <c r="C238" s="155" t="s">
        <v>1330</v>
      </c>
      <c r="D238" s="76"/>
      <c r="E238" s="125">
        <v>91105933</v>
      </c>
      <c r="F238" s="125">
        <v>53604277</v>
      </c>
      <c r="G238" s="125">
        <v>56836567</v>
      </c>
      <c r="H238" s="125">
        <v>210100000</v>
      </c>
      <c r="I238" s="125">
        <v>196700000</v>
      </c>
    </row>
    <row r="239" spans="1:9" s="145" customFormat="1" ht="31.5" customHeight="1">
      <c r="A239" s="70" t="s">
        <v>2358</v>
      </c>
      <c r="B239" s="105" t="s">
        <v>6892</v>
      </c>
      <c r="C239" s="155" t="s">
        <v>1331</v>
      </c>
      <c r="D239" s="76"/>
      <c r="E239" s="125">
        <v>26960941</v>
      </c>
      <c r="F239" s="125">
        <v>22596748</v>
      </c>
      <c r="G239" s="125">
        <v>23912845</v>
      </c>
      <c r="H239" s="125">
        <v>48750000</v>
      </c>
      <c r="I239" s="125">
        <v>72500000</v>
      </c>
    </row>
    <row r="240" spans="1:9" s="145" customFormat="1" ht="47.25" customHeight="1">
      <c r="A240" s="70" t="s">
        <v>3052</v>
      </c>
      <c r="B240" s="105" t="s">
        <v>6893</v>
      </c>
      <c r="C240" s="72" t="s">
        <v>1500</v>
      </c>
      <c r="D240" s="250"/>
      <c r="E240" s="125">
        <v>4002649</v>
      </c>
      <c r="F240" s="125">
        <v>14782802</v>
      </c>
      <c r="G240" s="125">
        <v>3896171</v>
      </c>
      <c r="H240" s="125">
        <v>15000000</v>
      </c>
      <c r="I240" s="125">
        <v>14000000</v>
      </c>
    </row>
    <row r="241" spans="1:9" s="145" customFormat="1" ht="31.5">
      <c r="A241" s="70" t="s">
        <v>4317</v>
      </c>
      <c r="B241" s="105" t="s">
        <v>6894</v>
      </c>
      <c r="C241" s="72" t="s">
        <v>4724</v>
      </c>
      <c r="D241" s="250"/>
      <c r="E241" s="125">
        <v>0</v>
      </c>
      <c r="F241" s="125">
        <v>0</v>
      </c>
      <c r="G241" s="125">
        <v>0</v>
      </c>
      <c r="H241" s="125">
        <v>10000000</v>
      </c>
      <c r="I241" s="125">
        <v>8000000</v>
      </c>
    </row>
    <row r="242" spans="1:9" s="145" customFormat="1" ht="47.25">
      <c r="A242" s="70" t="s">
        <v>4318</v>
      </c>
      <c r="B242" s="105" t="s">
        <v>6895</v>
      </c>
      <c r="C242" s="72" t="s">
        <v>4725</v>
      </c>
      <c r="D242" s="250"/>
      <c r="E242" s="125">
        <v>0</v>
      </c>
      <c r="F242" s="125">
        <v>0</v>
      </c>
      <c r="G242" s="125">
        <v>0</v>
      </c>
      <c r="H242" s="125">
        <v>10000000</v>
      </c>
      <c r="I242" s="125">
        <v>8000000</v>
      </c>
    </row>
    <row r="243" spans="1:9" s="145" customFormat="1" ht="47.25">
      <c r="A243" s="70" t="s">
        <v>4319</v>
      </c>
      <c r="B243" s="105" t="s">
        <v>6896</v>
      </c>
      <c r="C243" s="72" t="s">
        <v>4726</v>
      </c>
      <c r="D243" s="250"/>
      <c r="E243" s="125">
        <v>0</v>
      </c>
      <c r="F243" s="125">
        <v>0</v>
      </c>
      <c r="G243" s="125">
        <v>0</v>
      </c>
      <c r="H243" s="125">
        <v>15000000</v>
      </c>
      <c r="I243" s="125">
        <v>12000000</v>
      </c>
    </row>
    <row r="244" spans="1:9" s="145" customFormat="1" ht="47.25">
      <c r="A244" s="70" t="s">
        <v>4320</v>
      </c>
      <c r="B244" s="105" t="s">
        <v>6897</v>
      </c>
      <c r="C244" s="72" t="s">
        <v>4727</v>
      </c>
      <c r="D244" s="250"/>
      <c r="E244" s="125">
        <v>0</v>
      </c>
      <c r="F244" s="125">
        <v>0</v>
      </c>
      <c r="G244" s="125">
        <v>0</v>
      </c>
      <c r="H244" s="125">
        <v>5000000</v>
      </c>
      <c r="I244" s="125">
        <v>4000000</v>
      </c>
    </row>
    <row r="245" spans="1:9" s="145" customFormat="1" ht="31.5">
      <c r="A245" s="70" t="s">
        <v>4321</v>
      </c>
      <c r="B245" s="105" t="s">
        <v>6898</v>
      </c>
      <c r="C245" s="72" t="s">
        <v>4728</v>
      </c>
      <c r="D245" s="250"/>
      <c r="E245" s="125">
        <v>0</v>
      </c>
      <c r="F245" s="125">
        <v>0</v>
      </c>
      <c r="G245" s="125">
        <v>0</v>
      </c>
      <c r="H245" s="125">
        <v>5000000</v>
      </c>
      <c r="I245" s="125">
        <v>4000000</v>
      </c>
    </row>
    <row r="246" spans="1:9" s="145" customFormat="1" ht="47.25">
      <c r="A246" s="70" t="s">
        <v>4324</v>
      </c>
      <c r="B246" s="105" t="s">
        <v>6899</v>
      </c>
      <c r="C246" s="72" t="s">
        <v>4729</v>
      </c>
      <c r="D246" s="250"/>
      <c r="E246" s="125">
        <v>0</v>
      </c>
      <c r="F246" s="125">
        <v>0</v>
      </c>
      <c r="G246" s="125">
        <v>0</v>
      </c>
      <c r="H246" s="125">
        <v>30000000</v>
      </c>
      <c r="I246" s="125">
        <v>24000000</v>
      </c>
    </row>
    <row r="247" spans="1:9" s="145" customFormat="1" ht="31.5">
      <c r="A247" s="70" t="s">
        <v>4722</v>
      </c>
      <c r="B247" s="105" t="s">
        <v>6900</v>
      </c>
      <c r="C247" s="72" t="s">
        <v>4730</v>
      </c>
      <c r="D247" s="250"/>
      <c r="E247" s="125">
        <v>0</v>
      </c>
      <c r="F247" s="125">
        <v>0</v>
      </c>
      <c r="G247" s="125">
        <v>0</v>
      </c>
      <c r="H247" s="125">
        <v>317500000</v>
      </c>
      <c r="I247" s="125">
        <v>107000000</v>
      </c>
    </row>
    <row r="248" spans="1:9" s="145" customFormat="1" ht="15.75" customHeight="1">
      <c r="A248" s="70"/>
      <c r="B248" s="105"/>
      <c r="C248" s="72"/>
      <c r="D248" s="250"/>
      <c r="E248" s="125">
        <v>0</v>
      </c>
      <c r="F248" s="125">
        <v>0</v>
      </c>
      <c r="G248" s="125">
        <v>0</v>
      </c>
      <c r="H248" s="125">
        <v>0</v>
      </c>
      <c r="I248" s="125">
        <v>0</v>
      </c>
    </row>
    <row r="249" spans="1:9" s="145" customFormat="1" ht="15.75" customHeight="1">
      <c r="A249" s="77" t="s">
        <v>2347</v>
      </c>
      <c r="B249" s="136" t="s">
        <v>146</v>
      </c>
      <c r="C249" s="72"/>
      <c r="D249" s="250"/>
      <c r="E249" s="125">
        <v>248935625</v>
      </c>
      <c r="F249" s="125">
        <v>222149318</v>
      </c>
      <c r="G249" s="125">
        <v>221083331</v>
      </c>
      <c r="H249" s="125">
        <v>910609000</v>
      </c>
      <c r="I249" s="125">
        <v>689647200</v>
      </c>
    </row>
    <row r="250" spans="1:9" s="145" customFormat="1" ht="15.75" customHeight="1">
      <c r="A250" s="70"/>
      <c r="B250" s="105"/>
      <c r="C250" s="72"/>
      <c r="D250" s="250"/>
      <c r="E250" s="125">
        <v>0</v>
      </c>
      <c r="F250" s="125">
        <v>0</v>
      </c>
      <c r="G250" s="125">
        <v>0</v>
      </c>
      <c r="H250" s="125">
        <v>0</v>
      </c>
      <c r="I250" s="125">
        <v>0</v>
      </c>
    </row>
    <row r="251" spans="1:9" s="145" customFormat="1" ht="31.5" customHeight="1">
      <c r="A251" s="70" t="s">
        <v>3053</v>
      </c>
      <c r="B251" s="105" t="s">
        <v>6901</v>
      </c>
      <c r="C251" s="72"/>
      <c r="D251" s="250"/>
      <c r="E251" s="125">
        <v>0</v>
      </c>
      <c r="F251" s="125">
        <v>0</v>
      </c>
      <c r="G251" s="125">
        <v>0</v>
      </c>
      <c r="H251" s="125">
        <v>0</v>
      </c>
      <c r="I251" s="125">
        <v>0</v>
      </c>
    </row>
    <row r="252" spans="1:9" s="145" customFormat="1" ht="31.5" customHeight="1">
      <c r="A252" s="70" t="s">
        <v>3119</v>
      </c>
      <c r="B252" s="105" t="s">
        <v>6902</v>
      </c>
      <c r="C252" s="72" t="s">
        <v>303</v>
      </c>
      <c r="D252" s="250"/>
      <c r="E252" s="125">
        <v>48105627</v>
      </c>
      <c r="F252" s="125">
        <v>51707015</v>
      </c>
      <c r="G252" s="125">
        <v>56725805</v>
      </c>
      <c r="H252" s="125">
        <v>75000000</v>
      </c>
      <c r="I252" s="125">
        <v>90000000</v>
      </c>
    </row>
    <row r="253" spans="1:9" s="145" customFormat="1" ht="15.75" customHeight="1">
      <c r="A253" s="70"/>
      <c r="B253" s="105"/>
      <c r="C253" s="72"/>
      <c r="D253" s="250"/>
      <c r="E253" s="125">
        <v>0</v>
      </c>
      <c r="F253" s="125">
        <v>0</v>
      </c>
      <c r="G253" s="125">
        <v>0</v>
      </c>
      <c r="H253" s="125">
        <v>0</v>
      </c>
      <c r="I253" s="125">
        <v>0</v>
      </c>
    </row>
    <row r="254" spans="1:9" s="145" customFormat="1" ht="15.75" customHeight="1">
      <c r="A254" s="77" t="s">
        <v>2348</v>
      </c>
      <c r="B254" s="136" t="s">
        <v>146</v>
      </c>
      <c r="C254" s="72"/>
      <c r="D254" s="250"/>
      <c r="E254" s="125">
        <v>48105627</v>
      </c>
      <c r="F254" s="125">
        <v>51707015</v>
      </c>
      <c r="G254" s="125">
        <v>56725805</v>
      </c>
      <c r="H254" s="125">
        <v>75000000</v>
      </c>
      <c r="I254" s="125">
        <v>90000000</v>
      </c>
    </row>
    <row r="255" spans="1:9" s="145" customFormat="1" ht="15.75" customHeight="1">
      <c r="A255" s="70"/>
      <c r="B255" s="105"/>
      <c r="C255" s="72"/>
      <c r="D255" s="250"/>
      <c r="E255" s="125">
        <v>0</v>
      </c>
      <c r="F255" s="125">
        <v>0</v>
      </c>
      <c r="G255" s="125">
        <v>0</v>
      </c>
      <c r="H255" s="125">
        <v>0</v>
      </c>
      <c r="I255" s="125">
        <v>0</v>
      </c>
    </row>
    <row r="256" spans="1:9" s="145" customFormat="1" ht="15.75" customHeight="1">
      <c r="A256" s="77" t="s">
        <v>2349</v>
      </c>
      <c r="B256" s="136" t="s">
        <v>146</v>
      </c>
      <c r="C256" s="72"/>
      <c r="D256" s="250"/>
      <c r="E256" s="125">
        <v>297041252</v>
      </c>
      <c r="F256" s="125">
        <v>273856333</v>
      </c>
      <c r="G256" s="125">
        <v>277809136</v>
      </c>
      <c r="H256" s="125">
        <v>985609000</v>
      </c>
      <c r="I256" s="125">
        <v>779647200</v>
      </c>
    </row>
    <row r="257" spans="1:9" s="145" customFormat="1" ht="15.75" customHeight="1">
      <c r="A257" s="70"/>
      <c r="B257" s="105"/>
      <c r="C257" s="72"/>
      <c r="D257" s="250"/>
      <c r="E257" s="125">
        <v>0</v>
      </c>
      <c r="F257" s="125">
        <v>0</v>
      </c>
      <c r="G257" s="125">
        <v>0</v>
      </c>
      <c r="H257" s="125">
        <v>0</v>
      </c>
      <c r="I257" s="125">
        <v>0</v>
      </c>
    </row>
    <row r="258" spans="1:9" s="145" customFormat="1" ht="15.75" customHeight="1">
      <c r="A258" s="70" t="s">
        <v>3054</v>
      </c>
      <c r="B258" s="105" t="s">
        <v>6903</v>
      </c>
      <c r="C258" s="72"/>
      <c r="D258" s="250"/>
      <c r="E258" s="125">
        <v>0</v>
      </c>
      <c r="F258" s="125">
        <v>0</v>
      </c>
      <c r="G258" s="125">
        <v>0</v>
      </c>
      <c r="H258" s="125">
        <v>0</v>
      </c>
      <c r="I258" s="125">
        <v>0</v>
      </c>
    </row>
    <row r="259" spans="1:9" s="145" customFormat="1" ht="31.5" customHeight="1">
      <c r="A259" s="70" t="s">
        <v>3055</v>
      </c>
      <c r="B259" s="105" t="s">
        <v>6904</v>
      </c>
      <c r="C259" s="72" t="s">
        <v>304</v>
      </c>
      <c r="D259" s="250"/>
      <c r="E259" s="125">
        <v>17695546</v>
      </c>
      <c r="F259" s="125">
        <v>17829035</v>
      </c>
      <c r="G259" s="125">
        <v>19761226</v>
      </c>
      <c r="H259" s="125">
        <v>22500000</v>
      </c>
      <c r="I259" s="125">
        <v>25000000</v>
      </c>
    </row>
    <row r="260" spans="1:9" s="145" customFormat="1" ht="15.75" customHeight="1">
      <c r="A260" s="70" t="s">
        <v>2149</v>
      </c>
      <c r="B260" s="105" t="s">
        <v>6465</v>
      </c>
      <c r="C260" s="72" t="s">
        <v>396</v>
      </c>
      <c r="D260" s="250"/>
      <c r="E260" s="125">
        <v>198624</v>
      </c>
      <c r="F260" s="125">
        <v>159218</v>
      </c>
      <c r="G260" s="125">
        <v>0</v>
      </c>
      <c r="H260" s="125">
        <v>0</v>
      </c>
      <c r="I260" s="125">
        <v>200000</v>
      </c>
    </row>
    <row r="261" spans="1:9" s="145" customFormat="1" ht="31.5" customHeight="1">
      <c r="A261" s="70" t="s">
        <v>3056</v>
      </c>
      <c r="B261" s="105" t="s">
        <v>6905</v>
      </c>
      <c r="C261" s="72" t="s">
        <v>397</v>
      </c>
      <c r="D261" s="250"/>
      <c r="E261" s="125">
        <v>1210330</v>
      </c>
      <c r="F261" s="125">
        <v>12932310</v>
      </c>
      <c r="G261" s="125">
        <v>4844510</v>
      </c>
      <c r="H261" s="125">
        <v>15000000</v>
      </c>
      <c r="I261" s="125">
        <v>15000000</v>
      </c>
    </row>
    <row r="262" spans="1:9" s="145" customFormat="1" ht="31.5" customHeight="1">
      <c r="A262" s="70" t="s">
        <v>3057</v>
      </c>
      <c r="B262" s="105" t="s">
        <v>6906</v>
      </c>
      <c r="C262" s="72" t="s">
        <v>398</v>
      </c>
      <c r="D262" s="250"/>
      <c r="E262" s="125">
        <v>258962</v>
      </c>
      <c r="F262" s="125">
        <v>140349</v>
      </c>
      <c r="G262" s="125">
        <v>0</v>
      </c>
      <c r="H262" s="125">
        <v>1000000</v>
      </c>
      <c r="I262" s="125">
        <v>800000</v>
      </c>
    </row>
    <row r="263" spans="1:9" s="145" customFormat="1" ht="15.75" customHeight="1">
      <c r="A263" s="70" t="s">
        <v>3058</v>
      </c>
      <c r="B263" s="105" t="s">
        <v>6907</v>
      </c>
      <c r="C263" s="72" t="s">
        <v>399</v>
      </c>
      <c r="D263" s="250"/>
      <c r="E263" s="125">
        <v>0</v>
      </c>
      <c r="F263" s="125">
        <v>197495</v>
      </c>
      <c r="G263" s="125">
        <v>254476</v>
      </c>
      <c r="H263" s="125">
        <v>500000</v>
      </c>
      <c r="I263" s="125">
        <v>400000</v>
      </c>
    </row>
    <row r="264" spans="1:9" s="145" customFormat="1" ht="15.75" customHeight="1">
      <c r="A264" s="70" t="s">
        <v>3059</v>
      </c>
      <c r="B264" s="105" t="s">
        <v>6908</v>
      </c>
      <c r="C264" s="72" t="s">
        <v>400</v>
      </c>
      <c r="D264" s="250"/>
      <c r="E264" s="125">
        <v>100000</v>
      </c>
      <c r="F264" s="125">
        <v>27111</v>
      </c>
      <c r="G264" s="125">
        <v>179584</v>
      </c>
      <c r="H264" s="125">
        <v>600000</v>
      </c>
      <c r="I264" s="125">
        <v>480000</v>
      </c>
    </row>
    <row r="265" spans="1:9" s="145" customFormat="1" ht="15.75" customHeight="1">
      <c r="A265" s="70" t="s">
        <v>3060</v>
      </c>
      <c r="B265" s="105" t="s">
        <v>6909</v>
      </c>
      <c r="C265" s="72" t="s">
        <v>401</v>
      </c>
      <c r="D265" s="250"/>
      <c r="E265" s="125">
        <v>0</v>
      </c>
      <c r="F265" s="125">
        <v>0</v>
      </c>
      <c r="G265" s="125">
        <v>0</v>
      </c>
      <c r="H265" s="125">
        <v>500000</v>
      </c>
      <c r="I265" s="125">
        <v>500000</v>
      </c>
    </row>
    <row r="266" spans="1:9" s="145" customFormat="1" ht="47.25" customHeight="1">
      <c r="A266" s="70" t="s">
        <v>3061</v>
      </c>
      <c r="B266" s="105" t="s">
        <v>6910</v>
      </c>
      <c r="C266" s="72" t="s">
        <v>402</v>
      </c>
      <c r="D266" s="250"/>
      <c r="E266" s="125">
        <v>200000</v>
      </c>
      <c r="F266" s="125">
        <v>0</v>
      </c>
      <c r="G266" s="125">
        <v>0</v>
      </c>
      <c r="H266" s="125">
        <v>500000</v>
      </c>
      <c r="I266" s="125">
        <v>400000</v>
      </c>
    </row>
    <row r="267" spans="1:9" s="145" customFormat="1" ht="15.75" customHeight="1">
      <c r="A267" s="70" t="s">
        <v>3062</v>
      </c>
      <c r="B267" s="105" t="s">
        <v>6911</v>
      </c>
      <c r="C267" s="72" t="s">
        <v>403</v>
      </c>
      <c r="D267" s="250"/>
      <c r="E267" s="125">
        <v>0</v>
      </c>
      <c r="F267" s="125">
        <v>39270</v>
      </c>
      <c r="G267" s="125">
        <v>0</v>
      </c>
      <c r="H267" s="125">
        <v>60000</v>
      </c>
      <c r="I267" s="125">
        <v>48000</v>
      </c>
    </row>
    <row r="268" spans="1:9" s="145" customFormat="1" ht="15.75" customHeight="1">
      <c r="A268" s="70"/>
      <c r="B268" s="105"/>
      <c r="C268" s="72"/>
      <c r="D268" s="250"/>
      <c r="E268" s="125">
        <v>0</v>
      </c>
      <c r="F268" s="125">
        <v>0</v>
      </c>
      <c r="G268" s="125">
        <v>0</v>
      </c>
      <c r="H268" s="125">
        <v>0</v>
      </c>
      <c r="I268" s="125">
        <v>0</v>
      </c>
    </row>
    <row r="269" spans="1:9" s="145" customFormat="1" ht="15.75" customHeight="1">
      <c r="A269" s="77" t="s">
        <v>2386</v>
      </c>
      <c r="B269" s="136" t="s">
        <v>146</v>
      </c>
      <c r="C269" s="72"/>
      <c r="D269" s="250"/>
      <c r="E269" s="125">
        <v>19663462</v>
      </c>
      <c r="F269" s="125">
        <v>31324788</v>
      </c>
      <c r="G269" s="125">
        <v>25039796</v>
      </c>
      <c r="H269" s="125">
        <v>40660000</v>
      </c>
      <c r="I269" s="125">
        <v>42828000</v>
      </c>
    </row>
    <row r="270" spans="1:9" s="145" customFormat="1" ht="15.75" customHeight="1">
      <c r="A270" s="70"/>
      <c r="B270" s="105"/>
      <c r="C270" s="72"/>
      <c r="D270" s="250"/>
      <c r="E270" s="125">
        <v>0</v>
      </c>
      <c r="F270" s="125">
        <v>0</v>
      </c>
      <c r="G270" s="125">
        <v>0</v>
      </c>
      <c r="H270" s="125">
        <v>0</v>
      </c>
      <c r="I270" s="125">
        <v>0</v>
      </c>
    </row>
    <row r="271" spans="1:9" s="145" customFormat="1" ht="15.75" customHeight="1">
      <c r="A271" s="88" t="s">
        <v>3063</v>
      </c>
      <c r="B271" s="105" t="s">
        <v>6912</v>
      </c>
      <c r="C271" s="72"/>
      <c r="D271" s="250"/>
      <c r="E271" s="125">
        <v>0</v>
      </c>
      <c r="F271" s="125">
        <v>0</v>
      </c>
      <c r="G271" s="125">
        <v>0</v>
      </c>
      <c r="H271" s="125">
        <v>0</v>
      </c>
      <c r="I271" s="125">
        <v>0</v>
      </c>
    </row>
    <row r="272" spans="1:9" s="145" customFormat="1" ht="15.75" customHeight="1">
      <c r="A272" s="70" t="s">
        <v>2148</v>
      </c>
      <c r="B272" s="105" t="s">
        <v>6147</v>
      </c>
      <c r="C272" s="72" t="s">
        <v>404</v>
      </c>
      <c r="D272" s="250"/>
      <c r="E272" s="125">
        <v>8660554</v>
      </c>
      <c r="F272" s="125">
        <v>8870971</v>
      </c>
      <c r="G272" s="125">
        <v>8097550</v>
      </c>
      <c r="H272" s="125">
        <v>12500000</v>
      </c>
      <c r="I272" s="125">
        <v>15000000</v>
      </c>
    </row>
    <row r="273" spans="1:9" s="145" customFormat="1" ht="15.75" customHeight="1">
      <c r="A273" s="70" t="s">
        <v>2149</v>
      </c>
      <c r="B273" s="105" t="s">
        <v>6465</v>
      </c>
      <c r="C273" s="72" t="s">
        <v>405</v>
      </c>
      <c r="D273" s="250"/>
      <c r="E273" s="125">
        <v>10513</v>
      </c>
      <c r="F273" s="125">
        <v>76875</v>
      </c>
      <c r="G273" s="125">
        <v>76220</v>
      </c>
      <c r="H273" s="125">
        <v>120000</v>
      </c>
      <c r="I273" s="125">
        <v>150000</v>
      </c>
    </row>
    <row r="274" spans="1:9" s="145" customFormat="1" ht="15.75" customHeight="1">
      <c r="A274" s="70" t="s">
        <v>3064</v>
      </c>
      <c r="B274" s="105" t="s">
        <v>6913</v>
      </c>
      <c r="C274" s="72" t="s">
        <v>406</v>
      </c>
      <c r="D274" s="250"/>
      <c r="E274" s="125">
        <v>12105560</v>
      </c>
      <c r="F274" s="125">
        <v>12345456</v>
      </c>
      <c r="G274" s="125">
        <v>10000000</v>
      </c>
      <c r="H274" s="125">
        <v>15000000</v>
      </c>
      <c r="I274" s="125">
        <v>15000000</v>
      </c>
    </row>
    <row r="275" spans="1:9" s="145" customFormat="1" ht="47.25" customHeight="1">
      <c r="A275" s="70" t="s">
        <v>3065</v>
      </c>
      <c r="B275" s="105" t="s">
        <v>6914</v>
      </c>
      <c r="C275" s="72" t="s">
        <v>186</v>
      </c>
      <c r="D275" s="250"/>
      <c r="E275" s="125">
        <v>540558</v>
      </c>
      <c r="F275" s="125">
        <v>6280</v>
      </c>
      <c r="G275" s="125">
        <v>11430</v>
      </c>
      <c r="H275" s="125">
        <v>600000</v>
      </c>
      <c r="I275" s="125">
        <v>480000</v>
      </c>
    </row>
    <row r="276" spans="1:9" s="145" customFormat="1" ht="15.75" customHeight="1">
      <c r="A276" s="70" t="s">
        <v>3066</v>
      </c>
      <c r="B276" s="105" t="s">
        <v>6915</v>
      </c>
      <c r="C276" s="72" t="s">
        <v>187</v>
      </c>
      <c r="D276" s="250"/>
      <c r="E276" s="125">
        <v>0</v>
      </c>
      <c r="F276" s="125">
        <v>0</v>
      </c>
      <c r="G276" s="125">
        <v>0</v>
      </c>
      <c r="H276" s="125">
        <v>60000</v>
      </c>
      <c r="I276" s="125">
        <v>48000</v>
      </c>
    </row>
    <row r="277" spans="1:9" s="145" customFormat="1" ht="15.75" customHeight="1">
      <c r="A277" s="70" t="s">
        <v>3067</v>
      </c>
      <c r="B277" s="105" t="s">
        <v>6916</v>
      </c>
      <c r="C277" s="72" t="s">
        <v>188</v>
      </c>
      <c r="D277" s="250"/>
      <c r="E277" s="125">
        <v>48885</v>
      </c>
      <c r="F277" s="125">
        <v>0</v>
      </c>
      <c r="G277" s="125">
        <v>41012</v>
      </c>
      <c r="H277" s="125">
        <v>240000</v>
      </c>
      <c r="I277" s="125">
        <v>160000</v>
      </c>
    </row>
    <row r="278" spans="1:9" s="145" customFormat="1" ht="15.75" customHeight="1">
      <c r="A278" s="70" t="s">
        <v>3068</v>
      </c>
      <c r="B278" s="105" t="s">
        <v>6917</v>
      </c>
      <c r="C278" s="72" t="s">
        <v>189</v>
      </c>
      <c r="D278" s="250"/>
      <c r="E278" s="125">
        <v>135523</v>
      </c>
      <c r="F278" s="125">
        <v>40274</v>
      </c>
      <c r="G278" s="125">
        <v>0</v>
      </c>
      <c r="H278" s="125">
        <v>250000</v>
      </c>
      <c r="I278" s="125">
        <v>200000</v>
      </c>
    </row>
    <row r="279" spans="1:9" s="145" customFormat="1" ht="31.5" customHeight="1">
      <c r="A279" s="70" t="s">
        <v>3069</v>
      </c>
      <c r="B279" s="105" t="s">
        <v>6918</v>
      </c>
      <c r="C279" s="72" t="s">
        <v>190</v>
      </c>
      <c r="D279" s="250"/>
      <c r="E279" s="125">
        <v>247208</v>
      </c>
      <c r="F279" s="125">
        <v>259169</v>
      </c>
      <c r="G279" s="125">
        <v>0</v>
      </c>
      <c r="H279" s="125">
        <v>1000000</v>
      </c>
      <c r="I279" s="125">
        <v>800000</v>
      </c>
    </row>
    <row r="280" spans="1:9" s="145" customFormat="1" ht="63" customHeight="1">
      <c r="A280" s="70" t="s">
        <v>3070</v>
      </c>
      <c r="B280" s="105" t="s">
        <v>6919</v>
      </c>
      <c r="C280" s="72" t="s">
        <v>191</v>
      </c>
      <c r="D280" s="250"/>
      <c r="E280" s="125">
        <v>0</v>
      </c>
      <c r="F280" s="125">
        <v>189985</v>
      </c>
      <c r="G280" s="125">
        <v>161326</v>
      </c>
      <c r="H280" s="125">
        <v>1200000</v>
      </c>
      <c r="I280" s="125">
        <v>960000</v>
      </c>
    </row>
    <row r="281" spans="1:9" s="145" customFormat="1" ht="31.5" customHeight="1">
      <c r="A281" s="70" t="s">
        <v>3071</v>
      </c>
      <c r="B281" s="105" t="s">
        <v>6920</v>
      </c>
      <c r="C281" s="72" t="s">
        <v>192</v>
      </c>
      <c r="D281" s="250"/>
      <c r="E281" s="125">
        <v>0</v>
      </c>
      <c r="F281" s="125">
        <v>0</v>
      </c>
      <c r="G281" s="125">
        <v>0</v>
      </c>
      <c r="H281" s="125">
        <v>240000</v>
      </c>
      <c r="I281" s="125">
        <v>160000</v>
      </c>
    </row>
    <row r="282" spans="1:9" s="145" customFormat="1" ht="31.5" customHeight="1">
      <c r="A282" s="70" t="s">
        <v>3072</v>
      </c>
      <c r="B282" s="105" t="s">
        <v>6921</v>
      </c>
      <c r="C282" s="72" t="s">
        <v>193</v>
      </c>
      <c r="D282" s="250"/>
      <c r="E282" s="125">
        <v>0</v>
      </c>
      <c r="F282" s="125">
        <v>0</v>
      </c>
      <c r="G282" s="125">
        <v>0</v>
      </c>
      <c r="H282" s="125">
        <v>200000</v>
      </c>
      <c r="I282" s="125">
        <v>160000</v>
      </c>
    </row>
    <row r="283" spans="1:9" s="145" customFormat="1" ht="31.5" customHeight="1">
      <c r="A283" s="70" t="s">
        <v>3073</v>
      </c>
      <c r="B283" s="105" t="s">
        <v>6922</v>
      </c>
      <c r="C283" s="72" t="s">
        <v>194</v>
      </c>
      <c r="D283" s="250"/>
      <c r="E283" s="125">
        <v>59456</v>
      </c>
      <c r="F283" s="125">
        <v>0</v>
      </c>
      <c r="G283" s="125">
        <v>0</v>
      </c>
      <c r="H283" s="125">
        <v>600000</v>
      </c>
      <c r="I283" s="125">
        <v>480000</v>
      </c>
    </row>
    <row r="284" spans="1:9" s="145" customFormat="1" ht="15.75" customHeight="1">
      <c r="A284" s="70"/>
      <c r="B284" s="105"/>
      <c r="C284" s="72"/>
      <c r="D284" s="250"/>
      <c r="E284" s="125">
        <v>0</v>
      </c>
      <c r="F284" s="125">
        <v>0</v>
      </c>
      <c r="G284" s="125">
        <v>0</v>
      </c>
      <c r="H284" s="125">
        <v>0</v>
      </c>
      <c r="I284" s="125">
        <v>0</v>
      </c>
    </row>
    <row r="285" spans="1:9" s="145" customFormat="1" ht="15.75" customHeight="1">
      <c r="A285" s="77" t="s">
        <v>2387</v>
      </c>
      <c r="B285" s="136" t="s">
        <v>146</v>
      </c>
      <c r="C285" s="72"/>
      <c r="D285" s="250"/>
      <c r="E285" s="125">
        <v>21808257</v>
      </c>
      <c r="F285" s="125">
        <v>21789010</v>
      </c>
      <c r="G285" s="125">
        <v>18387538</v>
      </c>
      <c r="H285" s="125">
        <v>32010000</v>
      </c>
      <c r="I285" s="125">
        <v>33598000</v>
      </c>
    </row>
    <row r="286" spans="1:9" s="145" customFormat="1" ht="15.75" customHeight="1">
      <c r="A286" s="70"/>
      <c r="B286" s="105"/>
      <c r="C286" s="72"/>
      <c r="D286" s="250"/>
      <c r="E286" s="125">
        <v>0</v>
      </c>
      <c r="F286" s="125">
        <v>0</v>
      </c>
      <c r="G286" s="125">
        <v>0</v>
      </c>
      <c r="H286" s="125">
        <v>0</v>
      </c>
      <c r="I286" s="125">
        <v>0</v>
      </c>
    </row>
    <row r="287" spans="1:9" s="145" customFormat="1" ht="15.75" customHeight="1">
      <c r="A287" s="70" t="s">
        <v>3074</v>
      </c>
      <c r="B287" s="105" t="s">
        <v>6923</v>
      </c>
      <c r="C287" s="72"/>
      <c r="D287" s="250"/>
      <c r="E287" s="125">
        <v>0</v>
      </c>
      <c r="F287" s="125">
        <v>0</v>
      </c>
      <c r="G287" s="125">
        <v>0</v>
      </c>
      <c r="H287" s="125">
        <v>0</v>
      </c>
      <c r="I287" s="125">
        <v>0</v>
      </c>
    </row>
    <row r="288" spans="1:9" s="145" customFormat="1" ht="15.75" customHeight="1">
      <c r="A288" s="70" t="s">
        <v>2148</v>
      </c>
      <c r="B288" s="105" t="s">
        <v>6147</v>
      </c>
      <c r="C288" s="72" t="s">
        <v>195</v>
      </c>
      <c r="D288" s="250"/>
      <c r="E288" s="125">
        <v>14381042</v>
      </c>
      <c r="F288" s="125">
        <v>14367127</v>
      </c>
      <c r="G288" s="125">
        <v>15014518</v>
      </c>
      <c r="H288" s="125">
        <v>17500000</v>
      </c>
      <c r="I288" s="125">
        <v>20000000</v>
      </c>
    </row>
    <row r="289" spans="1:9" s="145" customFormat="1" ht="15.75" customHeight="1">
      <c r="A289" s="70" t="s">
        <v>2149</v>
      </c>
      <c r="B289" s="105" t="s">
        <v>6465</v>
      </c>
      <c r="C289" s="72" t="s">
        <v>196</v>
      </c>
      <c r="D289" s="250"/>
      <c r="E289" s="125">
        <v>41513</v>
      </c>
      <c r="F289" s="125">
        <v>44743</v>
      </c>
      <c r="G289" s="125">
        <v>63477</v>
      </c>
      <c r="H289" s="125">
        <v>120000</v>
      </c>
      <c r="I289" s="125">
        <v>120000</v>
      </c>
    </row>
    <row r="290" spans="1:9" s="145" customFormat="1" ht="31.5" customHeight="1">
      <c r="A290" s="70" t="s">
        <v>3075</v>
      </c>
      <c r="B290" s="105" t="s">
        <v>6924</v>
      </c>
      <c r="C290" s="72" t="s">
        <v>157</v>
      </c>
      <c r="D290" s="250"/>
      <c r="E290" s="125">
        <v>0</v>
      </c>
      <c r="F290" s="125">
        <v>0</v>
      </c>
      <c r="G290" s="125">
        <v>0</v>
      </c>
      <c r="H290" s="125">
        <v>84000</v>
      </c>
      <c r="I290" s="125">
        <v>80000</v>
      </c>
    </row>
    <row r="291" spans="1:9" s="145" customFormat="1" ht="15.75" customHeight="1">
      <c r="A291" s="70" t="s">
        <v>3068</v>
      </c>
      <c r="B291" s="105" t="s">
        <v>6925</v>
      </c>
      <c r="C291" s="72" t="s">
        <v>158</v>
      </c>
      <c r="D291" s="250"/>
      <c r="E291" s="125">
        <v>67005</v>
      </c>
      <c r="F291" s="125">
        <v>0</v>
      </c>
      <c r="G291" s="125">
        <v>0</v>
      </c>
      <c r="H291" s="125">
        <v>300000</v>
      </c>
      <c r="I291" s="125">
        <v>240000</v>
      </c>
    </row>
    <row r="292" spans="1:9" s="145" customFormat="1" ht="31.5" customHeight="1">
      <c r="A292" s="70" t="s">
        <v>3069</v>
      </c>
      <c r="B292" s="105" t="s">
        <v>6926</v>
      </c>
      <c r="C292" s="72" t="s">
        <v>616</v>
      </c>
      <c r="D292" s="250"/>
      <c r="E292" s="125">
        <v>148285</v>
      </c>
      <c r="F292" s="125">
        <v>0</v>
      </c>
      <c r="G292" s="125">
        <v>0</v>
      </c>
      <c r="H292" s="125">
        <v>360000</v>
      </c>
      <c r="I292" s="125">
        <v>288000</v>
      </c>
    </row>
    <row r="293" spans="1:9" s="145" customFormat="1" ht="15.75" customHeight="1">
      <c r="A293" s="70" t="s">
        <v>3076</v>
      </c>
      <c r="B293" s="105" t="s">
        <v>6927</v>
      </c>
      <c r="C293" s="72" t="s">
        <v>617</v>
      </c>
      <c r="D293" s="250"/>
      <c r="E293" s="125">
        <v>0</v>
      </c>
      <c r="F293" s="125">
        <v>0</v>
      </c>
      <c r="G293" s="125">
        <v>0</v>
      </c>
      <c r="H293" s="125">
        <v>60000</v>
      </c>
      <c r="I293" s="125">
        <v>0</v>
      </c>
    </row>
    <row r="294" spans="1:9" s="145" customFormat="1" ht="47.25">
      <c r="A294" s="70" t="s">
        <v>3077</v>
      </c>
      <c r="B294" s="105" t="s">
        <v>6910</v>
      </c>
      <c r="C294" s="72" t="s">
        <v>618</v>
      </c>
      <c r="D294" s="250"/>
      <c r="E294" s="125">
        <v>200000</v>
      </c>
      <c r="F294" s="125">
        <v>0</v>
      </c>
      <c r="G294" s="125">
        <v>0</v>
      </c>
      <c r="H294" s="125">
        <v>360000</v>
      </c>
      <c r="I294" s="125">
        <v>240000</v>
      </c>
    </row>
    <row r="295" spans="1:9" s="145" customFormat="1" ht="31.5" customHeight="1">
      <c r="A295" s="70" t="s">
        <v>3078</v>
      </c>
      <c r="B295" s="105" t="s">
        <v>6928</v>
      </c>
      <c r="C295" s="72" t="s">
        <v>619</v>
      </c>
      <c r="D295" s="250"/>
      <c r="E295" s="125">
        <v>0</v>
      </c>
      <c r="F295" s="125">
        <v>0</v>
      </c>
      <c r="G295" s="125">
        <v>0</v>
      </c>
      <c r="H295" s="125">
        <v>240000</v>
      </c>
      <c r="I295" s="125">
        <v>200000</v>
      </c>
    </row>
    <row r="296" spans="1:9" s="145" customFormat="1" ht="31.5" customHeight="1">
      <c r="A296" s="70" t="s">
        <v>3079</v>
      </c>
      <c r="B296" s="105" t="s">
        <v>6929</v>
      </c>
      <c r="C296" s="72" t="s">
        <v>620</v>
      </c>
      <c r="D296" s="250"/>
      <c r="E296" s="125">
        <v>0</v>
      </c>
      <c r="F296" s="125">
        <v>0</v>
      </c>
      <c r="G296" s="125">
        <v>0</v>
      </c>
      <c r="H296" s="125">
        <v>600000</v>
      </c>
      <c r="I296" s="125">
        <v>480000</v>
      </c>
    </row>
    <row r="297" spans="1:9" s="145" customFormat="1" ht="31.5" customHeight="1">
      <c r="A297" s="70" t="s">
        <v>3080</v>
      </c>
      <c r="B297" s="105" t="s">
        <v>6930</v>
      </c>
      <c r="C297" s="72" t="s">
        <v>487</v>
      </c>
      <c r="D297" s="250"/>
      <c r="E297" s="125">
        <v>0</v>
      </c>
      <c r="F297" s="125">
        <v>0</v>
      </c>
      <c r="G297" s="125">
        <v>0</v>
      </c>
      <c r="H297" s="125">
        <v>240000</v>
      </c>
      <c r="I297" s="125">
        <v>192000</v>
      </c>
    </row>
    <row r="298" spans="1:9" s="145" customFormat="1" ht="47.25" customHeight="1">
      <c r="A298" s="70" t="s">
        <v>3081</v>
      </c>
      <c r="B298" s="105" t="s">
        <v>6931</v>
      </c>
      <c r="C298" s="72"/>
      <c r="D298" s="250"/>
      <c r="E298" s="125">
        <v>0</v>
      </c>
      <c r="F298" s="125">
        <v>0</v>
      </c>
      <c r="G298" s="125">
        <v>0</v>
      </c>
      <c r="H298" s="125">
        <v>0</v>
      </c>
      <c r="I298" s="125">
        <v>0</v>
      </c>
    </row>
    <row r="299" spans="1:9" s="145" customFormat="1" ht="15.75" customHeight="1">
      <c r="A299" s="70" t="s">
        <v>3082</v>
      </c>
      <c r="B299" s="105" t="s">
        <v>6932</v>
      </c>
      <c r="C299" s="72" t="s">
        <v>488</v>
      </c>
      <c r="D299" s="250"/>
      <c r="E299" s="125">
        <v>9978427</v>
      </c>
      <c r="F299" s="125">
        <v>9350000</v>
      </c>
      <c r="G299" s="125">
        <v>9979700</v>
      </c>
      <c r="H299" s="125">
        <v>20000000</v>
      </c>
      <c r="I299" s="125">
        <v>22000000</v>
      </c>
    </row>
    <row r="300" spans="1:9" s="145" customFormat="1" ht="15.75" customHeight="1">
      <c r="A300" s="70" t="s">
        <v>3083</v>
      </c>
      <c r="B300" s="105" t="s">
        <v>6933</v>
      </c>
      <c r="C300" s="72" t="s">
        <v>577</v>
      </c>
      <c r="D300" s="250"/>
      <c r="E300" s="125">
        <v>10500000</v>
      </c>
      <c r="F300" s="125">
        <v>8642315</v>
      </c>
      <c r="G300" s="125">
        <v>10422432</v>
      </c>
      <c r="H300" s="125">
        <v>16650000</v>
      </c>
      <c r="I300" s="125">
        <v>18300000</v>
      </c>
    </row>
    <row r="301" spans="1:9" s="145" customFormat="1" ht="31.5" customHeight="1">
      <c r="A301" s="70" t="s">
        <v>3084</v>
      </c>
      <c r="B301" s="105" t="s">
        <v>6934</v>
      </c>
      <c r="C301" s="72" t="s">
        <v>578</v>
      </c>
      <c r="D301" s="250"/>
      <c r="E301" s="125">
        <v>31701782</v>
      </c>
      <c r="F301" s="125">
        <v>27692653</v>
      </c>
      <c r="G301" s="125">
        <v>23280000</v>
      </c>
      <c r="H301" s="125">
        <v>30000000</v>
      </c>
      <c r="I301" s="125">
        <v>45000000</v>
      </c>
    </row>
    <row r="302" spans="1:9" s="145" customFormat="1" ht="15.75" customHeight="1">
      <c r="A302" s="70" t="s">
        <v>3085</v>
      </c>
      <c r="B302" s="105" t="s">
        <v>6935</v>
      </c>
      <c r="C302" s="72" t="s">
        <v>579</v>
      </c>
      <c r="D302" s="250"/>
      <c r="E302" s="125">
        <v>27480000</v>
      </c>
      <c r="F302" s="125">
        <v>22793342</v>
      </c>
      <c r="G302" s="125">
        <v>21380596</v>
      </c>
      <c r="H302" s="125">
        <v>30000000</v>
      </c>
      <c r="I302" s="125">
        <v>33000000</v>
      </c>
    </row>
    <row r="303" spans="1:9" s="145" customFormat="1" ht="15.75" customHeight="1">
      <c r="A303" s="70" t="s">
        <v>3086</v>
      </c>
      <c r="B303" s="105" t="s">
        <v>6936</v>
      </c>
      <c r="C303" s="72" t="s">
        <v>580</v>
      </c>
      <c r="D303" s="250"/>
      <c r="E303" s="125">
        <v>3268267</v>
      </c>
      <c r="F303" s="125">
        <v>2612458</v>
      </c>
      <c r="G303" s="125">
        <v>4000000</v>
      </c>
      <c r="H303" s="125">
        <v>5000000</v>
      </c>
      <c r="I303" s="125">
        <v>7000000</v>
      </c>
    </row>
    <row r="304" spans="1:9" s="145" customFormat="1" ht="15.75" customHeight="1">
      <c r="A304" s="70" t="s">
        <v>3087</v>
      </c>
      <c r="B304" s="105" t="s">
        <v>6937</v>
      </c>
      <c r="C304" s="72" t="s">
        <v>581</v>
      </c>
      <c r="D304" s="250"/>
      <c r="E304" s="125">
        <v>3000000</v>
      </c>
      <c r="F304" s="125">
        <v>2860620</v>
      </c>
      <c r="G304" s="125">
        <v>2528240</v>
      </c>
      <c r="H304" s="125">
        <v>5000000</v>
      </c>
      <c r="I304" s="125">
        <v>5500000</v>
      </c>
    </row>
    <row r="305" spans="1:9" s="145" customFormat="1" ht="15.75" customHeight="1">
      <c r="A305" s="70" t="s">
        <v>3088</v>
      </c>
      <c r="B305" s="105" t="s">
        <v>6938</v>
      </c>
      <c r="C305" s="72" t="s">
        <v>582</v>
      </c>
      <c r="D305" s="250"/>
      <c r="E305" s="125">
        <v>11000000</v>
      </c>
      <c r="F305" s="125">
        <v>14197791</v>
      </c>
      <c r="G305" s="125">
        <v>13522397</v>
      </c>
      <c r="H305" s="125">
        <v>25000000</v>
      </c>
      <c r="I305" s="125">
        <v>30000000</v>
      </c>
    </row>
    <row r="306" spans="1:9" s="145" customFormat="1" ht="15.75" customHeight="1">
      <c r="A306" s="70" t="s">
        <v>3089</v>
      </c>
      <c r="B306" s="105" t="s">
        <v>6939</v>
      </c>
      <c r="C306" s="72" t="s">
        <v>583</v>
      </c>
      <c r="D306" s="250"/>
      <c r="E306" s="125">
        <v>16304458</v>
      </c>
      <c r="F306" s="125">
        <v>20315843</v>
      </c>
      <c r="G306" s="125">
        <v>13694290</v>
      </c>
      <c r="H306" s="125">
        <v>27500000</v>
      </c>
      <c r="I306" s="125">
        <v>35000000</v>
      </c>
    </row>
    <row r="307" spans="1:9" s="145" customFormat="1" ht="15.75" customHeight="1">
      <c r="A307" s="70" t="s">
        <v>3090</v>
      </c>
      <c r="B307" s="105" t="s">
        <v>6940</v>
      </c>
      <c r="C307" s="72" t="s">
        <v>584</v>
      </c>
      <c r="D307" s="250"/>
      <c r="E307" s="125">
        <v>16310445</v>
      </c>
      <c r="F307" s="125">
        <v>15300000</v>
      </c>
      <c r="G307" s="125">
        <v>16000000</v>
      </c>
      <c r="H307" s="125">
        <v>25000000</v>
      </c>
      <c r="I307" s="125">
        <v>30000000</v>
      </c>
    </row>
    <row r="308" spans="1:9" s="145" customFormat="1" ht="15.75" customHeight="1">
      <c r="A308" s="70" t="s">
        <v>3091</v>
      </c>
      <c r="B308" s="105" t="s">
        <v>6941</v>
      </c>
      <c r="C308" s="72" t="s">
        <v>585</v>
      </c>
      <c r="D308" s="250"/>
      <c r="E308" s="125">
        <v>14842014</v>
      </c>
      <c r="F308" s="125">
        <v>13600000</v>
      </c>
      <c r="G308" s="125">
        <v>12045540</v>
      </c>
      <c r="H308" s="125">
        <v>17500000</v>
      </c>
      <c r="I308" s="125">
        <v>19000000</v>
      </c>
    </row>
    <row r="309" spans="1:9" s="145" customFormat="1" ht="15.75" customHeight="1">
      <c r="A309" s="70" t="s">
        <v>3092</v>
      </c>
      <c r="B309" s="105" t="s">
        <v>6942</v>
      </c>
      <c r="C309" s="72" t="s">
        <v>586</v>
      </c>
      <c r="D309" s="250"/>
      <c r="E309" s="125">
        <v>7354156</v>
      </c>
      <c r="F309" s="125">
        <v>6447867</v>
      </c>
      <c r="G309" s="125">
        <v>6398372</v>
      </c>
      <c r="H309" s="125">
        <v>10000000</v>
      </c>
      <c r="I309" s="125">
        <v>12500000</v>
      </c>
    </row>
    <row r="310" spans="1:9" s="145" customFormat="1" ht="15.75" customHeight="1">
      <c r="A310" s="70" t="s">
        <v>3093</v>
      </c>
      <c r="B310" s="105" t="s">
        <v>6943</v>
      </c>
      <c r="C310" s="72" t="s">
        <v>160</v>
      </c>
      <c r="D310" s="250"/>
      <c r="E310" s="125">
        <v>7433540</v>
      </c>
      <c r="F310" s="125">
        <v>6152980</v>
      </c>
      <c r="G310" s="125">
        <v>7945373</v>
      </c>
      <c r="H310" s="125">
        <v>21500000</v>
      </c>
      <c r="I310" s="125">
        <v>25000000</v>
      </c>
    </row>
    <row r="311" spans="1:9" s="145" customFormat="1" ht="15.75" customHeight="1">
      <c r="A311" s="70" t="s">
        <v>3094</v>
      </c>
      <c r="B311" s="105" t="s">
        <v>6944</v>
      </c>
      <c r="C311" s="72" t="s">
        <v>1112</v>
      </c>
      <c r="D311" s="250"/>
      <c r="E311" s="125">
        <v>7347375</v>
      </c>
      <c r="F311" s="125">
        <v>23727970</v>
      </c>
      <c r="G311" s="125">
        <v>9591628</v>
      </c>
      <c r="H311" s="125">
        <v>25000000</v>
      </c>
      <c r="I311" s="125">
        <v>35000000</v>
      </c>
    </row>
    <row r="312" spans="1:9" s="145" customFormat="1" ht="31.5" customHeight="1">
      <c r="A312" s="70" t="s">
        <v>3095</v>
      </c>
      <c r="B312" s="105" t="s">
        <v>6945</v>
      </c>
      <c r="C312" s="72" t="s">
        <v>1524</v>
      </c>
      <c r="D312" s="250"/>
      <c r="E312" s="125">
        <v>0</v>
      </c>
      <c r="F312" s="125">
        <v>18850000</v>
      </c>
      <c r="G312" s="125">
        <v>46274721</v>
      </c>
      <c r="H312" s="125">
        <v>120000000</v>
      </c>
      <c r="I312" s="125">
        <v>96000000</v>
      </c>
    </row>
    <row r="313" spans="1:9" s="145" customFormat="1" ht="15.75" customHeight="1">
      <c r="A313" s="70"/>
      <c r="B313" s="105"/>
      <c r="C313" s="72"/>
      <c r="D313" s="250"/>
      <c r="E313" s="125">
        <v>0</v>
      </c>
      <c r="F313" s="125">
        <v>0</v>
      </c>
      <c r="G313" s="125">
        <v>0</v>
      </c>
      <c r="H313" s="125">
        <v>0</v>
      </c>
      <c r="I313" s="125">
        <v>0</v>
      </c>
    </row>
    <row r="314" spans="1:9" s="145" customFormat="1" ht="15.75" customHeight="1">
      <c r="A314" s="77" t="s">
        <v>2370</v>
      </c>
      <c r="B314" s="136" t="s">
        <v>146</v>
      </c>
      <c r="C314" s="72"/>
      <c r="D314" s="250"/>
      <c r="E314" s="125">
        <v>181358309</v>
      </c>
      <c r="F314" s="125">
        <v>206955709</v>
      </c>
      <c r="G314" s="125">
        <v>212141284</v>
      </c>
      <c r="H314" s="125">
        <v>398014000</v>
      </c>
      <c r="I314" s="125">
        <v>435140000</v>
      </c>
    </row>
    <row r="315" spans="1:9" s="145" customFormat="1" ht="15.75" customHeight="1">
      <c r="A315" s="70"/>
      <c r="B315" s="105"/>
      <c r="C315" s="72"/>
      <c r="D315" s="250"/>
      <c r="E315" s="125">
        <v>0</v>
      </c>
      <c r="F315" s="125">
        <v>0</v>
      </c>
      <c r="G315" s="125">
        <v>0</v>
      </c>
      <c r="H315" s="125">
        <v>0</v>
      </c>
      <c r="I315" s="125">
        <v>0</v>
      </c>
    </row>
    <row r="316" spans="1:9" s="145" customFormat="1" ht="15.75" customHeight="1">
      <c r="A316" s="70" t="s">
        <v>3115</v>
      </c>
      <c r="B316" s="105" t="s">
        <v>6816</v>
      </c>
      <c r="C316" s="72" t="s">
        <v>587</v>
      </c>
      <c r="D316" s="250"/>
      <c r="E316" s="125">
        <v>5001148</v>
      </c>
      <c r="F316" s="125">
        <v>4346963</v>
      </c>
      <c r="G316" s="125">
        <v>2022142</v>
      </c>
      <c r="H316" s="125">
        <v>12000000</v>
      </c>
      <c r="I316" s="125">
        <v>15000000</v>
      </c>
    </row>
    <row r="317" spans="1:9" s="145" customFormat="1" ht="31.5" customHeight="1">
      <c r="A317" s="70" t="s">
        <v>3120</v>
      </c>
      <c r="B317" s="105" t="s">
        <v>5895</v>
      </c>
      <c r="C317" s="72" t="s">
        <v>588</v>
      </c>
      <c r="D317" s="250"/>
      <c r="E317" s="125">
        <v>9986249</v>
      </c>
      <c r="F317" s="125">
        <v>9865271</v>
      </c>
      <c r="G317" s="125">
        <v>6692028</v>
      </c>
      <c r="H317" s="125">
        <v>0</v>
      </c>
      <c r="I317" s="125">
        <v>0</v>
      </c>
    </row>
    <row r="318" spans="1:9" s="145" customFormat="1" ht="15.75" customHeight="1">
      <c r="A318" s="70" t="s">
        <v>3001</v>
      </c>
      <c r="B318" s="105" t="s">
        <v>5897</v>
      </c>
      <c r="C318" s="72" t="s">
        <v>589</v>
      </c>
      <c r="D318" s="250"/>
      <c r="E318" s="125">
        <v>15468112</v>
      </c>
      <c r="F318" s="125">
        <v>11101230</v>
      </c>
      <c r="G318" s="125">
        <v>10559816</v>
      </c>
      <c r="H318" s="125">
        <v>0</v>
      </c>
      <c r="I318" s="125">
        <v>40000000</v>
      </c>
    </row>
    <row r="319" spans="1:9" s="145" customFormat="1" ht="31.5" customHeight="1">
      <c r="A319" s="70" t="s">
        <v>3116</v>
      </c>
      <c r="B319" s="105" t="s">
        <v>5898</v>
      </c>
      <c r="C319" s="72" t="s">
        <v>590</v>
      </c>
      <c r="D319" s="250"/>
      <c r="E319" s="125">
        <v>237780</v>
      </c>
      <c r="F319" s="125">
        <v>354500</v>
      </c>
      <c r="G319" s="125">
        <v>214500</v>
      </c>
      <c r="H319" s="125">
        <v>5000000</v>
      </c>
      <c r="I319" s="125">
        <v>7500000</v>
      </c>
    </row>
    <row r="320" spans="1:9" s="145" customFormat="1" ht="15.75" customHeight="1">
      <c r="A320" s="70" t="s">
        <v>3096</v>
      </c>
      <c r="B320" s="105" t="s">
        <v>6817</v>
      </c>
      <c r="C320" s="72" t="s">
        <v>591</v>
      </c>
      <c r="D320" s="250"/>
      <c r="E320" s="125">
        <v>80000000</v>
      </c>
      <c r="F320" s="125">
        <v>80000000</v>
      </c>
      <c r="G320" s="125">
        <v>110000000</v>
      </c>
      <c r="H320" s="125">
        <v>140000000</v>
      </c>
      <c r="I320" s="125">
        <v>140000000</v>
      </c>
    </row>
    <row r="321" spans="1:9" s="145" customFormat="1" ht="31.5" customHeight="1">
      <c r="A321" s="70" t="s">
        <v>2977</v>
      </c>
      <c r="B321" s="105" t="s">
        <v>6818</v>
      </c>
      <c r="C321" s="72" t="s">
        <v>592</v>
      </c>
      <c r="D321" s="250"/>
      <c r="E321" s="125">
        <v>9996958</v>
      </c>
      <c r="F321" s="125">
        <v>5949959</v>
      </c>
      <c r="G321" s="125">
        <v>3696928</v>
      </c>
      <c r="H321" s="125">
        <v>4000000</v>
      </c>
      <c r="I321" s="125">
        <v>4000000</v>
      </c>
    </row>
    <row r="322" spans="1:9" s="145" customFormat="1" ht="31.5" customHeight="1">
      <c r="A322" s="70" t="s">
        <v>3097</v>
      </c>
      <c r="B322" s="105" t="s">
        <v>6819</v>
      </c>
      <c r="C322" s="72" t="s">
        <v>593</v>
      </c>
      <c r="D322" s="250"/>
      <c r="E322" s="125">
        <v>60084000</v>
      </c>
      <c r="F322" s="125">
        <v>60354965</v>
      </c>
      <c r="G322" s="125">
        <v>60324000</v>
      </c>
      <c r="H322" s="125">
        <v>262984549</v>
      </c>
      <c r="I322" s="125">
        <v>15260537</v>
      </c>
    </row>
    <row r="323" spans="1:9" s="145" customFormat="1" ht="15.75" customHeight="1">
      <c r="A323" s="70"/>
      <c r="B323" s="105"/>
      <c r="C323" s="72"/>
      <c r="D323" s="250"/>
      <c r="E323" s="125">
        <v>0</v>
      </c>
      <c r="F323" s="125">
        <v>0</v>
      </c>
      <c r="G323" s="125">
        <v>0</v>
      </c>
      <c r="H323" s="125">
        <v>0</v>
      </c>
      <c r="I323" s="125">
        <v>0</v>
      </c>
    </row>
    <row r="324" spans="1:9" s="145" customFormat="1" ht="15.75" customHeight="1">
      <c r="A324" s="77" t="s">
        <v>3098</v>
      </c>
      <c r="B324" s="136" t="s">
        <v>6946</v>
      </c>
      <c r="C324" s="72"/>
      <c r="D324" s="250"/>
      <c r="E324" s="125">
        <v>700645527</v>
      </c>
      <c r="F324" s="125">
        <v>705898728</v>
      </c>
      <c r="G324" s="125">
        <v>726887168</v>
      </c>
      <c r="H324" s="125">
        <v>1880277549</v>
      </c>
      <c r="I324" s="125">
        <v>1512973737</v>
      </c>
    </row>
    <row r="325" spans="1:9" s="145" customFormat="1" ht="15.75" customHeight="1">
      <c r="A325" s="70"/>
      <c r="B325" s="105"/>
      <c r="C325" s="72"/>
      <c r="D325" s="250"/>
      <c r="E325" s="125">
        <v>0</v>
      </c>
      <c r="F325" s="125">
        <v>0</v>
      </c>
      <c r="G325" s="125">
        <v>0</v>
      </c>
      <c r="H325" s="125">
        <v>0</v>
      </c>
      <c r="I325" s="125">
        <v>0</v>
      </c>
    </row>
    <row r="326" spans="1:9" s="145" customFormat="1" ht="15.75" customHeight="1">
      <c r="A326" s="70" t="s">
        <v>3099</v>
      </c>
      <c r="B326" s="105" t="s">
        <v>6947</v>
      </c>
      <c r="C326" s="72" t="s">
        <v>594</v>
      </c>
      <c r="D326" s="250"/>
      <c r="E326" s="125">
        <v>645279579</v>
      </c>
      <c r="F326" s="125">
        <v>776693500</v>
      </c>
      <c r="G326" s="125">
        <v>757674354</v>
      </c>
      <c r="H326" s="125">
        <v>776618000</v>
      </c>
      <c r="I326" s="125">
        <v>205900000</v>
      </c>
    </row>
    <row r="327" spans="1:9" s="145" customFormat="1" ht="15.75" customHeight="1">
      <c r="A327" s="70"/>
      <c r="B327" s="105"/>
      <c r="C327" s="72"/>
      <c r="D327" s="250"/>
      <c r="E327" s="125">
        <v>0</v>
      </c>
      <c r="F327" s="125">
        <v>0</v>
      </c>
      <c r="G327" s="125">
        <v>0</v>
      </c>
      <c r="H327" s="125">
        <v>0</v>
      </c>
      <c r="I327" s="125">
        <v>0</v>
      </c>
    </row>
    <row r="328" spans="1:9" s="145" customFormat="1" ht="15.75" customHeight="1">
      <c r="A328" s="77" t="s">
        <v>3100</v>
      </c>
      <c r="B328" s="136" t="s">
        <v>146</v>
      </c>
      <c r="C328" s="72"/>
      <c r="D328" s="250"/>
      <c r="E328" s="125">
        <v>1345925106</v>
      </c>
      <c r="F328" s="125">
        <v>1482592228</v>
      </c>
      <c r="G328" s="125">
        <v>1484561522</v>
      </c>
      <c r="H328" s="125">
        <v>2656895549</v>
      </c>
      <c r="I328" s="125">
        <v>1718873737</v>
      </c>
    </row>
    <row r="329" spans="1:9" s="145" customFormat="1" ht="15.75" customHeight="1">
      <c r="A329" s="70"/>
      <c r="B329" s="105"/>
      <c r="C329" s="72"/>
      <c r="D329" s="250"/>
      <c r="E329" s="125">
        <v>0</v>
      </c>
      <c r="F329" s="125">
        <v>0</v>
      </c>
      <c r="G329" s="125">
        <v>0</v>
      </c>
      <c r="H329" s="125">
        <v>0</v>
      </c>
      <c r="I329" s="125">
        <v>0</v>
      </c>
    </row>
    <row r="330" spans="1:9" s="145" customFormat="1" ht="15.75" customHeight="1">
      <c r="A330" s="70" t="s">
        <v>3101</v>
      </c>
      <c r="B330" s="105" t="s">
        <v>6948</v>
      </c>
      <c r="C330" s="72" t="s">
        <v>771</v>
      </c>
      <c r="D330" s="250"/>
      <c r="E330" s="125">
        <v>1089119027</v>
      </c>
      <c r="F330" s="125">
        <v>277945900</v>
      </c>
      <c r="G330" s="125">
        <v>190792481</v>
      </c>
      <c r="H330" s="125">
        <v>3852160000</v>
      </c>
      <c r="I330" s="125">
        <v>7170000000</v>
      </c>
    </row>
    <row r="331" spans="1:9" s="145" customFormat="1">
      <c r="A331" s="70" t="s">
        <v>3102</v>
      </c>
      <c r="B331" s="105" t="s">
        <v>6949</v>
      </c>
      <c r="C331" s="72" t="s">
        <v>772</v>
      </c>
      <c r="D331" s="250"/>
      <c r="E331" s="125">
        <v>682088755</v>
      </c>
      <c r="F331" s="125">
        <v>757296000</v>
      </c>
      <c r="G331" s="125">
        <v>531163760</v>
      </c>
      <c r="H331" s="125">
        <v>256502400</v>
      </c>
      <c r="I331" s="125">
        <v>558400000</v>
      </c>
    </row>
    <row r="332" spans="1:9" s="145" customFormat="1">
      <c r="A332" s="70"/>
      <c r="B332" s="105"/>
      <c r="C332" s="72"/>
      <c r="D332" s="250"/>
      <c r="E332" s="125">
        <v>0</v>
      </c>
      <c r="F332" s="125">
        <v>0</v>
      </c>
      <c r="G332" s="125">
        <v>0</v>
      </c>
      <c r="H332" s="125">
        <v>0</v>
      </c>
      <c r="I332" s="125">
        <v>0</v>
      </c>
    </row>
    <row r="333" spans="1:9" s="145" customFormat="1">
      <c r="A333" s="77" t="s">
        <v>3103</v>
      </c>
      <c r="B333" s="136" t="s">
        <v>6950</v>
      </c>
      <c r="C333" s="72"/>
      <c r="D333" s="250"/>
      <c r="E333" s="125">
        <v>6990250489</v>
      </c>
      <c r="F333" s="125">
        <v>7498711484</v>
      </c>
      <c r="G333" s="125">
        <v>6978939428</v>
      </c>
      <c r="H333" s="125">
        <v>11213761499</v>
      </c>
      <c r="I333" s="125">
        <v>13686124273</v>
      </c>
    </row>
    <row r="334" spans="1:9" s="145" customFormat="1">
      <c r="A334" s="70"/>
      <c r="B334" s="105"/>
      <c r="C334" s="72"/>
      <c r="D334" s="250"/>
      <c r="E334" s="125">
        <v>0</v>
      </c>
      <c r="F334" s="125">
        <v>0</v>
      </c>
      <c r="G334" s="125">
        <v>0</v>
      </c>
      <c r="H334" s="125">
        <v>0</v>
      </c>
      <c r="I334" s="125">
        <v>0</v>
      </c>
    </row>
    <row r="335" spans="1:9" s="145" customFormat="1">
      <c r="A335" s="70" t="s">
        <v>10467</v>
      </c>
      <c r="B335" s="160" t="s">
        <v>10468</v>
      </c>
      <c r="C335" s="72"/>
      <c r="D335" s="250"/>
      <c r="E335" s="125">
        <v>0</v>
      </c>
      <c r="F335" s="125">
        <v>0</v>
      </c>
      <c r="G335" s="125">
        <v>0</v>
      </c>
      <c r="H335" s="125">
        <v>0</v>
      </c>
      <c r="I335" s="125">
        <v>0</v>
      </c>
    </row>
    <row r="336" spans="1:9" s="145" customFormat="1">
      <c r="A336" s="70" t="s">
        <v>10466</v>
      </c>
      <c r="B336" s="160" t="s">
        <v>899</v>
      </c>
      <c r="C336" s="72"/>
      <c r="D336" s="250"/>
      <c r="E336" s="125">
        <v>232943252</v>
      </c>
      <c r="F336" s="125">
        <v>441846308</v>
      </c>
      <c r="G336" s="125">
        <v>7217947</v>
      </c>
      <c r="H336" s="125">
        <v>0</v>
      </c>
      <c r="I336" s="125">
        <v>0</v>
      </c>
    </row>
    <row r="337" spans="1:9" s="145" customFormat="1">
      <c r="A337" s="70"/>
      <c r="B337" s="105"/>
      <c r="C337" s="72"/>
      <c r="D337" s="250"/>
      <c r="E337" s="125">
        <v>0</v>
      </c>
      <c r="F337" s="125">
        <v>0</v>
      </c>
      <c r="G337" s="125">
        <v>0</v>
      </c>
      <c r="H337" s="125">
        <v>0</v>
      </c>
      <c r="I337" s="125">
        <v>0</v>
      </c>
    </row>
    <row r="338" spans="1:9" s="145" customFormat="1" ht="31.5">
      <c r="A338" s="77" t="s">
        <v>3104</v>
      </c>
      <c r="B338" s="136" t="s">
        <v>6765</v>
      </c>
      <c r="C338" s="72"/>
      <c r="D338" s="250"/>
      <c r="E338" s="125">
        <v>100000</v>
      </c>
      <c r="F338" s="125">
        <v>100000</v>
      </c>
      <c r="G338" s="125">
        <v>100000</v>
      </c>
      <c r="H338" s="125">
        <v>100000</v>
      </c>
      <c r="I338" s="125">
        <v>100000</v>
      </c>
    </row>
    <row r="339" spans="1:9" s="145" customFormat="1">
      <c r="A339" s="70"/>
      <c r="B339" s="105"/>
      <c r="C339" s="72"/>
      <c r="D339" s="250"/>
      <c r="E339" s="125">
        <v>0</v>
      </c>
      <c r="F339" s="125">
        <v>0</v>
      </c>
      <c r="G339" s="125">
        <v>0</v>
      </c>
      <c r="H339" s="125">
        <v>0</v>
      </c>
      <c r="I339" s="125">
        <v>0</v>
      </c>
    </row>
    <row r="340" spans="1:9" s="145" customFormat="1">
      <c r="A340" s="77" t="s">
        <v>3121</v>
      </c>
      <c r="B340" s="136" t="s">
        <v>6951</v>
      </c>
      <c r="C340" s="72" t="s">
        <v>755</v>
      </c>
      <c r="D340" s="250"/>
      <c r="E340" s="125">
        <v>7223293741</v>
      </c>
      <c r="F340" s="125">
        <v>7940657792</v>
      </c>
      <c r="G340" s="125">
        <v>6986257375</v>
      </c>
      <c r="H340" s="125">
        <v>11213861499</v>
      </c>
      <c r="I340" s="125">
        <v>13686224273</v>
      </c>
    </row>
    <row r="341" spans="1:9">
      <c r="A341" s="51"/>
      <c r="E341" s="120"/>
      <c r="F341" s="120"/>
      <c r="G341" s="120"/>
      <c r="H341" s="120"/>
      <c r="I341" s="120"/>
    </row>
  </sheetData>
  <mergeCells count="8">
    <mergeCell ref="A1:I1"/>
    <mergeCell ref="E2:G2"/>
    <mergeCell ref="H2:H3"/>
    <mergeCell ref="I2:I3"/>
    <mergeCell ref="A2:A3"/>
    <mergeCell ref="B2:B3"/>
    <mergeCell ref="C2:C3"/>
    <mergeCell ref="D2:D3"/>
  </mergeCells>
  <phoneticPr fontId="8" type="noConversion"/>
  <printOptions horizontalCentered="1" gridLines="1" gridLinesSet="0"/>
  <pageMargins left="0.5" right="0.5" top="0.7" bottom="1.5" header="0.5" footer="0.5"/>
  <pageSetup paperSize="5" firstPageNumber="12" orientation="portrait" blackAndWhite="1" useFirstPageNumber="1" r:id="rId1"/>
  <headerFooter alignWithMargins="0">
    <oddHeader>&amp;C(&amp;P)</oddHeader>
  </headerFooter>
  <rowBreaks count="7" manualBreakCount="7">
    <brk id="68" max="11" man="1"/>
    <brk id="106" max="11" man="1"/>
    <brk id="149" max="12" man="1"/>
    <brk id="194" max="11" man="1"/>
    <brk id="237" max="11" man="1"/>
    <brk id="270" max="11" man="1"/>
    <brk id="297" max="1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Sheet83">
    <tabColor indexed="11"/>
  </sheetPr>
  <dimension ref="A1:H51"/>
  <sheetViews>
    <sheetView zoomScaleNormal="100" zoomScaleSheetLayoutView="130" workbookViewId="0"/>
  </sheetViews>
  <sheetFormatPr defaultColWidth="9.1640625" defaultRowHeight="11.25"/>
  <cols>
    <col min="1" max="1" width="4.83203125" style="40" customWidth="1"/>
    <col min="2" max="2" width="19.83203125" style="42" customWidth="1"/>
    <col min="3" max="3" width="9.1640625" style="42" customWidth="1"/>
    <col min="4" max="4" width="2.83203125" style="43" customWidth="1"/>
    <col min="5" max="5" width="51.83203125" style="40" customWidth="1"/>
    <col min="6" max="6" width="15.6640625" style="40" customWidth="1"/>
    <col min="7" max="7" width="16.83203125" style="40" customWidth="1"/>
    <col min="8" max="8" width="2.83203125" style="84" customWidth="1"/>
    <col min="9" max="14" width="9.1640625" style="40" customWidth="1"/>
    <col min="15" max="16384" width="9.1640625" style="40"/>
  </cols>
  <sheetData>
    <row r="1" spans="1:7" ht="11.25" customHeight="1">
      <c r="A1" s="92"/>
      <c r="E1" s="92"/>
      <c r="F1" s="131"/>
      <c r="G1" s="131"/>
    </row>
    <row r="2" spans="1:7" ht="15.75" customHeight="1">
      <c r="A2" s="169" t="s">
        <v>4723</v>
      </c>
      <c r="B2" s="161"/>
      <c r="C2" s="161"/>
      <c r="D2" s="170"/>
      <c r="E2" s="183"/>
      <c r="F2" s="172"/>
      <c r="G2" s="172"/>
    </row>
    <row r="3" spans="1:7" ht="15.75" customHeight="1">
      <c r="A3" s="173" t="s">
        <v>5238</v>
      </c>
      <c r="E3" s="92"/>
      <c r="F3" s="131"/>
      <c r="G3" s="131"/>
    </row>
    <row r="4" spans="1:7" ht="11.25" customHeight="1">
      <c r="A4" s="93" t="s">
        <v>5237</v>
      </c>
      <c r="E4" s="92"/>
      <c r="F4" s="131"/>
      <c r="G4" s="131"/>
    </row>
    <row r="5" spans="1:7" ht="11.25" customHeight="1">
      <c r="A5" s="92"/>
      <c r="E5" s="92"/>
      <c r="F5" s="131"/>
      <c r="G5" s="131"/>
    </row>
    <row r="6" spans="1:7" ht="15.75" customHeight="1">
      <c r="A6" s="113" t="s">
        <v>4918</v>
      </c>
      <c r="B6" s="42" t="s">
        <v>234</v>
      </c>
      <c r="C6" s="42" t="s">
        <v>506</v>
      </c>
      <c r="E6" s="113" t="s">
        <v>4066</v>
      </c>
      <c r="F6" s="175" t="s">
        <v>3673</v>
      </c>
      <c r="G6" s="175" t="s">
        <v>3676</v>
      </c>
    </row>
    <row r="7" spans="1:7" ht="11.25" customHeight="1">
      <c r="A7" s="177"/>
      <c r="E7" s="92"/>
      <c r="F7" s="131"/>
      <c r="G7" s="131"/>
    </row>
    <row r="8" spans="1:7" ht="31.5">
      <c r="A8" s="113">
        <v>1</v>
      </c>
      <c r="B8" s="42" t="s">
        <v>12968</v>
      </c>
      <c r="E8" s="79" t="s">
        <v>8685</v>
      </c>
      <c r="F8" s="126"/>
      <c r="G8" s="126">
        <v>1000000</v>
      </c>
    </row>
    <row r="9" spans="1:7" ht="31.5">
      <c r="A9" s="113">
        <v>2</v>
      </c>
      <c r="B9" s="42" t="s">
        <v>12969</v>
      </c>
      <c r="E9" s="79" t="s">
        <v>8686</v>
      </c>
      <c r="F9" s="126"/>
      <c r="G9" s="126">
        <v>10000000</v>
      </c>
    </row>
    <row r="10" spans="1:7" ht="15.75">
      <c r="A10" s="113">
        <v>3</v>
      </c>
      <c r="B10" s="42" t="s">
        <v>12970</v>
      </c>
      <c r="E10" s="87" t="s">
        <v>8687</v>
      </c>
      <c r="F10" s="126"/>
      <c r="G10" s="126">
        <v>2500000</v>
      </c>
    </row>
    <row r="11" spans="1:7" ht="15.75">
      <c r="A11" s="113">
        <v>4</v>
      </c>
      <c r="B11" s="42" t="s">
        <v>12971</v>
      </c>
      <c r="E11" s="87" t="s">
        <v>8688</v>
      </c>
      <c r="F11" s="126"/>
      <c r="G11" s="126">
        <v>2500000</v>
      </c>
    </row>
    <row r="12" spans="1:7" ht="15.75">
      <c r="A12" s="113">
        <v>5</v>
      </c>
      <c r="B12" s="42" t="s">
        <v>12972</v>
      </c>
      <c r="E12" s="87" t="s">
        <v>8689</v>
      </c>
      <c r="F12" s="126"/>
      <c r="G12" s="126">
        <v>2500000</v>
      </c>
    </row>
    <row r="13" spans="1:7" ht="11.25" customHeight="1">
      <c r="A13" s="177"/>
      <c r="E13" s="92"/>
      <c r="F13" s="131"/>
      <c r="G13" s="131"/>
    </row>
    <row r="14" spans="1:7" ht="15.75" customHeight="1">
      <c r="A14" s="178"/>
      <c r="B14" s="162"/>
      <c r="C14" s="162"/>
      <c r="D14" s="179"/>
      <c r="E14" s="184" t="str">
        <f>""&amp;TEXT(A2,"0")&amp;" एकूण"</f>
        <v>यादी क्र. एक्स१ एकूण</v>
      </c>
      <c r="F14" s="181">
        <f t="shared" ref="F14:G14" si="0">SUM(F8:F13)</f>
        <v>0</v>
      </c>
      <c r="G14" s="181">
        <f t="shared" si="0"/>
        <v>18500000</v>
      </c>
    </row>
    <row r="15" spans="1:7" ht="11.25" customHeight="1">
      <c r="A15" s="92"/>
      <c r="E15" s="92"/>
      <c r="F15" s="131"/>
      <c r="G15" s="131"/>
    </row>
    <row r="16" spans="1:7" ht="11.25" customHeight="1">
      <c r="A16" s="92"/>
      <c r="E16" s="92"/>
      <c r="F16" s="131"/>
      <c r="G16" s="131"/>
    </row>
    <row r="17" spans="1:8" ht="15.75">
      <c r="A17" s="169" t="s">
        <v>5234</v>
      </c>
      <c r="E17" s="92"/>
      <c r="F17" s="131"/>
      <c r="G17" s="131"/>
    </row>
    <row r="18" spans="1:8" ht="15.75">
      <c r="A18" s="173" t="s">
        <v>4722</v>
      </c>
      <c r="E18" s="92"/>
      <c r="F18" s="131"/>
      <c r="G18" s="131"/>
    </row>
    <row r="19" spans="1:8" ht="12">
      <c r="A19" s="93" t="s">
        <v>5235</v>
      </c>
      <c r="E19" s="92"/>
      <c r="F19" s="131"/>
      <c r="G19" s="131"/>
    </row>
    <row r="20" spans="1:8" ht="12">
      <c r="A20" s="92"/>
      <c r="E20" s="92"/>
      <c r="F20" s="131"/>
      <c r="G20" s="131"/>
    </row>
    <row r="21" spans="1:8" ht="15.75" customHeight="1">
      <c r="A21" s="113" t="s">
        <v>4918</v>
      </c>
      <c r="B21" s="42" t="s">
        <v>234</v>
      </c>
      <c r="C21" s="42" t="s">
        <v>506</v>
      </c>
      <c r="E21" s="113" t="s">
        <v>4066</v>
      </c>
      <c r="F21" s="175" t="s">
        <v>3673</v>
      </c>
      <c r="G21" s="175" t="s">
        <v>3676</v>
      </c>
    </row>
    <row r="22" spans="1:8" ht="12">
      <c r="A22" s="92"/>
      <c r="E22" s="92"/>
      <c r="F22" s="131"/>
      <c r="G22" s="131"/>
      <c r="H22" s="40"/>
    </row>
    <row r="23" spans="1:8" ht="31.5">
      <c r="A23" s="113">
        <v>1</v>
      </c>
      <c r="B23" s="42" t="s">
        <v>12973</v>
      </c>
      <c r="E23" s="79" t="s">
        <v>4617</v>
      </c>
      <c r="F23" s="126"/>
      <c r="G23" s="126">
        <v>4000000</v>
      </c>
      <c r="H23" s="40"/>
    </row>
    <row r="24" spans="1:8" ht="31.5">
      <c r="A24" s="113">
        <v>2</v>
      </c>
      <c r="B24" s="42" t="s">
        <v>12974</v>
      </c>
      <c r="E24" s="79" t="s">
        <v>8751</v>
      </c>
      <c r="F24" s="126"/>
      <c r="G24" s="126">
        <v>3000000</v>
      </c>
      <c r="H24" s="40"/>
    </row>
    <row r="25" spans="1:8" ht="15.75">
      <c r="A25" s="113">
        <v>3</v>
      </c>
      <c r="B25" s="42" t="s">
        <v>12975</v>
      </c>
      <c r="E25" s="87" t="s">
        <v>8752</v>
      </c>
      <c r="F25" s="126"/>
      <c r="G25" s="126">
        <v>5000000</v>
      </c>
      <c r="H25" s="40"/>
    </row>
    <row r="26" spans="1:8" ht="15.75">
      <c r="A26" s="113">
        <v>4</v>
      </c>
      <c r="B26" s="42" t="s">
        <v>12976</v>
      </c>
      <c r="E26" s="87" t="s">
        <v>4618</v>
      </c>
      <c r="F26" s="126"/>
      <c r="G26" s="126">
        <v>4000000</v>
      </c>
      <c r="H26" s="40"/>
    </row>
    <row r="27" spans="1:8" ht="15.75">
      <c r="A27" s="113">
        <v>5</v>
      </c>
      <c r="B27" s="42" t="s">
        <v>12977</v>
      </c>
      <c r="E27" s="87" t="s">
        <v>4619</v>
      </c>
      <c r="F27" s="126"/>
      <c r="G27" s="126">
        <v>4000000</v>
      </c>
      <c r="H27" s="40"/>
    </row>
    <row r="28" spans="1:8" ht="15.75">
      <c r="A28" s="113">
        <v>6</v>
      </c>
      <c r="B28" s="42" t="s">
        <v>12978</v>
      </c>
      <c r="E28" s="87" t="s">
        <v>4620</v>
      </c>
      <c r="F28" s="126"/>
      <c r="G28" s="126">
        <v>4000000</v>
      </c>
      <c r="H28" s="40"/>
    </row>
    <row r="29" spans="1:8" ht="15.75">
      <c r="A29" s="113">
        <v>7</v>
      </c>
      <c r="B29" s="42" t="s">
        <v>12979</v>
      </c>
      <c r="E29" s="87" t="s">
        <v>4621</v>
      </c>
      <c r="F29" s="126"/>
      <c r="G29" s="126">
        <v>4000000</v>
      </c>
      <c r="H29" s="40"/>
    </row>
    <row r="30" spans="1:8" ht="15.75">
      <c r="A30" s="113">
        <v>8</v>
      </c>
      <c r="B30" s="42" t="s">
        <v>12980</v>
      </c>
      <c r="E30" s="87" t="s">
        <v>4622</v>
      </c>
      <c r="F30" s="126"/>
      <c r="G30" s="126">
        <v>4000000</v>
      </c>
      <c r="H30" s="40"/>
    </row>
    <row r="31" spans="1:8" ht="47.25">
      <c r="A31" s="113">
        <v>9</v>
      </c>
      <c r="B31" s="42" t="s">
        <v>12981</v>
      </c>
      <c r="E31" s="79" t="s">
        <v>4623</v>
      </c>
      <c r="F31" s="126"/>
      <c r="G31" s="126">
        <v>4000000</v>
      </c>
      <c r="H31" s="40"/>
    </row>
    <row r="32" spans="1:8" ht="31.5">
      <c r="A32" s="113">
        <v>10</v>
      </c>
      <c r="B32" s="42" t="s">
        <v>12982</v>
      </c>
      <c r="E32" s="79" t="s">
        <v>4624</v>
      </c>
      <c r="F32" s="126"/>
      <c r="G32" s="126">
        <v>4000000</v>
      </c>
      <c r="H32" s="40"/>
    </row>
    <row r="33" spans="1:8" ht="31.5">
      <c r="A33" s="113">
        <v>11</v>
      </c>
      <c r="B33" s="42" t="s">
        <v>12983</v>
      </c>
      <c r="E33" s="79" t="s">
        <v>4625</v>
      </c>
      <c r="F33" s="126"/>
      <c r="G33" s="126">
        <v>4000000</v>
      </c>
      <c r="H33" s="40"/>
    </row>
    <row r="34" spans="1:8" ht="15.75">
      <c r="A34" s="113">
        <v>12</v>
      </c>
      <c r="B34" s="42" t="s">
        <v>12984</v>
      </c>
      <c r="E34" s="87" t="s">
        <v>4626</v>
      </c>
      <c r="F34" s="126"/>
      <c r="G34" s="126">
        <v>4000000</v>
      </c>
      <c r="H34" s="40"/>
    </row>
    <row r="35" spans="1:8" ht="31.5">
      <c r="A35" s="113">
        <v>13</v>
      </c>
      <c r="B35" s="42" t="s">
        <v>12985</v>
      </c>
      <c r="E35" s="79" t="s">
        <v>4627</v>
      </c>
      <c r="F35" s="126"/>
      <c r="G35" s="126">
        <v>4000000</v>
      </c>
      <c r="H35" s="40"/>
    </row>
    <row r="36" spans="1:8" ht="31.5">
      <c r="A36" s="113">
        <v>14</v>
      </c>
      <c r="B36" s="42" t="s">
        <v>12986</v>
      </c>
      <c r="E36" s="79" t="s">
        <v>4628</v>
      </c>
      <c r="F36" s="126"/>
      <c r="G36" s="126">
        <v>4000000</v>
      </c>
      <c r="H36" s="40"/>
    </row>
    <row r="37" spans="1:8" ht="47.25">
      <c r="A37" s="113">
        <v>15</v>
      </c>
      <c r="B37" s="42" t="s">
        <v>12987</v>
      </c>
      <c r="E37" s="79" t="s">
        <v>4629</v>
      </c>
      <c r="F37" s="126"/>
      <c r="G37" s="126">
        <v>4000000</v>
      </c>
      <c r="H37" s="40"/>
    </row>
    <row r="38" spans="1:8" ht="31.5">
      <c r="A38" s="113">
        <v>16</v>
      </c>
      <c r="B38" s="42" t="s">
        <v>12988</v>
      </c>
      <c r="E38" s="79" t="s">
        <v>4630</v>
      </c>
      <c r="F38" s="126"/>
      <c r="G38" s="126">
        <v>4000000</v>
      </c>
    </row>
    <row r="39" spans="1:8" ht="31.5">
      <c r="A39" s="113">
        <v>17</v>
      </c>
      <c r="B39" s="42" t="s">
        <v>12989</v>
      </c>
      <c r="E39" s="79" t="s">
        <v>4631</v>
      </c>
      <c r="F39" s="126"/>
      <c r="G39" s="126">
        <v>4000000</v>
      </c>
    </row>
    <row r="40" spans="1:8" ht="31.5">
      <c r="A40" s="113">
        <v>18</v>
      </c>
      <c r="B40" s="42" t="s">
        <v>12990</v>
      </c>
      <c r="E40" s="79" t="s">
        <v>4632</v>
      </c>
      <c r="F40" s="126"/>
      <c r="G40" s="126">
        <v>4000000</v>
      </c>
    </row>
    <row r="41" spans="1:8" ht="31.5">
      <c r="A41" s="113">
        <v>19</v>
      </c>
      <c r="B41" s="42" t="s">
        <v>12991</v>
      </c>
      <c r="E41" s="79" t="s">
        <v>4633</v>
      </c>
      <c r="F41" s="126"/>
      <c r="G41" s="126">
        <v>4000000</v>
      </c>
    </row>
    <row r="42" spans="1:8" ht="31.5">
      <c r="A42" s="113">
        <v>20</v>
      </c>
      <c r="B42" s="42" t="s">
        <v>12992</v>
      </c>
      <c r="E42" s="79" t="s">
        <v>4634</v>
      </c>
      <c r="F42" s="126"/>
      <c r="G42" s="126">
        <v>4000000</v>
      </c>
    </row>
    <row r="43" spans="1:8" ht="47.25">
      <c r="A43" s="113">
        <v>21</v>
      </c>
      <c r="B43" s="42" t="s">
        <v>12993</v>
      </c>
      <c r="E43" s="79" t="s">
        <v>4635</v>
      </c>
      <c r="F43" s="126"/>
      <c r="G43" s="126">
        <v>4000000</v>
      </c>
    </row>
    <row r="44" spans="1:8" ht="31.5">
      <c r="A44" s="113">
        <v>22</v>
      </c>
      <c r="B44" s="42" t="s">
        <v>12994</v>
      </c>
      <c r="E44" s="79" t="s">
        <v>8753</v>
      </c>
      <c r="F44" s="126"/>
      <c r="G44" s="126">
        <v>3000000</v>
      </c>
    </row>
    <row r="45" spans="1:8" ht="31.5">
      <c r="A45" s="113">
        <v>23</v>
      </c>
      <c r="B45" s="42" t="s">
        <v>12995</v>
      </c>
      <c r="E45" s="79" t="s">
        <v>8754</v>
      </c>
      <c r="F45" s="126"/>
      <c r="G45" s="126">
        <v>5000000</v>
      </c>
    </row>
    <row r="46" spans="1:8" ht="31.5">
      <c r="A46" s="113">
        <v>24</v>
      </c>
      <c r="B46" s="42" t="s">
        <v>12996</v>
      </c>
      <c r="E46" s="79" t="s">
        <v>8755</v>
      </c>
      <c r="F46" s="126"/>
      <c r="G46" s="126">
        <v>5000000</v>
      </c>
    </row>
    <row r="47" spans="1:8" ht="31.5">
      <c r="A47" s="113">
        <v>25</v>
      </c>
      <c r="B47" s="42" t="s">
        <v>12997</v>
      </c>
      <c r="E47" s="79" t="s">
        <v>8756</v>
      </c>
      <c r="F47" s="126"/>
      <c r="G47" s="126">
        <v>5000000</v>
      </c>
    </row>
    <row r="48" spans="1:8" ht="31.5">
      <c r="A48" s="113">
        <v>26</v>
      </c>
      <c r="B48" s="42" t="s">
        <v>12998</v>
      </c>
      <c r="E48" s="79" t="s">
        <v>8757</v>
      </c>
      <c r="F48" s="126"/>
      <c r="G48" s="126">
        <v>5000000</v>
      </c>
    </row>
    <row r="49" spans="1:7" ht="12">
      <c r="A49" s="92"/>
      <c r="E49" s="92"/>
      <c r="F49" s="131"/>
      <c r="G49" s="131"/>
    </row>
    <row r="50" spans="1:7" ht="15.75">
      <c r="A50" s="178"/>
      <c r="B50" s="162"/>
      <c r="C50" s="162"/>
      <c r="D50" s="179"/>
      <c r="E50" s="184" t="str">
        <f>""&amp;TEXT(A17,"0")&amp;" एकूण"</f>
        <v>यादी क्र. एक्स2 एकूण</v>
      </c>
      <c r="F50" s="181">
        <f t="shared" ref="F50:G50" si="1">SUM(F23:F49)</f>
        <v>0</v>
      </c>
      <c r="G50" s="181">
        <f t="shared" si="1"/>
        <v>107000000</v>
      </c>
    </row>
    <row r="51" spans="1:7" ht="11.25" customHeight="1">
      <c r="A51" s="92"/>
      <c r="E51" s="92"/>
      <c r="F51" s="131"/>
      <c r="G51" s="131"/>
    </row>
  </sheetData>
  <printOptions horizontalCentered="1" gridLines="1" gridLinesSet="0"/>
  <pageMargins left="0.5" right="0.5" top="0.7" bottom="1.5" header="0.5" footer="0.5"/>
  <pageSetup paperSize="5" firstPageNumber="144" orientation="portrait" blackAndWhite="1" useFirstPageNumber="1" r:id="rId1"/>
  <headerFooter alignWithMargins="0">
    <oddHeader xml:space="preserve">&amp;C &amp;P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6" codeName="Sheet37">
    <tabColor indexed="40"/>
  </sheetPr>
  <dimension ref="A1:AB80"/>
  <sheetViews>
    <sheetView showZeros="0" zoomScaleNormal="100" zoomScaleSheetLayoutView="100" workbookViewId="0">
      <pane ySplit="5" topLeftCell="A6" activePane="bottomLeft" state="frozen"/>
      <selection pane="bottomLeft" activeCell="A6" sqref="A6"/>
    </sheetView>
  </sheetViews>
  <sheetFormatPr defaultColWidth="9.33203125" defaultRowHeight="11.25"/>
  <cols>
    <col min="1" max="1" width="4.83203125" style="26" customWidth="1"/>
    <col min="2" max="2" width="12.83203125" style="26" customWidth="1"/>
    <col min="3" max="3" width="4.33203125" style="26" customWidth="1"/>
    <col min="4" max="4" width="4.5" style="26" customWidth="1"/>
    <col min="5" max="5" width="50.83203125" style="26" customWidth="1"/>
    <col min="6" max="6" width="50.83203125" style="109" hidden="1" customWidth="1"/>
    <col min="7" max="7" width="12.83203125" style="26" customWidth="1"/>
    <col min="8" max="9" width="15.33203125" style="26" customWidth="1"/>
    <col min="10" max="15" width="16.83203125" style="26" customWidth="1"/>
    <col min="16" max="16" width="19.83203125" style="26" customWidth="1"/>
    <col min="17" max="16384" width="9.33203125" style="26"/>
  </cols>
  <sheetData>
    <row r="1" spans="1:28" ht="16.5">
      <c r="A1" s="316" t="s">
        <v>13061</v>
      </c>
      <c r="B1" s="316"/>
      <c r="C1" s="316"/>
      <c r="D1" s="316"/>
      <c r="E1" s="316"/>
      <c r="F1" s="316"/>
      <c r="G1" s="316"/>
      <c r="H1" s="316"/>
      <c r="I1" s="316"/>
      <c r="J1" s="322" t="s">
        <v>3669</v>
      </c>
      <c r="K1" s="322"/>
      <c r="L1" s="322"/>
      <c r="M1" s="322"/>
      <c r="N1" s="322"/>
      <c r="O1" s="322"/>
      <c r="P1" s="322"/>
    </row>
    <row r="2" spans="1:28" ht="16.5" customHeight="1">
      <c r="A2" s="315" t="s">
        <v>3663</v>
      </c>
      <c r="B2" s="317" t="s">
        <v>3664</v>
      </c>
      <c r="C2" s="315" t="s">
        <v>3665</v>
      </c>
      <c r="D2" s="323" t="s">
        <v>1045</v>
      </c>
      <c r="E2" s="317" t="s">
        <v>3662</v>
      </c>
      <c r="F2" s="319" t="s">
        <v>924</v>
      </c>
      <c r="G2" s="318" t="s">
        <v>13062</v>
      </c>
      <c r="H2" s="318"/>
      <c r="I2" s="318"/>
      <c r="J2" s="318" t="s">
        <v>13063</v>
      </c>
      <c r="K2" s="325" t="s">
        <v>13064</v>
      </c>
      <c r="L2" s="325"/>
      <c r="M2" s="325" t="s">
        <v>13065</v>
      </c>
      <c r="N2" s="325"/>
      <c r="O2" s="325" t="s">
        <v>13066</v>
      </c>
      <c r="P2" s="324" t="s">
        <v>3673</v>
      </c>
    </row>
    <row r="3" spans="1:28" ht="15.75" customHeight="1">
      <c r="A3" s="315"/>
      <c r="B3" s="317"/>
      <c r="C3" s="315"/>
      <c r="D3" s="323"/>
      <c r="E3" s="317"/>
      <c r="F3" s="320"/>
      <c r="G3" s="324" t="s">
        <v>3666</v>
      </c>
      <c r="H3" s="324" t="s">
        <v>3667</v>
      </c>
      <c r="I3" s="324" t="s">
        <v>3668</v>
      </c>
      <c r="J3" s="318"/>
      <c r="K3" s="324" t="s">
        <v>3670</v>
      </c>
      <c r="L3" s="324" t="s">
        <v>3671</v>
      </c>
      <c r="M3" s="324" t="s">
        <v>3666</v>
      </c>
      <c r="N3" s="324" t="s">
        <v>3672</v>
      </c>
      <c r="O3" s="325"/>
      <c r="P3" s="324"/>
    </row>
    <row r="4" spans="1:28" ht="15.75" customHeight="1">
      <c r="A4" s="315"/>
      <c r="B4" s="317"/>
      <c r="C4" s="315"/>
      <c r="D4" s="323"/>
      <c r="E4" s="317"/>
      <c r="F4" s="320"/>
      <c r="G4" s="324"/>
      <c r="H4" s="324"/>
      <c r="I4" s="324"/>
      <c r="J4" s="318"/>
      <c r="K4" s="324"/>
      <c r="L4" s="324"/>
      <c r="M4" s="324"/>
      <c r="N4" s="324"/>
      <c r="O4" s="325"/>
      <c r="P4" s="324"/>
    </row>
    <row r="5" spans="1:28" ht="15.75" customHeight="1">
      <c r="A5" s="315"/>
      <c r="B5" s="317"/>
      <c r="C5" s="315"/>
      <c r="D5" s="323"/>
      <c r="E5" s="317"/>
      <c r="F5" s="321"/>
      <c r="G5" s="324"/>
      <c r="H5" s="324"/>
      <c r="I5" s="324"/>
      <c r="J5" s="318"/>
      <c r="K5" s="324"/>
      <c r="L5" s="324"/>
      <c r="M5" s="324"/>
      <c r="N5" s="324"/>
      <c r="O5" s="325"/>
      <c r="P5" s="324"/>
    </row>
    <row r="6" spans="1:28" s="40" customFormat="1" ht="15.75">
      <c r="A6" s="37"/>
      <c r="B6" s="27"/>
      <c r="C6" s="38"/>
      <c r="D6" s="38"/>
      <c r="E6" s="231"/>
      <c r="F6" s="107"/>
      <c r="G6" s="119"/>
      <c r="H6" s="119"/>
      <c r="I6" s="216"/>
      <c r="J6" s="119"/>
      <c r="K6" s="216"/>
      <c r="L6" s="126"/>
      <c r="M6" s="126"/>
      <c r="N6" s="119"/>
      <c r="O6" s="216"/>
      <c r="P6" s="126"/>
    </row>
    <row r="7" spans="1:28" s="40" customFormat="1" ht="15.75">
      <c r="A7" s="37"/>
      <c r="B7" s="27"/>
      <c r="C7" s="38"/>
      <c r="D7" s="38"/>
      <c r="E7" s="231"/>
      <c r="F7" s="107"/>
      <c r="G7" s="119"/>
      <c r="H7" s="119"/>
      <c r="I7" s="216"/>
      <c r="J7" s="119"/>
      <c r="K7" s="216"/>
      <c r="L7" s="126"/>
      <c r="M7" s="126"/>
      <c r="N7" s="119"/>
      <c r="O7" s="216"/>
      <c r="P7" s="126"/>
    </row>
    <row r="8" spans="1:28" s="40" customFormat="1">
      <c r="F8" s="236"/>
      <c r="G8" s="131"/>
      <c r="H8" s="131"/>
      <c r="I8" s="131"/>
      <c r="J8" s="131"/>
      <c r="K8" s="131"/>
      <c r="L8" s="131"/>
      <c r="M8" s="131"/>
      <c r="N8" s="119"/>
      <c r="O8" s="216"/>
      <c r="P8" s="126"/>
      <c r="Q8" s="131"/>
      <c r="R8" s="131"/>
      <c r="S8" s="131"/>
      <c r="T8" s="131"/>
      <c r="U8" s="131"/>
      <c r="V8" s="131"/>
      <c r="W8" s="131"/>
      <c r="X8" s="131"/>
      <c r="Y8" s="131"/>
      <c r="Z8" s="131"/>
      <c r="AA8" s="131"/>
      <c r="AB8" s="131"/>
    </row>
    <row r="9" spans="1:28" s="40" customFormat="1" ht="15.75">
      <c r="A9" s="252"/>
      <c r="B9" s="27"/>
      <c r="C9" s="38"/>
      <c r="D9" s="38"/>
      <c r="E9" s="47" t="s">
        <v>5095</v>
      </c>
      <c r="F9" s="107" t="s">
        <v>7787</v>
      </c>
      <c r="G9" s="119">
        <v>0</v>
      </c>
      <c r="H9" s="119">
        <v>0</v>
      </c>
      <c r="I9" s="216">
        <v>0</v>
      </c>
      <c r="J9" s="119">
        <v>0</v>
      </c>
      <c r="K9" s="216">
        <v>0</v>
      </c>
      <c r="L9" s="126">
        <v>0</v>
      </c>
      <c r="M9" s="126"/>
      <c r="N9" s="119">
        <v>0</v>
      </c>
      <c r="O9" s="216">
        <v>0</v>
      </c>
      <c r="P9" s="126"/>
      <c r="Q9" s="131"/>
      <c r="R9" s="131"/>
      <c r="S9" s="131"/>
      <c r="T9" s="131"/>
      <c r="U9" s="131"/>
      <c r="V9" s="131"/>
      <c r="W9" s="131"/>
      <c r="X9" s="131"/>
      <c r="Y9" s="131"/>
      <c r="Z9" s="131"/>
      <c r="AA9" s="131"/>
      <c r="AB9" s="131"/>
    </row>
    <row r="10" spans="1:28" s="40" customFormat="1" ht="12">
      <c r="A10" s="92"/>
      <c r="E10" s="92"/>
      <c r="F10" s="236"/>
      <c r="G10" s="119">
        <v>0</v>
      </c>
      <c r="H10" s="119">
        <v>0</v>
      </c>
      <c r="I10" s="216">
        <v>0</v>
      </c>
      <c r="J10" s="119">
        <v>0</v>
      </c>
      <c r="K10" s="216">
        <v>0</v>
      </c>
      <c r="L10" s="126">
        <v>0</v>
      </c>
      <c r="M10" s="126"/>
      <c r="N10" s="119">
        <v>0</v>
      </c>
      <c r="O10" s="216">
        <v>0</v>
      </c>
      <c r="P10" s="126"/>
      <c r="Q10" s="131"/>
      <c r="R10" s="131"/>
      <c r="S10" s="131"/>
      <c r="T10" s="131"/>
      <c r="U10" s="131"/>
      <c r="V10" s="131"/>
      <c r="W10" s="131"/>
      <c r="X10" s="131"/>
      <c r="Y10" s="131"/>
      <c r="Z10" s="131"/>
      <c r="AA10" s="131"/>
      <c r="AB10" s="131"/>
    </row>
    <row r="11" spans="1:28" s="40" customFormat="1" ht="15.75">
      <c r="A11" s="252">
        <v>1</v>
      </c>
      <c r="B11" s="27" t="s">
        <v>4855</v>
      </c>
      <c r="C11" s="38"/>
      <c r="D11" s="38"/>
      <c r="E11" s="47" t="s">
        <v>4390</v>
      </c>
      <c r="F11" s="107" t="s">
        <v>7788</v>
      </c>
      <c r="G11" s="119">
        <v>0</v>
      </c>
      <c r="H11" s="119">
        <v>5496269133</v>
      </c>
      <c r="I11" s="216">
        <v>5496269133</v>
      </c>
      <c r="J11" s="119">
        <v>4669524133</v>
      </c>
      <c r="K11" s="216">
        <v>826745000</v>
      </c>
      <c r="L11" s="126">
        <v>0</v>
      </c>
      <c r="M11" s="126"/>
      <c r="N11" s="119">
        <v>221100000</v>
      </c>
      <c r="O11" s="216">
        <v>221100000</v>
      </c>
      <c r="P11" s="126"/>
      <c r="Q11" s="131"/>
      <c r="R11" s="131"/>
      <c r="S11" s="131"/>
      <c r="T11" s="131"/>
      <c r="U11" s="131"/>
      <c r="V11" s="131"/>
      <c r="W11" s="131"/>
      <c r="X11" s="131"/>
      <c r="Y11" s="131"/>
      <c r="Z11" s="131"/>
      <c r="AA11" s="131"/>
      <c r="AB11" s="131"/>
    </row>
    <row r="12" spans="1:28" s="40" customFormat="1" ht="15.75">
      <c r="A12" s="252">
        <v>2</v>
      </c>
      <c r="B12" s="27" t="s">
        <v>329</v>
      </c>
      <c r="C12" s="38"/>
      <c r="D12" s="38"/>
      <c r="E12" s="47" t="s">
        <v>4392</v>
      </c>
      <c r="F12" s="107" t="s">
        <v>7789</v>
      </c>
      <c r="G12" s="119">
        <v>0</v>
      </c>
      <c r="H12" s="119">
        <v>307505020</v>
      </c>
      <c r="I12" s="216">
        <v>307505020</v>
      </c>
      <c r="J12" s="119">
        <v>78145020</v>
      </c>
      <c r="K12" s="216">
        <v>229360000</v>
      </c>
      <c r="L12" s="126">
        <v>0</v>
      </c>
      <c r="M12" s="126"/>
      <c r="N12" s="119">
        <v>341000000</v>
      </c>
      <c r="O12" s="216">
        <v>341000000</v>
      </c>
      <c r="P12" s="126"/>
      <c r="Q12" s="131"/>
      <c r="R12" s="131"/>
      <c r="S12" s="131"/>
      <c r="T12" s="131"/>
      <c r="U12" s="131"/>
      <c r="V12" s="131"/>
      <c r="W12" s="131"/>
      <c r="X12" s="131"/>
      <c r="Y12" s="131"/>
      <c r="Z12" s="131"/>
      <c r="AA12" s="131"/>
      <c r="AB12" s="131"/>
    </row>
    <row r="13" spans="1:28" s="40" customFormat="1" ht="31.5">
      <c r="A13" s="252">
        <v>3</v>
      </c>
      <c r="B13" s="27" t="s">
        <v>753</v>
      </c>
      <c r="C13" s="38"/>
      <c r="D13" s="38"/>
      <c r="E13" s="47" t="s">
        <v>4391</v>
      </c>
      <c r="F13" s="107" t="s">
        <v>7790</v>
      </c>
      <c r="G13" s="119">
        <v>0</v>
      </c>
      <c r="H13" s="119">
        <v>417787558</v>
      </c>
      <c r="I13" s="216">
        <v>417787558</v>
      </c>
      <c r="J13" s="119">
        <v>314067558</v>
      </c>
      <c r="K13" s="216">
        <v>103720000</v>
      </c>
      <c r="L13" s="126">
        <v>0</v>
      </c>
      <c r="M13" s="126"/>
      <c r="N13" s="119">
        <v>152300000</v>
      </c>
      <c r="O13" s="216">
        <v>152300000</v>
      </c>
      <c r="P13" s="126"/>
      <c r="Q13" s="131"/>
      <c r="R13" s="131"/>
      <c r="S13" s="131"/>
      <c r="T13" s="131"/>
      <c r="U13" s="131"/>
      <c r="V13" s="131"/>
      <c r="W13" s="131"/>
      <c r="X13" s="131"/>
      <c r="Y13" s="131"/>
      <c r="Z13" s="131"/>
      <c r="AA13" s="131"/>
      <c r="AB13" s="131"/>
    </row>
    <row r="14" spans="1:28" s="40" customFormat="1" ht="31.5">
      <c r="A14" s="37">
        <v>4</v>
      </c>
      <c r="B14" s="27" t="s">
        <v>775</v>
      </c>
      <c r="C14" s="38"/>
      <c r="D14" s="215"/>
      <c r="E14" s="47" t="s">
        <v>4872</v>
      </c>
      <c r="F14" s="107" t="s">
        <v>7000</v>
      </c>
      <c r="G14" s="119">
        <v>0</v>
      </c>
      <c r="H14" s="119">
        <v>962850882</v>
      </c>
      <c r="I14" s="216">
        <v>962850882</v>
      </c>
      <c r="J14" s="119">
        <v>962850882</v>
      </c>
      <c r="K14" s="216">
        <v>0</v>
      </c>
      <c r="L14" s="126"/>
      <c r="M14" s="126"/>
      <c r="N14" s="119">
        <v>0</v>
      </c>
      <c r="O14" s="216">
        <v>0</v>
      </c>
      <c r="P14" s="126"/>
      <c r="Q14" s="131"/>
      <c r="R14" s="131"/>
      <c r="S14" s="131"/>
      <c r="T14" s="131"/>
      <c r="U14" s="131"/>
      <c r="V14" s="131"/>
      <c r="W14" s="131"/>
      <c r="X14" s="131"/>
      <c r="Y14" s="131"/>
      <c r="Z14" s="131"/>
      <c r="AA14" s="131"/>
      <c r="AB14" s="131"/>
    </row>
    <row r="15" spans="1:28" s="40" customFormat="1" ht="31.5">
      <c r="A15" s="252">
        <v>5</v>
      </c>
      <c r="B15" s="27" t="s">
        <v>775</v>
      </c>
      <c r="C15" s="38"/>
      <c r="D15" s="215"/>
      <c r="E15" s="47" t="s">
        <v>4873</v>
      </c>
      <c r="F15" s="107" t="s">
        <v>7001</v>
      </c>
      <c r="G15" s="119">
        <v>0</v>
      </c>
      <c r="H15" s="119">
        <v>1365768924</v>
      </c>
      <c r="I15" s="216">
        <v>1365768924</v>
      </c>
      <c r="J15" s="119">
        <v>1365768924</v>
      </c>
      <c r="K15" s="216">
        <v>0</v>
      </c>
      <c r="L15" s="126">
        <v>0</v>
      </c>
      <c r="M15" s="126"/>
      <c r="N15" s="119">
        <v>0</v>
      </c>
      <c r="O15" s="216">
        <v>0</v>
      </c>
      <c r="P15" s="126"/>
      <c r="Q15" s="131"/>
      <c r="R15" s="131"/>
      <c r="S15" s="131"/>
      <c r="T15" s="131"/>
      <c r="U15" s="131"/>
      <c r="V15" s="131"/>
      <c r="W15" s="131"/>
      <c r="X15" s="131"/>
      <c r="Y15" s="131"/>
      <c r="Z15" s="131"/>
      <c r="AA15" s="131"/>
      <c r="AB15" s="131"/>
    </row>
    <row r="16" spans="1:28" s="40" customFormat="1" ht="12">
      <c r="A16" s="92"/>
      <c r="E16" s="92"/>
      <c r="F16" s="236"/>
      <c r="G16" s="119">
        <v>0</v>
      </c>
      <c r="H16" s="119">
        <v>0</v>
      </c>
      <c r="I16" s="216">
        <v>0</v>
      </c>
      <c r="J16" s="119">
        <v>0</v>
      </c>
      <c r="K16" s="216">
        <v>0</v>
      </c>
      <c r="L16" s="126">
        <v>0</v>
      </c>
      <c r="M16" s="126"/>
      <c r="N16" s="119">
        <v>0</v>
      </c>
      <c r="O16" s="216">
        <v>0</v>
      </c>
      <c r="P16" s="126"/>
      <c r="Q16" s="131"/>
      <c r="R16" s="131"/>
      <c r="S16" s="131"/>
      <c r="T16" s="131"/>
      <c r="U16" s="131"/>
      <c r="V16" s="131"/>
      <c r="W16" s="131"/>
      <c r="X16" s="131"/>
      <c r="Y16" s="131"/>
      <c r="Z16" s="131"/>
      <c r="AA16" s="131"/>
      <c r="AB16" s="131"/>
    </row>
    <row r="17" spans="1:28" s="40" customFormat="1" ht="15.75">
      <c r="A17" s="252"/>
      <c r="B17" s="27"/>
      <c r="C17" s="38"/>
      <c r="D17" s="38"/>
      <c r="E17" s="217" t="s">
        <v>5065</v>
      </c>
      <c r="F17" s="234" t="s">
        <v>7791</v>
      </c>
      <c r="G17" s="119">
        <v>0</v>
      </c>
      <c r="H17" s="119">
        <v>8550181517</v>
      </c>
      <c r="I17" s="216">
        <v>8550181517</v>
      </c>
      <c r="J17" s="119">
        <v>7390356517</v>
      </c>
      <c r="K17" s="216">
        <v>1159825000</v>
      </c>
      <c r="L17" s="126">
        <v>0</v>
      </c>
      <c r="M17" s="126"/>
      <c r="N17" s="119">
        <v>714400000</v>
      </c>
      <c r="O17" s="216">
        <v>714400000</v>
      </c>
      <c r="P17" s="126"/>
      <c r="Q17" s="131"/>
      <c r="R17" s="131"/>
      <c r="S17" s="131"/>
      <c r="T17" s="131"/>
      <c r="U17" s="131"/>
      <c r="V17" s="131"/>
      <c r="W17" s="131"/>
      <c r="X17" s="131"/>
      <c r="Y17" s="131"/>
      <c r="Z17" s="131"/>
      <c r="AA17" s="131"/>
      <c r="AB17" s="131"/>
    </row>
    <row r="18" spans="1:28" s="40" customFormat="1" ht="15.75">
      <c r="A18" s="252"/>
      <c r="B18" s="27"/>
      <c r="C18" s="38"/>
      <c r="D18" s="38"/>
      <c r="E18" s="47"/>
      <c r="F18" s="107"/>
      <c r="G18" s="119">
        <v>0</v>
      </c>
      <c r="H18" s="119">
        <v>0</v>
      </c>
      <c r="I18" s="216">
        <v>0</v>
      </c>
      <c r="J18" s="119">
        <v>0</v>
      </c>
      <c r="K18" s="216">
        <v>0</v>
      </c>
      <c r="L18" s="126">
        <v>0</v>
      </c>
      <c r="M18" s="126"/>
      <c r="N18" s="119">
        <v>0</v>
      </c>
      <c r="O18" s="216">
        <v>0</v>
      </c>
      <c r="P18" s="126"/>
      <c r="Q18" s="131"/>
      <c r="R18" s="131"/>
      <c r="S18" s="131"/>
      <c r="T18" s="131"/>
      <c r="U18" s="131"/>
      <c r="V18" s="131"/>
      <c r="W18" s="131"/>
      <c r="X18" s="131"/>
      <c r="Y18" s="131"/>
      <c r="Z18" s="131"/>
      <c r="AA18" s="131"/>
      <c r="AB18" s="131"/>
    </row>
    <row r="19" spans="1:28" s="40" customFormat="1" ht="15.75">
      <c r="A19" s="252"/>
      <c r="B19" s="27"/>
      <c r="C19" s="38"/>
      <c r="D19" s="38"/>
      <c r="E19" s="47"/>
      <c r="F19" s="107"/>
      <c r="G19" s="119">
        <v>0</v>
      </c>
      <c r="H19" s="119">
        <v>0</v>
      </c>
      <c r="I19" s="216">
        <v>0</v>
      </c>
      <c r="J19" s="119">
        <v>0</v>
      </c>
      <c r="K19" s="216">
        <v>0</v>
      </c>
      <c r="L19" s="126">
        <v>0</v>
      </c>
      <c r="M19" s="126"/>
      <c r="N19" s="119">
        <v>0</v>
      </c>
      <c r="O19" s="216">
        <v>0</v>
      </c>
      <c r="P19" s="126"/>
      <c r="Q19" s="131"/>
      <c r="R19" s="131"/>
      <c r="S19" s="131"/>
      <c r="T19" s="131"/>
      <c r="U19" s="131"/>
      <c r="V19" s="131"/>
      <c r="W19" s="131"/>
      <c r="X19" s="131"/>
      <c r="Y19" s="131"/>
      <c r="Z19" s="131"/>
      <c r="AA19" s="131"/>
      <c r="AB19" s="131"/>
    </row>
    <row r="20" spans="1:28" s="40" customFormat="1" ht="15.75">
      <c r="A20" s="252"/>
      <c r="B20" s="27"/>
      <c r="C20" s="38"/>
      <c r="D20" s="38"/>
      <c r="E20" s="47" t="s">
        <v>5096</v>
      </c>
      <c r="F20" s="107" t="s">
        <v>7792</v>
      </c>
      <c r="G20" s="119">
        <v>0</v>
      </c>
      <c r="H20" s="119">
        <v>0</v>
      </c>
      <c r="I20" s="216">
        <v>0</v>
      </c>
      <c r="J20" s="119">
        <v>0</v>
      </c>
      <c r="K20" s="216">
        <v>0</v>
      </c>
      <c r="L20" s="126">
        <v>0</v>
      </c>
      <c r="M20" s="126"/>
      <c r="N20" s="119">
        <v>0</v>
      </c>
      <c r="O20" s="216">
        <v>0</v>
      </c>
      <c r="P20" s="126"/>
      <c r="Q20" s="131"/>
      <c r="R20" s="131"/>
      <c r="S20" s="131"/>
      <c r="T20" s="131"/>
      <c r="U20" s="131"/>
      <c r="V20" s="131"/>
      <c r="W20" s="131"/>
      <c r="X20" s="131"/>
      <c r="Y20" s="131"/>
      <c r="Z20" s="131"/>
      <c r="AA20" s="131"/>
      <c r="AB20" s="131"/>
    </row>
    <row r="21" spans="1:28" s="40" customFormat="1" ht="15.75">
      <c r="A21" s="252"/>
      <c r="B21" s="27"/>
      <c r="C21" s="38"/>
      <c r="D21" s="38"/>
      <c r="E21" s="47"/>
      <c r="F21" s="107"/>
      <c r="G21" s="119">
        <v>0</v>
      </c>
      <c r="H21" s="119">
        <v>0</v>
      </c>
      <c r="I21" s="216">
        <v>0</v>
      </c>
      <c r="J21" s="119">
        <v>0</v>
      </c>
      <c r="K21" s="216">
        <v>0</v>
      </c>
      <c r="L21" s="126">
        <v>0</v>
      </c>
      <c r="M21" s="126"/>
      <c r="N21" s="119">
        <v>0</v>
      </c>
      <c r="O21" s="216">
        <v>0</v>
      </c>
      <c r="P21" s="126"/>
      <c r="Q21" s="131"/>
      <c r="R21" s="131"/>
      <c r="S21" s="131"/>
      <c r="T21" s="131"/>
      <c r="U21" s="131"/>
      <c r="V21" s="131"/>
      <c r="W21" s="131"/>
      <c r="X21" s="131"/>
      <c r="Y21" s="131"/>
      <c r="Z21" s="131"/>
      <c r="AA21" s="131"/>
      <c r="AB21" s="131"/>
    </row>
    <row r="22" spans="1:28" s="40" customFormat="1" ht="15.75">
      <c r="A22" s="252">
        <v>1</v>
      </c>
      <c r="B22" s="27" t="s">
        <v>4397</v>
      </c>
      <c r="C22" s="38"/>
      <c r="D22" s="38"/>
      <c r="E22" s="47" t="s">
        <v>4399</v>
      </c>
      <c r="F22" s="107" t="s">
        <v>7793</v>
      </c>
      <c r="G22" s="119">
        <v>0</v>
      </c>
      <c r="H22" s="119">
        <v>3042858035</v>
      </c>
      <c r="I22" s="216">
        <v>3042858035</v>
      </c>
      <c r="J22" s="119">
        <v>3384378114</v>
      </c>
      <c r="K22" s="216">
        <v>-341520079</v>
      </c>
      <c r="L22" s="126">
        <v>0</v>
      </c>
      <c r="M22" s="126"/>
      <c r="N22" s="119">
        <v>101400000</v>
      </c>
      <c r="O22" s="216">
        <v>101400000</v>
      </c>
      <c r="P22" s="126"/>
      <c r="Q22" s="131"/>
      <c r="R22" s="131"/>
      <c r="S22" s="131"/>
      <c r="T22" s="131"/>
      <c r="U22" s="131"/>
      <c r="V22" s="131"/>
      <c r="W22" s="131"/>
      <c r="X22" s="131"/>
      <c r="Y22" s="131"/>
      <c r="Z22" s="131"/>
      <c r="AA22" s="131"/>
      <c r="AB22" s="131"/>
    </row>
    <row r="23" spans="1:28" s="40" customFormat="1" ht="31.5">
      <c r="A23" s="252">
        <v>2</v>
      </c>
      <c r="B23" s="27" t="s">
        <v>4398</v>
      </c>
      <c r="C23" s="38"/>
      <c r="D23" s="38"/>
      <c r="E23" s="47" t="s">
        <v>4394</v>
      </c>
      <c r="F23" s="107" t="s">
        <v>7794</v>
      </c>
      <c r="G23" s="119">
        <v>0</v>
      </c>
      <c r="H23" s="119">
        <v>84000000</v>
      </c>
      <c r="I23" s="216">
        <v>84000000</v>
      </c>
      <c r="J23" s="119">
        <v>0</v>
      </c>
      <c r="K23" s="216">
        <v>84000000</v>
      </c>
      <c r="L23" s="126">
        <v>0</v>
      </c>
      <c r="M23" s="126"/>
      <c r="N23" s="119">
        <v>9500000</v>
      </c>
      <c r="O23" s="216">
        <v>9500000</v>
      </c>
      <c r="P23" s="126"/>
      <c r="Q23" s="131"/>
      <c r="R23" s="131"/>
      <c r="S23" s="131"/>
      <c r="T23" s="131"/>
      <c r="U23" s="131"/>
      <c r="V23" s="131"/>
      <c r="W23" s="131"/>
      <c r="X23" s="131"/>
      <c r="Y23" s="131"/>
      <c r="Z23" s="131"/>
      <c r="AA23" s="131"/>
      <c r="AB23" s="131"/>
    </row>
    <row r="24" spans="1:28" s="40" customFormat="1" ht="15.75">
      <c r="A24" s="252">
        <v>2</v>
      </c>
      <c r="B24" s="27" t="s">
        <v>240</v>
      </c>
      <c r="C24" s="38"/>
      <c r="D24" s="38"/>
      <c r="E24" s="47" t="s">
        <v>4395</v>
      </c>
      <c r="F24" s="107" t="s">
        <v>7795</v>
      </c>
      <c r="G24" s="119">
        <v>0</v>
      </c>
      <c r="H24" s="119">
        <v>46226691</v>
      </c>
      <c r="I24" s="216">
        <v>46226691</v>
      </c>
      <c r="J24" s="119">
        <v>12066691</v>
      </c>
      <c r="K24" s="216">
        <v>34160000</v>
      </c>
      <c r="L24" s="126">
        <v>0</v>
      </c>
      <c r="M24" s="126"/>
      <c r="N24" s="119">
        <v>0</v>
      </c>
      <c r="O24" s="216">
        <v>0</v>
      </c>
      <c r="P24" s="126"/>
      <c r="Q24" s="131"/>
      <c r="R24" s="131"/>
      <c r="S24" s="131"/>
      <c r="T24" s="131"/>
      <c r="U24" s="131"/>
      <c r="V24" s="131"/>
      <c r="W24" s="131"/>
      <c r="X24" s="131"/>
      <c r="Y24" s="131"/>
      <c r="Z24" s="131"/>
      <c r="AA24" s="131"/>
      <c r="AB24" s="131"/>
    </row>
    <row r="25" spans="1:28" s="40" customFormat="1" ht="31.5">
      <c r="A25" s="252">
        <v>3</v>
      </c>
      <c r="B25" s="27" t="s">
        <v>4467</v>
      </c>
      <c r="C25" s="38"/>
      <c r="D25" s="38"/>
      <c r="E25" s="47" t="s">
        <v>4396</v>
      </c>
      <c r="F25" s="107" t="s">
        <v>7796</v>
      </c>
      <c r="G25" s="119">
        <v>0</v>
      </c>
      <c r="H25" s="119">
        <v>62448000</v>
      </c>
      <c r="I25" s="216">
        <v>62448000</v>
      </c>
      <c r="J25" s="119">
        <v>0</v>
      </c>
      <c r="K25" s="216">
        <v>62448000</v>
      </c>
      <c r="L25" s="126">
        <v>0</v>
      </c>
      <c r="M25" s="126"/>
      <c r="N25" s="119">
        <v>25000000</v>
      </c>
      <c r="O25" s="216">
        <v>25000000</v>
      </c>
      <c r="P25" s="126"/>
      <c r="Q25" s="131"/>
      <c r="R25" s="131"/>
      <c r="S25" s="131"/>
      <c r="T25" s="131"/>
      <c r="U25" s="131"/>
      <c r="V25" s="131"/>
      <c r="W25" s="131"/>
      <c r="X25" s="131"/>
      <c r="Y25" s="131"/>
      <c r="Z25" s="131"/>
      <c r="AA25" s="131"/>
      <c r="AB25" s="131"/>
    </row>
    <row r="26" spans="1:28" s="40" customFormat="1" ht="31.5">
      <c r="A26" s="37"/>
      <c r="B26" s="27" t="s">
        <v>775</v>
      </c>
      <c r="C26" s="38"/>
      <c r="D26" s="215"/>
      <c r="E26" s="47" t="s">
        <v>4872</v>
      </c>
      <c r="F26" s="107" t="s">
        <v>7000</v>
      </c>
      <c r="G26" s="119">
        <v>0</v>
      </c>
      <c r="H26" s="119">
        <v>30062970</v>
      </c>
      <c r="I26" s="216">
        <v>30062970</v>
      </c>
      <c r="J26" s="119">
        <v>30062970</v>
      </c>
      <c r="K26" s="216">
        <v>0</v>
      </c>
      <c r="L26" s="126"/>
      <c r="M26" s="126"/>
      <c r="N26" s="119">
        <v>0</v>
      </c>
      <c r="O26" s="216">
        <v>0</v>
      </c>
      <c r="P26" s="126"/>
      <c r="Q26" s="131"/>
      <c r="R26" s="131"/>
      <c r="S26" s="131"/>
      <c r="T26" s="131"/>
      <c r="U26" s="131"/>
      <c r="V26" s="131"/>
      <c r="W26" s="131"/>
      <c r="X26" s="131"/>
      <c r="Y26" s="131"/>
      <c r="Z26" s="131"/>
      <c r="AA26" s="131"/>
      <c r="AB26" s="131"/>
    </row>
    <row r="27" spans="1:28" s="40" customFormat="1" ht="31.5">
      <c r="A27" s="252">
        <v>4</v>
      </c>
      <c r="B27" s="27" t="s">
        <v>775</v>
      </c>
      <c r="C27" s="38"/>
      <c r="D27" s="215"/>
      <c r="E27" s="47" t="s">
        <v>4873</v>
      </c>
      <c r="F27" s="107" t="s">
        <v>7001</v>
      </c>
      <c r="G27" s="119">
        <v>0</v>
      </c>
      <c r="H27" s="119">
        <v>12417042</v>
      </c>
      <c r="I27" s="216">
        <v>12417042</v>
      </c>
      <c r="J27" s="119">
        <v>12417042</v>
      </c>
      <c r="K27" s="216">
        <v>0</v>
      </c>
      <c r="L27" s="126">
        <v>0</v>
      </c>
      <c r="M27" s="126"/>
      <c r="N27" s="119">
        <v>0</v>
      </c>
      <c r="O27" s="216">
        <v>0</v>
      </c>
      <c r="P27" s="126"/>
      <c r="Q27" s="131"/>
      <c r="R27" s="131"/>
      <c r="S27" s="131"/>
      <c r="T27" s="131"/>
      <c r="U27" s="131"/>
      <c r="V27" s="131"/>
      <c r="W27" s="131"/>
      <c r="X27" s="131"/>
      <c r="Y27" s="131"/>
      <c r="Z27" s="131"/>
      <c r="AA27" s="131"/>
      <c r="AB27" s="131"/>
    </row>
    <row r="28" spans="1:28" s="40" customFormat="1" ht="15.75">
      <c r="A28" s="252"/>
      <c r="B28" s="27"/>
      <c r="C28" s="38"/>
      <c r="D28" s="38"/>
      <c r="E28" s="47"/>
      <c r="F28" s="107"/>
      <c r="G28" s="119">
        <v>0</v>
      </c>
      <c r="H28" s="119">
        <v>0</v>
      </c>
      <c r="I28" s="216">
        <v>0</v>
      </c>
      <c r="J28" s="119">
        <v>0</v>
      </c>
      <c r="K28" s="216">
        <v>0</v>
      </c>
      <c r="L28" s="126">
        <v>0</v>
      </c>
      <c r="M28" s="126"/>
      <c r="N28" s="119">
        <v>0</v>
      </c>
      <c r="O28" s="216">
        <v>0</v>
      </c>
      <c r="P28" s="126"/>
      <c r="Q28" s="131"/>
      <c r="R28" s="131"/>
      <c r="S28" s="131"/>
      <c r="T28" s="131"/>
      <c r="U28" s="131"/>
      <c r="V28" s="131"/>
      <c r="W28" s="131"/>
      <c r="X28" s="131"/>
      <c r="Y28" s="131"/>
      <c r="Z28" s="131"/>
      <c r="AA28" s="131"/>
      <c r="AB28" s="131"/>
    </row>
    <row r="29" spans="1:28" s="40" customFormat="1" ht="15.75">
      <c r="A29" s="252"/>
      <c r="B29" s="27"/>
      <c r="C29" s="38"/>
      <c r="D29" s="38"/>
      <c r="E29" s="217" t="s">
        <v>5097</v>
      </c>
      <c r="F29" s="234" t="s">
        <v>7797</v>
      </c>
      <c r="G29" s="119">
        <v>0</v>
      </c>
      <c r="H29" s="119">
        <v>4160032817</v>
      </c>
      <c r="I29" s="216">
        <v>4160032817</v>
      </c>
      <c r="J29" s="119">
        <v>3438924817</v>
      </c>
      <c r="K29" s="216">
        <v>721108000</v>
      </c>
      <c r="L29" s="126">
        <v>0</v>
      </c>
      <c r="M29" s="126"/>
      <c r="N29" s="119">
        <v>135900000</v>
      </c>
      <c r="O29" s="216">
        <v>135900000</v>
      </c>
      <c r="P29" s="126"/>
      <c r="Q29" s="131"/>
      <c r="R29" s="131"/>
      <c r="S29" s="131"/>
      <c r="T29" s="131"/>
      <c r="U29" s="131"/>
      <c r="V29" s="131"/>
      <c r="W29" s="131"/>
      <c r="X29" s="131"/>
      <c r="Y29" s="131"/>
      <c r="Z29" s="131"/>
      <c r="AA29" s="131"/>
      <c r="AB29" s="131"/>
    </row>
    <row r="30" spans="1:28" s="40" customFormat="1" ht="15.75">
      <c r="A30" s="252"/>
      <c r="B30" s="27"/>
      <c r="C30" s="38"/>
      <c r="D30" s="38"/>
      <c r="E30" s="47"/>
      <c r="F30" s="107"/>
      <c r="G30" s="119">
        <v>0</v>
      </c>
      <c r="H30" s="119">
        <v>0</v>
      </c>
      <c r="I30" s="216">
        <v>0</v>
      </c>
      <c r="J30" s="119">
        <v>0</v>
      </c>
      <c r="K30" s="216">
        <v>0</v>
      </c>
      <c r="L30" s="126">
        <v>0</v>
      </c>
      <c r="M30" s="126"/>
      <c r="N30" s="119">
        <v>0</v>
      </c>
      <c r="O30" s="216">
        <v>0</v>
      </c>
      <c r="P30" s="126"/>
      <c r="Q30" s="131"/>
      <c r="R30" s="131"/>
      <c r="S30" s="131"/>
      <c r="T30" s="131"/>
      <c r="U30" s="131"/>
      <c r="V30" s="131"/>
      <c r="W30" s="131"/>
      <c r="X30" s="131"/>
      <c r="Y30" s="131"/>
      <c r="Z30" s="131"/>
      <c r="AA30" s="131"/>
      <c r="AB30" s="131"/>
    </row>
    <row r="31" spans="1:28" s="40" customFormat="1" ht="15.75">
      <c r="A31" s="252"/>
      <c r="B31" s="27"/>
      <c r="C31" s="38"/>
      <c r="D31" s="38"/>
      <c r="E31" s="47" t="s">
        <v>5098</v>
      </c>
      <c r="F31" s="107" t="s">
        <v>7798</v>
      </c>
      <c r="G31" s="119">
        <v>0</v>
      </c>
      <c r="H31" s="119">
        <v>0</v>
      </c>
      <c r="I31" s="216">
        <v>0</v>
      </c>
      <c r="J31" s="119">
        <v>0</v>
      </c>
      <c r="K31" s="216">
        <v>0</v>
      </c>
      <c r="L31" s="126">
        <v>0</v>
      </c>
      <c r="M31" s="126"/>
      <c r="N31" s="119">
        <v>0</v>
      </c>
      <c r="O31" s="216">
        <v>0</v>
      </c>
      <c r="P31" s="126"/>
      <c r="Q31" s="131"/>
      <c r="R31" s="131"/>
      <c r="S31" s="131"/>
      <c r="T31" s="131"/>
      <c r="U31" s="131"/>
      <c r="V31" s="131"/>
      <c r="W31" s="131"/>
      <c r="X31" s="131"/>
      <c r="Y31" s="131"/>
      <c r="Z31" s="131"/>
      <c r="AA31" s="131"/>
      <c r="AB31" s="131"/>
    </row>
    <row r="32" spans="1:28" s="40" customFormat="1" ht="12">
      <c r="A32" s="92"/>
      <c r="E32" s="92"/>
      <c r="F32" s="236"/>
      <c r="G32" s="119">
        <v>0</v>
      </c>
      <c r="H32" s="119">
        <v>0</v>
      </c>
      <c r="I32" s="216">
        <v>0</v>
      </c>
      <c r="J32" s="119">
        <v>0</v>
      </c>
      <c r="K32" s="216">
        <v>0</v>
      </c>
      <c r="L32" s="126">
        <v>0</v>
      </c>
      <c r="M32" s="126"/>
      <c r="N32" s="119">
        <v>0</v>
      </c>
      <c r="O32" s="216">
        <v>0</v>
      </c>
      <c r="P32" s="126"/>
      <c r="Q32" s="131"/>
      <c r="R32" s="131"/>
      <c r="S32" s="131"/>
      <c r="T32" s="131"/>
      <c r="U32" s="131"/>
      <c r="V32" s="131"/>
      <c r="W32" s="131"/>
      <c r="X32" s="131"/>
      <c r="Y32" s="131"/>
      <c r="Z32" s="131"/>
      <c r="AA32" s="131"/>
      <c r="AB32" s="131"/>
    </row>
    <row r="33" spans="1:28" s="40" customFormat="1" ht="15.75">
      <c r="A33" s="252">
        <v>1</v>
      </c>
      <c r="B33" s="27" t="s">
        <v>1014</v>
      </c>
      <c r="C33" s="38"/>
      <c r="D33" s="38"/>
      <c r="E33" s="47" t="s">
        <v>4393</v>
      </c>
      <c r="F33" s="107" t="s">
        <v>7799</v>
      </c>
      <c r="G33" s="119">
        <v>0</v>
      </c>
      <c r="H33" s="119">
        <v>4175779699</v>
      </c>
      <c r="I33" s="216">
        <v>4175779699</v>
      </c>
      <c r="J33" s="119">
        <v>3097929699</v>
      </c>
      <c r="K33" s="216">
        <v>1077850000</v>
      </c>
      <c r="L33" s="126">
        <v>0</v>
      </c>
      <c r="M33" s="126"/>
      <c r="N33" s="119">
        <v>1100000000</v>
      </c>
      <c r="O33" s="216">
        <v>1100000000</v>
      </c>
      <c r="P33" s="126"/>
      <c r="Q33" s="131"/>
      <c r="R33" s="131"/>
      <c r="S33" s="131"/>
      <c r="T33" s="131"/>
      <c r="U33" s="131"/>
      <c r="V33" s="131"/>
      <c r="W33" s="131"/>
      <c r="X33" s="131"/>
      <c r="Y33" s="131"/>
      <c r="Z33" s="131"/>
      <c r="AA33" s="131"/>
      <c r="AB33" s="131"/>
    </row>
    <row r="34" spans="1:28" s="40" customFormat="1" ht="15.75">
      <c r="A34" s="252">
        <v>2</v>
      </c>
      <c r="B34" s="27" t="s">
        <v>4753</v>
      </c>
      <c r="C34" s="38"/>
      <c r="D34" s="38"/>
      <c r="E34" s="47" t="s">
        <v>4755</v>
      </c>
      <c r="F34" s="107" t="s">
        <v>7800</v>
      </c>
      <c r="G34" s="119">
        <v>0</v>
      </c>
      <c r="H34" s="119">
        <v>0</v>
      </c>
      <c r="I34" s="216">
        <v>0</v>
      </c>
      <c r="J34" s="119">
        <v>0</v>
      </c>
      <c r="K34" s="216">
        <v>0</v>
      </c>
      <c r="L34" s="126">
        <v>0</v>
      </c>
      <c r="M34" s="126"/>
      <c r="N34" s="119">
        <v>2000000000</v>
      </c>
      <c r="O34" s="216">
        <v>2000000000</v>
      </c>
      <c r="P34" s="126"/>
      <c r="Q34" s="131"/>
      <c r="R34" s="131"/>
      <c r="S34" s="131"/>
      <c r="T34" s="131"/>
      <c r="U34" s="131"/>
      <c r="V34" s="131"/>
      <c r="W34" s="131"/>
      <c r="X34" s="131"/>
      <c r="Y34" s="131"/>
      <c r="Z34" s="131"/>
      <c r="AA34" s="131"/>
      <c r="AB34" s="131"/>
    </row>
    <row r="35" spans="1:28" s="40" customFormat="1" ht="15.75">
      <c r="A35" s="252">
        <v>3</v>
      </c>
      <c r="B35" s="27" t="s">
        <v>4754</v>
      </c>
      <c r="C35" s="38"/>
      <c r="D35" s="38"/>
      <c r="E35" s="47" t="s">
        <v>4749</v>
      </c>
      <c r="F35" s="107" t="s">
        <v>7801</v>
      </c>
      <c r="G35" s="119">
        <v>0</v>
      </c>
      <c r="H35" s="119">
        <v>0</v>
      </c>
      <c r="I35" s="216">
        <v>0</v>
      </c>
      <c r="J35" s="119">
        <v>0</v>
      </c>
      <c r="K35" s="216">
        <v>0</v>
      </c>
      <c r="L35" s="126">
        <v>0</v>
      </c>
      <c r="M35" s="126"/>
      <c r="N35" s="119">
        <v>4070000000</v>
      </c>
      <c r="O35" s="216">
        <v>4070000000</v>
      </c>
      <c r="P35" s="126"/>
      <c r="Q35" s="131"/>
      <c r="R35" s="131"/>
      <c r="S35" s="131"/>
      <c r="T35" s="131"/>
      <c r="U35" s="131"/>
      <c r="V35" s="131"/>
      <c r="W35" s="131"/>
      <c r="X35" s="131"/>
      <c r="Y35" s="131"/>
      <c r="Z35" s="131"/>
      <c r="AA35" s="131"/>
      <c r="AB35" s="131"/>
    </row>
    <row r="36" spans="1:28" s="40" customFormat="1" ht="31.5">
      <c r="A36" s="37">
        <v>0</v>
      </c>
      <c r="B36" s="27" t="s">
        <v>775</v>
      </c>
      <c r="C36" s="38"/>
      <c r="D36" s="215"/>
      <c r="E36" s="47" t="s">
        <v>4872</v>
      </c>
      <c r="F36" s="107" t="s">
        <v>7000</v>
      </c>
      <c r="G36" s="119">
        <v>0</v>
      </c>
      <c r="H36" s="119">
        <v>233428517</v>
      </c>
      <c r="I36" s="216">
        <v>233428517</v>
      </c>
      <c r="J36" s="119">
        <v>233428517</v>
      </c>
      <c r="K36" s="216">
        <v>0</v>
      </c>
      <c r="L36" s="126"/>
      <c r="M36" s="126"/>
      <c r="N36" s="119">
        <v>0</v>
      </c>
      <c r="O36" s="216">
        <v>0</v>
      </c>
      <c r="P36" s="126"/>
      <c r="Q36" s="131"/>
      <c r="R36" s="131"/>
      <c r="S36" s="131"/>
      <c r="T36" s="131"/>
      <c r="U36" s="131"/>
      <c r="V36" s="131"/>
      <c r="W36" s="131"/>
      <c r="X36" s="131"/>
      <c r="Y36" s="131"/>
      <c r="Z36" s="131"/>
      <c r="AA36" s="131"/>
      <c r="AB36" s="131"/>
    </row>
    <row r="37" spans="1:28" s="40" customFormat="1" ht="31.5">
      <c r="A37" s="252"/>
      <c r="B37" s="27" t="s">
        <v>775</v>
      </c>
      <c r="C37" s="38"/>
      <c r="D37" s="215"/>
      <c r="E37" s="47" t="s">
        <v>4873</v>
      </c>
      <c r="F37" s="107" t="s">
        <v>7001</v>
      </c>
      <c r="G37" s="119">
        <v>0</v>
      </c>
      <c r="H37" s="119">
        <v>184537846</v>
      </c>
      <c r="I37" s="216">
        <v>184537846</v>
      </c>
      <c r="J37" s="119">
        <v>184537846</v>
      </c>
      <c r="K37" s="216">
        <v>0</v>
      </c>
      <c r="L37" s="126">
        <v>0</v>
      </c>
      <c r="M37" s="126"/>
      <c r="N37" s="119">
        <v>0</v>
      </c>
      <c r="O37" s="216">
        <v>0</v>
      </c>
      <c r="P37" s="126"/>
      <c r="Q37" s="131"/>
      <c r="R37" s="131"/>
      <c r="S37" s="131"/>
      <c r="T37" s="131"/>
      <c r="U37" s="131"/>
      <c r="V37" s="131"/>
      <c r="W37" s="131"/>
      <c r="X37" s="131"/>
      <c r="Y37" s="131"/>
      <c r="Z37" s="131"/>
      <c r="AA37" s="131"/>
      <c r="AB37" s="131"/>
    </row>
    <row r="38" spans="1:28" s="40" customFormat="1" ht="15.75">
      <c r="A38" s="252"/>
      <c r="B38" s="27"/>
      <c r="C38" s="38"/>
      <c r="D38" s="38"/>
      <c r="E38" s="47"/>
      <c r="F38" s="107"/>
      <c r="G38" s="119">
        <v>0</v>
      </c>
      <c r="H38" s="119">
        <v>0</v>
      </c>
      <c r="I38" s="216">
        <v>0</v>
      </c>
      <c r="J38" s="119">
        <v>0</v>
      </c>
      <c r="K38" s="216">
        <v>0</v>
      </c>
      <c r="L38" s="126">
        <v>0</v>
      </c>
      <c r="M38" s="126"/>
      <c r="N38" s="119">
        <v>0</v>
      </c>
      <c r="O38" s="216">
        <v>0</v>
      </c>
      <c r="P38" s="126"/>
      <c r="Q38" s="131"/>
      <c r="R38" s="131"/>
      <c r="S38" s="131"/>
      <c r="T38" s="131"/>
      <c r="U38" s="131"/>
      <c r="V38" s="131"/>
      <c r="W38" s="131"/>
      <c r="X38" s="131"/>
      <c r="Y38" s="131"/>
      <c r="Z38" s="131"/>
      <c r="AA38" s="131"/>
      <c r="AB38" s="131"/>
    </row>
    <row r="39" spans="1:28" s="40" customFormat="1" ht="15.75">
      <c r="A39" s="252"/>
      <c r="B39" s="27"/>
      <c r="C39" s="38"/>
      <c r="D39" s="38"/>
      <c r="E39" s="217" t="s">
        <v>5066</v>
      </c>
      <c r="F39" s="234" t="s">
        <v>7802</v>
      </c>
      <c r="G39" s="119">
        <v>0</v>
      </c>
      <c r="H39" s="119">
        <v>7368056062</v>
      </c>
      <c r="I39" s="216">
        <v>7368056062</v>
      </c>
      <c r="J39" s="119">
        <v>3515896062</v>
      </c>
      <c r="K39" s="216">
        <v>3852160000</v>
      </c>
      <c r="L39" s="126">
        <v>0</v>
      </c>
      <c r="M39" s="126"/>
      <c r="N39" s="119">
        <v>7170000000</v>
      </c>
      <c r="O39" s="216">
        <v>7170000000</v>
      </c>
      <c r="P39" s="126"/>
      <c r="Q39" s="131"/>
      <c r="R39" s="131"/>
      <c r="S39" s="131"/>
      <c r="T39" s="131"/>
      <c r="U39" s="131"/>
      <c r="V39" s="131"/>
      <c r="W39" s="131"/>
      <c r="X39" s="131"/>
      <c r="Y39" s="131"/>
      <c r="Z39" s="131"/>
      <c r="AA39" s="131"/>
      <c r="AB39" s="131"/>
    </row>
    <row r="40" spans="1:28" s="40" customFormat="1" ht="15.75">
      <c r="A40" s="252"/>
      <c r="B40" s="27"/>
      <c r="C40" s="38"/>
      <c r="D40" s="38"/>
      <c r="E40" s="47"/>
      <c r="F40" s="107"/>
      <c r="G40" s="119">
        <v>0</v>
      </c>
      <c r="H40" s="119">
        <v>0</v>
      </c>
      <c r="I40" s="216">
        <v>0</v>
      </c>
      <c r="J40" s="119">
        <v>0</v>
      </c>
      <c r="K40" s="216">
        <v>0</v>
      </c>
      <c r="L40" s="126">
        <v>0</v>
      </c>
      <c r="M40" s="126"/>
      <c r="N40" s="119">
        <v>0</v>
      </c>
      <c r="O40" s="216">
        <v>0</v>
      </c>
      <c r="P40" s="126"/>
      <c r="Q40" s="131"/>
      <c r="R40" s="131"/>
      <c r="S40" s="131"/>
      <c r="T40" s="131"/>
      <c r="U40" s="131"/>
      <c r="V40" s="131"/>
      <c r="W40" s="131"/>
      <c r="X40" s="131"/>
      <c r="Y40" s="131"/>
      <c r="Z40" s="131"/>
      <c r="AA40" s="131"/>
      <c r="AB40" s="131"/>
    </row>
    <row r="41" spans="1:28" s="40" customFormat="1" ht="15.75">
      <c r="A41" s="252"/>
      <c r="B41" s="27"/>
      <c r="C41" s="38"/>
      <c r="D41" s="38"/>
      <c r="E41" s="47" t="s">
        <v>5099</v>
      </c>
      <c r="F41" s="107" t="s">
        <v>7803</v>
      </c>
      <c r="G41" s="119">
        <v>0</v>
      </c>
      <c r="H41" s="119">
        <v>0</v>
      </c>
      <c r="I41" s="216">
        <v>0</v>
      </c>
      <c r="J41" s="119">
        <v>0</v>
      </c>
      <c r="K41" s="216">
        <v>0</v>
      </c>
      <c r="L41" s="126">
        <v>0</v>
      </c>
      <c r="M41" s="126"/>
      <c r="N41" s="119">
        <v>0</v>
      </c>
      <c r="O41" s="216">
        <v>0</v>
      </c>
      <c r="P41" s="126"/>
      <c r="Q41" s="131"/>
      <c r="R41" s="131"/>
      <c r="S41" s="131"/>
      <c r="T41" s="131"/>
      <c r="U41" s="131"/>
      <c r="V41" s="131"/>
      <c r="W41" s="131"/>
      <c r="X41" s="131"/>
      <c r="Y41" s="131"/>
      <c r="Z41" s="131"/>
      <c r="AA41" s="131"/>
      <c r="AB41" s="131"/>
    </row>
    <row r="42" spans="1:28" s="40" customFormat="1" ht="12">
      <c r="A42" s="92"/>
      <c r="E42" s="92"/>
      <c r="F42" s="236"/>
      <c r="G42" s="119">
        <v>0</v>
      </c>
      <c r="H42" s="119">
        <v>0</v>
      </c>
      <c r="I42" s="216">
        <v>0</v>
      </c>
      <c r="J42" s="119">
        <v>0</v>
      </c>
      <c r="K42" s="216">
        <v>0</v>
      </c>
      <c r="L42" s="126">
        <v>0</v>
      </c>
      <c r="M42" s="126"/>
      <c r="N42" s="119">
        <v>0</v>
      </c>
      <c r="O42" s="216">
        <v>0</v>
      </c>
      <c r="P42" s="126"/>
      <c r="Q42" s="131"/>
      <c r="R42" s="131"/>
      <c r="S42" s="131"/>
      <c r="T42" s="131"/>
      <c r="U42" s="131"/>
      <c r="V42" s="131"/>
      <c r="W42" s="131"/>
      <c r="X42" s="131"/>
      <c r="Y42" s="131"/>
      <c r="Z42" s="131"/>
      <c r="AA42" s="131"/>
      <c r="AB42" s="131"/>
    </row>
    <row r="43" spans="1:28" s="40" customFormat="1" ht="15.75">
      <c r="A43" s="252">
        <v>1</v>
      </c>
      <c r="B43" s="27" t="s">
        <v>318</v>
      </c>
      <c r="C43" s="38"/>
      <c r="D43" s="38"/>
      <c r="E43" s="47" t="s">
        <v>5067</v>
      </c>
      <c r="F43" s="107" t="s">
        <v>7804</v>
      </c>
      <c r="G43" s="119">
        <v>0</v>
      </c>
      <c r="H43" s="119">
        <v>3311052264</v>
      </c>
      <c r="I43" s="216">
        <v>3311052264</v>
      </c>
      <c r="J43" s="119">
        <v>3311052264</v>
      </c>
      <c r="K43" s="216">
        <v>0</v>
      </c>
      <c r="L43" s="126">
        <v>0</v>
      </c>
      <c r="M43" s="126"/>
      <c r="N43" s="119">
        <v>0</v>
      </c>
      <c r="O43" s="216">
        <v>0</v>
      </c>
      <c r="P43" s="126"/>
      <c r="Q43" s="131"/>
      <c r="R43" s="131"/>
      <c r="S43" s="131"/>
      <c r="T43" s="131"/>
      <c r="U43" s="131"/>
      <c r="V43" s="131"/>
      <c r="W43" s="131"/>
      <c r="X43" s="131"/>
      <c r="Y43" s="131"/>
      <c r="Z43" s="131"/>
      <c r="AA43" s="131"/>
      <c r="AB43" s="131"/>
    </row>
    <row r="44" spans="1:28" s="40" customFormat="1" ht="15.75">
      <c r="A44" s="252">
        <v>2</v>
      </c>
      <c r="B44" s="27" t="s">
        <v>4402</v>
      </c>
      <c r="C44" s="38"/>
      <c r="D44" s="38"/>
      <c r="E44" s="47" t="s">
        <v>4401</v>
      </c>
      <c r="F44" s="107" t="s">
        <v>7805</v>
      </c>
      <c r="G44" s="119">
        <v>0</v>
      </c>
      <c r="H44" s="119">
        <v>256502400</v>
      </c>
      <c r="I44" s="216">
        <v>256502400</v>
      </c>
      <c r="J44" s="119">
        <v>0</v>
      </c>
      <c r="K44" s="216">
        <v>256502400</v>
      </c>
      <c r="L44" s="126">
        <v>0</v>
      </c>
      <c r="M44" s="126"/>
      <c r="N44" s="119">
        <v>558400000</v>
      </c>
      <c r="O44" s="216">
        <v>558400000</v>
      </c>
      <c r="P44" s="126"/>
      <c r="Q44" s="131"/>
      <c r="R44" s="131"/>
      <c r="S44" s="131"/>
      <c r="T44" s="131"/>
      <c r="U44" s="131"/>
      <c r="V44" s="131"/>
      <c r="W44" s="131"/>
      <c r="X44" s="131"/>
      <c r="Y44" s="131"/>
      <c r="Z44" s="131"/>
      <c r="AA44" s="131"/>
      <c r="AB44" s="131"/>
    </row>
    <row r="45" spans="1:28" s="40" customFormat="1" ht="31.5">
      <c r="A45" s="37">
        <v>0</v>
      </c>
      <c r="B45" s="27" t="s">
        <v>775</v>
      </c>
      <c r="C45" s="38"/>
      <c r="D45" s="215"/>
      <c r="E45" s="47" t="s">
        <v>4872</v>
      </c>
      <c r="F45" s="107" t="s">
        <v>7000</v>
      </c>
      <c r="G45" s="119">
        <v>0</v>
      </c>
      <c r="H45" s="119">
        <v>352112827</v>
      </c>
      <c r="I45" s="216">
        <v>352112827</v>
      </c>
      <c r="J45" s="119">
        <v>352112827</v>
      </c>
      <c r="K45" s="216">
        <v>0</v>
      </c>
      <c r="L45" s="126"/>
      <c r="M45" s="126"/>
      <c r="N45" s="119">
        <v>0</v>
      </c>
      <c r="O45" s="216">
        <v>0</v>
      </c>
      <c r="P45" s="126"/>
      <c r="Q45" s="131"/>
      <c r="R45" s="131"/>
      <c r="S45" s="131"/>
      <c r="T45" s="131"/>
      <c r="U45" s="131"/>
      <c r="V45" s="131"/>
      <c r="W45" s="131"/>
      <c r="X45" s="131"/>
      <c r="Y45" s="131"/>
      <c r="Z45" s="131"/>
      <c r="AA45" s="131"/>
      <c r="AB45" s="131"/>
    </row>
    <row r="46" spans="1:28" s="40" customFormat="1" ht="31.5">
      <c r="A46" s="252"/>
      <c r="B46" s="27" t="s">
        <v>775</v>
      </c>
      <c r="C46" s="38"/>
      <c r="D46" s="215"/>
      <c r="E46" s="47" t="s">
        <v>4873</v>
      </c>
      <c r="F46" s="107" t="s">
        <v>7001</v>
      </c>
      <c r="G46" s="119">
        <v>0</v>
      </c>
      <c r="H46" s="119">
        <v>199400443</v>
      </c>
      <c r="I46" s="216">
        <v>199400443</v>
      </c>
      <c r="J46" s="119">
        <v>199400443</v>
      </c>
      <c r="K46" s="216">
        <v>0</v>
      </c>
      <c r="L46" s="126">
        <v>0</v>
      </c>
      <c r="M46" s="126"/>
      <c r="N46" s="119">
        <v>0</v>
      </c>
      <c r="O46" s="216">
        <v>0</v>
      </c>
      <c r="P46" s="126"/>
      <c r="Q46" s="131"/>
      <c r="R46" s="131"/>
      <c r="S46" s="131"/>
      <c r="T46" s="131"/>
      <c r="U46" s="131"/>
      <c r="V46" s="131"/>
      <c r="W46" s="131"/>
      <c r="X46" s="131"/>
      <c r="Y46" s="131"/>
      <c r="Z46" s="131"/>
      <c r="AA46" s="131"/>
      <c r="AB46" s="131"/>
    </row>
    <row r="47" spans="1:28" s="40" customFormat="1" ht="15.75">
      <c r="A47" s="252"/>
      <c r="B47" s="27"/>
      <c r="C47" s="38"/>
      <c r="D47" s="38"/>
      <c r="E47" s="47"/>
      <c r="F47" s="107"/>
      <c r="G47" s="119">
        <v>0</v>
      </c>
      <c r="H47" s="119">
        <v>0</v>
      </c>
      <c r="I47" s="216">
        <v>0</v>
      </c>
      <c r="J47" s="119">
        <v>0</v>
      </c>
      <c r="K47" s="216">
        <v>0</v>
      </c>
      <c r="L47" s="126">
        <v>0</v>
      </c>
      <c r="M47" s="126"/>
      <c r="N47" s="119">
        <v>0</v>
      </c>
      <c r="O47" s="216">
        <v>0</v>
      </c>
      <c r="P47" s="126"/>
      <c r="Q47" s="131"/>
      <c r="R47" s="131"/>
      <c r="S47" s="131"/>
      <c r="T47" s="131"/>
      <c r="U47" s="131"/>
      <c r="V47" s="131"/>
      <c r="W47" s="131"/>
      <c r="X47" s="131"/>
      <c r="Y47" s="131"/>
      <c r="Z47" s="131"/>
      <c r="AA47" s="131"/>
      <c r="AB47" s="131"/>
    </row>
    <row r="48" spans="1:28" s="40" customFormat="1" ht="15.75">
      <c r="A48" s="252"/>
      <c r="B48" s="27"/>
      <c r="C48" s="38"/>
      <c r="D48" s="38"/>
      <c r="E48" s="217" t="s">
        <v>5068</v>
      </c>
      <c r="F48" s="234" t="s">
        <v>7806</v>
      </c>
      <c r="G48" s="119">
        <v>0</v>
      </c>
      <c r="H48" s="119">
        <v>4119067934</v>
      </c>
      <c r="I48" s="216">
        <v>4119067934</v>
      </c>
      <c r="J48" s="119">
        <v>3862565534</v>
      </c>
      <c r="K48" s="216">
        <v>256502400</v>
      </c>
      <c r="L48" s="126">
        <v>0</v>
      </c>
      <c r="M48" s="126"/>
      <c r="N48" s="119">
        <v>558400000</v>
      </c>
      <c r="O48" s="216">
        <v>558400000</v>
      </c>
      <c r="P48" s="126"/>
      <c r="Q48" s="131"/>
      <c r="R48" s="131"/>
      <c r="S48" s="131"/>
      <c r="T48" s="131"/>
      <c r="U48" s="131"/>
      <c r="V48" s="131"/>
      <c r="W48" s="131"/>
      <c r="X48" s="131"/>
      <c r="Y48" s="131"/>
      <c r="Z48" s="131"/>
      <c r="AA48" s="131"/>
      <c r="AB48" s="131"/>
    </row>
    <row r="49" spans="1:28" s="40" customFormat="1" ht="15.75">
      <c r="A49" s="252"/>
      <c r="B49" s="27"/>
      <c r="C49" s="38"/>
      <c r="D49" s="38"/>
      <c r="E49" s="47"/>
      <c r="F49" s="107"/>
      <c r="G49" s="119">
        <v>0</v>
      </c>
      <c r="H49" s="119">
        <v>0</v>
      </c>
      <c r="I49" s="216">
        <v>0</v>
      </c>
      <c r="J49" s="119">
        <v>0</v>
      </c>
      <c r="K49" s="216">
        <v>0</v>
      </c>
      <c r="L49" s="126">
        <v>0</v>
      </c>
      <c r="M49" s="126"/>
      <c r="N49" s="119">
        <v>0</v>
      </c>
      <c r="O49" s="216">
        <v>0</v>
      </c>
      <c r="P49" s="126"/>
      <c r="Q49" s="131"/>
      <c r="R49" s="131"/>
      <c r="S49" s="131"/>
      <c r="T49" s="131"/>
      <c r="U49" s="131"/>
      <c r="V49" s="131"/>
      <c r="W49" s="131"/>
      <c r="X49" s="131"/>
      <c r="Y49" s="131"/>
      <c r="Z49" s="131"/>
      <c r="AA49" s="131"/>
      <c r="AB49" s="131"/>
    </row>
    <row r="50" spans="1:28" s="40" customFormat="1" ht="15.75">
      <c r="A50" s="252"/>
      <c r="B50" s="27"/>
      <c r="C50" s="38"/>
      <c r="D50" s="38"/>
      <c r="E50" s="47" t="s">
        <v>3654</v>
      </c>
      <c r="F50" s="107" t="s">
        <v>7807</v>
      </c>
      <c r="G50" s="119">
        <v>0</v>
      </c>
      <c r="H50" s="119">
        <v>0</v>
      </c>
      <c r="I50" s="216">
        <v>0</v>
      </c>
      <c r="J50" s="119">
        <v>0</v>
      </c>
      <c r="K50" s="216">
        <v>0</v>
      </c>
      <c r="L50" s="126">
        <v>0</v>
      </c>
      <c r="M50" s="126"/>
      <c r="N50" s="119">
        <v>0</v>
      </c>
      <c r="O50" s="216">
        <v>0</v>
      </c>
      <c r="P50" s="126"/>
      <c r="Q50" s="131"/>
      <c r="R50" s="131"/>
      <c r="S50" s="131"/>
      <c r="T50" s="131"/>
      <c r="U50" s="131"/>
      <c r="V50" s="131"/>
      <c r="W50" s="131"/>
      <c r="X50" s="131"/>
      <c r="Y50" s="131"/>
      <c r="Z50" s="131"/>
      <c r="AA50" s="131"/>
      <c r="AB50" s="131"/>
    </row>
    <row r="51" spans="1:28" s="40" customFormat="1" ht="12">
      <c r="E51" s="92"/>
      <c r="F51" s="236"/>
      <c r="G51" s="119">
        <v>0</v>
      </c>
      <c r="H51" s="119">
        <v>0</v>
      </c>
      <c r="I51" s="216">
        <v>0</v>
      </c>
      <c r="J51" s="119">
        <v>0</v>
      </c>
      <c r="K51" s="216">
        <v>0</v>
      </c>
      <c r="L51" s="126">
        <v>0</v>
      </c>
      <c r="M51" s="126"/>
      <c r="N51" s="119">
        <v>0</v>
      </c>
      <c r="O51" s="216">
        <v>0</v>
      </c>
      <c r="P51" s="126"/>
      <c r="Q51" s="131"/>
      <c r="R51" s="131"/>
      <c r="S51" s="131"/>
      <c r="T51" s="131"/>
      <c r="U51" s="131"/>
      <c r="V51" s="131"/>
      <c r="W51" s="131"/>
      <c r="X51" s="131"/>
      <c r="Y51" s="131"/>
      <c r="Z51" s="131"/>
      <c r="AA51" s="131"/>
      <c r="AB51" s="131"/>
    </row>
    <row r="52" spans="1:28" s="40" customFormat="1" ht="15.75">
      <c r="A52" s="27" t="s">
        <v>755</v>
      </c>
      <c r="B52" s="27" t="s">
        <v>296</v>
      </c>
      <c r="C52" s="38" t="s">
        <v>319</v>
      </c>
      <c r="D52" s="38"/>
      <c r="E52" s="47" t="s">
        <v>5069</v>
      </c>
      <c r="F52" s="107" t="s">
        <v>7808</v>
      </c>
      <c r="G52" s="119">
        <v>0</v>
      </c>
      <c r="H52" s="119">
        <v>111626801</v>
      </c>
      <c r="I52" s="216">
        <v>111626801</v>
      </c>
      <c r="J52" s="119">
        <v>110926801</v>
      </c>
      <c r="K52" s="216">
        <v>700000</v>
      </c>
      <c r="L52" s="126">
        <v>0</v>
      </c>
      <c r="M52" s="126"/>
      <c r="N52" s="119">
        <v>0</v>
      </c>
      <c r="O52" s="216">
        <v>0</v>
      </c>
      <c r="P52" s="126"/>
      <c r="Q52" s="131"/>
      <c r="R52" s="131"/>
      <c r="S52" s="131"/>
      <c r="T52" s="131"/>
      <c r="U52" s="131"/>
      <c r="V52" s="131"/>
      <c r="W52" s="131"/>
      <c r="X52" s="131"/>
      <c r="Y52" s="131"/>
      <c r="Z52" s="131"/>
      <c r="AA52" s="131"/>
      <c r="AB52" s="131"/>
    </row>
    <row r="53" spans="1:28" s="40" customFormat="1" ht="31.5">
      <c r="A53" s="27" t="s">
        <v>755</v>
      </c>
      <c r="B53" s="27" t="s">
        <v>774</v>
      </c>
      <c r="C53" s="38" t="s">
        <v>321</v>
      </c>
      <c r="D53" s="38"/>
      <c r="E53" s="47" t="s">
        <v>5070</v>
      </c>
      <c r="F53" s="107" t="s">
        <v>7809</v>
      </c>
      <c r="G53" s="119">
        <v>0</v>
      </c>
      <c r="H53" s="119">
        <v>55987307</v>
      </c>
      <c r="I53" s="216">
        <v>55987307</v>
      </c>
      <c r="J53" s="119">
        <v>53467307</v>
      </c>
      <c r="K53" s="216">
        <v>2520000</v>
      </c>
      <c r="L53" s="126">
        <v>0</v>
      </c>
      <c r="M53" s="126"/>
      <c r="N53" s="119">
        <v>1300000</v>
      </c>
      <c r="O53" s="216">
        <v>1300000</v>
      </c>
      <c r="P53" s="126"/>
      <c r="Q53" s="131"/>
      <c r="R53" s="131"/>
      <c r="S53" s="131"/>
      <c r="T53" s="131"/>
      <c r="U53" s="131"/>
      <c r="V53" s="131"/>
      <c r="W53" s="131"/>
      <c r="X53" s="131"/>
      <c r="Y53" s="131"/>
      <c r="Z53" s="131"/>
      <c r="AA53" s="131"/>
      <c r="AB53" s="131"/>
    </row>
    <row r="54" spans="1:28" s="40" customFormat="1" ht="15.75">
      <c r="A54" s="27"/>
      <c r="B54" s="27"/>
      <c r="C54" s="38"/>
      <c r="D54" s="38"/>
      <c r="E54" s="47"/>
      <c r="F54" s="107"/>
      <c r="G54" s="119">
        <v>0</v>
      </c>
      <c r="H54" s="119">
        <v>0</v>
      </c>
      <c r="I54" s="216">
        <v>0</v>
      </c>
      <c r="J54" s="119">
        <v>0</v>
      </c>
      <c r="K54" s="216">
        <v>0</v>
      </c>
      <c r="L54" s="126">
        <v>0</v>
      </c>
      <c r="M54" s="126"/>
      <c r="N54" s="119">
        <v>0</v>
      </c>
      <c r="O54" s="216">
        <v>0</v>
      </c>
      <c r="P54" s="126"/>
      <c r="Q54" s="131"/>
      <c r="R54" s="131"/>
      <c r="S54" s="131"/>
      <c r="T54" s="131"/>
      <c r="U54" s="131"/>
      <c r="V54" s="131"/>
      <c r="W54" s="131"/>
      <c r="X54" s="131"/>
      <c r="Y54" s="131"/>
      <c r="Z54" s="131"/>
      <c r="AA54" s="131"/>
      <c r="AB54" s="131"/>
    </row>
    <row r="55" spans="1:28" s="40" customFormat="1" ht="15.75">
      <c r="A55" s="27" t="s">
        <v>755</v>
      </c>
      <c r="B55" s="27" t="s">
        <v>502</v>
      </c>
      <c r="C55" s="38" t="s">
        <v>320</v>
      </c>
      <c r="D55" s="38"/>
      <c r="E55" s="47" t="s">
        <v>5071</v>
      </c>
      <c r="F55" s="107" t="s">
        <v>7810</v>
      </c>
      <c r="G55" s="119">
        <v>0</v>
      </c>
      <c r="H55" s="119">
        <v>405028213</v>
      </c>
      <c r="I55" s="216">
        <v>405028213</v>
      </c>
      <c r="J55" s="119">
        <v>356542213</v>
      </c>
      <c r="K55" s="216">
        <v>48486000</v>
      </c>
      <c r="L55" s="126">
        <v>0</v>
      </c>
      <c r="M55" s="126"/>
      <c r="N55" s="119">
        <v>56800000</v>
      </c>
      <c r="O55" s="216">
        <v>56800000</v>
      </c>
      <c r="P55" s="126"/>
      <c r="Q55" s="131"/>
      <c r="R55" s="131"/>
      <c r="S55" s="131"/>
      <c r="T55" s="131"/>
      <c r="U55" s="131"/>
      <c r="V55" s="131"/>
      <c r="W55" s="131"/>
      <c r="X55" s="131"/>
      <c r="Y55" s="131"/>
      <c r="Z55" s="131"/>
      <c r="AA55" s="131"/>
      <c r="AB55" s="131"/>
    </row>
    <row r="56" spans="1:28" s="40" customFormat="1" ht="31.5">
      <c r="A56" s="27" t="s">
        <v>755</v>
      </c>
      <c r="B56" s="27" t="s">
        <v>1013</v>
      </c>
      <c r="C56" s="38" t="s">
        <v>322</v>
      </c>
      <c r="D56" s="38"/>
      <c r="E56" s="47" t="s">
        <v>5072</v>
      </c>
      <c r="F56" s="107" t="s">
        <v>7811</v>
      </c>
      <c r="G56" s="119">
        <v>0</v>
      </c>
      <c r="H56" s="119">
        <v>139758628</v>
      </c>
      <c r="I56" s="216">
        <v>139758628</v>
      </c>
      <c r="J56" s="119">
        <v>132734628</v>
      </c>
      <c r="K56" s="216">
        <v>7024000</v>
      </c>
      <c r="L56" s="126">
        <v>0</v>
      </c>
      <c r="M56" s="126"/>
      <c r="N56" s="119">
        <v>13200000</v>
      </c>
      <c r="O56" s="216">
        <v>13200000</v>
      </c>
      <c r="P56" s="126"/>
      <c r="Q56" s="131"/>
      <c r="R56" s="131"/>
      <c r="S56" s="131"/>
      <c r="T56" s="131"/>
      <c r="U56" s="131"/>
      <c r="V56" s="131"/>
      <c r="W56" s="131"/>
      <c r="X56" s="131"/>
      <c r="Y56" s="131"/>
      <c r="Z56" s="131"/>
      <c r="AA56" s="131"/>
      <c r="AB56" s="131"/>
    </row>
    <row r="57" spans="1:28" s="40" customFormat="1" ht="15.75">
      <c r="A57" s="37"/>
      <c r="B57" s="27"/>
      <c r="C57" s="38"/>
      <c r="D57" s="38"/>
      <c r="E57" s="47"/>
      <c r="F57" s="107"/>
      <c r="G57" s="119">
        <v>0</v>
      </c>
      <c r="H57" s="119">
        <v>0</v>
      </c>
      <c r="I57" s="216">
        <v>0</v>
      </c>
      <c r="J57" s="119">
        <v>0</v>
      </c>
      <c r="K57" s="216">
        <v>0</v>
      </c>
      <c r="L57" s="126">
        <v>0</v>
      </c>
      <c r="M57" s="126"/>
      <c r="N57" s="119">
        <v>0</v>
      </c>
      <c r="O57" s="216">
        <v>0</v>
      </c>
      <c r="P57" s="126"/>
      <c r="Q57" s="131"/>
      <c r="R57" s="131"/>
      <c r="S57" s="131"/>
      <c r="T57" s="131"/>
      <c r="U57" s="131"/>
      <c r="V57" s="131"/>
      <c r="W57" s="131"/>
      <c r="X57" s="131"/>
      <c r="Y57" s="131"/>
      <c r="Z57" s="131"/>
      <c r="AA57" s="131"/>
      <c r="AB57" s="131"/>
    </row>
    <row r="58" spans="1:28" s="40" customFormat="1" ht="15.75">
      <c r="A58" s="37"/>
      <c r="B58" s="27"/>
      <c r="C58" s="38"/>
      <c r="D58" s="38"/>
      <c r="E58" s="217" t="s">
        <v>3661</v>
      </c>
      <c r="F58" s="234" t="s">
        <v>7812</v>
      </c>
      <c r="G58" s="119">
        <v>0</v>
      </c>
      <c r="H58" s="119">
        <v>712400949</v>
      </c>
      <c r="I58" s="216">
        <v>712400949</v>
      </c>
      <c r="J58" s="119">
        <v>653670949</v>
      </c>
      <c r="K58" s="216">
        <v>58730000</v>
      </c>
      <c r="L58" s="126">
        <v>0</v>
      </c>
      <c r="M58" s="126"/>
      <c r="N58" s="119">
        <v>71300000</v>
      </c>
      <c r="O58" s="216">
        <v>71300000</v>
      </c>
      <c r="P58" s="126"/>
      <c r="Q58" s="131"/>
      <c r="R58" s="131"/>
      <c r="S58" s="131"/>
      <c r="T58" s="131"/>
      <c r="U58" s="131"/>
      <c r="V58" s="131"/>
      <c r="W58" s="131"/>
      <c r="X58" s="131"/>
      <c r="Y58" s="131"/>
      <c r="Z58" s="131"/>
      <c r="AA58" s="131"/>
      <c r="AB58" s="131"/>
    </row>
    <row r="59" spans="1:28" s="40" customFormat="1" ht="15.75">
      <c r="A59" s="37"/>
      <c r="B59" s="27"/>
      <c r="C59" s="38"/>
      <c r="D59" s="38"/>
      <c r="E59" s="47"/>
      <c r="F59" s="107"/>
      <c r="G59" s="131"/>
      <c r="H59" s="131"/>
      <c r="I59" s="131"/>
      <c r="J59" s="131"/>
      <c r="K59" s="131"/>
      <c r="L59" s="131"/>
      <c r="M59" s="131"/>
      <c r="N59" s="131"/>
      <c r="O59" s="131"/>
      <c r="P59" s="131"/>
      <c r="Q59" s="131"/>
      <c r="R59" s="131"/>
      <c r="S59" s="131"/>
      <c r="T59" s="131"/>
      <c r="U59" s="131"/>
      <c r="V59" s="131"/>
      <c r="W59" s="131"/>
      <c r="X59" s="131"/>
      <c r="Y59" s="131"/>
      <c r="Z59" s="131"/>
      <c r="AA59" s="131"/>
      <c r="AB59" s="131"/>
    </row>
    <row r="60" spans="1:28" s="40" customFormat="1" ht="15.75">
      <c r="A60" s="27" t="s">
        <v>755</v>
      </c>
      <c r="B60" s="27" t="s">
        <v>755</v>
      </c>
      <c r="C60" s="38" t="s">
        <v>755</v>
      </c>
      <c r="D60" s="38" t="s">
        <v>755</v>
      </c>
      <c r="E60" s="253" t="s">
        <v>5065</v>
      </c>
      <c r="F60" s="107" t="s">
        <v>7791</v>
      </c>
      <c r="G60" s="119">
        <v>0</v>
      </c>
      <c r="H60" s="119">
        <v>8550181517</v>
      </c>
      <c r="I60" s="119">
        <v>8550181517</v>
      </c>
      <c r="J60" s="119">
        <v>7390356517</v>
      </c>
      <c r="K60" s="119">
        <v>1159825000</v>
      </c>
      <c r="L60" s="119">
        <v>0</v>
      </c>
      <c r="M60" s="119">
        <v>0</v>
      </c>
      <c r="N60" s="119">
        <v>714400000</v>
      </c>
      <c r="O60" s="119">
        <v>714400000</v>
      </c>
      <c r="P60" s="119">
        <v>0</v>
      </c>
      <c r="Q60" s="131"/>
      <c r="R60" s="131"/>
      <c r="S60" s="131"/>
      <c r="T60" s="131"/>
      <c r="U60" s="131"/>
      <c r="V60" s="131"/>
      <c r="W60" s="131"/>
      <c r="X60" s="131"/>
      <c r="Y60" s="131"/>
      <c r="Z60" s="131"/>
      <c r="AA60" s="131"/>
      <c r="AB60" s="131"/>
    </row>
    <row r="61" spans="1:28" s="40" customFormat="1" ht="15.75">
      <c r="A61" s="27" t="s">
        <v>755</v>
      </c>
      <c r="B61" s="27" t="s">
        <v>755</v>
      </c>
      <c r="C61" s="38" t="s">
        <v>755</v>
      </c>
      <c r="D61" s="38" t="s">
        <v>755</v>
      </c>
      <c r="E61" s="253" t="s">
        <v>5069</v>
      </c>
      <c r="F61" s="107" t="s">
        <v>7808</v>
      </c>
      <c r="G61" s="119">
        <v>0</v>
      </c>
      <c r="H61" s="119">
        <v>167614108</v>
      </c>
      <c r="I61" s="119">
        <v>167614108</v>
      </c>
      <c r="J61" s="119">
        <v>164394108</v>
      </c>
      <c r="K61" s="119">
        <v>3220000</v>
      </c>
      <c r="L61" s="119">
        <v>0</v>
      </c>
      <c r="M61" s="119">
        <v>0</v>
      </c>
      <c r="N61" s="119">
        <v>1300000</v>
      </c>
      <c r="O61" s="119">
        <v>1300000</v>
      </c>
      <c r="P61" s="119">
        <v>0</v>
      </c>
      <c r="Q61" s="131"/>
      <c r="R61" s="131"/>
      <c r="S61" s="131"/>
      <c r="T61" s="131"/>
      <c r="U61" s="131"/>
      <c r="V61" s="131"/>
      <c r="W61" s="131"/>
      <c r="X61" s="131"/>
      <c r="Y61" s="131"/>
      <c r="Z61" s="131"/>
      <c r="AA61" s="131"/>
      <c r="AB61" s="131"/>
    </row>
    <row r="62" spans="1:28" s="40" customFormat="1" ht="15.75">
      <c r="A62" s="27" t="s">
        <v>755</v>
      </c>
      <c r="B62" s="27" t="s">
        <v>323</v>
      </c>
      <c r="C62" s="38" t="s">
        <v>755</v>
      </c>
      <c r="D62" s="38" t="s">
        <v>755</v>
      </c>
      <c r="E62" s="253" t="s">
        <v>5065</v>
      </c>
      <c r="F62" s="107" t="s">
        <v>7791</v>
      </c>
      <c r="G62" s="119">
        <v>0</v>
      </c>
      <c r="H62" s="119">
        <v>8717795625</v>
      </c>
      <c r="I62" s="119">
        <v>8717795625</v>
      </c>
      <c r="J62" s="119">
        <v>7554750625</v>
      </c>
      <c r="K62" s="119">
        <v>1163045000</v>
      </c>
      <c r="L62" s="119">
        <v>0</v>
      </c>
      <c r="M62" s="119">
        <v>0</v>
      </c>
      <c r="N62" s="119">
        <v>715700000</v>
      </c>
      <c r="O62" s="119">
        <v>715700000</v>
      </c>
      <c r="P62" s="119">
        <v>0</v>
      </c>
      <c r="Q62" s="131"/>
      <c r="R62" s="131"/>
      <c r="S62" s="131"/>
      <c r="T62" s="131"/>
      <c r="U62" s="131"/>
      <c r="V62" s="131"/>
      <c r="W62" s="131"/>
      <c r="X62" s="131"/>
      <c r="Y62" s="131"/>
      <c r="Z62" s="131"/>
      <c r="AA62" s="131"/>
      <c r="AB62" s="131"/>
    </row>
    <row r="63" spans="1:28" s="40" customFormat="1" ht="15.75">
      <c r="A63" s="27" t="s">
        <v>755</v>
      </c>
      <c r="B63" s="27"/>
      <c r="C63" s="38" t="s">
        <v>755</v>
      </c>
      <c r="D63" s="38" t="s">
        <v>755</v>
      </c>
      <c r="E63" s="253"/>
      <c r="F63" s="107"/>
      <c r="G63" s="119"/>
      <c r="H63" s="119"/>
      <c r="I63" s="119"/>
      <c r="J63" s="119"/>
      <c r="K63" s="119"/>
      <c r="L63" s="119"/>
      <c r="M63" s="119"/>
      <c r="N63" s="119"/>
      <c r="O63" s="119"/>
      <c r="P63" s="119"/>
      <c r="Q63" s="131"/>
      <c r="R63" s="131"/>
      <c r="S63" s="131"/>
      <c r="T63" s="131"/>
      <c r="U63" s="131"/>
      <c r="V63" s="131"/>
      <c r="W63" s="131"/>
      <c r="X63" s="131"/>
      <c r="Y63" s="131"/>
      <c r="Z63" s="131"/>
      <c r="AA63" s="131"/>
      <c r="AB63" s="131"/>
    </row>
    <row r="64" spans="1:28" s="40" customFormat="1" ht="15.75">
      <c r="A64" s="27" t="s">
        <v>755</v>
      </c>
      <c r="B64" s="27" t="s">
        <v>755</v>
      </c>
      <c r="C64" s="38" t="s">
        <v>755</v>
      </c>
      <c r="D64" s="38" t="s">
        <v>755</v>
      </c>
      <c r="E64" s="253" t="s">
        <v>5097</v>
      </c>
      <c r="F64" s="107" t="s">
        <v>7797</v>
      </c>
      <c r="G64" s="119">
        <v>0</v>
      </c>
      <c r="H64" s="119">
        <v>4160032817</v>
      </c>
      <c r="I64" s="119">
        <v>4160032817</v>
      </c>
      <c r="J64" s="119">
        <v>3438924817</v>
      </c>
      <c r="K64" s="119">
        <v>721108000</v>
      </c>
      <c r="L64" s="119">
        <v>0</v>
      </c>
      <c r="M64" s="119">
        <v>0</v>
      </c>
      <c r="N64" s="119">
        <v>135900000</v>
      </c>
      <c r="O64" s="119">
        <v>135900000</v>
      </c>
      <c r="P64" s="119">
        <v>0</v>
      </c>
      <c r="Q64" s="131"/>
      <c r="R64" s="131"/>
      <c r="S64" s="131"/>
      <c r="T64" s="131"/>
      <c r="U64" s="131"/>
      <c r="V64" s="131"/>
      <c r="W64" s="131"/>
      <c r="X64" s="131"/>
      <c r="Y64" s="131"/>
      <c r="Z64" s="131"/>
      <c r="AA64" s="131"/>
      <c r="AB64" s="131"/>
    </row>
    <row r="65" spans="1:28" s="40" customFormat="1" ht="15.75">
      <c r="A65" s="27" t="s">
        <v>755</v>
      </c>
      <c r="B65" s="27" t="s">
        <v>755</v>
      </c>
      <c r="C65" s="38" t="s">
        <v>755</v>
      </c>
      <c r="D65" s="38" t="s">
        <v>755</v>
      </c>
      <c r="E65" s="253" t="s">
        <v>5071</v>
      </c>
      <c r="F65" s="107" t="s">
        <v>7810</v>
      </c>
      <c r="G65" s="119">
        <v>0</v>
      </c>
      <c r="H65" s="119">
        <v>544786841</v>
      </c>
      <c r="I65" s="119">
        <v>544786841</v>
      </c>
      <c r="J65" s="119">
        <v>489276841</v>
      </c>
      <c r="K65" s="119">
        <v>55510000</v>
      </c>
      <c r="L65" s="119">
        <v>0</v>
      </c>
      <c r="M65" s="119">
        <v>0</v>
      </c>
      <c r="N65" s="119">
        <v>70000000</v>
      </c>
      <c r="O65" s="119">
        <v>70000000</v>
      </c>
      <c r="P65" s="119">
        <v>0</v>
      </c>
      <c r="Q65" s="131"/>
      <c r="R65" s="131"/>
      <c r="S65" s="131"/>
      <c r="T65" s="131"/>
      <c r="U65" s="131"/>
      <c r="V65" s="131"/>
      <c r="W65" s="131"/>
      <c r="X65" s="131"/>
      <c r="Y65" s="131"/>
      <c r="Z65" s="131"/>
      <c r="AA65" s="131"/>
      <c r="AB65" s="131"/>
    </row>
    <row r="66" spans="1:28" s="40" customFormat="1" ht="15.75">
      <c r="A66" s="27" t="s">
        <v>755</v>
      </c>
      <c r="B66" s="27" t="s">
        <v>324</v>
      </c>
      <c r="C66" s="38" t="s">
        <v>755</v>
      </c>
      <c r="D66" s="38" t="s">
        <v>755</v>
      </c>
      <c r="E66" s="253" t="s">
        <v>5098</v>
      </c>
      <c r="F66" s="107" t="s">
        <v>7798</v>
      </c>
      <c r="G66" s="119">
        <v>0</v>
      </c>
      <c r="H66" s="119">
        <v>4704819658</v>
      </c>
      <c r="I66" s="119">
        <v>4704819658</v>
      </c>
      <c r="J66" s="119">
        <v>3928201658</v>
      </c>
      <c r="K66" s="119">
        <v>776618000</v>
      </c>
      <c r="L66" s="119">
        <v>0</v>
      </c>
      <c r="M66" s="119">
        <v>0</v>
      </c>
      <c r="N66" s="119">
        <v>205900000</v>
      </c>
      <c r="O66" s="119">
        <v>205900000</v>
      </c>
      <c r="P66" s="119">
        <v>0</v>
      </c>
      <c r="Q66" s="131"/>
      <c r="R66" s="131"/>
      <c r="S66" s="131"/>
      <c r="T66" s="131"/>
      <c r="U66" s="131"/>
      <c r="V66" s="131"/>
      <c r="W66" s="131"/>
      <c r="X66" s="131"/>
      <c r="Y66" s="131"/>
      <c r="Z66" s="131"/>
      <c r="AA66" s="131"/>
      <c r="AB66" s="131"/>
    </row>
    <row r="67" spans="1:28" s="40" customFormat="1" ht="15.75">
      <c r="A67" s="27" t="s">
        <v>755</v>
      </c>
      <c r="B67" s="27"/>
      <c r="C67" s="38" t="s">
        <v>755</v>
      </c>
      <c r="D67" s="38" t="s">
        <v>755</v>
      </c>
      <c r="E67" s="253"/>
      <c r="F67" s="107"/>
      <c r="G67" s="119"/>
      <c r="H67" s="119"/>
      <c r="I67" s="119"/>
      <c r="J67" s="119"/>
      <c r="K67" s="119"/>
      <c r="L67" s="119"/>
      <c r="M67" s="119"/>
      <c r="N67" s="119"/>
      <c r="O67" s="119"/>
      <c r="P67" s="119"/>
      <c r="Q67" s="131"/>
      <c r="R67" s="131"/>
      <c r="S67" s="131"/>
      <c r="T67" s="131"/>
      <c r="U67" s="131"/>
      <c r="V67" s="131"/>
      <c r="W67" s="131"/>
      <c r="X67" s="131"/>
      <c r="Y67" s="131"/>
      <c r="Z67" s="131"/>
      <c r="AA67" s="131"/>
      <c r="AB67" s="131"/>
    </row>
    <row r="68" spans="1:28" s="40" customFormat="1" ht="15.75">
      <c r="A68" s="27" t="s">
        <v>755</v>
      </c>
      <c r="B68" s="27" t="s">
        <v>325</v>
      </c>
      <c r="C68" s="38" t="s">
        <v>755</v>
      </c>
      <c r="D68" s="38" t="s">
        <v>755</v>
      </c>
      <c r="E68" s="253" t="s">
        <v>5066</v>
      </c>
      <c r="F68" s="107" t="s">
        <v>7802</v>
      </c>
      <c r="G68" s="119">
        <v>0</v>
      </c>
      <c r="H68" s="119">
        <v>7368056062</v>
      </c>
      <c r="I68" s="119">
        <v>7368056062</v>
      </c>
      <c r="J68" s="119">
        <v>3515896062</v>
      </c>
      <c r="K68" s="119">
        <v>3852160000</v>
      </c>
      <c r="L68" s="119">
        <v>0</v>
      </c>
      <c r="M68" s="119">
        <v>0</v>
      </c>
      <c r="N68" s="119">
        <v>7170000000</v>
      </c>
      <c r="O68" s="119">
        <v>7170000000</v>
      </c>
      <c r="P68" s="119">
        <v>0</v>
      </c>
      <c r="Q68" s="131"/>
      <c r="R68" s="131"/>
      <c r="S68" s="131"/>
      <c r="T68" s="131"/>
      <c r="U68" s="131"/>
      <c r="V68" s="131"/>
      <c r="W68" s="131"/>
      <c r="X68" s="131"/>
      <c r="Y68" s="131"/>
      <c r="Z68" s="131"/>
      <c r="AA68" s="131"/>
      <c r="AB68" s="131"/>
    </row>
    <row r="69" spans="1:28" s="40" customFormat="1" ht="15.75">
      <c r="A69" s="27" t="s">
        <v>755</v>
      </c>
      <c r="B69" s="27" t="s">
        <v>326</v>
      </c>
      <c r="C69" s="38" t="s">
        <v>755</v>
      </c>
      <c r="D69" s="38" t="s">
        <v>755</v>
      </c>
      <c r="E69" s="253" t="s">
        <v>5068</v>
      </c>
      <c r="F69" s="107" t="s">
        <v>7806</v>
      </c>
      <c r="G69" s="119">
        <v>0</v>
      </c>
      <c r="H69" s="119">
        <v>4119067934</v>
      </c>
      <c r="I69" s="119">
        <v>4119067934</v>
      </c>
      <c r="J69" s="119">
        <v>3862565534</v>
      </c>
      <c r="K69" s="119">
        <v>256502400</v>
      </c>
      <c r="L69" s="119">
        <v>0</v>
      </c>
      <c r="M69" s="119">
        <v>0</v>
      </c>
      <c r="N69" s="119">
        <v>558400000</v>
      </c>
      <c r="O69" s="119">
        <v>558400000</v>
      </c>
      <c r="P69" s="119">
        <v>0</v>
      </c>
      <c r="Q69" s="131"/>
      <c r="R69" s="131"/>
      <c r="S69" s="131"/>
      <c r="T69" s="131"/>
      <c r="U69" s="131"/>
      <c r="V69" s="131"/>
      <c r="W69" s="131"/>
      <c r="X69" s="131"/>
      <c r="Y69" s="131"/>
      <c r="Z69" s="131"/>
      <c r="AA69" s="131"/>
      <c r="AB69" s="131"/>
    </row>
    <row r="70" spans="1:28" s="40" customFormat="1" ht="15.75">
      <c r="A70" s="27" t="s">
        <v>755</v>
      </c>
      <c r="B70" s="27" t="s">
        <v>755</v>
      </c>
      <c r="C70" s="38" t="s">
        <v>755</v>
      </c>
      <c r="D70" s="38" t="s">
        <v>755</v>
      </c>
      <c r="E70" s="47"/>
      <c r="F70" s="107"/>
      <c r="G70" s="119"/>
      <c r="H70" s="119"/>
      <c r="I70" s="119"/>
      <c r="J70" s="119"/>
      <c r="K70" s="119"/>
      <c r="L70" s="119"/>
      <c r="M70" s="119"/>
      <c r="N70" s="119"/>
      <c r="O70" s="119"/>
      <c r="P70" s="119"/>
      <c r="Q70" s="131"/>
      <c r="R70" s="131"/>
      <c r="S70" s="131"/>
      <c r="T70" s="131"/>
      <c r="U70" s="131"/>
      <c r="V70" s="131"/>
      <c r="W70" s="131"/>
      <c r="X70" s="131"/>
      <c r="Y70" s="131"/>
      <c r="Z70" s="131"/>
      <c r="AA70" s="131"/>
      <c r="AB70" s="131"/>
    </row>
    <row r="71" spans="1:28" s="40" customFormat="1" ht="31.5">
      <c r="A71" s="27" t="s">
        <v>755</v>
      </c>
      <c r="B71" s="27" t="s">
        <v>327</v>
      </c>
      <c r="C71" s="38" t="s">
        <v>755</v>
      </c>
      <c r="D71" s="38" t="s">
        <v>755</v>
      </c>
      <c r="E71" s="217" t="s">
        <v>5073</v>
      </c>
      <c r="F71" s="234" t="s">
        <v>7813</v>
      </c>
      <c r="G71" s="129">
        <v>0</v>
      </c>
      <c r="H71" s="129">
        <v>24909739279</v>
      </c>
      <c r="I71" s="129">
        <v>24909739279</v>
      </c>
      <c r="J71" s="129">
        <v>18861413879</v>
      </c>
      <c r="K71" s="129">
        <v>6048325400</v>
      </c>
      <c r="L71" s="129">
        <v>0</v>
      </c>
      <c r="M71" s="129">
        <v>0</v>
      </c>
      <c r="N71" s="129">
        <v>8650000000</v>
      </c>
      <c r="O71" s="129">
        <v>8650000000</v>
      </c>
      <c r="P71" s="129">
        <v>0</v>
      </c>
      <c r="Q71" s="131"/>
      <c r="R71" s="131"/>
      <c r="S71" s="131"/>
      <c r="T71" s="131"/>
      <c r="U71" s="131"/>
      <c r="V71" s="131"/>
      <c r="W71" s="131"/>
      <c r="X71" s="131"/>
      <c r="Y71" s="131"/>
      <c r="Z71" s="131"/>
      <c r="AA71" s="131"/>
      <c r="AB71" s="131"/>
    </row>
    <row r="72" spans="1:28" s="40" customFormat="1" ht="15.75">
      <c r="A72" s="37"/>
      <c r="B72" s="27"/>
      <c r="C72" s="38"/>
      <c r="D72" s="38"/>
      <c r="E72" s="231"/>
      <c r="F72" s="107"/>
      <c r="G72" s="131"/>
      <c r="H72" s="131"/>
      <c r="I72" s="131"/>
      <c r="J72" s="131"/>
      <c r="K72" s="131"/>
      <c r="L72" s="131"/>
      <c r="M72" s="131"/>
      <c r="N72" s="131"/>
      <c r="O72" s="131"/>
      <c r="P72" s="131"/>
      <c r="Q72" s="131"/>
      <c r="R72" s="131"/>
      <c r="S72" s="131"/>
      <c r="T72" s="131"/>
      <c r="U72" s="131"/>
      <c r="V72" s="131"/>
      <c r="W72" s="131"/>
      <c r="X72" s="131"/>
      <c r="Y72" s="131"/>
      <c r="Z72" s="131"/>
      <c r="AA72" s="131"/>
      <c r="AB72" s="131"/>
    </row>
    <row r="73" spans="1:28" s="40" customFormat="1">
      <c r="F73" s="236"/>
    </row>
    <row r="74" spans="1:28" s="40" customFormat="1">
      <c r="F74" s="236"/>
    </row>
    <row r="75" spans="1:28" s="40" customFormat="1">
      <c r="F75" s="236"/>
    </row>
    <row r="76" spans="1:28" s="40" customFormat="1">
      <c r="F76" s="236"/>
    </row>
    <row r="77" spans="1:28" s="40" customFormat="1">
      <c r="F77" s="236"/>
    </row>
    <row r="78" spans="1:28" s="40" customFormat="1">
      <c r="F78" s="236"/>
    </row>
    <row r="79" spans="1:28" s="40" customFormat="1">
      <c r="F79" s="236"/>
    </row>
    <row r="80" spans="1:28" s="40" customFormat="1">
      <c r="F80" s="236"/>
    </row>
  </sheetData>
  <dataConsolidate/>
  <mergeCells count="21">
    <mergeCell ref="A1:I1"/>
    <mergeCell ref="J1:P1"/>
    <mergeCell ref="A2:A5"/>
    <mergeCell ref="B2:B5"/>
    <mergeCell ref="C2:C5"/>
    <mergeCell ref="D2:D5"/>
    <mergeCell ref="E2:E5"/>
    <mergeCell ref="G2:I2"/>
    <mergeCell ref="J2:J5"/>
    <mergeCell ref="K2:L2"/>
    <mergeCell ref="M2:N2"/>
    <mergeCell ref="O2:O5"/>
    <mergeCell ref="P2:P5"/>
    <mergeCell ref="G3:G5"/>
    <mergeCell ref="H3:H5"/>
    <mergeCell ref="I3:I5"/>
    <mergeCell ref="F2:F5"/>
    <mergeCell ref="K3:K5"/>
    <mergeCell ref="L3:L5"/>
    <mergeCell ref="M3:M5"/>
    <mergeCell ref="N3:N5"/>
  </mergeCells>
  <phoneticPr fontId="8" type="noConversion"/>
  <printOptions horizontalCentered="1" gridLines="1" gridLinesSet="0"/>
  <pageMargins left="0.5" right="0.5" top="0.7" bottom="1.5" header="0.5" footer="0.5"/>
  <pageSetup paperSize="5" firstPageNumber="24" pageOrder="overThenDown" orientation="portrait" blackAndWhite="1" useFirstPageNumber="1" r:id="rId1"/>
  <headerFooter alignWithMargins="0">
    <oddHeader>&amp;C(&amp;P)</oddHeader>
  </headerFooter>
  <rowBreaks count="1" manualBreakCount="1">
    <brk id="49" max="17"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1" codeName="Sheet84">
    <tabColor indexed="11"/>
  </sheetPr>
  <dimension ref="A1:H322"/>
  <sheetViews>
    <sheetView zoomScaleNormal="100" zoomScaleSheetLayoutView="130" workbookViewId="0"/>
  </sheetViews>
  <sheetFormatPr defaultColWidth="9.1640625" defaultRowHeight="11.25"/>
  <cols>
    <col min="1" max="1" width="4.83203125" style="40" customWidth="1"/>
    <col min="2" max="2" width="19.83203125" style="42" customWidth="1"/>
    <col min="3" max="3" width="9.1640625" style="42" customWidth="1"/>
    <col min="4" max="4" width="2.83203125" style="43" customWidth="1"/>
    <col min="5" max="5" width="51.83203125" style="40" customWidth="1"/>
    <col min="6" max="6" width="15.6640625" style="40" customWidth="1"/>
    <col min="7" max="7" width="16.83203125" style="40" customWidth="1"/>
    <col min="8" max="8" width="2.83203125" style="84" customWidth="1"/>
    <col min="9" max="14" width="9.1640625" style="40" customWidth="1"/>
    <col min="15" max="16384" width="9.1640625" style="40"/>
  </cols>
  <sheetData>
    <row r="1" spans="1:8" ht="16.5">
      <c r="A1" s="185" t="s">
        <v>5075</v>
      </c>
      <c r="B1" s="163"/>
      <c r="C1" s="163"/>
      <c r="D1" s="186"/>
      <c r="E1" s="212"/>
      <c r="F1" s="188"/>
      <c r="G1" s="188"/>
    </row>
    <row r="2" spans="1:8" ht="11.25" customHeight="1">
      <c r="A2" s="92"/>
      <c r="E2" s="92"/>
      <c r="F2" s="131"/>
      <c r="G2" s="131"/>
    </row>
    <row r="3" spans="1:8" ht="12">
      <c r="A3" s="92"/>
      <c r="E3" s="92"/>
      <c r="F3" s="131"/>
      <c r="G3" s="131"/>
    </row>
    <row r="4" spans="1:8" ht="15.75">
      <c r="A4" s="169" t="s">
        <v>4938</v>
      </c>
      <c r="E4" s="92"/>
      <c r="F4" s="131"/>
      <c r="G4" s="131"/>
      <c r="H4" s="40"/>
    </row>
    <row r="5" spans="1:8" ht="15.75">
      <c r="A5" s="173" t="s">
        <v>4390</v>
      </c>
      <c r="E5" s="92"/>
      <c r="F5" s="131"/>
      <c r="G5" s="131"/>
      <c r="H5" s="40"/>
    </row>
    <row r="6" spans="1:8" ht="12">
      <c r="A6" s="93" t="s">
        <v>4856</v>
      </c>
      <c r="E6" s="92"/>
      <c r="F6" s="131"/>
      <c r="G6" s="131"/>
      <c r="H6" s="40"/>
    </row>
    <row r="7" spans="1:8" ht="12">
      <c r="A7" s="92"/>
      <c r="E7" s="92"/>
      <c r="F7" s="131"/>
      <c r="G7" s="131"/>
      <c r="H7" s="40"/>
    </row>
    <row r="8" spans="1:8" ht="15.75" customHeight="1">
      <c r="A8" s="113" t="s">
        <v>4918</v>
      </c>
      <c r="B8" s="42" t="s">
        <v>234</v>
      </c>
      <c r="C8" s="42" t="s">
        <v>506</v>
      </c>
      <c r="E8" s="113" t="s">
        <v>4066</v>
      </c>
      <c r="F8" s="175" t="s">
        <v>3673</v>
      </c>
      <c r="G8" s="175" t="s">
        <v>3676</v>
      </c>
      <c r="H8" s="40"/>
    </row>
    <row r="9" spans="1:8" ht="12">
      <c r="A9" s="92"/>
      <c r="E9" s="92"/>
      <c r="F9" s="131"/>
      <c r="G9" s="131"/>
      <c r="H9" s="40"/>
    </row>
    <row r="10" spans="1:8" ht="15.75">
      <c r="A10" s="92"/>
      <c r="E10" s="189" t="s">
        <v>8434</v>
      </c>
      <c r="F10" s="131"/>
      <c r="G10" s="131"/>
      <c r="H10" s="40"/>
    </row>
    <row r="11" spans="1:8" ht="15.75">
      <c r="A11" s="113">
        <v>1</v>
      </c>
      <c r="B11" s="42" t="s">
        <v>10390</v>
      </c>
      <c r="E11" s="87" t="s">
        <v>8721</v>
      </c>
      <c r="F11" s="126"/>
      <c r="G11" s="126">
        <v>1540000</v>
      </c>
      <c r="H11" s="40"/>
    </row>
    <row r="12" spans="1:8" ht="15.75">
      <c r="A12" s="113">
        <v>2</v>
      </c>
      <c r="B12" s="42" t="s">
        <v>10391</v>
      </c>
      <c r="E12" s="87" t="s">
        <v>8722</v>
      </c>
      <c r="F12" s="126">
        <v>1000000</v>
      </c>
      <c r="G12" s="126">
        <v>825000</v>
      </c>
      <c r="H12" s="40"/>
    </row>
    <row r="13" spans="1:8" ht="31.5">
      <c r="A13" s="113">
        <v>3</v>
      </c>
      <c r="B13" s="42" t="s">
        <v>5042</v>
      </c>
      <c r="E13" s="79" t="s">
        <v>4602</v>
      </c>
      <c r="F13" s="126">
        <v>3500000</v>
      </c>
      <c r="G13" s="126">
        <v>2000000</v>
      </c>
      <c r="H13" s="40"/>
    </row>
    <row r="14" spans="1:8" ht="31.5">
      <c r="A14" s="113">
        <v>4</v>
      </c>
      <c r="B14" s="42" t="s">
        <v>5043</v>
      </c>
      <c r="E14" s="79" t="s">
        <v>8698</v>
      </c>
      <c r="F14" s="126">
        <v>46100000</v>
      </c>
      <c r="G14" s="126">
        <v>40000000</v>
      </c>
      <c r="H14" s="40"/>
    </row>
    <row r="15" spans="1:8" ht="15.75">
      <c r="A15" s="113">
        <v>5</v>
      </c>
      <c r="B15" s="42" t="s">
        <v>5044</v>
      </c>
      <c r="E15" s="87" t="s">
        <v>8702</v>
      </c>
      <c r="F15" s="126">
        <v>10000000</v>
      </c>
      <c r="G15" s="126">
        <v>7500000</v>
      </c>
      <c r="H15" s="40"/>
    </row>
    <row r="16" spans="1:8" ht="47.25">
      <c r="A16" s="113">
        <v>6</v>
      </c>
      <c r="B16" s="42" t="s">
        <v>5045</v>
      </c>
      <c r="E16" s="79" t="s">
        <v>8704</v>
      </c>
      <c r="F16" s="126"/>
      <c r="G16" s="126">
        <v>2000000</v>
      </c>
      <c r="H16" s="40"/>
    </row>
    <row r="17" spans="1:8" ht="15.75">
      <c r="A17" s="113">
        <v>7</v>
      </c>
      <c r="B17" s="42" t="s">
        <v>5265</v>
      </c>
      <c r="E17" s="79" t="s">
        <v>8705</v>
      </c>
      <c r="F17" s="126">
        <v>3000000</v>
      </c>
      <c r="G17" s="126">
        <v>3000000</v>
      </c>
      <c r="H17" s="40"/>
    </row>
    <row r="18" spans="1:8" ht="15.75">
      <c r="A18" s="113">
        <v>8</v>
      </c>
      <c r="B18" s="42" t="s">
        <v>5269</v>
      </c>
      <c r="E18" s="79" t="s">
        <v>8716</v>
      </c>
      <c r="F18" s="126">
        <v>5000000</v>
      </c>
      <c r="G18" s="126">
        <v>1000000</v>
      </c>
      <c r="H18" s="40"/>
    </row>
    <row r="19" spans="1:8" ht="15.75">
      <c r="A19" s="113">
        <v>9</v>
      </c>
      <c r="B19" s="42" t="s">
        <v>5270</v>
      </c>
      <c r="E19" s="79" t="s">
        <v>8717</v>
      </c>
      <c r="F19" s="126">
        <v>5000000</v>
      </c>
      <c r="G19" s="126">
        <v>1000000</v>
      </c>
      <c r="H19" s="40"/>
    </row>
    <row r="20" spans="1:8" ht="31.5">
      <c r="A20" s="113">
        <v>10</v>
      </c>
      <c r="B20" s="42" t="s">
        <v>5266</v>
      </c>
      <c r="E20" s="79" t="s">
        <v>8706</v>
      </c>
      <c r="F20" s="126">
        <v>3000000</v>
      </c>
      <c r="G20" s="126">
        <v>3000000</v>
      </c>
      <c r="H20" s="40"/>
    </row>
    <row r="21" spans="1:8" ht="31.5">
      <c r="A21" s="113">
        <v>11</v>
      </c>
      <c r="B21" s="42" t="s">
        <v>5267</v>
      </c>
      <c r="E21" s="79" t="s">
        <v>8714</v>
      </c>
      <c r="F21" s="126">
        <v>10000000</v>
      </c>
      <c r="G21" s="126">
        <v>5000000</v>
      </c>
      <c r="H21" s="40"/>
    </row>
    <row r="22" spans="1:8" ht="15.75">
      <c r="A22" s="113">
        <v>12</v>
      </c>
      <c r="B22" s="42" t="s">
        <v>5271</v>
      </c>
      <c r="E22" s="87" t="s">
        <v>8707</v>
      </c>
      <c r="F22" s="126">
        <v>1000000</v>
      </c>
      <c r="G22" s="126">
        <v>275000</v>
      </c>
      <c r="H22" s="40"/>
    </row>
    <row r="23" spans="1:8" ht="15.75">
      <c r="A23" s="113">
        <v>13</v>
      </c>
      <c r="B23" s="42" t="s">
        <v>5272</v>
      </c>
      <c r="E23" s="79" t="s">
        <v>5157</v>
      </c>
      <c r="F23" s="126">
        <v>3000000</v>
      </c>
      <c r="G23" s="126">
        <v>1000000</v>
      </c>
      <c r="H23" s="40"/>
    </row>
    <row r="24" spans="1:8" ht="31.5">
      <c r="A24" s="113">
        <v>14</v>
      </c>
      <c r="B24" s="42" t="s">
        <v>5273</v>
      </c>
      <c r="E24" s="79" t="s">
        <v>5158</v>
      </c>
      <c r="F24" s="126">
        <v>3000000</v>
      </c>
      <c r="G24" s="126">
        <v>1000000</v>
      </c>
      <c r="H24" s="40"/>
    </row>
    <row r="25" spans="1:8" ht="47.25">
      <c r="A25" s="113">
        <v>15</v>
      </c>
      <c r="B25" s="42" t="s">
        <v>5274</v>
      </c>
      <c r="E25" s="79" t="s">
        <v>5159</v>
      </c>
      <c r="F25" s="126">
        <v>3000000</v>
      </c>
      <c r="G25" s="126">
        <v>1000000</v>
      </c>
      <c r="H25" s="40"/>
    </row>
    <row r="26" spans="1:8" ht="31.5">
      <c r="A26" s="113">
        <v>16</v>
      </c>
      <c r="B26" s="42" t="s">
        <v>5275</v>
      </c>
      <c r="E26" s="79" t="s">
        <v>5160</v>
      </c>
      <c r="F26" s="126">
        <v>2000000</v>
      </c>
      <c r="G26" s="126">
        <v>750000</v>
      </c>
      <c r="H26" s="40"/>
    </row>
    <row r="27" spans="1:8" ht="31.5">
      <c r="A27" s="113">
        <v>17</v>
      </c>
      <c r="B27" s="42" t="s">
        <v>5276</v>
      </c>
      <c r="E27" s="79" t="s">
        <v>5161</v>
      </c>
      <c r="F27" s="126">
        <v>3000000</v>
      </c>
      <c r="G27" s="126">
        <v>1000000</v>
      </c>
      <c r="H27" s="40"/>
    </row>
    <row r="28" spans="1:8" ht="31.5">
      <c r="A28" s="113">
        <v>18</v>
      </c>
      <c r="B28" s="42" t="s">
        <v>5277</v>
      </c>
      <c r="E28" s="79" t="s">
        <v>5162</v>
      </c>
      <c r="F28" s="126">
        <v>3000000</v>
      </c>
      <c r="G28" s="126">
        <v>1000000</v>
      </c>
      <c r="H28" s="40"/>
    </row>
    <row r="29" spans="1:8" ht="47.25">
      <c r="A29" s="113">
        <v>19</v>
      </c>
      <c r="B29" s="42" t="s">
        <v>5278</v>
      </c>
      <c r="E29" s="79" t="s">
        <v>5163</v>
      </c>
      <c r="F29" s="126">
        <v>3000000</v>
      </c>
      <c r="G29" s="126">
        <v>1000000</v>
      </c>
      <c r="H29" s="40"/>
    </row>
    <row r="30" spans="1:8" ht="31.5">
      <c r="A30" s="113">
        <v>20</v>
      </c>
      <c r="B30" s="42" t="s">
        <v>5279</v>
      </c>
      <c r="E30" s="79" t="s">
        <v>5164</v>
      </c>
      <c r="F30" s="126">
        <v>2000000</v>
      </c>
      <c r="G30" s="126">
        <v>400000</v>
      </c>
      <c r="H30" s="40"/>
    </row>
    <row r="31" spans="1:8" ht="31.5">
      <c r="A31" s="113">
        <v>21</v>
      </c>
      <c r="B31" s="42" t="s">
        <v>5280</v>
      </c>
      <c r="E31" s="79" t="s">
        <v>5165</v>
      </c>
      <c r="F31" s="126">
        <v>2000000</v>
      </c>
      <c r="G31" s="126">
        <v>300000</v>
      </c>
      <c r="H31" s="40"/>
    </row>
    <row r="32" spans="1:8" ht="31.5">
      <c r="A32" s="113">
        <v>22</v>
      </c>
      <c r="B32" s="42" t="s">
        <v>5268</v>
      </c>
      <c r="E32" s="79" t="s">
        <v>8715</v>
      </c>
      <c r="F32" s="126">
        <v>3000000</v>
      </c>
      <c r="G32" s="126">
        <v>1000000</v>
      </c>
      <c r="H32" s="40"/>
    </row>
    <row r="33" spans="1:8" ht="15.75">
      <c r="A33" s="113">
        <v>23</v>
      </c>
      <c r="B33" s="42" t="s">
        <v>5281</v>
      </c>
      <c r="E33" s="87" t="s">
        <v>8708</v>
      </c>
      <c r="F33" s="126">
        <v>200000</v>
      </c>
      <c r="G33" s="126">
        <v>200000</v>
      </c>
      <c r="H33" s="40"/>
    </row>
    <row r="34" spans="1:8" ht="15.75">
      <c r="A34" s="113">
        <v>24</v>
      </c>
      <c r="B34" s="42" t="s">
        <v>5282</v>
      </c>
      <c r="E34" s="87" t="s">
        <v>8709</v>
      </c>
      <c r="F34" s="126">
        <v>2500000</v>
      </c>
      <c r="G34" s="126">
        <v>800000</v>
      </c>
      <c r="H34" s="40"/>
    </row>
    <row r="35" spans="1:8" ht="15.75">
      <c r="A35" s="113">
        <v>25</v>
      </c>
      <c r="B35" s="42" t="s">
        <v>5283</v>
      </c>
      <c r="E35" s="87" t="s">
        <v>8710</v>
      </c>
      <c r="F35" s="126">
        <v>2500000</v>
      </c>
      <c r="G35" s="126">
        <v>1000000</v>
      </c>
      <c r="H35" s="40"/>
    </row>
    <row r="36" spans="1:8" ht="15.75">
      <c r="A36" s="113">
        <v>26</v>
      </c>
      <c r="B36" s="42" t="s">
        <v>5284</v>
      </c>
      <c r="E36" s="87" t="s">
        <v>8711</v>
      </c>
      <c r="F36" s="126">
        <v>2500000</v>
      </c>
      <c r="G36" s="126">
        <v>1500000</v>
      </c>
      <c r="H36" s="40"/>
    </row>
    <row r="37" spans="1:8" ht="15.75">
      <c r="A37" s="113">
        <v>27</v>
      </c>
      <c r="B37" s="42" t="s">
        <v>5285</v>
      </c>
      <c r="E37" s="79" t="s">
        <v>8712</v>
      </c>
      <c r="F37" s="126">
        <v>2500000</v>
      </c>
      <c r="G37" s="126">
        <v>1500000</v>
      </c>
      <c r="H37" s="40"/>
    </row>
    <row r="38" spans="1:8" ht="15.75">
      <c r="A38" s="113">
        <v>28</v>
      </c>
      <c r="B38" s="42" t="s">
        <v>5286</v>
      </c>
      <c r="E38" s="87" t="s">
        <v>5166</v>
      </c>
      <c r="F38" s="126">
        <v>7000000</v>
      </c>
      <c r="G38" s="126">
        <v>4000000</v>
      </c>
      <c r="H38" s="40"/>
    </row>
    <row r="39" spans="1:8" ht="31.5">
      <c r="A39" s="113">
        <v>29</v>
      </c>
      <c r="B39" s="42" t="s">
        <v>5287</v>
      </c>
      <c r="E39" s="79" t="s">
        <v>5167</v>
      </c>
      <c r="F39" s="126">
        <v>3000000</v>
      </c>
      <c r="G39" s="126">
        <v>1000000</v>
      </c>
      <c r="H39" s="40"/>
    </row>
    <row r="40" spans="1:8" ht="47.25">
      <c r="A40" s="113">
        <v>30</v>
      </c>
      <c r="B40" s="42" t="s">
        <v>5288</v>
      </c>
      <c r="E40" s="79" t="s">
        <v>5168</v>
      </c>
      <c r="F40" s="126">
        <v>5000000</v>
      </c>
      <c r="G40" s="126">
        <v>3000000</v>
      </c>
      <c r="H40" s="40"/>
    </row>
    <row r="41" spans="1:8" ht="31.5">
      <c r="A41" s="113">
        <v>31</v>
      </c>
      <c r="B41" s="42" t="s">
        <v>5289</v>
      </c>
      <c r="E41" s="79" t="s">
        <v>5169</v>
      </c>
      <c r="F41" s="126">
        <v>2000000</v>
      </c>
      <c r="G41" s="126">
        <v>750000</v>
      </c>
      <c r="H41" s="40"/>
    </row>
    <row r="42" spans="1:8" ht="15.75">
      <c r="A42" s="113">
        <v>32</v>
      </c>
      <c r="B42" s="42" t="s">
        <v>5290</v>
      </c>
      <c r="E42" s="79" t="s">
        <v>8713</v>
      </c>
      <c r="F42" s="126">
        <v>2000000</v>
      </c>
      <c r="G42" s="126">
        <v>750000</v>
      </c>
      <c r="H42" s="40"/>
    </row>
    <row r="43" spans="1:8" ht="31.5">
      <c r="A43" s="113">
        <v>33</v>
      </c>
      <c r="B43" s="42" t="s">
        <v>5291</v>
      </c>
      <c r="E43" s="79" t="s">
        <v>5170</v>
      </c>
      <c r="F43" s="126">
        <v>3000000</v>
      </c>
      <c r="G43" s="126">
        <v>750000</v>
      </c>
      <c r="H43" s="40"/>
    </row>
    <row r="44" spans="1:8" ht="31.5">
      <c r="A44" s="113">
        <v>34</v>
      </c>
      <c r="B44" s="42" t="s">
        <v>5292</v>
      </c>
      <c r="E44" s="79" t="s">
        <v>5171</v>
      </c>
      <c r="F44" s="126">
        <v>2000000</v>
      </c>
      <c r="G44" s="126">
        <v>750000</v>
      </c>
      <c r="H44" s="40"/>
    </row>
    <row r="45" spans="1:8" ht="31.5">
      <c r="A45" s="113">
        <v>35</v>
      </c>
      <c r="B45" s="42" t="s">
        <v>5293</v>
      </c>
      <c r="E45" s="79" t="s">
        <v>5172</v>
      </c>
      <c r="F45" s="126">
        <v>2000000</v>
      </c>
      <c r="G45" s="126">
        <v>400000</v>
      </c>
      <c r="H45" s="40"/>
    </row>
    <row r="46" spans="1:8" ht="31.5">
      <c r="A46" s="113">
        <v>36</v>
      </c>
      <c r="B46" s="42" t="s">
        <v>5294</v>
      </c>
      <c r="E46" s="79" t="s">
        <v>5173</v>
      </c>
      <c r="F46" s="126">
        <v>2000000</v>
      </c>
      <c r="G46" s="126">
        <v>300000</v>
      </c>
      <c r="H46" s="40"/>
    </row>
    <row r="47" spans="1:8" ht="15.75">
      <c r="A47" s="113">
        <v>37</v>
      </c>
      <c r="B47" s="42" t="s">
        <v>5295</v>
      </c>
      <c r="E47" s="79" t="s">
        <v>5174</v>
      </c>
      <c r="F47" s="126">
        <v>5000000</v>
      </c>
      <c r="G47" s="126">
        <v>2000000</v>
      </c>
      <c r="H47" s="40"/>
    </row>
    <row r="48" spans="1:8" ht="15.75">
      <c r="A48" s="113">
        <v>38</v>
      </c>
      <c r="B48" s="42" t="s">
        <v>5296</v>
      </c>
      <c r="E48" s="79" t="s">
        <v>5175</v>
      </c>
      <c r="F48" s="126">
        <v>2500000</v>
      </c>
      <c r="G48" s="126">
        <v>1000000</v>
      </c>
      <c r="H48" s="40"/>
    </row>
    <row r="49" spans="1:8" ht="31.5">
      <c r="A49" s="113">
        <v>39</v>
      </c>
      <c r="B49" s="42" t="s">
        <v>5013</v>
      </c>
      <c r="E49" s="79" t="s">
        <v>8694</v>
      </c>
      <c r="F49" s="126">
        <v>18000000</v>
      </c>
      <c r="G49" s="126">
        <v>2000000</v>
      </c>
      <c r="H49" s="40"/>
    </row>
    <row r="50" spans="1:8" ht="31.5">
      <c r="A50" s="113">
        <v>40</v>
      </c>
      <c r="B50" s="42" t="s">
        <v>5014</v>
      </c>
      <c r="E50" s="79" t="s">
        <v>8692</v>
      </c>
      <c r="F50" s="126">
        <v>700000</v>
      </c>
      <c r="G50" s="126">
        <v>4000000</v>
      </c>
      <c r="H50" s="40"/>
    </row>
    <row r="51" spans="1:8" ht="47.25">
      <c r="A51" s="113">
        <v>41</v>
      </c>
      <c r="B51" s="42" t="s">
        <v>5015</v>
      </c>
      <c r="E51" s="79" t="s">
        <v>8691</v>
      </c>
      <c r="F51" s="126">
        <v>40000000</v>
      </c>
      <c r="G51" s="126">
        <v>4000000</v>
      </c>
      <c r="H51" s="40"/>
    </row>
    <row r="52" spans="1:8" ht="15.75">
      <c r="A52" s="113">
        <v>42</v>
      </c>
      <c r="B52" s="42" t="s">
        <v>5010</v>
      </c>
      <c r="E52" s="87" t="s">
        <v>8699</v>
      </c>
      <c r="F52" s="126">
        <v>3800000</v>
      </c>
      <c r="G52" s="126">
        <v>1500000</v>
      </c>
      <c r="H52" s="40"/>
    </row>
    <row r="53" spans="1:8" ht="15.75">
      <c r="A53" s="113">
        <v>43</v>
      </c>
      <c r="B53" s="42" t="s">
        <v>1783</v>
      </c>
      <c r="E53" s="87" t="s">
        <v>8701</v>
      </c>
      <c r="F53" s="126">
        <v>5000000</v>
      </c>
      <c r="G53" s="126">
        <v>5000000</v>
      </c>
      <c r="H53" s="40"/>
    </row>
    <row r="54" spans="1:8" ht="15.75">
      <c r="A54" s="113">
        <v>44</v>
      </c>
      <c r="B54" s="42" t="s">
        <v>1866</v>
      </c>
      <c r="E54" s="87" t="s">
        <v>8696</v>
      </c>
      <c r="F54" s="126">
        <v>1000000</v>
      </c>
      <c r="G54" s="126">
        <v>400000</v>
      </c>
      <c r="H54" s="40"/>
    </row>
    <row r="55" spans="1:8" ht="31.5">
      <c r="A55" s="113">
        <v>45</v>
      </c>
      <c r="B55" s="42" t="s">
        <v>10392</v>
      </c>
      <c r="E55" s="79" t="s">
        <v>8697</v>
      </c>
      <c r="F55" s="126"/>
      <c r="G55" s="126">
        <v>8250000</v>
      </c>
      <c r="H55" s="40"/>
    </row>
    <row r="56" spans="1:8" ht="31.5">
      <c r="A56" s="113">
        <v>46</v>
      </c>
      <c r="B56" s="42" t="s">
        <v>5009</v>
      </c>
      <c r="E56" s="79" t="s">
        <v>8693</v>
      </c>
      <c r="F56" s="126">
        <v>2800000</v>
      </c>
      <c r="G56" s="126">
        <v>2500000</v>
      </c>
      <c r="H56" s="40"/>
    </row>
    <row r="57" spans="1:8" ht="15.75">
      <c r="A57" s="113">
        <v>47</v>
      </c>
      <c r="B57" s="42" t="s">
        <v>4603</v>
      </c>
      <c r="E57" s="87" t="s">
        <v>4604</v>
      </c>
      <c r="F57" s="126">
        <v>10000000</v>
      </c>
      <c r="G57" s="126">
        <v>10000000</v>
      </c>
      <c r="H57" s="40"/>
    </row>
    <row r="58" spans="1:8" ht="15.75">
      <c r="A58" s="113">
        <v>48</v>
      </c>
      <c r="B58" s="42" t="s">
        <v>1501</v>
      </c>
      <c r="E58" s="79" t="s">
        <v>8700</v>
      </c>
      <c r="F58" s="126">
        <v>7200000</v>
      </c>
      <c r="G58" s="126">
        <v>1500000</v>
      </c>
      <c r="H58" s="40"/>
    </row>
    <row r="59" spans="1:8" ht="31.5">
      <c r="A59" s="113">
        <v>49</v>
      </c>
      <c r="B59" s="42" t="s">
        <v>1515</v>
      </c>
      <c r="E59" s="79" t="s">
        <v>8695</v>
      </c>
      <c r="F59" s="126">
        <v>22000000</v>
      </c>
      <c r="G59" s="126">
        <v>3000000</v>
      </c>
      <c r="H59" s="40"/>
    </row>
    <row r="60" spans="1:8" ht="47.25">
      <c r="A60" s="113">
        <v>50</v>
      </c>
      <c r="B60" s="42" t="s">
        <v>1516</v>
      </c>
      <c r="E60" s="79" t="s">
        <v>8703</v>
      </c>
      <c r="F60" s="126"/>
      <c r="G60" s="126">
        <v>5000000</v>
      </c>
      <c r="H60" s="40"/>
    </row>
    <row r="61" spans="1:8" ht="15.75">
      <c r="A61" s="113">
        <v>51</v>
      </c>
      <c r="B61" s="42" t="s">
        <v>1517</v>
      </c>
      <c r="E61" s="87" t="s">
        <v>8723</v>
      </c>
      <c r="F61" s="126">
        <v>40000000</v>
      </c>
      <c r="G61" s="126">
        <v>10000000</v>
      </c>
      <c r="H61" s="40"/>
    </row>
    <row r="62" spans="1:8" ht="15.75">
      <c r="A62" s="113">
        <v>52</v>
      </c>
      <c r="B62" s="42" t="s">
        <v>1892</v>
      </c>
      <c r="E62" s="87" t="s">
        <v>8718</v>
      </c>
      <c r="F62" s="126">
        <v>1000000</v>
      </c>
      <c r="G62" s="126">
        <v>410000</v>
      </c>
      <c r="H62" s="40"/>
    </row>
    <row r="63" spans="1:8" ht="15.75">
      <c r="A63" s="113">
        <v>53</v>
      </c>
      <c r="B63" s="42" t="s">
        <v>1893</v>
      </c>
      <c r="E63" s="87" t="s">
        <v>8719</v>
      </c>
      <c r="F63" s="126">
        <v>1000000</v>
      </c>
      <c r="G63" s="126">
        <v>625000</v>
      </c>
      <c r="H63" s="40"/>
    </row>
    <row r="64" spans="1:8" ht="15.75">
      <c r="A64" s="113">
        <v>54</v>
      </c>
      <c r="B64" s="42" t="s">
        <v>1894</v>
      </c>
      <c r="E64" s="87" t="s">
        <v>8720</v>
      </c>
      <c r="F64" s="126">
        <v>1000000</v>
      </c>
      <c r="G64" s="126">
        <v>625000</v>
      </c>
      <c r="H64" s="40"/>
    </row>
    <row r="65" spans="1:8" ht="31.5">
      <c r="A65" s="113">
        <v>55</v>
      </c>
      <c r="B65" s="42" t="s">
        <v>4605</v>
      </c>
      <c r="E65" s="79" t="s">
        <v>8724</v>
      </c>
      <c r="F65" s="126">
        <v>10000000</v>
      </c>
      <c r="G65" s="126">
        <v>6000000</v>
      </c>
      <c r="H65" s="40"/>
    </row>
    <row r="66" spans="1:8" ht="31.5">
      <c r="A66" s="113">
        <v>56</v>
      </c>
      <c r="B66" s="42" t="s">
        <v>1068</v>
      </c>
      <c r="E66" s="79" t="s">
        <v>8725</v>
      </c>
      <c r="F66" s="126">
        <v>7000000</v>
      </c>
      <c r="G66" s="126">
        <v>7000000</v>
      </c>
      <c r="H66" s="40"/>
    </row>
    <row r="67" spans="1:8" ht="15.75">
      <c r="A67" s="113">
        <v>57</v>
      </c>
      <c r="B67" s="42" t="s">
        <v>1316</v>
      </c>
      <c r="E67" s="87" t="s">
        <v>4606</v>
      </c>
      <c r="F67" s="126">
        <v>44000000</v>
      </c>
      <c r="G67" s="126">
        <v>7500000</v>
      </c>
      <c r="H67" s="40"/>
    </row>
    <row r="68" spans="1:8" ht="15.75">
      <c r="A68" s="113">
        <v>58</v>
      </c>
      <c r="B68" s="42" t="s">
        <v>1317</v>
      </c>
      <c r="E68" s="87" t="s">
        <v>8727</v>
      </c>
      <c r="F68" s="126">
        <v>51700000</v>
      </c>
      <c r="G68" s="126">
        <v>7500000</v>
      </c>
      <c r="H68" s="40"/>
    </row>
    <row r="69" spans="1:8" ht="15.75">
      <c r="A69" s="113">
        <v>59</v>
      </c>
      <c r="B69" s="42" t="s">
        <v>1318</v>
      </c>
      <c r="E69" s="87" t="s">
        <v>8726</v>
      </c>
      <c r="F69" s="126"/>
      <c r="G69" s="126">
        <v>10000000</v>
      </c>
      <c r="H69" s="40"/>
    </row>
    <row r="70" spans="1:8" ht="15.75">
      <c r="A70" s="113">
        <v>60</v>
      </c>
      <c r="B70" s="42" t="s">
        <v>1319</v>
      </c>
      <c r="E70" s="87" t="s">
        <v>8728</v>
      </c>
      <c r="F70" s="126">
        <v>40000000</v>
      </c>
      <c r="G70" s="126">
        <v>4000000</v>
      </c>
      <c r="H70" s="40"/>
    </row>
    <row r="71" spans="1:8" ht="31.5">
      <c r="A71" s="113">
        <v>61</v>
      </c>
      <c r="B71" s="42" t="s">
        <v>1519</v>
      </c>
      <c r="E71" s="79" t="s">
        <v>13005</v>
      </c>
      <c r="F71" s="126">
        <v>20000000</v>
      </c>
      <c r="G71" s="126">
        <v>20000000</v>
      </c>
      <c r="H71" s="40"/>
    </row>
    <row r="72" spans="1:8" ht="15.75">
      <c r="A72" s="113">
        <v>62</v>
      </c>
      <c r="B72" s="42" t="s">
        <v>12999</v>
      </c>
      <c r="E72" s="87" t="s">
        <v>10393</v>
      </c>
      <c r="F72" s="126"/>
      <c r="G72" s="126">
        <v>5000000</v>
      </c>
      <c r="H72" s="40"/>
    </row>
    <row r="73" spans="1:8" ht="12">
      <c r="A73" s="92"/>
      <c r="E73" s="92"/>
      <c r="F73" s="131"/>
      <c r="G73" s="131"/>
      <c r="H73" s="40"/>
    </row>
    <row r="74" spans="1:8" ht="15.75">
      <c r="A74" s="178"/>
      <c r="B74" s="162"/>
      <c r="C74" s="162"/>
      <c r="D74" s="179"/>
      <c r="E74" s="184" t="str">
        <f>""&amp;TEXT(A4,"0")&amp;" एकूण"</f>
        <v>यादी क्र. पी२ एकूण</v>
      </c>
      <c r="F74" s="181">
        <f>SUM(F10:F73)</f>
        <v>486500000</v>
      </c>
      <c r="G74" s="181">
        <f>SUM(G10:G73)</f>
        <v>221100000</v>
      </c>
      <c r="H74" s="40"/>
    </row>
    <row r="75" spans="1:8" ht="12">
      <c r="A75" s="92"/>
      <c r="E75" s="92"/>
      <c r="F75" s="131"/>
      <c r="G75" s="131"/>
      <c r="H75" s="40"/>
    </row>
    <row r="76" spans="1:8" ht="12">
      <c r="A76" s="92"/>
      <c r="E76" s="92"/>
      <c r="F76" s="131"/>
      <c r="G76" s="131"/>
      <c r="H76" s="40"/>
    </row>
    <row r="77" spans="1:8" ht="15.75">
      <c r="A77" s="169" t="s">
        <v>4465</v>
      </c>
      <c r="E77" s="92"/>
      <c r="F77" s="131"/>
      <c r="G77" s="131"/>
      <c r="H77" s="40"/>
    </row>
    <row r="78" spans="1:8" ht="15.75">
      <c r="A78" s="173" t="s">
        <v>4392</v>
      </c>
      <c r="E78" s="92"/>
      <c r="F78" s="131"/>
      <c r="G78" s="131"/>
      <c r="H78" s="40"/>
    </row>
    <row r="79" spans="1:8" ht="12">
      <c r="A79" s="93" t="s">
        <v>5046</v>
      </c>
      <c r="E79" s="92"/>
      <c r="F79" s="131"/>
      <c r="G79" s="131"/>
      <c r="H79" s="40"/>
    </row>
    <row r="80" spans="1:8" ht="12">
      <c r="A80" s="92"/>
      <c r="E80" s="92"/>
      <c r="F80" s="131"/>
      <c r="G80" s="131"/>
      <c r="H80" s="40"/>
    </row>
    <row r="81" spans="1:8" ht="15.75" customHeight="1">
      <c r="A81" s="113" t="s">
        <v>4918</v>
      </c>
      <c r="B81" s="42" t="s">
        <v>234</v>
      </c>
      <c r="C81" s="42" t="s">
        <v>506</v>
      </c>
      <c r="E81" s="113" t="s">
        <v>4066</v>
      </c>
      <c r="F81" s="175" t="s">
        <v>3673</v>
      </c>
      <c r="G81" s="175" t="s">
        <v>3676</v>
      </c>
      <c r="H81" s="40"/>
    </row>
    <row r="82" spans="1:8" ht="12">
      <c r="A82" s="92"/>
      <c r="E82" s="92"/>
      <c r="F82" s="131"/>
      <c r="G82" s="131"/>
      <c r="H82" s="40"/>
    </row>
    <row r="83" spans="1:8" ht="47.25">
      <c r="A83" s="113">
        <v>1</v>
      </c>
      <c r="B83" s="42" t="s">
        <v>13000</v>
      </c>
      <c r="E83" s="79" t="s">
        <v>8641</v>
      </c>
      <c r="F83" s="126"/>
      <c r="G83" s="126">
        <v>35000000</v>
      </c>
      <c r="H83" s="40"/>
    </row>
    <row r="84" spans="1:8" ht="31.5">
      <c r="A84" s="113">
        <v>2</v>
      </c>
      <c r="B84" s="42" t="s">
        <v>13001</v>
      </c>
      <c r="E84" s="79" t="s">
        <v>10395</v>
      </c>
      <c r="F84" s="126"/>
      <c r="G84" s="126">
        <v>3500000</v>
      </c>
      <c r="H84" s="40"/>
    </row>
    <row r="85" spans="1:8" ht="15.75">
      <c r="A85" s="113"/>
      <c r="E85" s="87"/>
      <c r="F85" s="126"/>
      <c r="G85" s="126"/>
      <c r="H85" s="40"/>
    </row>
    <row r="86" spans="1:8" ht="15.75">
      <c r="A86" s="92"/>
      <c r="E86" s="189" t="s">
        <v>8434</v>
      </c>
      <c r="F86" s="131"/>
      <c r="G86" s="131"/>
      <c r="H86" s="40"/>
    </row>
    <row r="87" spans="1:8" ht="15.75">
      <c r="A87" s="113">
        <v>3</v>
      </c>
      <c r="B87" s="42" t="s">
        <v>1879</v>
      </c>
      <c r="E87" s="87" t="s">
        <v>8731</v>
      </c>
      <c r="F87" s="126">
        <v>22500000</v>
      </c>
      <c r="G87" s="126">
        <v>12000000</v>
      </c>
      <c r="H87" s="40"/>
    </row>
    <row r="88" spans="1:8" ht="15.75">
      <c r="A88" s="113">
        <v>4</v>
      </c>
      <c r="B88" s="42" t="s">
        <v>5016</v>
      </c>
      <c r="E88" s="87" t="s">
        <v>8730</v>
      </c>
      <c r="F88" s="126">
        <v>20000000</v>
      </c>
      <c r="G88" s="126">
        <v>7500000</v>
      </c>
      <c r="H88" s="40"/>
    </row>
    <row r="89" spans="1:8" ht="31.5">
      <c r="A89" s="113">
        <v>5</v>
      </c>
      <c r="B89" s="42" t="s">
        <v>5017</v>
      </c>
      <c r="E89" s="79" t="s">
        <v>8729</v>
      </c>
      <c r="F89" s="126">
        <v>55000000</v>
      </c>
      <c r="G89" s="126">
        <v>42000000</v>
      </c>
      <c r="H89" s="40"/>
    </row>
    <row r="90" spans="1:8" ht="15.75">
      <c r="A90" s="113">
        <v>6</v>
      </c>
      <c r="B90" s="42" t="s">
        <v>4608</v>
      </c>
      <c r="E90" s="79" t="s">
        <v>4609</v>
      </c>
      <c r="F90" s="126">
        <v>80000000</v>
      </c>
      <c r="G90" s="126">
        <v>25000000</v>
      </c>
      <c r="H90" s="40"/>
    </row>
    <row r="91" spans="1:8" ht="31.5">
      <c r="A91" s="113">
        <v>7</v>
      </c>
      <c r="B91" s="42" t="s">
        <v>4607</v>
      </c>
      <c r="E91" s="79" t="s">
        <v>8732</v>
      </c>
      <c r="F91" s="126">
        <v>60000000</v>
      </c>
      <c r="G91" s="126">
        <v>30000000</v>
      </c>
      <c r="H91" s="40"/>
    </row>
    <row r="92" spans="1:8" ht="31.5">
      <c r="A92" s="113">
        <v>8</v>
      </c>
      <c r="B92" s="42" t="s">
        <v>4610</v>
      </c>
      <c r="E92" s="79" t="s">
        <v>8733</v>
      </c>
      <c r="F92" s="126">
        <v>5700000</v>
      </c>
      <c r="G92" s="126">
        <v>5000000</v>
      </c>
      <c r="H92" s="40"/>
    </row>
    <row r="93" spans="1:8" ht="15.75">
      <c r="A93" s="113">
        <v>9</v>
      </c>
      <c r="B93" s="42" t="s">
        <v>1502</v>
      </c>
      <c r="E93" s="87" t="s">
        <v>10394</v>
      </c>
      <c r="F93" s="126">
        <v>50000000</v>
      </c>
      <c r="G93" s="126">
        <v>15500000</v>
      </c>
      <c r="H93" s="40"/>
    </row>
    <row r="94" spans="1:8" ht="15.75">
      <c r="A94" s="113">
        <v>10</v>
      </c>
      <c r="B94" s="42" t="s">
        <v>5011</v>
      </c>
      <c r="E94" s="87" t="s">
        <v>8741</v>
      </c>
      <c r="F94" s="126">
        <v>56000000</v>
      </c>
      <c r="G94" s="126">
        <v>35000000</v>
      </c>
      <c r="H94" s="40"/>
    </row>
    <row r="95" spans="1:8" ht="15.75">
      <c r="A95" s="113">
        <v>11</v>
      </c>
      <c r="B95" s="42" t="s">
        <v>5012</v>
      </c>
      <c r="E95" s="87" t="s">
        <v>8740</v>
      </c>
      <c r="F95" s="126">
        <v>44100000</v>
      </c>
      <c r="G95" s="126">
        <v>35000000</v>
      </c>
      <c r="H95" s="40"/>
    </row>
    <row r="96" spans="1:8" ht="15.75">
      <c r="A96" s="113">
        <v>12</v>
      </c>
      <c r="B96" s="42" t="s">
        <v>8738</v>
      </c>
      <c r="E96" s="87" t="s">
        <v>8739</v>
      </c>
      <c r="F96" s="126">
        <v>30000000</v>
      </c>
      <c r="G96" s="126">
        <v>20000000</v>
      </c>
      <c r="H96" s="40"/>
    </row>
    <row r="97" spans="1:8" ht="31.5">
      <c r="A97" s="113">
        <v>13</v>
      </c>
      <c r="B97" s="42" t="s">
        <v>5297</v>
      </c>
      <c r="E97" s="79" t="s">
        <v>8734</v>
      </c>
      <c r="F97" s="126">
        <v>50000000</v>
      </c>
      <c r="G97" s="126">
        <v>5000000</v>
      </c>
      <c r="H97" s="40"/>
    </row>
    <row r="98" spans="1:8" ht="15.75">
      <c r="A98" s="113">
        <v>14</v>
      </c>
      <c r="B98" s="42" t="s">
        <v>5300</v>
      </c>
      <c r="E98" s="87" t="s">
        <v>8743</v>
      </c>
      <c r="F98" s="126">
        <v>20000000</v>
      </c>
      <c r="G98" s="126">
        <v>5000000</v>
      </c>
      <c r="H98" s="40"/>
    </row>
    <row r="99" spans="1:8" ht="31.5">
      <c r="A99" s="113">
        <v>15</v>
      </c>
      <c r="B99" s="42" t="s">
        <v>5301</v>
      </c>
      <c r="E99" s="79" t="s">
        <v>8735</v>
      </c>
      <c r="F99" s="126">
        <v>3000000</v>
      </c>
      <c r="G99" s="126">
        <v>2000000</v>
      </c>
      <c r="H99" s="40"/>
    </row>
    <row r="100" spans="1:8" ht="15.75">
      <c r="A100" s="113">
        <v>16</v>
      </c>
      <c r="B100" s="42" t="s">
        <v>5298</v>
      </c>
      <c r="E100" s="79" t="s">
        <v>8736</v>
      </c>
      <c r="F100" s="126">
        <v>500000</v>
      </c>
      <c r="G100" s="126">
        <v>500000</v>
      </c>
      <c r="H100" s="40"/>
    </row>
    <row r="101" spans="1:8" ht="15.75">
      <c r="A101" s="113">
        <v>17</v>
      </c>
      <c r="B101" s="42" t="s">
        <v>5299</v>
      </c>
      <c r="E101" s="87" t="s">
        <v>8737</v>
      </c>
      <c r="F101" s="126">
        <v>1000000</v>
      </c>
      <c r="G101" s="126">
        <v>1000000</v>
      </c>
      <c r="H101" s="40"/>
    </row>
    <row r="102" spans="1:8" ht="15.75">
      <c r="A102" s="113">
        <v>18</v>
      </c>
      <c r="B102" s="42" t="s">
        <v>1066</v>
      </c>
      <c r="E102" s="87" t="s">
        <v>8690</v>
      </c>
      <c r="F102" s="126">
        <v>57600000</v>
      </c>
      <c r="G102" s="126">
        <v>10000000</v>
      </c>
    </row>
    <row r="103" spans="1:8" ht="31.5">
      <c r="A103" s="113">
        <v>19</v>
      </c>
      <c r="B103" s="42" t="s">
        <v>1067</v>
      </c>
      <c r="E103" s="79" t="s">
        <v>8742</v>
      </c>
      <c r="F103" s="126">
        <v>40000000</v>
      </c>
      <c r="G103" s="126">
        <v>2000000</v>
      </c>
      <c r="H103" s="40"/>
    </row>
    <row r="104" spans="1:8" ht="15.75">
      <c r="A104" s="113">
        <v>20</v>
      </c>
      <c r="B104" s="42" t="s">
        <v>1520</v>
      </c>
      <c r="E104" s="87" t="s">
        <v>4611</v>
      </c>
      <c r="F104" s="126">
        <v>50000000</v>
      </c>
      <c r="G104" s="126">
        <v>50000000</v>
      </c>
      <c r="H104" s="40"/>
    </row>
    <row r="105" spans="1:8" ht="12">
      <c r="A105" s="92"/>
      <c r="E105" s="92"/>
      <c r="F105" s="131"/>
      <c r="G105" s="131"/>
      <c r="H105" s="40"/>
    </row>
    <row r="106" spans="1:8" ht="15.75">
      <c r="A106" s="178"/>
      <c r="B106" s="162"/>
      <c r="C106" s="162"/>
      <c r="D106" s="179"/>
      <c r="E106" s="184" t="str">
        <f>""&amp;TEXT(A77,"0")&amp;" एकूण"</f>
        <v>यादी क्र. पी3 एकूण</v>
      </c>
      <c r="F106" s="181">
        <f t="shared" ref="F106:G106" si="0">SUM(F83:F105)</f>
        <v>645400000</v>
      </c>
      <c r="G106" s="181">
        <f t="shared" si="0"/>
        <v>341000000</v>
      </c>
      <c r="H106" s="40"/>
    </row>
    <row r="107" spans="1:8" ht="12">
      <c r="A107" s="92"/>
      <c r="E107" s="92"/>
      <c r="F107" s="131"/>
      <c r="G107" s="131"/>
      <c r="H107" s="40"/>
    </row>
    <row r="108" spans="1:8" ht="12">
      <c r="A108" s="92"/>
      <c r="E108" s="92"/>
      <c r="F108" s="131"/>
      <c r="G108" s="131"/>
      <c r="H108" s="40"/>
    </row>
    <row r="109" spans="1:8" ht="15.75">
      <c r="A109" s="169" t="s">
        <v>4939</v>
      </c>
      <c r="E109" s="92"/>
      <c r="F109" s="131"/>
      <c r="G109" s="131"/>
      <c r="H109" s="40"/>
    </row>
    <row r="110" spans="1:8" ht="15.75">
      <c r="A110" s="173" t="s">
        <v>4391</v>
      </c>
      <c r="E110" s="92"/>
      <c r="F110" s="131"/>
      <c r="G110" s="131"/>
      <c r="H110" s="40"/>
    </row>
    <row r="111" spans="1:8" ht="12">
      <c r="A111" s="93" t="s">
        <v>1295</v>
      </c>
      <c r="E111" s="92"/>
      <c r="F111" s="131"/>
      <c r="G111" s="131"/>
      <c r="H111" s="40"/>
    </row>
    <row r="112" spans="1:8" ht="11.25" customHeight="1">
      <c r="A112" s="92"/>
      <c r="E112" s="92"/>
      <c r="F112" s="131"/>
      <c r="G112" s="131"/>
      <c r="H112" s="40"/>
    </row>
    <row r="113" spans="1:8" ht="15.75" customHeight="1">
      <c r="A113" s="113" t="s">
        <v>4918</v>
      </c>
      <c r="B113" s="42" t="s">
        <v>234</v>
      </c>
      <c r="C113" s="42" t="s">
        <v>506</v>
      </c>
      <c r="E113" s="113" t="s">
        <v>4066</v>
      </c>
      <c r="F113" s="175" t="s">
        <v>3673</v>
      </c>
      <c r="G113" s="175" t="s">
        <v>3676</v>
      </c>
      <c r="H113" s="40"/>
    </row>
    <row r="114" spans="1:8" ht="11.25" customHeight="1">
      <c r="A114" s="92"/>
      <c r="E114" s="92"/>
      <c r="F114" s="131"/>
      <c r="G114" s="131"/>
      <c r="H114" s="40"/>
    </row>
    <row r="115" spans="1:8" ht="16.5">
      <c r="A115" s="113"/>
      <c r="E115" s="213" t="s">
        <v>10547</v>
      </c>
      <c r="F115" s="126"/>
      <c r="G115" s="126"/>
      <c r="H115" s="40"/>
    </row>
    <row r="116" spans="1:8" ht="15.75">
      <c r="A116" s="113">
        <v>1</v>
      </c>
      <c r="B116" s="42" t="s">
        <v>13007</v>
      </c>
      <c r="E116" s="87" t="s">
        <v>8642</v>
      </c>
      <c r="F116" s="126"/>
      <c r="G116" s="126">
        <v>900000</v>
      </c>
      <c r="H116" s="40"/>
    </row>
    <row r="117" spans="1:8" ht="15.75">
      <c r="A117" s="113">
        <v>2</v>
      </c>
      <c r="B117" s="42" t="s">
        <v>13008</v>
      </c>
      <c r="E117" s="87" t="s">
        <v>8643</v>
      </c>
      <c r="F117" s="126"/>
      <c r="G117" s="126">
        <v>1200000</v>
      </c>
      <c r="H117" s="40"/>
    </row>
    <row r="118" spans="1:8" ht="31.5">
      <c r="A118" s="113">
        <v>3</v>
      </c>
      <c r="B118" s="42" t="s">
        <v>13009</v>
      </c>
      <c r="E118" s="79" t="s">
        <v>8644</v>
      </c>
      <c r="F118" s="126"/>
      <c r="G118" s="126">
        <v>1400000</v>
      </c>
      <c r="H118" s="40"/>
    </row>
    <row r="119" spans="1:8" ht="15.75">
      <c r="A119" s="113">
        <v>4</v>
      </c>
      <c r="B119" s="42" t="s">
        <v>13010</v>
      </c>
      <c r="E119" s="87" t="s">
        <v>8645</v>
      </c>
      <c r="F119" s="126"/>
      <c r="G119" s="126">
        <v>2400000</v>
      </c>
      <c r="H119" s="40"/>
    </row>
    <row r="120" spans="1:8" ht="31.5">
      <c r="A120" s="113">
        <v>5</v>
      </c>
      <c r="B120" s="42" t="s">
        <v>13011</v>
      </c>
      <c r="E120" s="79" t="s">
        <v>8646</v>
      </c>
      <c r="F120" s="126"/>
      <c r="G120" s="126">
        <v>600000</v>
      </c>
      <c r="H120" s="40"/>
    </row>
    <row r="121" spans="1:8" ht="15.75">
      <c r="A121" s="113">
        <v>6</v>
      </c>
      <c r="B121" s="42" t="s">
        <v>13012</v>
      </c>
      <c r="E121" s="87" t="s">
        <v>8647</v>
      </c>
      <c r="F121" s="126"/>
      <c r="G121" s="126">
        <v>600000</v>
      </c>
      <c r="H121" s="40"/>
    </row>
    <row r="122" spans="1:8" ht="15.75">
      <c r="A122" s="113">
        <v>7</v>
      </c>
      <c r="B122" s="42" t="s">
        <v>13013</v>
      </c>
      <c r="E122" s="87" t="s">
        <v>8648</v>
      </c>
      <c r="F122" s="126"/>
      <c r="G122" s="126">
        <v>600000</v>
      </c>
      <c r="H122" s="40"/>
    </row>
    <row r="123" spans="1:8" ht="31.5">
      <c r="A123" s="113">
        <v>8</v>
      </c>
      <c r="B123" s="42" t="s">
        <v>13014</v>
      </c>
      <c r="E123" s="79" t="s">
        <v>8649</v>
      </c>
      <c r="F123" s="126"/>
      <c r="G123" s="126">
        <v>1200000</v>
      </c>
      <c r="H123" s="40"/>
    </row>
    <row r="124" spans="1:8" ht="31.5">
      <c r="A124" s="113">
        <v>9</v>
      </c>
      <c r="B124" s="42" t="s">
        <v>13015</v>
      </c>
      <c r="E124" s="79" t="s">
        <v>8650</v>
      </c>
      <c r="F124" s="126"/>
      <c r="G124" s="126">
        <v>1200000</v>
      </c>
      <c r="H124" s="40"/>
    </row>
    <row r="125" spans="1:8" ht="15.75">
      <c r="A125" s="113"/>
      <c r="E125" s="79"/>
      <c r="F125" s="126"/>
      <c r="G125" s="126"/>
      <c r="H125" s="40"/>
    </row>
    <row r="126" spans="1:8" ht="16.5">
      <c r="A126" s="113"/>
      <c r="E126" s="213" t="s">
        <v>10548</v>
      </c>
      <c r="F126" s="126"/>
      <c r="G126" s="126"/>
      <c r="H126" s="40"/>
    </row>
    <row r="127" spans="1:8" ht="31.5">
      <c r="A127" s="113">
        <v>10</v>
      </c>
      <c r="B127" s="42" t="s">
        <v>13016</v>
      </c>
      <c r="E127" s="79" t="s">
        <v>8651</v>
      </c>
      <c r="F127" s="126"/>
      <c r="G127" s="126">
        <v>2400000</v>
      </c>
      <c r="H127" s="40"/>
    </row>
    <row r="128" spans="1:8" ht="31.5">
      <c r="A128" s="113">
        <v>11</v>
      </c>
      <c r="B128" s="42" t="s">
        <v>13017</v>
      </c>
      <c r="E128" s="79" t="s">
        <v>8652</v>
      </c>
      <c r="F128" s="126"/>
      <c r="G128" s="126">
        <v>2400000</v>
      </c>
      <c r="H128" s="40"/>
    </row>
    <row r="129" spans="1:8" ht="47.25">
      <c r="A129" s="113">
        <v>12</v>
      </c>
      <c r="B129" s="42" t="s">
        <v>13018</v>
      </c>
      <c r="E129" s="79" t="s">
        <v>8653</v>
      </c>
      <c r="F129" s="126"/>
      <c r="G129" s="126">
        <v>2400000</v>
      </c>
      <c r="H129" s="40"/>
    </row>
    <row r="130" spans="1:8" ht="31.5">
      <c r="A130" s="113">
        <v>13</v>
      </c>
      <c r="B130" s="42" t="s">
        <v>13019</v>
      </c>
      <c r="E130" s="79" t="s">
        <v>8654</v>
      </c>
      <c r="F130" s="126"/>
      <c r="G130" s="126">
        <v>3000000</v>
      </c>
      <c r="H130" s="40"/>
    </row>
    <row r="131" spans="1:8" ht="15.75">
      <c r="A131" s="113"/>
      <c r="E131" s="79"/>
      <c r="F131" s="126"/>
      <c r="G131" s="126"/>
      <c r="H131" s="40"/>
    </row>
    <row r="132" spans="1:8" ht="16.5">
      <c r="A132" s="113"/>
      <c r="E132" s="213" t="s">
        <v>10546</v>
      </c>
      <c r="F132" s="126"/>
      <c r="G132" s="126"/>
      <c r="H132" s="40"/>
    </row>
    <row r="133" spans="1:8" ht="31.5">
      <c r="A133" s="113">
        <v>14</v>
      </c>
      <c r="B133" s="42" t="s">
        <v>13020</v>
      </c>
      <c r="E133" s="79" t="s">
        <v>8655</v>
      </c>
      <c r="F133" s="126"/>
      <c r="G133" s="126">
        <v>9000000</v>
      </c>
      <c r="H133" s="40"/>
    </row>
    <row r="134" spans="1:8" ht="47.25">
      <c r="A134" s="113">
        <v>15</v>
      </c>
      <c r="B134" s="42" t="s">
        <v>13021</v>
      </c>
      <c r="E134" s="79" t="s">
        <v>8656</v>
      </c>
      <c r="F134" s="126"/>
      <c r="G134" s="126">
        <v>6000000</v>
      </c>
      <c r="H134" s="40"/>
    </row>
    <row r="135" spans="1:8" ht="15.75">
      <c r="A135" s="113">
        <v>16</v>
      </c>
      <c r="B135" s="42" t="s">
        <v>13022</v>
      </c>
      <c r="E135" s="87" t="s">
        <v>8657</v>
      </c>
      <c r="F135" s="126"/>
      <c r="G135" s="126">
        <v>3000000</v>
      </c>
      <c r="H135" s="40"/>
    </row>
    <row r="136" spans="1:8" ht="31.5">
      <c r="A136" s="113">
        <v>17</v>
      </c>
      <c r="B136" s="42" t="s">
        <v>13023</v>
      </c>
      <c r="E136" s="79" t="s">
        <v>8658</v>
      </c>
      <c r="F136" s="126"/>
      <c r="G136" s="126">
        <v>1800000</v>
      </c>
      <c r="H136" s="40"/>
    </row>
    <row r="137" spans="1:8" ht="15.75">
      <c r="A137" s="113">
        <v>18</v>
      </c>
      <c r="B137" s="42" t="s">
        <v>13024</v>
      </c>
      <c r="E137" s="87" t="s">
        <v>8659</v>
      </c>
      <c r="F137" s="126"/>
      <c r="G137" s="126">
        <v>1200000</v>
      </c>
      <c r="H137" s="40"/>
    </row>
    <row r="138" spans="1:8" ht="15.75">
      <c r="A138" s="113">
        <v>19</v>
      </c>
      <c r="B138" s="42" t="s">
        <v>13025</v>
      </c>
      <c r="E138" s="87" t="s">
        <v>8660</v>
      </c>
      <c r="F138" s="126"/>
      <c r="G138" s="126">
        <v>3000000</v>
      </c>
      <c r="H138" s="40"/>
    </row>
    <row r="139" spans="1:8" ht="15.75">
      <c r="A139" s="113">
        <v>20</v>
      </c>
      <c r="B139" s="42" t="s">
        <v>13026</v>
      </c>
      <c r="E139" s="87" t="s">
        <v>8661</v>
      </c>
      <c r="F139" s="126"/>
      <c r="G139" s="126">
        <v>1800000</v>
      </c>
      <c r="H139" s="40"/>
    </row>
    <row r="140" spans="1:8" ht="15.75">
      <c r="A140" s="113"/>
      <c r="E140" s="87"/>
      <c r="F140" s="126"/>
      <c r="G140" s="126"/>
      <c r="H140" s="40"/>
    </row>
    <row r="141" spans="1:8" ht="16.5">
      <c r="A141" s="113"/>
      <c r="E141" s="213" t="s">
        <v>10545</v>
      </c>
      <c r="F141" s="126"/>
      <c r="G141" s="126"/>
      <c r="H141" s="40"/>
    </row>
    <row r="142" spans="1:8" ht="15.75">
      <c r="A142" s="113">
        <v>21</v>
      </c>
      <c r="B142" s="42" t="s">
        <v>13027</v>
      </c>
      <c r="E142" s="87" t="s">
        <v>8662</v>
      </c>
      <c r="F142" s="126"/>
      <c r="G142" s="126">
        <v>1200000</v>
      </c>
      <c r="H142" s="40"/>
    </row>
    <row r="143" spans="1:8" ht="15.75">
      <c r="A143" s="113">
        <v>22</v>
      </c>
      <c r="B143" s="42" t="s">
        <v>13028</v>
      </c>
      <c r="E143" s="87" t="s">
        <v>8663</v>
      </c>
      <c r="F143" s="126"/>
      <c r="G143" s="126">
        <v>3000000</v>
      </c>
      <c r="H143" s="40"/>
    </row>
    <row r="144" spans="1:8" ht="15.75">
      <c r="A144" s="113"/>
      <c r="E144" s="87"/>
      <c r="F144" s="126"/>
      <c r="G144" s="126"/>
      <c r="H144" s="40"/>
    </row>
    <row r="145" spans="1:8" ht="16.5">
      <c r="A145" s="113"/>
      <c r="E145" s="213" t="s">
        <v>10544</v>
      </c>
      <c r="F145" s="126"/>
      <c r="G145" s="126"/>
      <c r="H145" s="40"/>
    </row>
    <row r="146" spans="1:8" ht="15.75">
      <c r="A146" s="113">
        <v>23</v>
      </c>
      <c r="B146" s="42" t="s">
        <v>13029</v>
      </c>
      <c r="E146" s="87" t="s">
        <v>8664</v>
      </c>
      <c r="F146" s="126"/>
      <c r="G146" s="126">
        <v>1200000</v>
      </c>
      <c r="H146" s="40"/>
    </row>
    <row r="147" spans="1:8" ht="15.75">
      <c r="A147" s="113">
        <v>24</v>
      </c>
      <c r="B147" s="42" t="s">
        <v>13030</v>
      </c>
      <c r="E147" s="87" t="s">
        <v>8665</v>
      </c>
      <c r="F147" s="126"/>
      <c r="G147" s="126">
        <v>1200000</v>
      </c>
      <c r="H147" s="40"/>
    </row>
    <row r="148" spans="1:8" ht="15.75">
      <c r="A148" s="113">
        <v>25</v>
      </c>
      <c r="B148" s="42" t="s">
        <v>13031</v>
      </c>
      <c r="E148" s="87" t="s">
        <v>8666</v>
      </c>
      <c r="F148" s="126"/>
      <c r="G148" s="126">
        <v>1200000</v>
      </c>
      <c r="H148" s="40"/>
    </row>
    <row r="149" spans="1:8" ht="31.5">
      <c r="A149" s="113">
        <v>26</v>
      </c>
      <c r="B149" s="42" t="s">
        <v>13032</v>
      </c>
      <c r="E149" s="79" t="s">
        <v>8667</v>
      </c>
      <c r="F149" s="126"/>
      <c r="G149" s="126">
        <v>1500000</v>
      </c>
      <c r="H149" s="40"/>
    </row>
    <row r="150" spans="1:8" ht="15.75">
      <c r="A150" s="113">
        <v>27</v>
      </c>
      <c r="B150" s="42" t="s">
        <v>13033</v>
      </c>
      <c r="E150" s="87" t="s">
        <v>8668</v>
      </c>
      <c r="F150" s="126"/>
      <c r="G150" s="126">
        <v>900000</v>
      </c>
      <c r="H150" s="40"/>
    </row>
    <row r="151" spans="1:8" ht="15.75">
      <c r="A151" s="113"/>
      <c r="E151" s="87"/>
      <c r="F151" s="126"/>
      <c r="G151" s="126"/>
      <c r="H151" s="40"/>
    </row>
    <row r="152" spans="1:8" ht="16.5">
      <c r="A152" s="113"/>
      <c r="E152" s="213" t="s">
        <v>10549</v>
      </c>
      <c r="F152" s="126"/>
      <c r="G152" s="126"/>
      <c r="H152" s="40"/>
    </row>
    <row r="153" spans="1:8" ht="47.25">
      <c r="A153" s="113">
        <v>28</v>
      </c>
      <c r="B153" s="42" t="s">
        <v>13034</v>
      </c>
      <c r="E153" s="79" t="s">
        <v>8669</v>
      </c>
      <c r="F153" s="126"/>
      <c r="G153" s="126">
        <v>1200000</v>
      </c>
      <c r="H153" s="40"/>
    </row>
    <row r="154" spans="1:8" ht="47.25">
      <c r="A154" s="113">
        <v>29</v>
      </c>
      <c r="B154" s="42" t="s">
        <v>13035</v>
      </c>
      <c r="E154" s="79" t="s">
        <v>8670</v>
      </c>
      <c r="F154" s="126"/>
      <c r="G154" s="126">
        <v>1500000</v>
      </c>
      <c r="H154" s="40"/>
    </row>
    <row r="155" spans="1:8" ht="15.75">
      <c r="A155" s="113">
        <v>30</v>
      </c>
      <c r="B155" s="42" t="s">
        <v>13036</v>
      </c>
      <c r="E155" s="87" t="s">
        <v>8671</v>
      </c>
      <c r="F155" s="126"/>
      <c r="G155" s="126">
        <v>15000000</v>
      </c>
      <c r="H155" s="40"/>
    </row>
    <row r="156" spans="1:8" ht="15.75">
      <c r="A156" s="113"/>
      <c r="E156" s="87"/>
      <c r="F156" s="126"/>
      <c r="G156" s="126"/>
      <c r="H156" s="40"/>
    </row>
    <row r="157" spans="1:8" ht="16.5">
      <c r="A157" s="113"/>
      <c r="E157" s="213" t="s">
        <v>10550</v>
      </c>
      <c r="F157" s="126"/>
      <c r="G157" s="126"/>
      <c r="H157" s="40"/>
    </row>
    <row r="158" spans="1:8" ht="31.5">
      <c r="A158" s="113">
        <v>31</v>
      </c>
      <c r="B158" s="42" t="s">
        <v>13037</v>
      </c>
      <c r="E158" s="79" t="s">
        <v>8672</v>
      </c>
      <c r="F158" s="126"/>
      <c r="G158" s="126">
        <v>1200000</v>
      </c>
      <c r="H158" s="40"/>
    </row>
    <row r="159" spans="1:8" ht="47.25">
      <c r="A159" s="113">
        <v>32</v>
      </c>
      <c r="B159" s="42" t="s">
        <v>13038</v>
      </c>
      <c r="E159" s="79" t="s">
        <v>8673</v>
      </c>
      <c r="F159" s="126"/>
      <c r="G159" s="126">
        <v>600000</v>
      </c>
      <c r="H159" s="40"/>
    </row>
    <row r="160" spans="1:8" ht="15.75">
      <c r="A160" s="113">
        <v>33</v>
      </c>
      <c r="B160" s="42" t="s">
        <v>13039</v>
      </c>
      <c r="E160" s="87" t="s">
        <v>8674</v>
      </c>
      <c r="F160" s="126"/>
      <c r="G160" s="126">
        <v>1200000</v>
      </c>
      <c r="H160" s="40"/>
    </row>
    <row r="161" spans="1:8" ht="31.5">
      <c r="A161" s="113">
        <v>34</v>
      </c>
      <c r="B161" s="42" t="s">
        <v>13040</v>
      </c>
      <c r="E161" s="79" t="s">
        <v>8675</v>
      </c>
      <c r="F161" s="126"/>
      <c r="G161" s="126">
        <v>1800000</v>
      </c>
      <c r="H161" s="40"/>
    </row>
    <row r="162" spans="1:8" ht="15.75">
      <c r="A162" s="113">
        <v>35</v>
      </c>
      <c r="B162" s="42" t="s">
        <v>13041</v>
      </c>
      <c r="E162" s="87" t="s">
        <v>8676</v>
      </c>
      <c r="F162" s="126"/>
      <c r="G162" s="126">
        <v>1200000</v>
      </c>
      <c r="H162" s="40"/>
    </row>
    <row r="163" spans="1:8" ht="31.5">
      <c r="A163" s="113">
        <v>36</v>
      </c>
      <c r="B163" s="42" t="s">
        <v>13042</v>
      </c>
      <c r="E163" s="79" t="s">
        <v>8677</v>
      </c>
      <c r="F163" s="126"/>
      <c r="G163" s="126">
        <v>600000</v>
      </c>
      <c r="H163" s="40"/>
    </row>
    <row r="164" spans="1:8" ht="31.5">
      <c r="A164" s="113">
        <v>37</v>
      </c>
      <c r="B164" s="42" t="s">
        <v>13043</v>
      </c>
      <c r="E164" s="79" t="s">
        <v>8678</v>
      </c>
      <c r="F164" s="126"/>
      <c r="G164" s="126">
        <v>30000000</v>
      </c>
      <c r="H164" s="40"/>
    </row>
    <row r="165" spans="1:8" ht="31.5">
      <c r="A165" s="113">
        <v>38</v>
      </c>
      <c r="B165" s="42" t="s">
        <v>13044</v>
      </c>
      <c r="E165" s="79" t="s">
        <v>8679</v>
      </c>
      <c r="F165" s="126"/>
      <c r="G165" s="126">
        <v>700000</v>
      </c>
      <c r="H165" s="40"/>
    </row>
    <row r="166" spans="1:8" ht="31.5">
      <c r="A166" s="113">
        <v>39</v>
      </c>
      <c r="B166" s="42" t="s">
        <v>13045</v>
      </c>
      <c r="E166" s="79" t="s">
        <v>8680</v>
      </c>
      <c r="F166" s="126"/>
      <c r="G166" s="126">
        <v>600000</v>
      </c>
    </row>
    <row r="167" spans="1:8" ht="15.75">
      <c r="A167" s="113"/>
      <c r="E167" s="79"/>
      <c r="F167" s="126"/>
      <c r="G167" s="126"/>
    </row>
    <row r="168" spans="1:8" ht="16.5">
      <c r="A168" s="113"/>
      <c r="E168" s="213" t="s">
        <v>8681</v>
      </c>
      <c r="F168" s="126"/>
      <c r="G168" s="126"/>
    </row>
    <row r="169" spans="1:8" ht="31.5">
      <c r="A169" s="113">
        <v>40</v>
      </c>
      <c r="B169" s="42" t="s">
        <v>13047</v>
      </c>
      <c r="E169" s="79" t="s">
        <v>8682</v>
      </c>
      <c r="F169" s="126"/>
      <c r="G169" s="126">
        <v>6000000</v>
      </c>
    </row>
    <row r="170" spans="1:8" ht="31.5">
      <c r="A170" s="113">
        <v>41</v>
      </c>
      <c r="B170" s="42" t="s">
        <v>13048</v>
      </c>
      <c r="E170" s="79" t="s">
        <v>8683</v>
      </c>
      <c r="F170" s="126"/>
      <c r="G170" s="126">
        <v>6000000</v>
      </c>
    </row>
    <row r="171" spans="1:8" ht="31.5">
      <c r="A171" s="113">
        <v>42</v>
      </c>
      <c r="B171" s="42" t="s">
        <v>13049</v>
      </c>
      <c r="E171" s="79" t="s">
        <v>8684</v>
      </c>
      <c r="F171" s="126"/>
      <c r="G171" s="126">
        <v>26400000</v>
      </c>
    </row>
    <row r="172" spans="1:8" ht="15.75">
      <c r="A172" s="113"/>
      <c r="E172" s="87"/>
      <c r="F172" s="126"/>
      <c r="G172" s="126"/>
    </row>
    <row r="173" spans="1:8" ht="15.75">
      <c r="A173" s="113"/>
      <c r="E173" s="189" t="s">
        <v>8434</v>
      </c>
      <c r="F173" s="126"/>
      <c r="G173" s="126"/>
    </row>
    <row r="174" spans="1:8" ht="15.75">
      <c r="A174" s="113">
        <v>43</v>
      </c>
      <c r="B174" s="42" t="s">
        <v>5302</v>
      </c>
      <c r="E174" s="79" t="s">
        <v>8744</v>
      </c>
      <c r="F174" s="126">
        <v>2000000</v>
      </c>
      <c r="G174" s="126">
        <v>2000000</v>
      </c>
    </row>
    <row r="175" spans="1:8" ht="12">
      <c r="A175" s="92"/>
      <c r="E175" s="92"/>
      <c r="F175" s="131"/>
      <c r="G175" s="131"/>
    </row>
    <row r="176" spans="1:8" ht="15.75">
      <c r="A176" s="178"/>
      <c r="B176" s="162"/>
      <c r="C176" s="162"/>
      <c r="D176" s="179"/>
      <c r="E176" s="184" t="str">
        <f>""&amp;TEXT(A109,"0")&amp;" एकूण"</f>
        <v>यादी क्र. पी८ एकूण</v>
      </c>
      <c r="F176" s="181">
        <f t="shared" ref="F176:G176" si="1">SUM(F115:F175)</f>
        <v>2000000</v>
      </c>
      <c r="G176" s="181">
        <f t="shared" si="1"/>
        <v>152300000</v>
      </c>
    </row>
    <row r="177" spans="1:8" ht="11.25" customHeight="1">
      <c r="A177" s="92"/>
      <c r="E177" s="92"/>
      <c r="F177" s="131"/>
      <c r="G177" s="131"/>
    </row>
    <row r="178" spans="1:8" ht="11.25" customHeight="1">
      <c r="A178" s="92"/>
      <c r="E178" s="92"/>
      <c r="F178" s="131"/>
      <c r="G178" s="131"/>
    </row>
    <row r="179" spans="1:8" ht="16.5">
      <c r="A179" s="185" t="s">
        <v>4940</v>
      </c>
      <c r="B179" s="163"/>
      <c r="C179" s="163"/>
      <c r="D179" s="186"/>
      <c r="E179" s="212"/>
      <c r="F179" s="188"/>
      <c r="G179" s="188"/>
    </row>
    <row r="180" spans="1:8" ht="12">
      <c r="A180" s="92"/>
      <c r="E180" s="92"/>
      <c r="F180" s="131"/>
      <c r="G180" s="131"/>
    </row>
    <row r="181" spans="1:8" ht="12">
      <c r="A181" s="92"/>
      <c r="E181" s="92"/>
      <c r="F181" s="131"/>
      <c r="G181" s="131"/>
    </row>
    <row r="182" spans="1:8" ht="15.75">
      <c r="A182" s="169" t="s">
        <v>4941</v>
      </c>
      <c r="E182" s="92"/>
      <c r="F182" s="131"/>
      <c r="G182" s="131"/>
    </row>
    <row r="183" spans="1:8" ht="15.75">
      <c r="A183" s="173" t="s">
        <v>4393</v>
      </c>
      <c r="E183" s="92"/>
      <c r="F183" s="131"/>
      <c r="G183" s="131"/>
      <c r="H183" s="40"/>
    </row>
    <row r="184" spans="1:8" ht="12">
      <c r="A184" s="93" t="s">
        <v>232</v>
      </c>
      <c r="E184" s="92"/>
      <c r="F184" s="131"/>
      <c r="G184" s="131"/>
      <c r="H184" s="40"/>
    </row>
    <row r="185" spans="1:8" ht="11.25" customHeight="1">
      <c r="A185" s="92"/>
      <c r="E185" s="92"/>
      <c r="F185" s="131"/>
      <c r="G185" s="131"/>
      <c r="H185" s="40"/>
    </row>
    <row r="186" spans="1:8" ht="15.75" customHeight="1">
      <c r="A186" s="113" t="s">
        <v>4918</v>
      </c>
      <c r="B186" s="42" t="s">
        <v>234</v>
      </c>
      <c r="C186" s="42" t="s">
        <v>506</v>
      </c>
      <c r="E186" s="113" t="s">
        <v>4066</v>
      </c>
      <c r="F186" s="175" t="s">
        <v>3673</v>
      </c>
      <c r="G186" s="175" t="s">
        <v>3676</v>
      </c>
      <c r="H186" s="40"/>
    </row>
    <row r="187" spans="1:8" ht="11.25" customHeight="1">
      <c r="A187" s="92"/>
      <c r="E187" s="92"/>
      <c r="F187" s="131"/>
      <c r="G187" s="131"/>
      <c r="H187" s="40"/>
    </row>
    <row r="188" spans="1:8" ht="15.75">
      <c r="A188" s="113"/>
      <c r="E188" s="189" t="s">
        <v>8434</v>
      </c>
      <c r="F188" s="126"/>
      <c r="G188" s="126"/>
      <c r="H188" s="40"/>
    </row>
    <row r="189" spans="1:8" ht="31.5">
      <c r="A189" s="113">
        <v>1</v>
      </c>
      <c r="B189" s="42" t="s">
        <v>1314</v>
      </c>
      <c r="E189" s="79" t="s">
        <v>8745</v>
      </c>
      <c r="F189" s="126">
        <v>1981863000</v>
      </c>
      <c r="G189" s="126">
        <v>380000000</v>
      </c>
      <c r="H189" s="40"/>
    </row>
    <row r="190" spans="1:8" ht="31.5">
      <c r="A190" s="113">
        <v>2</v>
      </c>
      <c r="B190" s="42" t="s">
        <v>1315</v>
      </c>
      <c r="E190" s="79" t="s">
        <v>8746</v>
      </c>
      <c r="F190" s="126">
        <v>500000000</v>
      </c>
      <c r="G190" s="126">
        <v>650000000</v>
      </c>
    </row>
    <row r="191" spans="1:8" ht="47.25">
      <c r="A191" s="113">
        <v>3</v>
      </c>
      <c r="B191" s="42" t="s">
        <v>1518</v>
      </c>
      <c r="E191" s="79" t="s">
        <v>13006</v>
      </c>
      <c r="F191" s="126"/>
      <c r="G191" s="126">
        <v>70000000</v>
      </c>
    </row>
    <row r="192" spans="1:8" ht="11.25" customHeight="1">
      <c r="A192" s="92"/>
      <c r="E192" s="92"/>
      <c r="F192" s="131"/>
      <c r="G192" s="131"/>
    </row>
    <row r="193" spans="1:7" ht="15.75">
      <c r="A193" s="178"/>
      <c r="B193" s="162"/>
      <c r="C193" s="162"/>
      <c r="D193" s="179"/>
      <c r="E193" s="184" t="str">
        <f>""&amp;TEXT(A182,"0")&amp;" एकूण"</f>
        <v>यादी क्र. पीआर१ एकूण</v>
      </c>
      <c r="F193" s="181">
        <f t="shared" ref="F193:G193" si="2">SUM(F188:F192)</f>
        <v>2481863000</v>
      </c>
      <c r="G193" s="181">
        <f t="shared" si="2"/>
        <v>1100000000</v>
      </c>
    </row>
    <row r="194" spans="1:7" ht="15.75" customHeight="1">
      <c r="A194" s="169" t="s">
        <v>4942</v>
      </c>
      <c r="B194" s="161"/>
      <c r="C194" s="161"/>
      <c r="D194" s="170"/>
      <c r="E194" s="183"/>
      <c r="F194" s="172"/>
      <c r="G194" s="172"/>
    </row>
    <row r="195" spans="1:7" ht="15.75" customHeight="1">
      <c r="A195" s="173" t="s">
        <v>4755</v>
      </c>
      <c r="E195" s="92"/>
      <c r="F195" s="131"/>
      <c r="G195" s="131"/>
    </row>
    <row r="196" spans="1:7" ht="11.25" customHeight="1">
      <c r="A196" s="93" t="s">
        <v>4756</v>
      </c>
      <c r="E196" s="92"/>
      <c r="F196" s="131"/>
      <c r="G196" s="131"/>
    </row>
    <row r="197" spans="1:7" ht="11.25" customHeight="1">
      <c r="A197" s="92"/>
      <c r="E197" s="92"/>
      <c r="F197" s="131"/>
      <c r="G197" s="131"/>
    </row>
    <row r="198" spans="1:7" ht="15.75" customHeight="1">
      <c r="A198" s="113" t="s">
        <v>4918</v>
      </c>
      <c r="B198" s="42" t="s">
        <v>234</v>
      </c>
      <c r="C198" s="42" t="s">
        <v>506</v>
      </c>
      <c r="E198" s="113" t="s">
        <v>4066</v>
      </c>
      <c r="F198" s="175" t="s">
        <v>3673</v>
      </c>
      <c r="G198" s="175" t="s">
        <v>3676</v>
      </c>
    </row>
    <row r="199" spans="1:7" ht="11.25" customHeight="1">
      <c r="A199" s="177"/>
      <c r="E199" s="92"/>
      <c r="F199" s="131"/>
      <c r="G199" s="131"/>
    </row>
    <row r="200" spans="1:7" ht="15.75">
      <c r="A200" s="113"/>
      <c r="E200" s="189" t="s">
        <v>8434</v>
      </c>
      <c r="F200" s="126"/>
      <c r="G200" s="126"/>
    </row>
    <row r="201" spans="1:7" ht="31.5">
      <c r="A201" s="113">
        <v>1</v>
      </c>
      <c r="B201" s="42" t="s">
        <v>5047</v>
      </c>
      <c r="E201" s="79" t="s">
        <v>8747</v>
      </c>
      <c r="F201" s="126">
        <v>9902600000</v>
      </c>
      <c r="G201" s="126">
        <v>2000000000</v>
      </c>
    </row>
    <row r="202" spans="1:7" ht="11.25" customHeight="1">
      <c r="A202" s="177"/>
      <c r="E202" s="92"/>
      <c r="F202" s="131"/>
      <c r="G202" s="131"/>
    </row>
    <row r="203" spans="1:7" ht="15.75" customHeight="1">
      <c r="A203" s="178"/>
      <c r="B203" s="162"/>
      <c r="C203" s="162"/>
      <c r="D203" s="179"/>
      <c r="E203" s="184" t="str">
        <f>""&amp;TEXT(A194,"0")&amp;" एकूण"</f>
        <v>यादी क्र. पीआर२ एकूण</v>
      </c>
      <c r="F203" s="181">
        <f t="shared" ref="F203:G203" si="3">SUM(F200:F202)</f>
        <v>9902600000</v>
      </c>
      <c r="G203" s="181">
        <f t="shared" si="3"/>
        <v>2000000000</v>
      </c>
    </row>
    <row r="204" spans="1:7" ht="11.25" customHeight="1">
      <c r="A204" s="92"/>
      <c r="E204" s="92"/>
      <c r="F204" s="131"/>
      <c r="G204" s="131"/>
    </row>
    <row r="205" spans="1:7" ht="11.25" customHeight="1">
      <c r="A205" s="92"/>
      <c r="E205" s="92"/>
      <c r="F205" s="131"/>
      <c r="G205" s="131"/>
    </row>
    <row r="206" spans="1:7" ht="15.75" customHeight="1">
      <c r="A206" s="169" t="s">
        <v>4943</v>
      </c>
      <c r="B206" s="161"/>
      <c r="C206" s="161"/>
      <c r="D206" s="170"/>
      <c r="E206" s="183"/>
      <c r="F206" s="172"/>
      <c r="G206" s="172"/>
    </row>
    <row r="207" spans="1:7" ht="15.75" customHeight="1">
      <c r="A207" s="173" t="s">
        <v>4749</v>
      </c>
      <c r="E207" s="92"/>
      <c r="F207" s="131"/>
      <c r="G207" s="131"/>
    </row>
    <row r="208" spans="1:7" ht="11.25" customHeight="1">
      <c r="A208" s="93" t="s">
        <v>4757</v>
      </c>
      <c r="E208" s="92"/>
      <c r="F208" s="131"/>
      <c r="G208" s="131"/>
    </row>
    <row r="209" spans="1:8" ht="11.25" customHeight="1">
      <c r="A209" s="92"/>
      <c r="E209" s="92"/>
      <c r="F209" s="131"/>
      <c r="G209" s="131"/>
    </row>
    <row r="210" spans="1:8" ht="15.75" customHeight="1">
      <c r="A210" s="113" t="s">
        <v>4918</v>
      </c>
      <c r="B210" s="42" t="s">
        <v>234</v>
      </c>
      <c r="C210" s="42" t="s">
        <v>506</v>
      </c>
      <c r="E210" s="113" t="s">
        <v>4066</v>
      </c>
      <c r="F210" s="175" t="s">
        <v>3673</v>
      </c>
      <c r="G210" s="175" t="s">
        <v>3676</v>
      </c>
    </row>
    <row r="211" spans="1:8" ht="11.25" customHeight="1">
      <c r="A211" s="177"/>
      <c r="E211" s="92"/>
      <c r="F211" s="131"/>
      <c r="G211" s="131"/>
    </row>
    <row r="212" spans="1:8" ht="15.75">
      <c r="A212" s="113"/>
      <c r="E212" s="189" t="s">
        <v>8434</v>
      </c>
      <c r="F212" s="126"/>
      <c r="G212" s="126"/>
    </row>
    <row r="213" spans="1:8" ht="31.5">
      <c r="A213" s="113">
        <v>1</v>
      </c>
      <c r="B213" s="42" t="s">
        <v>5048</v>
      </c>
      <c r="E213" s="79" t="s">
        <v>10422</v>
      </c>
      <c r="F213" s="126">
        <v>18000000000</v>
      </c>
      <c r="G213" s="126">
        <v>1800000000</v>
      </c>
    </row>
    <row r="214" spans="1:8" ht="31.5">
      <c r="A214" s="113">
        <v>2</v>
      </c>
      <c r="B214" s="42" t="s">
        <v>5049</v>
      </c>
      <c r="E214" s="79" t="s">
        <v>10423</v>
      </c>
      <c r="F214" s="126"/>
      <c r="G214" s="126">
        <v>250000000</v>
      </c>
    </row>
    <row r="215" spans="1:8" ht="31.5">
      <c r="A215" s="113">
        <v>3</v>
      </c>
      <c r="B215" s="42" t="s">
        <v>13002</v>
      </c>
      <c r="E215" s="79" t="s">
        <v>10425</v>
      </c>
      <c r="F215" s="126">
        <v>2450000000</v>
      </c>
      <c r="G215" s="126">
        <v>1250000000</v>
      </c>
    </row>
    <row r="216" spans="1:8" ht="31.5">
      <c r="A216" s="113">
        <v>4</v>
      </c>
      <c r="B216" s="42" t="s">
        <v>13003</v>
      </c>
      <c r="E216" s="79" t="s">
        <v>10424</v>
      </c>
      <c r="F216" s="126">
        <v>6120000000</v>
      </c>
      <c r="G216" s="126">
        <v>770000000</v>
      </c>
    </row>
    <row r="217" spans="1:8" ht="11.25" customHeight="1">
      <c r="A217" s="177"/>
      <c r="E217" s="92"/>
      <c r="F217" s="131"/>
      <c r="G217" s="131"/>
    </row>
    <row r="218" spans="1:8" ht="15.75" customHeight="1">
      <c r="A218" s="178"/>
      <c r="B218" s="162"/>
      <c r="C218" s="162"/>
      <c r="D218" s="179"/>
      <c r="E218" s="184" t="str">
        <f>""&amp;TEXT(A206,"0")&amp;" एकूण"</f>
        <v>यादी क्र. पीआर३ एकूण</v>
      </c>
      <c r="F218" s="181">
        <f t="shared" ref="F218:G218" si="4">SUM(F212:F217)</f>
        <v>26570000000</v>
      </c>
      <c r="G218" s="181">
        <f t="shared" si="4"/>
        <v>4070000000</v>
      </c>
    </row>
    <row r="219" spans="1:8" ht="11.25" customHeight="1">
      <c r="A219" s="92"/>
      <c r="E219" s="92"/>
      <c r="F219" s="131"/>
      <c r="G219" s="131"/>
    </row>
    <row r="220" spans="1:8" ht="11.25" customHeight="1">
      <c r="A220" s="92"/>
      <c r="E220" s="92"/>
      <c r="F220" s="131"/>
      <c r="G220" s="131"/>
    </row>
    <row r="221" spans="1:8" ht="16.5">
      <c r="A221" s="185" t="s">
        <v>4944</v>
      </c>
      <c r="B221" s="163"/>
      <c r="C221" s="163"/>
      <c r="D221" s="186"/>
      <c r="E221" s="212"/>
      <c r="F221" s="188"/>
      <c r="G221" s="188"/>
    </row>
    <row r="222" spans="1:8" ht="11.25" customHeight="1">
      <c r="A222" s="92"/>
      <c r="E222" s="92"/>
      <c r="F222" s="131"/>
      <c r="G222" s="131"/>
    </row>
    <row r="223" spans="1:8" ht="11.25" customHeight="1">
      <c r="A223" s="92"/>
      <c r="E223" s="92"/>
      <c r="F223" s="131"/>
      <c r="G223" s="131"/>
    </row>
    <row r="224" spans="1:8" ht="15.75">
      <c r="A224" s="169" t="s">
        <v>5106</v>
      </c>
      <c r="E224" s="92"/>
      <c r="F224" s="131"/>
      <c r="G224" s="131"/>
      <c r="H224" s="40"/>
    </row>
    <row r="225" spans="1:8" ht="15.75">
      <c r="A225" s="214" t="s">
        <v>4399</v>
      </c>
      <c r="E225" s="92"/>
      <c r="F225" s="131"/>
      <c r="G225" s="131"/>
      <c r="H225" s="40"/>
    </row>
    <row r="226" spans="1:8" ht="12">
      <c r="A226" s="93" t="s">
        <v>5105</v>
      </c>
      <c r="E226" s="92"/>
      <c r="F226" s="131"/>
      <c r="G226" s="131"/>
      <c r="H226" s="40"/>
    </row>
    <row r="227" spans="1:8" ht="12">
      <c r="A227" s="92"/>
      <c r="E227" s="92"/>
      <c r="F227" s="131"/>
      <c r="G227" s="131"/>
      <c r="H227" s="40"/>
    </row>
    <row r="228" spans="1:8" ht="15.75" customHeight="1">
      <c r="A228" s="113" t="s">
        <v>4918</v>
      </c>
      <c r="B228" s="42" t="s">
        <v>234</v>
      </c>
      <c r="C228" s="42" t="s">
        <v>506</v>
      </c>
      <c r="E228" s="113" t="s">
        <v>4066</v>
      </c>
      <c r="F228" s="175" t="s">
        <v>3673</v>
      </c>
      <c r="G228" s="175" t="s">
        <v>3676</v>
      </c>
      <c r="H228" s="40"/>
    </row>
    <row r="229" spans="1:8" ht="12">
      <c r="A229" s="92"/>
      <c r="E229" s="92"/>
      <c r="F229" s="131"/>
      <c r="G229" s="131"/>
      <c r="H229" s="40"/>
    </row>
    <row r="230" spans="1:8" ht="15.75">
      <c r="A230" s="113"/>
      <c r="E230" s="189" t="s">
        <v>8434</v>
      </c>
      <c r="F230" s="126"/>
      <c r="G230" s="126"/>
      <c r="H230" s="40"/>
    </row>
    <row r="231" spans="1:8" ht="15.75">
      <c r="A231" s="113">
        <v>1</v>
      </c>
      <c r="B231" s="42" t="s">
        <v>5303</v>
      </c>
      <c r="E231" s="87" t="s">
        <v>5129</v>
      </c>
      <c r="F231" s="126"/>
      <c r="G231" s="126">
        <v>1500000</v>
      </c>
      <c r="H231" s="40"/>
    </row>
    <row r="232" spans="1:8" ht="15.75">
      <c r="A232" s="113">
        <v>2</v>
      </c>
      <c r="B232" s="42" t="s">
        <v>5304</v>
      </c>
      <c r="E232" s="87" t="s">
        <v>5130</v>
      </c>
      <c r="F232" s="126"/>
      <c r="G232" s="126">
        <v>1000000</v>
      </c>
      <c r="H232" s="40"/>
    </row>
    <row r="233" spans="1:8" ht="15.75">
      <c r="A233" s="113">
        <v>3</v>
      </c>
      <c r="B233" s="42" t="s">
        <v>5305</v>
      </c>
      <c r="E233" s="87" t="s">
        <v>5131</v>
      </c>
      <c r="F233" s="126"/>
      <c r="G233" s="126">
        <v>1500000</v>
      </c>
      <c r="H233" s="40"/>
    </row>
    <row r="234" spans="1:8" ht="15.75">
      <c r="A234" s="113">
        <v>4</v>
      </c>
      <c r="B234" s="42" t="s">
        <v>5306</v>
      </c>
      <c r="E234" s="87" t="s">
        <v>5132</v>
      </c>
      <c r="F234" s="126"/>
      <c r="G234" s="126">
        <v>500000</v>
      </c>
      <c r="H234" s="40"/>
    </row>
    <row r="235" spans="1:8" ht="15.75">
      <c r="A235" s="113">
        <v>5</v>
      </c>
      <c r="B235" s="42" t="s">
        <v>5307</v>
      </c>
      <c r="E235" s="87" t="s">
        <v>5133</v>
      </c>
      <c r="F235" s="126"/>
      <c r="G235" s="126">
        <v>500000</v>
      </c>
      <c r="H235" s="40"/>
    </row>
    <row r="236" spans="1:8" ht="31.5">
      <c r="A236" s="113">
        <v>6</v>
      </c>
      <c r="B236" s="42" t="s">
        <v>5308</v>
      </c>
      <c r="E236" s="79" t="s">
        <v>5134</v>
      </c>
      <c r="F236" s="126"/>
      <c r="G236" s="126">
        <v>500000</v>
      </c>
      <c r="H236" s="40"/>
    </row>
    <row r="237" spans="1:8" ht="31.5">
      <c r="A237" s="113">
        <v>7</v>
      </c>
      <c r="B237" s="42" t="s">
        <v>5309</v>
      </c>
      <c r="E237" s="79" t="s">
        <v>5135</v>
      </c>
      <c r="F237" s="126"/>
      <c r="G237" s="126">
        <v>500000</v>
      </c>
      <c r="H237" s="40"/>
    </row>
    <row r="238" spans="1:8" ht="15.75">
      <c r="A238" s="113">
        <v>8</v>
      </c>
      <c r="B238" s="42" t="s">
        <v>5310</v>
      </c>
      <c r="E238" s="87" t="s">
        <v>5136</v>
      </c>
      <c r="F238" s="126"/>
      <c r="G238" s="126">
        <v>1500000</v>
      </c>
      <c r="H238" s="40"/>
    </row>
    <row r="239" spans="1:8" ht="15.75">
      <c r="A239" s="113">
        <v>9</v>
      </c>
      <c r="B239" s="42" t="s">
        <v>5311</v>
      </c>
      <c r="E239" s="87" t="s">
        <v>5137</v>
      </c>
      <c r="F239" s="126"/>
      <c r="G239" s="126">
        <v>2500000</v>
      </c>
      <c r="H239" s="40"/>
    </row>
    <row r="240" spans="1:8" ht="31.5">
      <c r="A240" s="113">
        <v>10</v>
      </c>
      <c r="B240" s="42" t="s">
        <v>5312</v>
      </c>
      <c r="E240" s="79" t="s">
        <v>5138</v>
      </c>
      <c r="F240" s="126"/>
      <c r="G240" s="126">
        <v>2500000</v>
      </c>
      <c r="H240" s="40"/>
    </row>
    <row r="241" spans="1:8" ht="15.75">
      <c r="A241" s="113">
        <v>11</v>
      </c>
      <c r="B241" s="42" t="s">
        <v>5313</v>
      </c>
      <c r="E241" s="87" t="s">
        <v>5139</v>
      </c>
      <c r="F241" s="126"/>
      <c r="G241" s="126">
        <v>1000000</v>
      </c>
      <c r="H241" s="40"/>
    </row>
    <row r="242" spans="1:8" ht="31.5">
      <c r="A242" s="113">
        <v>12</v>
      </c>
      <c r="B242" s="42" t="s">
        <v>5314</v>
      </c>
      <c r="E242" s="79" t="s">
        <v>5140</v>
      </c>
      <c r="F242" s="126"/>
      <c r="G242" s="126">
        <v>1000000</v>
      </c>
      <c r="H242" s="40"/>
    </row>
    <row r="243" spans="1:8" ht="15.75">
      <c r="A243" s="113">
        <v>13</v>
      </c>
      <c r="B243" s="42" t="s">
        <v>5315</v>
      </c>
      <c r="E243" s="87" t="s">
        <v>5141</v>
      </c>
      <c r="F243" s="126"/>
      <c r="G243" s="126">
        <v>1500000</v>
      </c>
      <c r="H243" s="40"/>
    </row>
    <row r="244" spans="1:8" ht="15.75">
      <c r="A244" s="113">
        <v>14</v>
      </c>
      <c r="B244" s="42" t="s">
        <v>5316</v>
      </c>
      <c r="E244" s="87" t="s">
        <v>5142</v>
      </c>
      <c r="F244" s="126"/>
      <c r="G244" s="126">
        <v>1500000</v>
      </c>
      <c r="H244" s="40"/>
    </row>
    <row r="245" spans="1:8" ht="15.75">
      <c r="A245" s="113">
        <v>15</v>
      </c>
      <c r="B245" s="42" t="s">
        <v>5317</v>
      </c>
      <c r="E245" s="87" t="s">
        <v>5143</v>
      </c>
      <c r="F245" s="126"/>
      <c r="G245" s="126">
        <v>1500000</v>
      </c>
      <c r="H245" s="40"/>
    </row>
    <row r="246" spans="1:8" ht="15.75">
      <c r="A246" s="113">
        <v>16</v>
      </c>
      <c r="B246" s="42" t="s">
        <v>5318</v>
      </c>
      <c r="E246" s="87" t="s">
        <v>5144</v>
      </c>
      <c r="F246" s="126"/>
      <c r="G246" s="126">
        <v>1500000</v>
      </c>
      <c r="H246" s="40"/>
    </row>
    <row r="247" spans="1:8" ht="31.5">
      <c r="A247" s="113">
        <v>17</v>
      </c>
      <c r="B247" s="42" t="s">
        <v>5319</v>
      </c>
      <c r="E247" s="79" t="s">
        <v>5145</v>
      </c>
      <c r="F247" s="126"/>
      <c r="G247" s="126">
        <v>1500000</v>
      </c>
      <c r="H247" s="40"/>
    </row>
    <row r="248" spans="1:8" ht="15.75">
      <c r="A248" s="113">
        <v>18</v>
      </c>
      <c r="B248" s="42" t="s">
        <v>5320</v>
      </c>
      <c r="E248" s="87" t="s">
        <v>5146</v>
      </c>
      <c r="F248" s="126"/>
      <c r="G248" s="126">
        <v>1500000</v>
      </c>
      <c r="H248" s="40"/>
    </row>
    <row r="249" spans="1:8" ht="15.75">
      <c r="A249" s="113">
        <v>19</v>
      </c>
      <c r="B249" s="42" t="s">
        <v>5321</v>
      </c>
      <c r="E249" s="87" t="s">
        <v>5147</v>
      </c>
      <c r="F249" s="126"/>
      <c r="G249" s="126">
        <v>1500000</v>
      </c>
      <c r="H249" s="40"/>
    </row>
    <row r="250" spans="1:8" ht="31.5">
      <c r="A250" s="113">
        <v>20</v>
      </c>
      <c r="B250" s="42" t="s">
        <v>5322</v>
      </c>
      <c r="E250" s="79" t="s">
        <v>5148</v>
      </c>
      <c r="F250" s="126"/>
      <c r="G250" s="126">
        <v>1200000</v>
      </c>
    </row>
    <row r="251" spans="1:8" ht="31.5">
      <c r="A251" s="113">
        <v>21</v>
      </c>
      <c r="B251" s="42" t="s">
        <v>5323</v>
      </c>
      <c r="E251" s="79" t="s">
        <v>5149</v>
      </c>
      <c r="F251" s="126"/>
      <c r="G251" s="126">
        <v>1200000</v>
      </c>
    </row>
    <row r="252" spans="1:8" ht="15.75">
      <c r="A252" s="113">
        <v>22</v>
      </c>
      <c r="B252" s="42" t="s">
        <v>5324</v>
      </c>
      <c r="E252" s="87" t="s">
        <v>5150</v>
      </c>
      <c r="F252" s="126"/>
      <c r="G252" s="126">
        <v>1000000</v>
      </c>
    </row>
    <row r="253" spans="1:8" ht="15.75">
      <c r="A253" s="113">
        <v>23</v>
      </c>
      <c r="B253" s="42" t="s">
        <v>5325</v>
      </c>
      <c r="E253" s="87" t="s">
        <v>5151</v>
      </c>
      <c r="F253" s="126"/>
      <c r="G253" s="126">
        <v>5000000</v>
      </c>
    </row>
    <row r="254" spans="1:8" ht="31.5">
      <c r="A254" s="113">
        <v>24</v>
      </c>
      <c r="B254" s="42" t="s">
        <v>8762</v>
      </c>
      <c r="E254" s="79" t="s">
        <v>8758</v>
      </c>
      <c r="F254" s="126"/>
      <c r="G254" s="126">
        <v>1000000</v>
      </c>
    </row>
    <row r="255" spans="1:8" ht="15.75">
      <c r="A255" s="113">
        <v>25</v>
      </c>
      <c r="B255" s="42" t="s">
        <v>8763</v>
      </c>
      <c r="E255" s="87" t="s">
        <v>8759</v>
      </c>
      <c r="F255" s="126"/>
      <c r="G255" s="126">
        <v>800000</v>
      </c>
    </row>
    <row r="256" spans="1:8" ht="15.75">
      <c r="A256" s="113">
        <v>26</v>
      </c>
      <c r="B256" s="42" t="s">
        <v>8761</v>
      </c>
      <c r="E256" s="87" t="s">
        <v>8760</v>
      </c>
      <c r="F256" s="126"/>
      <c r="G256" s="126">
        <v>60000000</v>
      </c>
    </row>
    <row r="257" spans="1:7" ht="15.75">
      <c r="A257" s="113">
        <v>27</v>
      </c>
      <c r="B257" s="42" t="s">
        <v>8767</v>
      </c>
      <c r="E257" s="87" t="s">
        <v>8772</v>
      </c>
      <c r="F257" s="126"/>
      <c r="G257" s="126">
        <v>800000</v>
      </c>
    </row>
    <row r="258" spans="1:7" ht="15.75">
      <c r="A258" s="113">
        <v>28</v>
      </c>
      <c r="B258" s="42" t="s">
        <v>8768</v>
      </c>
      <c r="E258" s="87" t="s">
        <v>8773</v>
      </c>
      <c r="F258" s="126"/>
      <c r="G258" s="126">
        <v>800000</v>
      </c>
    </row>
    <row r="259" spans="1:7" ht="15.75">
      <c r="A259" s="113">
        <v>29</v>
      </c>
      <c r="B259" s="42" t="s">
        <v>8769</v>
      </c>
      <c r="E259" s="87" t="s">
        <v>8774</v>
      </c>
      <c r="F259" s="126"/>
      <c r="G259" s="126">
        <v>800000</v>
      </c>
    </row>
    <row r="260" spans="1:7" ht="15.75">
      <c r="A260" s="113">
        <v>30</v>
      </c>
      <c r="B260" s="42" t="s">
        <v>8770</v>
      </c>
      <c r="E260" s="87" t="s">
        <v>8775</v>
      </c>
      <c r="F260" s="126"/>
      <c r="G260" s="126">
        <v>800000</v>
      </c>
    </row>
    <row r="261" spans="1:7" ht="15.75">
      <c r="A261" s="113">
        <v>31</v>
      </c>
      <c r="B261" s="42" t="s">
        <v>8771</v>
      </c>
      <c r="E261" s="87" t="s">
        <v>8776</v>
      </c>
      <c r="F261" s="126"/>
      <c r="G261" s="126">
        <v>3000000</v>
      </c>
    </row>
    <row r="262" spans="1:7" ht="12">
      <c r="A262" s="92"/>
      <c r="E262" s="92"/>
      <c r="F262" s="131"/>
      <c r="G262" s="131"/>
    </row>
    <row r="263" spans="1:7" ht="15.75">
      <c r="A263" s="178"/>
      <c r="B263" s="162"/>
      <c r="C263" s="162"/>
      <c r="D263" s="179"/>
      <c r="E263" s="184" t="str">
        <f>""&amp;TEXT(A224,"0")&amp;" एकूण"</f>
        <v>यादी क्र. डी2 एकूण</v>
      </c>
      <c r="F263" s="181">
        <f>SUM(F230:F262)</f>
        <v>0</v>
      </c>
      <c r="G263" s="181">
        <f>SUM(G230:G262)</f>
        <v>101400000</v>
      </c>
    </row>
    <row r="264" spans="1:7" ht="12">
      <c r="A264" s="92"/>
      <c r="E264" s="92"/>
      <c r="F264" s="131"/>
      <c r="G264" s="131"/>
    </row>
    <row r="265" spans="1:7" ht="15.75" customHeight="1">
      <c r="A265" s="169" t="s">
        <v>4945</v>
      </c>
      <c r="E265" s="92"/>
      <c r="F265" s="131"/>
      <c r="G265" s="131"/>
    </row>
    <row r="266" spans="1:7" ht="15.75" customHeight="1">
      <c r="A266" s="173" t="s">
        <v>4394</v>
      </c>
      <c r="E266" s="92"/>
      <c r="F266" s="131"/>
      <c r="G266" s="131"/>
    </row>
    <row r="267" spans="1:7" ht="11.25" customHeight="1">
      <c r="A267" s="93" t="s">
        <v>4400</v>
      </c>
      <c r="E267" s="92"/>
      <c r="F267" s="131"/>
      <c r="G267" s="131"/>
    </row>
    <row r="268" spans="1:7" ht="11.25" customHeight="1">
      <c r="A268" s="92"/>
      <c r="E268" s="92"/>
      <c r="F268" s="131"/>
      <c r="G268" s="131"/>
    </row>
    <row r="269" spans="1:7" ht="15.75" customHeight="1">
      <c r="A269" s="113" t="s">
        <v>4918</v>
      </c>
      <c r="B269" s="42" t="s">
        <v>234</v>
      </c>
      <c r="C269" s="42" t="s">
        <v>506</v>
      </c>
      <c r="E269" s="113" t="s">
        <v>4066</v>
      </c>
      <c r="F269" s="175" t="s">
        <v>3673</v>
      </c>
      <c r="G269" s="175" t="s">
        <v>3676</v>
      </c>
    </row>
    <row r="270" spans="1:7" ht="11.25" customHeight="1">
      <c r="A270" s="92"/>
      <c r="E270" s="92"/>
      <c r="F270" s="131"/>
      <c r="G270" s="131"/>
    </row>
    <row r="271" spans="1:7" ht="15.75">
      <c r="A271" s="113"/>
      <c r="E271" s="189" t="s">
        <v>8434</v>
      </c>
      <c r="F271" s="126"/>
      <c r="G271" s="126"/>
    </row>
    <row r="272" spans="1:7" ht="15.75">
      <c r="A272" s="113">
        <v>1</v>
      </c>
      <c r="B272" s="42" t="s">
        <v>5326</v>
      </c>
      <c r="E272" s="87" t="s">
        <v>5152</v>
      </c>
      <c r="F272" s="126"/>
      <c r="G272" s="126">
        <v>1500000</v>
      </c>
    </row>
    <row r="273" spans="1:8" ht="15.75">
      <c r="A273" s="113">
        <v>2</v>
      </c>
      <c r="B273" s="42" t="s">
        <v>5327</v>
      </c>
      <c r="E273" s="87" t="s">
        <v>5153</v>
      </c>
      <c r="F273" s="126"/>
      <c r="G273" s="126">
        <v>500000</v>
      </c>
      <c r="H273" s="40"/>
    </row>
    <row r="274" spans="1:8" ht="15.75">
      <c r="A274" s="113">
        <v>3</v>
      </c>
      <c r="B274" s="42" t="s">
        <v>5328</v>
      </c>
      <c r="E274" s="87" t="s">
        <v>5154</v>
      </c>
      <c r="F274" s="126"/>
      <c r="G274" s="126">
        <v>2500000</v>
      </c>
      <c r="H274" s="40"/>
    </row>
    <row r="275" spans="1:8" ht="31.5">
      <c r="A275" s="113">
        <v>4</v>
      </c>
      <c r="B275" s="42" t="s">
        <v>5329</v>
      </c>
      <c r="E275" s="79" t="s">
        <v>5155</v>
      </c>
      <c r="F275" s="126"/>
      <c r="G275" s="126">
        <v>5000000</v>
      </c>
      <c r="H275" s="40"/>
    </row>
    <row r="276" spans="1:8" ht="11.25" customHeight="1">
      <c r="A276" s="92"/>
      <c r="E276" s="92"/>
      <c r="F276" s="131"/>
      <c r="G276" s="131"/>
      <c r="H276" s="40"/>
    </row>
    <row r="277" spans="1:8" ht="15.75" customHeight="1">
      <c r="A277" s="178"/>
      <c r="B277" s="162"/>
      <c r="C277" s="162"/>
      <c r="D277" s="179"/>
      <c r="E277" s="184" t="str">
        <f>""&amp;TEXT(A265,"0")&amp;" एकूण"</f>
        <v>यादी क्र. डी३ एकूण</v>
      </c>
      <c r="F277" s="181">
        <f>SUM(F271:F276)</f>
        <v>0</v>
      </c>
      <c r="G277" s="181">
        <f>SUM(G271:G276)</f>
        <v>9500000</v>
      </c>
      <c r="H277" s="40"/>
    </row>
    <row r="278" spans="1:8" ht="11.25" customHeight="1">
      <c r="A278" s="92"/>
      <c r="E278" s="92"/>
      <c r="F278" s="131"/>
      <c r="G278" s="131"/>
      <c r="H278" s="40"/>
    </row>
    <row r="279" spans="1:8" ht="12">
      <c r="A279" s="92"/>
      <c r="E279" s="92"/>
      <c r="F279" s="131"/>
      <c r="G279" s="131"/>
      <c r="H279" s="40"/>
    </row>
    <row r="280" spans="1:8" ht="15.75">
      <c r="A280" s="169" t="s">
        <v>4466</v>
      </c>
      <c r="E280" s="92"/>
      <c r="F280" s="131"/>
      <c r="G280" s="131"/>
      <c r="H280" s="40"/>
    </row>
    <row r="281" spans="1:8" ht="15.75">
      <c r="A281" s="173" t="s">
        <v>4396</v>
      </c>
      <c r="E281" s="92"/>
      <c r="F281" s="131"/>
      <c r="G281" s="131"/>
      <c r="H281" s="40"/>
    </row>
    <row r="282" spans="1:8" ht="12">
      <c r="A282" s="93" t="s">
        <v>5177</v>
      </c>
      <c r="E282" s="92"/>
      <c r="F282" s="131"/>
      <c r="G282" s="131"/>
      <c r="H282" s="40"/>
    </row>
    <row r="283" spans="1:8" ht="12">
      <c r="A283" s="92"/>
      <c r="E283" s="92"/>
      <c r="F283" s="131"/>
      <c r="G283" s="131"/>
      <c r="H283" s="40"/>
    </row>
    <row r="284" spans="1:8" ht="15.75" customHeight="1">
      <c r="A284" s="113" t="s">
        <v>4918</v>
      </c>
      <c r="B284" s="42" t="s">
        <v>234</v>
      </c>
      <c r="C284" s="42" t="s">
        <v>506</v>
      </c>
      <c r="E284" s="113" t="s">
        <v>4066</v>
      </c>
      <c r="F284" s="175" t="s">
        <v>3673</v>
      </c>
      <c r="G284" s="175" t="s">
        <v>3676</v>
      </c>
      <c r="H284" s="40"/>
    </row>
    <row r="285" spans="1:8" ht="12">
      <c r="A285" s="92"/>
      <c r="E285" s="92"/>
      <c r="F285" s="131"/>
      <c r="G285" s="131"/>
      <c r="H285" s="40"/>
    </row>
    <row r="286" spans="1:8" ht="15.75">
      <c r="A286" s="92"/>
      <c r="E286" s="189" t="s">
        <v>8434</v>
      </c>
      <c r="F286" s="131"/>
      <c r="G286" s="131"/>
      <c r="H286" s="40"/>
    </row>
    <row r="287" spans="1:8" ht="15.75">
      <c r="A287" s="113">
        <v>1</v>
      </c>
      <c r="B287" s="42" t="s">
        <v>8764</v>
      </c>
      <c r="E287" s="87" t="s">
        <v>8765</v>
      </c>
      <c r="F287" s="126"/>
      <c r="G287" s="126">
        <v>10000000</v>
      </c>
    </row>
    <row r="288" spans="1:8" ht="15.75">
      <c r="A288" s="113">
        <v>2</v>
      </c>
      <c r="B288" s="42" t="s">
        <v>4649</v>
      </c>
      <c r="E288" s="87" t="s">
        <v>8777</v>
      </c>
      <c r="F288" s="126"/>
      <c r="G288" s="126">
        <v>10000000</v>
      </c>
    </row>
    <row r="289" spans="1:8" ht="31.5">
      <c r="A289" s="113">
        <v>3</v>
      </c>
      <c r="B289" s="42" t="s">
        <v>8766</v>
      </c>
      <c r="E289" s="79" t="s">
        <v>8778</v>
      </c>
      <c r="F289" s="126"/>
      <c r="G289" s="126">
        <v>5000000</v>
      </c>
    </row>
    <row r="290" spans="1:8" ht="12">
      <c r="A290" s="92"/>
      <c r="E290" s="92"/>
      <c r="F290" s="131"/>
      <c r="G290" s="131"/>
    </row>
    <row r="291" spans="1:8" ht="15.75">
      <c r="A291" s="178"/>
      <c r="B291" s="162"/>
      <c r="C291" s="162"/>
      <c r="D291" s="179"/>
      <c r="E291" s="184" t="str">
        <f>""&amp;TEXT(A280,"0")&amp;" एकूण"</f>
        <v>यादी क्र. डी5 एकूण</v>
      </c>
      <c r="F291" s="181">
        <f t="shared" ref="F291:G291" si="5">SUM(F286:F290)</f>
        <v>0</v>
      </c>
      <c r="G291" s="181">
        <f t="shared" si="5"/>
        <v>25000000</v>
      </c>
    </row>
    <row r="292" spans="1:8" ht="12">
      <c r="A292" s="92"/>
      <c r="E292" s="92"/>
      <c r="F292" s="131"/>
      <c r="G292" s="131"/>
    </row>
    <row r="293" spans="1:8" ht="12">
      <c r="A293" s="92"/>
      <c r="E293" s="92"/>
      <c r="F293" s="131"/>
      <c r="G293" s="131"/>
    </row>
    <row r="294" spans="1:8" ht="16.5">
      <c r="A294" s="185" t="s">
        <v>4946</v>
      </c>
      <c r="B294" s="163"/>
      <c r="C294" s="163"/>
      <c r="D294" s="186"/>
      <c r="E294" s="212"/>
      <c r="F294" s="188"/>
      <c r="G294" s="188"/>
    </row>
    <row r="295" spans="1:8" ht="12">
      <c r="A295" s="92"/>
      <c r="E295" s="92"/>
      <c r="F295" s="131"/>
      <c r="G295" s="131"/>
    </row>
    <row r="296" spans="1:8" ht="11.25" customHeight="1">
      <c r="A296" s="92"/>
      <c r="E296" s="92"/>
      <c r="F296" s="131"/>
      <c r="G296" s="131"/>
    </row>
    <row r="297" spans="1:8" ht="15.75" customHeight="1">
      <c r="A297" s="169" t="s">
        <v>4947</v>
      </c>
      <c r="E297" s="92"/>
      <c r="F297" s="131"/>
      <c r="G297" s="131"/>
      <c r="H297" s="40"/>
    </row>
    <row r="298" spans="1:8" ht="15.75" customHeight="1">
      <c r="A298" s="173" t="s">
        <v>4401</v>
      </c>
      <c r="E298" s="92"/>
      <c r="F298" s="131"/>
      <c r="G298" s="131"/>
      <c r="H298" s="40"/>
    </row>
    <row r="299" spans="1:8" ht="11.25" customHeight="1">
      <c r="A299" s="93" t="s">
        <v>4468</v>
      </c>
      <c r="E299" s="92"/>
      <c r="F299" s="131"/>
      <c r="G299" s="131"/>
      <c r="H299" s="40"/>
    </row>
    <row r="300" spans="1:8" ht="11.25" customHeight="1">
      <c r="A300" s="92"/>
      <c r="E300" s="92"/>
      <c r="F300" s="131"/>
      <c r="G300" s="131"/>
      <c r="H300" s="40"/>
    </row>
    <row r="301" spans="1:8" ht="15.75" customHeight="1">
      <c r="A301" s="113" t="s">
        <v>4918</v>
      </c>
      <c r="B301" s="42" t="s">
        <v>234</v>
      </c>
      <c r="C301" s="42" t="s">
        <v>506</v>
      </c>
      <c r="E301" s="113" t="s">
        <v>4066</v>
      </c>
      <c r="F301" s="175" t="s">
        <v>3673</v>
      </c>
      <c r="G301" s="175" t="s">
        <v>3676</v>
      </c>
      <c r="H301" s="40"/>
    </row>
    <row r="302" spans="1:8" ht="11.25" customHeight="1">
      <c r="A302" s="92"/>
      <c r="E302" s="92"/>
      <c r="F302" s="131"/>
      <c r="G302" s="131"/>
      <c r="H302" s="40"/>
    </row>
    <row r="303" spans="1:8" ht="47.25">
      <c r="A303" s="113">
        <v>1</v>
      </c>
      <c r="B303" s="42" t="s">
        <v>13004</v>
      </c>
      <c r="E303" s="79" t="s">
        <v>10540</v>
      </c>
      <c r="F303" s="126">
        <v>570000000</v>
      </c>
      <c r="G303" s="126">
        <v>300000000</v>
      </c>
      <c r="H303" s="40"/>
    </row>
    <row r="304" spans="1:8" ht="15.75">
      <c r="A304" s="113"/>
      <c r="E304" s="87"/>
      <c r="F304" s="126"/>
      <c r="G304" s="126"/>
      <c r="H304" s="40"/>
    </row>
    <row r="305" spans="1:8" ht="15.75">
      <c r="A305" s="92"/>
      <c r="E305" s="189" t="s">
        <v>8434</v>
      </c>
      <c r="F305" s="131"/>
      <c r="G305" s="131"/>
      <c r="H305" s="40"/>
    </row>
    <row r="306" spans="1:8" ht="15.75">
      <c r="A306" s="113">
        <v>2</v>
      </c>
      <c r="B306" s="42" t="s">
        <v>5050</v>
      </c>
      <c r="E306" s="87" t="s">
        <v>4612</v>
      </c>
      <c r="F306" s="126"/>
      <c r="G306" s="126">
        <v>1000000</v>
      </c>
      <c r="H306" s="40"/>
    </row>
    <row r="307" spans="1:8" ht="15.75">
      <c r="A307" s="113">
        <v>3</v>
      </c>
      <c r="B307" s="42" t="s">
        <v>5051</v>
      </c>
      <c r="E307" s="87" t="s">
        <v>4613</v>
      </c>
      <c r="F307" s="126"/>
      <c r="G307" s="126">
        <v>1800000</v>
      </c>
      <c r="H307" s="40"/>
    </row>
    <row r="308" spans="1:8" ht="15.75">
      <c r="A308" s="113">
        <v>4</v>
      </c>
      <c r="B308" s="42" t="s">
        <v>5052</v>
      </c>
      <c r="E308" s="87" t="s">
        <v>4614</v>
      </c>
      <c r="F308" s="126"/>
      <c r="G308" s="126">
        <v>500000</v>
      </c>
      <c r="H308" s="40"/>
    </row>
    <row r="309" spans="1:8" ht="31.5">
      <c r="A309" s="113">
        <v>5</v>
      </c>
      <c r="B309" s="42" t="s">
        <v>5053</v>
      </c>
      <c r="E309" s="79" t="s">
        <v>4615</v>
      </c>
      <c r="F309" s="126"/>
      <c r="G309" s="126">
        <v>400000</v>
      </c>
      <c r="H309" s="40"/>
    </row>
    <row r="310" spans="1:8" ht="31.5">
      <c r="A310" s="113">
        <v>6</v>
      </c>
      <c r="B310" s="42" t="s">
        <v>5054</v>
      </c>
      <c r="E310" s="79" t="s">
        <v>4616</v>
      </c>
      <c r="F310" s="126"/>
      <c r="G310" s="126">
        <v>400000</v>
      </c>
      <c r="H310" s="40"/>
    </row>
    <row r="311" spans="1:8" ht="15.75">
      <c r="A311" s="113">
        <v>7</v>
      </c>
      <c r="B311" s="42" t="s">
        <v>5055</v>
      </c>
      <c r="E311" s="87" t="s">
        <v>4636</v>
      </c>
      <c r="F311" s="126"/>
      <c r="G311" s="126">
        <v>1500000</v>
      </c>
      <c r="H311" s="40"/>
    </row>
    <row r="312" spans="1:8" ht="15.75">
      <c r="A312" s="113">
        <v>8</v>
      </c>
      <c r="B312" s="42" t="s">
        <v>5056</v>
      </c>
      <c r="E312" s="87" t="s">
        <v>4637</v>
      </c>
      <c r="F312" s="126"/>
      <c r="G312" s="126">
        <v>20000000</v>
      </c>
      <c r="H312" s="40"/>
    </row>
    <row r="313" spans="1:8" ht="15.75">
      <c r="A313" s="113">
        <v>9</v>
      </c>
      <c r="B313" s="42" t="s">
        <v>1880</v>
      </c>
      <c r="E313" s="87" t="s">
        <v>5076</v>
      </c>
      <c r="F313" s="126"/>
      <c r="G313" s="126">
        <v>1000000</v>
      </c>
      <c r="H313" s="40"/>
    </row>
    <row r="314" spans="1:8" ht="15.75">
      <c r="A314" s="113">
        <v>10</v>
      </c>
      <c r="B314" s="42" t="s">
        <v>4639</v>
      </c>
      <c r="E314" s="87" t="s">
        <v>4640</v>
      </c>
      <c r="F314" s="126"/>
      <c r="G314" s="126">
        <v>1400000</v>
      </c>
      <c r="H314" s="40"/>
    </row>
    <row r="315" spans="1:8" ht="15.75">
      <c r="A315" s="113">
        <v>11</v>
      </c>
      <c r="B315" s="42" t="s">
        <v>4641</v>
      </c>
      <c r="E315" s="87" t="s">
        <v>4642</v>
      </c>
      <c r="F315" s="126"/>
      <c r="G315" s="126">
        <v>700000</v>
      </c>
    </row>
    <row r="316" spans="1:8" ht="15.75">
      <c r="A316" s="113">
        <v>12</v>
      </c>
      <c r="B316" s="42" t="s">
        <v>4643</v>
      </c>
      <c r="E316" s="87" t="s">
        <v>4644</v>
      </c>
      <c r="F316" s="126"/>
      <c r="G316" s="126">
        <v>6000000</v>
      </c>
    </row>
    <row r="317" spans="1:8" ht="15.75">
      <c r="A317" s="113">
        <v>13</v>
      </c>
      <c r="B317" s="42" t="s">
        <v>4645</v>
      </c>
      <c r="E317" s="87" t="s">
        <v>4646</v>
      </c>
      <c r="F317" s="126"/>
      <c r="G317" s="126">
        <v>700000</v>
      </c>
    </row>
    <row r="318" spans="1:8" ht="15.75">
      <c r="A318" s="113">
        <v>14</v>
      </c>
      <c r="B318" s="42" t="s">
        <v>4647</v>
      </c>
      <c r="E318" s="87" t="s">
        <v>4648</v>
      </c>
      <c r="F318" s="126"/>
      <c r="G318" s="126">
        <v>23000000</v>
      </c>
    </row>
    <row r="319" spans="1:8" ht="31.5">
      <c r="A319" s="113">
        <v>15</v>
      </c>
      <c r="B319" s="42" t="s">
        <v>5057</v>
      </c>
      <c r="E319" s="79" t="s">
        <v>4638</v>
      </c>
      <c r="F319" s="126"/>
      <c r="G319" s="126">
        <v>200000000</v>
      </c>
    </row>
    <row r="320" spans="1:8" ht="11.25" customHeight="1">
      <c r="A320" s="92"/>
      <c r="E320" s="92"/>
      <c r="F320" s="131"/>
      <c r="G320" s="131"/>
    </row>
    <row r="321" spans="1:7" ht="15.75" customHeight="1">
      <c r="A321" s="178"/>
      <c r="B321" s="162"/>
      <c r="C321" s="162"/>
      <c r="D321" s="179"/>
      <c r="E321" s="184" t="str">
        <f>""&amp;TEXT(A297,"0")&amp;" एकूण"</f>
        <v>यादी क्र. एमपी२ एकूण</v>
      </c>
      <c r="F321" s="181">
        <f t="shared" ref="F321:G321" si="6">SUM(F303:F320)</f>
        <v>570000000</v>
      </c>
      <c r="G321" s="181">
        <f t="shared" si="6"/>
        <v>558400000</v>
      </c>
    </row>
    <row r="322" spans="1:7" ht="11.25" customHeight="1">
      <c r="A322" s="92"/>
      <c r="E322" s="92"/>
      <c r="F322" s="131"/>
      <c r="G322" s="131"/>
    </row>
  </sheetData>
  <printOptions horizontalCentered="1" gridLines="1" gridLinesSet="0"/>
  <pageMargins left="0.5" right="0.5" top="0.7" bottom="1.5" header="0.5" footer="0.5"/>
  <pageSetup paperSize="5" firstPageNumber="144" orientation="portrait" blackAndWhite="1" useFirstPageNumber="1" r:id="rId1"/>
  <headerFooter alignWithMargins="0">
    <oddHeader xml:space="preserve">&amp;C &amp;P </oddHeader>
  </headerFooter>
  <rowBreaks count="4" manualBreakCount="4">
    <brk id="108" max="18" man="1"/>
    <brk id="151" max="18" man="1"/>
    <brk id="193" max="18" man="1"/>
    <brk id="293" max="18"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28">
    <tabColor rgb="FF0000FF"/>
    <pageSetUpPr autoPageBreaks="0"/>
  </sheetPr>
  <dimension ref="A1:H35"/>
  <sheetViews>
    <sheetView showZeros="0" zoomScaleNormal="100" zoomScaleSheetLayoutView="100" workbookViewId="0">
      <pane ySplit="1" topLeftCell="A2" activePane="bottomLeft" state="frozen"/>
      <selection pane="bottomLeft" activeCell="A2" sqref="A2"/>
    </sheetView>
  </sheetViews>
  <sheetFormatPr defaultColWidth="9.33203125" defaultRowHeight="15.75"/>
  <cols>
    <col min="1" max="3" width="3.83203125" style="1" customWidth="1"/>
    <col min="4" max="4" width="2.83203125" style="13" customWidth="1"/>
    <col min="5" max="5" width="11.83203125" style="1" customWidth="1"/>
    <col min="6" max="6" width="50.83203125" style="2" customWidth="1"/>
    <col min="7" max="8" width="16.83203125" style="10" customWidth="1"/>
  </cols>
  <sheetData>
    <row r="1" spans="1:8" ht="22.5">
      <c r="A1" s="1" t="s">
        <v>755</v>
      </c>
      <c r="B1" s="1" t="s">
        <v>755</v>
      </c>
      <c r="C1" s="1" t="s">
        <v>755</v>
      </c>
      <c r="D1" s="1" t="s">
        <v>755</v>
      </c>
      <c r="E1" s="1" t="s">
        <v>234</v>
      </c>
      <c r="F1" s="96" t="s">
        <v>4313</v>
      </c>
      <c r="G1" s="97" t="s">
        <v>5100</v>
      </c>
      <c r="H1" s="116" t="s">
        <v>8748</v>
      </c>
    </row>
    <row r="2" spans="1:8">
      <c r="F2" s="48"/>
      <c r="G2" s="132"/>
      <c r="H2" s="116">
        <v>0</v>
      </c>
    </row>
    <row r="3" spans="1:8">
      <c r="F3" s="48"/>
      <c r="G3" s="132"/>
      <c r="H3" s="116">
        <v>0</v>
      </c>
    </row>
    <row r="4" spans="1:8">
      <c r="A4" s="1">
        <v>6</v>
      </c>
      <c r="F4" s="48" t="s">
        <v>5101</v>
      </c>
      <c r="G4" s="132"/>
      <c r="H4" s="116">
        <v>0</v>
      </c>
    </row>
    <row r="5" spans="1:8" ht="31.5">
      <c r="B5" s="1">
        <v>1</v>
      </c>
      <c r="C5" s="8"/>
      <c r="D5" s="13" t="s">
        <v>863</v>
      </c>
      <c r="E5" s="1" t="s">
        <v>540</v>
      </c>
      <c r="F5" s="48" t="s">
        <v>5102</v>
      </c>
      <c r="G5" s="132">
        <v>1092520000</v>
      </c>
      <c r="H5" s="116">
        <v>65000000</v>
      </c>
    </row>
    <row r="6" spans="1:8" ht="31.5">
      <c r="B6" s="1">
        <v>3</v>
      </c>
      <c r="C6" s="8"/>
      <c r="D6" s="13" t="s">
        <v>863</v>
      </c>
      <c r="E6" s="1" t="s">
        <v>541</v>
      </c>
      <c r="F6" s="48" t="s">
        <v>5103</v>
      </c>
      <c r="G6" s="132">
        <v>630876000</v>
      </c>
      <c r="H6" s="116">
        <v>1500000</v>
      </c>
    </row>
    <row r="7" spans="1:8">
      <c r="B7" s="1">
        <v>8</v>
      </c>
      <c r="C7" s="8"/>
      <c r="E7" s="1" t="s">
        <v>920</v>
      </c>
      <c r="F7" s="48" t="s">
        <v>5104</v>
      </c>
      <c r="G7" s="132">
        <v>1404200000</v>
      </c>
      <c r="H7" s="116">
        <v>120000000</v>
      </c>
    </row>
    <row r="8" spans="1:8">
      <c r="F8" s="48"/>
      <c r="G8" s="132"/>
      <c r="H8" s="116">
        <v>0</v>
      </c>
    </row>
    <row r="9" spans="1:8">
      <c r="F9" s="98" t="s">
        <v>5093</v>
      </c>
      <c r="G9" s="133"/>
      <c r="H9" s="116">
        <v>186500000</v>
      </c>
    </row>
    <row r="10" spans="1:8">
      <c r="F10" s="48"/>
      <c r="G10" s="132"/>
      <c r="H10" s="116">
        <v>0</v>
      </c>
    </row>
    <row r="11" spans="1:8">
      <c r="F11" s="48"/>
      <c r="G11" s="132"/>
      <c r="H11" s="116">
        <v>0</v>
      </c>
    </row>
    <row r="12" spans="1:8" ht="31.5">
      <c r="A12" s="1">
        <v>14</v>
      </c>
      <c r="E12" s="12" t="s">
        <v>921</v>
      </c>
      <c r="F12" s="48" t="s">
        <v>4302</v>
      </c>
      <c r="G12" s="132">
        <v>5400000</v>
      </c>
      <c r="H12" s="116">
        <v>17500000</v>
      </c>
    </row>
    <row r="13" spans="1:8">
      <c r="F13" s="48"/>
      <c r="G13" s="132"/>
      <c r="H13" s="116">
        <v>0</v>
      </c>
    </row>
    <row r="14" spans="1:8" s="17" customFormat="1" ht="47.25">
      <c r="A14" s="18"/>
      <c r="B14" s="18"/>
      <c r="C14" s="18"/>
      <c r="D14" s="13"/>
      <c r="E14" s="21" t="s">
        <v>1602</v>
      </c>
      <c r="F14" s="48" t="s">
        <v>4303</v>
      </c>
      <c r="G14" s="132"/>
      <c r="H14" s="116">
        <v>100000000</v>
      </c>
    </row>
    <row r="15" spans="1:8" s="17" customFormat="1" ht="31.5">
      <c r="A15" s="18"/>
      <c r="B15" s="18"/>
      <c r="C15" s="18"/>
      <c r="D15" s="13"/>
      <c r="E15" s="21" t="s">
        <v>1603</v>
      </c>
      <c r="F15" s="48" t="s">
        <v>4304</v>
      </c>
      <c r="G15" s="132"/>
      <c r="H15" s="116">
        <v>1500000000</v>
      </c>
    </row>
    <row r="16" spans="1:8" s="17" customFormat="1">
      <c r="A16" s="18"/>
      <c r="B16" s="18"/>
      <c r="C16" s="18"/>
      <c r="D16" s="13"/>
      <c r="E16" s="21"/>
      <c r="F16" s="48"/>
      <c r="G16" s="132"/>
      <c r="H16" s="116">
        <v>0</v>
      </c>
    </row>
    <row r="17" spans="1:8" s="17" customFormat="1">
      <c r="A17" s="18">
        <v>17</v>
      </c>
      <c r="B17" s="18"/>
      <c r="C17" s="18"/>
      <c r="D17" s="13"/>
      <c r="E17" s="21" t="s">
        <v>5077</v>
      </c>
      <c r="F17" s="48" t="s">
        <v>4305</v>
      </c>
      <c r="G17" s="132"/>
      <c r="H17" s="116">
        <v>50000000</v>
      </c>
    </row>
    <row r="18" spans="1:8" s="17" customFormat="1" ht="31.5">
      <c r="A18" s="18"/>
      <c r="B18" s="18"/>
      <c r="C18" s="18"/>
      <c r="D18" s="13"/>
      <c r="E18" s="21" t="s">
        <v>5078</v>
      </c>
      <c r="F18" s="48" t="s">
        <v>4306</v>
      </c>
      <c r="G18" s="132"/>
      <c r="H18" s="116">
        <v>500000000</v>
      </c>
    </row>
    <row r="19" spans="1:8" s="17" customFormat="1">
      <c r="A19" s="18"/>
      <c r="B19" s="18"/>
      <c r="C19" s="18"/>
      <c r="D19" s="13"/>
      <c r="E19" s="21" t="s">
        <v>5079</v>
      </c>
      <c r="F19" s="48" t="s">
        <v>4307</v>
      </c>
      <c r="G19" s="132"/>
      <c r="H19" s="116">
        <v>50000000</v>
      </c>
    </row>
    <row r="20" spans="1:8">
      <c r="F20" s="48"/>
      <c r="G20" s="132"/>
      <c r="H20" s="116">
        <v>0</v>
      </c>
    </row>
    <row r="21" spans="1:8">
      <c r="A21" s="1" t="s">
        <v>755</v>
      </c>
      <c r="B21" s="1" t="s">
        <v>755</v>
      </c>
      <c r="C21" s="1" t="s">
        <v>755</v>
      </c>
      <c r="D21" s="1" t="s">
        <v>755</v>
      </c>
      <c r="E21" s="1" t="s">
        <v>755</v>
      </c>
      <c r="F21" s="98" t="s">
        <v>13074</v>
      </c>
      <c r="G21" s="133"/>
      <c r="H21" s="116">
        <v>2404000000</v>
      </c>
    </row>
    <row r="22" spans="1:8">
      <c r="F22" s="48"/>
      <c r="G22" s="132"/>
      <c r="H22" s="116">
        <v>0</v>
      </c>
    </row>
    <row r="23" spans="1:8" ht="31.5">
      <c r="F23" s="48" t="s">
        <v>12634</v>
      </c>
      <c r="G23" s="132"/>
      <c r="H23" s="116">
        <v>0</v>
      </c>
    </row>
    <row r="24" spans="1:8" ht="31.5">
      <c r="F24" s="48" t="s">
        <v>12635</v>
      </c>
      <c r="G24" s="132"/>
      <c r="H24" s="116">
        <v>0</v>
      </c>
    </row>
    <row r="25" spans="1:8">
      <c r="F25" s="48" t="s">
        <v>61</v>
      </c>
      <c r="G25" s="132"/>
      <c r="H25" s="116">
        <v>0</v>
      </c>
    </row>
    <row r="26" spans="1:8">
      <c r="F26" s="48"/>
      <c r="G26" s="132"/>
      <c r="H26" s="116">
        <v>0</v>
      </c>
    </row>
    <row r="27" spans="1:8">
      <c r="A27" s="1" t="s">
        <v>755</v>
      </c>
      <c r="B27" s="1" t="s">
        <v>755</v>
      </c>
      <c r="C27" s="1" t="s">
        <v>755</v>
      </c>
      <c r="D27" s="1" t="s">
        <v>755</v>
      </c>
      <c r="E27" s="1" t="s">
        <v>755</v>
      </c>
      <c r="F27" s="98" t="s">
        <v>4314</v>
      </c>
      <c r="G27" s="133"/>
      <c r="H27" s="116">
        <v>2404000000</v>
      </c>
    </row>
    <row r="28" spans="1:8">
      <c r="F28" s="48"/>
      <c r="G28" s="132"/>
      <c r="H28" s="116"/>
    </row>
    <row r="29" spans="1:8" ht="99">
      <c r="F29" s="95" t="s">
        <v>12633</v>
      </c>
      <c r="G29" s="132"/>
      <c r="H29" s="116"/>
    </row>
    <row r="30" spans="1:8">
      <c r="F30" s="48"/>
      <c r="G30" s="132"/>
      <c r="H30" s="132"/>
    </row>
    <row r="31" spans="1:8">
      <c r="G31" s="132"/>
      <c r="H31" s="132"/>
    </row>
    <row r="32" spans="1:8">
      <c r="G32" s="132"/>
      <c r="H32" s="132"/>
    </row>
    <row r="33" spans="7:8">
      <c r="G33" s="132"/>
      <c r="H33" s="132"/>
    </row>
    <row r="34" spans="7:8">
      <c r="G34" s="132"/>
      <c r="H34" s="132"/>
    </row>
    <row r="35" spans="7:8">
      <c r="G35" s="132"/>
      <c r="H35" s="132"/>
    </row>
  </sheetData>
  <phoneticPr fontId="8" type="noConversion"/>
  <printOptions horizontalCentered="1" gridLines="1" gridLinesSet="0"/>
  <pageMargins left="0.5" right="0.5" top="0.7" bottom="1.5" header="0.5" footer="0.5"/>
  <pageSetup paperSize="5" orientation="portrait" blackAndWhite="1" r:id="rId1"/>
  <headerFooter alignWithMargins="0">
    <oddHeader>&amp;C&amp;"Arial,Bold"&amp;A  •    &amp;P / &amp;N</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29">
    <tabColor rgb="FF0000FF"/>
    <pageSetUpPr autoPageBreaks="0"/>
  </sheetPr>
  <dimension ref="A1:J38"/>
  <sheetViews>
    <sheetView showZeros="0" zoomScaleNormal="100" workbookViewId="0">
      <pane ySplit="1" topLeftCell="A2" activePane="bottomLeft" state="frozen"/>
      <selection activeCell="E79" sqref="E79"/>
      <selection pane="bottomLeft" activeCell="A2" sqref="A2"/>
    </sheetView>
  </sheetViews>
  <sheetFormatPr defaultColWidth="9.33203125" defaultRowHeight="11.25"/>
  <cols>
    <col min="1" max="2" width="2.83203125" style="1" customWidth="1"/>
    <col min="3" max="3" width="15.1640625" style="1" bestFit="1" customWidth="1"/>
    <col min="4" max="4" width="4.83203125" style="6" customWidth="1"/>
    <col min="5" max="5" width="60.83203125" customWidth="1"/>
    <col min="6" max="6" width="18.83203125" customWidth="1"/>
    <col min="7" max="7" width="15.83203125" customWidth="1"/>
  </cols>
  <sheetData>
    <row r="1" spans="1:10" ht="15.75">
      <c r="F1" s="2" t="s">
        <v>1077</v>
      </c>
      <c r="G1" s="116" t="s">
        <v>5409</v>
      </c>
    </row>
    <row r="2" spans="1:10" ht="15.75">
      <c r="E2" s="54" t="s">
        <v>5358</v>
      </c>
      <c r="F2" s="114"/>
      <c r="G2" s="116">
        <v>0</v>
      </c>
      <c r="H2" s="7"/>
      <c r="I2" s="7"/>
      <c r="J2" s="7"/>
    </row>
    <row r="3" spans="1:10" ht="15.75">
      <c r="E3" s="48"/>
      <c r="F3" s="114"/>
      <c r="G3" s="116">
        <v>0</v>
      </c>
      <c r="H3" s="7"/>
      <c r="I3" s="7"/>
      <c r="J3" s="7"/>
    </row>
    <row r="4" spans="1:10" ht="15.75">
      <c r="A4" s="1">
        <v>10</v>
      </c>
      <c r="C4" s="1" t="s">
        <v>1052</v>
      </c>
      <c r="E4" s="48" t="s">
        <v>5081</v>
      </c>
      <c r="F4" s="114">
        <v>350000000</v>
      </c>
      <c r="G4" s="116">
        <v>20000000</v>
      </c>
      <c r="H4" s="7"/>
      <c r="I4" s="7"/>
      <c r="J4" s="7"/>
    </row>
    <row r="5" spans="1:10" ht="15.75">
      <c r="E5" s="48"/>
      <c r="F5" s="114"/>
      <c r="G5" s="116">
        <v>0</v>
      </c>
      <c r="H5" s="7"/>
      <c r="I5" s="7"/>
      <c r="J5" s="7"/>
    </row>
    <row r="6" spans="1:10" ht="15.75">
      <c r="A6" s="1">
        <v>13</v>
      </c>
      <c r="C6" s="1" t="s">
        <v>1383</v>
      </c>
      <c r="E6" s="48" t="s">
        <v>10463</v>
      </c>
      <c r="F6" s="114"/>
      <c r="G6" s="116">
        <v>0</v>
      </c>
      <c r="H6" s="7"/>
      <c r="I6" s="7"/>
      <c r="J6" s="7"/>
    </row>
    <row r="7" spans="1:10" ht="31.5">
      <c r="C7" s="1" t="s">
        <v>1358</v>
      </c>
      <c r="D7" s="6">
        <v>35</v>
      </c>
      <c r="E7" s="48" t="s">
        <v>10464</v>
      </c>
      <c r="F7" s="114">
        <v>20000000</v>
      </c>
      <c r="G7" s="116">
        <v>10000000</v>
      </c>
      <c r="H7" s="7"/>
      <c r="I7" s="7"/>
      <c r="J7" s="7"/>
    </row>
    <row r="8" spans="1:10" ht="15.75">
      <c r="C8" s="1" t="s">
        <v>1359</v>
      </c>
      <c r="D8" s="6">
        <v>36</v>
      </c>
      <c r="E8" s="48" t="s">
        <v>5082</v>
      </c>
      <c r="F8" s="114">
        <v>1600000000</v>
      </c>
      <c r="G8" s="116">
        <v>20000000</v>
      </c>
      <c r="H8" s="7"/>
      <c r="I8" s="7"/>
      <c r="J8" s="7"/>
    </row>
    <row r="9" spans="1:10" ht="15.75">
      <c r="C9" s="1" t="s">
        <v>1464</v>
      </c>
      <c r="D9" s="6">
        <v>42</v>
      </c>
      <c r="E9" s="48" t="s">
        <v>5083</v>
      </c>
      <c r="F9" s="114">
        <v>280000000</v>
      </c>
      <c r="G9" s="116">
        <v>20000000</v>
      </c>
      <c r="H9" s="7"/>
      <c r="I9" s="7"/>
      <c r="J9" s="7"/>
    </row>
    <row r="10" spans="1:10" s="17" customFormat="1" ht="15.75">
      <c r="A10" s="18"/>
      <c r="B10" s="18"/>
      <c r="C10" s="18" t="s">
        <v>1604</v>
      </c>
      <c r="D10" s="6">
        <v>43</v>
      </c>
      <c r="E10" s="48" t="s">
        <v>5084</v>
      </c>
      <c r="F10" s="114">
        <v>250000000</v>
      </c>
      <c r="G10" s="116">
        <v>5000000</v>
      </c>
      <c r="H10" s="7"/>
      <c r="I10" s="7"/>
      <c r="J10" s="7"/>
    </row>
    <row r="11" spans="1:10" s="17" customFormat="1" ht="15.75">
      <c r="A11" s="18"/>
      <c r="B11" s="18"/>
      <c r="C11" s="18" t="s">
        <v>1605</v>
      </c>
      <c r="D11" s="6">
        <v>44</v>
      </c>
      <c r="E11" s="48" t="s">
        <v>5085</v>
      </c>
      <c r="F11" s="114">
        <v>15000000</v>
      </c>
      <c r="G11" s="116">
        <v>15000000</v>
      </c>
      <c r="H11" s="7"/>
      <c r="I11" s="7"/>
      <c r="J11" s="7"/>
    </row>
    <row r="12" spans="1:10" s="17" customFormat="1" ht="31.5">
      <c r="A12" s="18"/>
      <c r="B12" s="18"/>
      <c r="C12" s="18" t="s">
        <v>1606</v>
      </c>
      <c r="D12" s="6">
        <v>45</v>
      </c>
      <c r="E12" s="48" t="s">
        <v>5086</v>
      </c>
      <c r="F12" s="114">
        <v>43000000</v>
      </c>
      <c r="G12" s="116">
        <v>14000000</v>
      </c>
      <c r="H12" s="7"/>
      <c r="I12" s="7"/>
      <c r="J12" s="7"/>
    </row>
    <row r="13" spans="1:10" ht="12">
      <c r="E13" s="49"/>
      <c r="F13" s="7"/>
      <c r="G13" s="116">
        <v>0</v>
      </c>
      <c r="H13" s="7"/>
      <c r="I13" s="7"/>
      <c r="J13" s="7"/>
    </row>
    <row r="14" spans="1:10" ht="31.5">
      <c r="A14" s="1">
        <v>14</v>
      </c>
      <c r="E14" s="48" t="s">
        <v>10465</v>
      </c>
      <c r="F14" s="114"/>
      <c r="G14" s="116">
        <v>0</v>
      </c>
      <c r="H14" s="7"/>
      <c r="I14" s="7"/>
      <c r="J14" s="7"/>
    </row>
    <row r="15" spans="1:10" ht="15.75">
      <c r="C15" s="1" t="s">
        <v>1360</v>
      </c>
      <c r="D15" s="6">
        <v>1</v>
      </c>
      <c r="E15" s="48" t="s">
        <v>5087</v>
      </c>
      <c r="F15" s="114">
        <v>150000000</v>
      </c>
      <c r="G15" s="116">
        <v>100000000</v>
      </c>
      <c r="H15" s="7"/>
      <c r="I15" s="7"/>
      <c r="J15" s="7"/>
    </row>
    <row r="16" spans="1:10" ht="15.75">
      <c r="C16" s="1" t="s">
        <v>1361</v>
      </c>
      <c r="D16" s="6">
        <v>5</v>
      </c>
      <c r="E16" s="48" t="s">
        <v>5359</v>
      </c>
      <c r="F16" s="114">
        <v>210000000</v>
      </c>
      <c r="G16" s="116">
        <v>80000000</v>
      </c>
      <c r="H16" s="7"/>
      <c r="I16" s="7"/>
      <c r="J16" s="7"/>
    </row>
    <row r="17" spans="1:10" s="17" customFormat="1" ht="15.75">
      <c r="A17" s="18"/>
      <c r="B17" s="18"/>
      <c r="C17" s="18" t="s">
        <v>12636</v>
      </c>
      <c r="D17" s="6"/>
      <c r="E17" s="48" t="s">
        <v>10396</v>
      </c>
      <c r="F17" s="114">
        <v>450000000</v>
      </c>
      <c r="G17" s="116">
        <v>100000000</v>
      </c>
      <c r="H17" s="7"/>
      <c r="I17" s="7"/>
      <c r="J17" s="7"/>
    </row>
    <row r="18" spans="1:10" s="17" customFormat="1" ht="15.75">
      <c r="A18" s="18"/>
      <c r="B18" s="18"/>
      <c r="C18" s="18" t="s">
        <v>12637</v>
      </c>
      <c r="D18" s="6"/>
      <c r="E18" s="48" t="s">
        <v>10397</v>
      </c>
      <c r="F18" s="114">
        <v>360000000</v>
      </c>
      <c r="G18" s="116">
        <v>100000000</v>
      </c>
      <c r="H18" s="7"/>
      <c r="I18" s="7"/>
      <c r="J18" s="7"/>
    </row>
    <row r="19" spans="1:10" s="17" customFormat="1" ht="15.75">
      <c r="A19" s="18"/>
      <c r="B19" s="18"/>
      <c r="C19" s="18" t="s">
        <v>12638</v>
      </c>
      <c r="D19" s="6"/>
      <c r="E19" s="48" t="s">
        <v>10398</v>
      </c>
      <c r="F19" s="114">
        <v>100000000</v>
      </c>
      <c r="G19" s="116">
        <v>50000000</v>
      </c>
      <c r="H19" s="7"/>
      <c r="I19" s="7"/>
      <c r="J19" s="7"/>
    </row>
    <row r="20" spans="1:10" s="17" customFormat="1" ht="63">
      <c r="A20" s="18"/>
      <c r="B20" s="18"/>
      <c r="C20" s="18" t="s">
        <v>12639</v>
      </c>
      <c r="D20" s="6"/>
      <c r="E20" s="48" t="s">
        <v>13046</v>
      </c>
      <c r="F20" s="114"/>
      <c r="G20" s="116">
        <v>50000000</v>
      </c>
      <c r="H20" s="7"/>
      <c r="I20" s="7"/>
      <c r="J20" s="7"/>
    </row>
    <row r="21" spans="1:10" s="17" customFormat="1" ht="15.75">
      <c r="A21" s="18"/>
      <c r="B21" s="18"/>
      <c r="C21" s="18" t="s">
        <v>13050</v>
      </c>
      <c r="D21" s="6"/>
      <c r="E21" s="48" t="s">
        <v>13051</v>
      </c>
      <c r="F21" s="114"/>
      <c r="G21" s="116">
        <v>150000000</v>
      </c>
      <c r="H21" s="7"/>
      <c r="I21" s="7"/>
      <c r="J21" s="7"/>
    </row>
    <row r="22" spans="1:10" s="17" customFormat="1" ht="15.75">
      <c r="A22" s="18"/>
      <c r="B22" s="18"/>
      <c r="C22" s="18"/>
      <c r="D22" s="6"/>
      <c r="E22" s="48"/>
      <c r="F22" s="114"/>
      <c r="G22" s="116">
        <v>0</v>
      </c>
      <c r="H22" s="7"/>
      <c r="I22" s="7"/>
      <c r="J22" s="7"/>
    </row>
    <row r="23" spans="1:10" ht="15.75">
      <c r="E23" s="48"/>
      <c r="F23" s="114"/>
      <c r="G23" s="116">
        <v>0</v>
      </c>
      <c r="H23" s="7"/>
      <c r="I23" s="7"/>
      <c r="J23" s="7"/>
    </row>
    <row r="24" spans="1:10" ht="16.5">
      <c r="A24" s="1">
        <v>15</v>
      </c>
      <c r="E24" s="134" t="s">
        <v>1269</v>
      </c>
      <c r="F24" s="114"/>
      <c r="G24" s="116">
        <v>0</v>
      </c>
      <c r="H24" s="7"/>
      <c r="I24" s="7"/>
      <c r="J24" s="7"/>
    </row>
    <row r="25" spans="1:10" ht="15.75">
      <c r="C25" s="1" t="s">
        <v>13095</v>
      </c>
      <c r="D25" s="6">
        <v>5</v>
      </c>
      <c r="E25" s="48" t="s">
        <v>13096</v>
      </c>
      <c r="F25" s="114">
        <v>800000000</v>
      </c>
      <c r="G25" s="116">
        <v>50000000</v>
      </c>
      <c r="H25" s="7"/>
      <c r="I25" s="7"/>
      <c r="J25" s="7"/>
    </row>
    <row r="26" spans="1:10" s="17" customFormat="1" ht="15.75">
      <c r="A26" s="18"/>
      <c r="B26" s="18"/>
      <c r="C26" s="18" t="s">
        <v>1362</v>
      </c>
      <c r="D26" s="6">
        <v>12</v>
      </c>
      <c r="E26" s="48" t="s">
        <v>5088</v>
      </c>
      <c r="F26" s="114">
        <v>450000000</v>
      </c>
      <c r="G26" s="116">
        <v>60000000</v>
      </c>
      <c r="H26" s="7"/>
      <c r="I26" s="7"/>
      <c r="J26" s="7"/>
    </row>
    <row r="27" spans="1:10" s="17" customFormat="1" ht="15.75">
      <c r="A27" s="18"/>
      <c r="B27" s="18"/>
      <c r="C27" s="18" t="s">
        <v>1881</v>
      </c>
      <c r="D27" s="6">
        <v>15</v>
      </c>
      <c r="E27" s="48" t="s">
        <v>5089</v>
      </c>
      <c r="F27" s="114">
        <v>40000000</v>
      </c>
      <c r="G27" s="116">
        <v>35000000</v>
      </c>
      <c r="H27" s="7"/>
      <c r="I27" s="7"/>
      <c r="J27" s="7"/>
    </row>
    <row r="28" spans="1:10" s="17" customFormat="1" ht="15.75">
      <c r="A28" s="18"/>
      <c r="B28" s="18"/>
      <c r="C28" s="18" t="s">
        <v>1882</v>
      </c>
      <c r="D28" s="6">
        <v>16</v>
      </c>
      <c r="E28" s="48" t="s">
        <v>5090</v>
      </c>
      <c r="F28" s="114">
        <v>10000000</v>
      </c>
      <c r="G28" s="116">
        <v>50000000</v>
      </c>
      <c r="H28" s="7"/>
      <c r="I28" s="7"/>
      <c r="J28" s="7"/>
    </row>
    <row r="29" spans="1:10" ht="15.75">
      <c r="E29" s="48"/>
      <c r="F29" s="114"/>
      <c r="G29" s="116">
        <v>0</v>
      </c>
      <c r="H29" s="7"/>
      <c r="I29" s="7"/>
      <c r="J29" s="7"/>
    </row>
    <row r="30" spans="1:10" ht="15.75">
      <c r="A30" s="1">
        <v>16</v>
      </c>
      <c r="C30" s="1" t="s">
        <v>1278</v>
      </c>
      <c r="E30" s="48" t="s">
        <v>5080</v>
      </c>
      <c r="F30" s="114">
        <v>73000000000</v>
      </c>
      <c r="G30" s="116">
        <v>500000000</v>
      </c>
      <c r="H30" s="7"/>
      <c r="I30" s="7"/>
      <c r="J30" s="7"/>
    </row>
    <row r="31" spans="1:10" ht="15.75">
      <c r="A31" s="18">
        <v>21</v>
      </c>
      <c r="C31" s="18" t="s">
        <v>1465</v>
      </c>
      <c r="E31" s="48" t="s">
        <v>5091</v>
      </c>
      <c r="F31" s="114">
        <v>1500000000</v>
      </c>
      <c r="G31" s="116">
        <v>20000000</v>
      </c>
      <c r="H31" s="7"/>
      <c r="I31" s="7"/>
      <c r="J31" s="7"/>
    </row>
    <row r="32" spans="1:10" ht="31.5">
      <c r="A32" s="18">
        <v>25</v>
      </c>
      <c r="C32" s="18" t="s">
        <v>1466</v>
      </c>
      <c r="E32" s="48" t="s">
        <v>5092</v>
      </c>
      <c r="F32" s="114">
        <v>250000000</v>
      </c>
      <c r="G32" s="116">
        <v>50000000</v>
      </c>
      <c r="H32" s="7"/>
      <c r="I32" s="7"/>
      <c r="J32" s="7"/>
    </row>
    <row r="33" spans="5:10" ht="15.75">
      <c r="E33" s="48"/>
      <c r="F33" s="114"/>
      <c r="G33" s="116">
        <v>0</v>
      </c>
      <c r="H33" s="7"/>
      <c r="I33" s="7"/>
      <c r="J33" s="7"/>
    </row>
    <row r="34" spans="5:10" ht="15.75">
      <c r="E34" s="94" t="s">
        <v>3674</v>
      </c>
      <c r="F34" s="115"/>
      <c r="G34" s="116">
        <v>1499000000</v>
      </c>
      <c r="H34" s="7"/>
      <c r="I34" s="7"/>
      <c r="J34" s="7"/>
    </row>
    <row r="35" spans="5:10" ht="15.75">
      <c r="E35" s="48"/>
      <c r="F35" s="116"/>
      <c r="G35" s="116"/>
      <c r="H35" s="7"/>
      <c r="I35" s="7"/>
      <c r="J35" s="7"/>
    </row>
    <row r="36" spans="5:10" ht="47.25">
      <c r="E36" s="48" t="s">
        <v>10490</v>
      </c>
      <c r="F36" s="116"/>
      <c r="G36" s="116"/>
      <c r="H36" s="7"/>
      <c r="I36" s="7"/>
      <c r="J36" s="7"/>
    </row>
    <row r="37" spans="5:10">
      <c r="F37" s="114"/>
      <c r="G37" s="114"/>
      <c r="H37" s="7"/>
      <c r="I37" s="7"/>
      <c r="J37" s="7"/>
    </row>
    <row r="38" spans="5:10">
      <c r="F38" s="7"/>
      <c r="G38" s="7"/>
      <c r="H38" s="7"/>
      <c r="I38" s="7"/>
      <c r="J38" s="7"/>
    </row>
  </sheetData>
  <phoneticPr fontId="8" type="noConversion"/>
  <printOptions horizontalCentered="1" gridLines="1" gridLinesSet="0"/>
  <pageMargins left="0.5" right="0.5" top="1" bottom="1" header="0.5" footer="0.5"/>
  <pageSetup paperSize="5" orientation="portrait" blackAndWhite="1" r:id="rId1"/>
  <headerFooter alignWithMargins="0">
    <oddHeader>&amp;C&amp;"Shree-Dev-0709,Regular"&amp;10gmd©O{ZH$ dmhVyH$ gwYmaUm d {deof àH$ën&amp;"Arial,Bold"&amp;9  •      &amp;P / &amp;N</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75">
    <tabColor rgb="FFFF0000"/>
  </sheetPr>
  <dimension ref="A1:K25"/>
  <sheetViews>
    <sheetView showZeros="0" workbookViewId="0">
      <pane ySplit="1" topLeftCell="A2" activePane="bottomLeft" state="frozen"/>
      <selection activeCell="A2" sqref="A2"/>
      <selection pane="bottomLeft" activeCell="A2" sqref="A2"/>
    </sheetView>
  </sheetViews>
  <sheetFormatPr defaultColWidth="9.1640625" defaultRowHeight="15.75"/>
  <cols>
    <col min="1" max="1" width="20.83203125" style="18" customWidth="1"/>
    <col min="2" max="2" width="6.83203125" style="6" customWidth="1"/>
    <col min="3" max="3" width="7.83203125" style="19" customWidth="1"/>
    <col min="4" max="4" width="78.83203125" style="48" customWidth="1"/>
    <col min="5" max="11" width="10.83203125" style="19" customWidth="1"/>
    <col min="12" max="16384" width="9.1640625" style="22"/>
  </cols>
  <sheetData>
    <row r="1" spans="1:11">
      <c r="A1" s="6" t="s">
        <v>234</v>
      </c>
      <c r="B1" s="6" t="s">
        <v>506</v>
      </c>
      <c r="C1" s="6" t="s">
        <v>281</v>
      </c>
      <c r="D1" s="54" t="s">
        <v>12614</v>
      </c>
      <c r="E1" s="54" t="s">
        <v>4251</v>
      </c>
      <c r="F1" s="54" t="s">
        <v>4252</v>
      </c>
      <c r="G1" s="54" t="s">
        <v>4253</v>
      </c>
      <c r="H1" s="54" t="s">
        <v>4254</v>
      </c>
      <c r="I1" s="54" t="s">
        <v>4255</v>
      </c>
      <c r="J1" s="55" t="s">
        <v>4256</v>
      </c>
      <c r="K1" s="54" t="s">
        <v>3668</v>
      </c>
    </row>
    <row r="2" spans="1:11">
      <c r="C2" s="18"/>
      <c r="E2" s="48"/>
      <c r="F2" s="48"/>
      <c r="G2" s="48"/>
      <c r="H2" s="48"/>
      <c r="I2" s="48"/>
      <c r="J2" s="48"/>
      <c r="K2" s="48"/>
    </row>
    <row r="3" spans="1:11">
      <c r="C3" s="18"/>
      <c r="E3" s="48"/>
      <c r="F3" s="48"/>
      <c r="G3" s="48"/>
      <c r="H3" s="48"/>
      <c r="I3" s="48"/>
      <c r="J3" s="48"/>
      <c r="K3" s="48"/>
    </row>
    <row r="4" spans="1:11">
      <c r="C4" s="18"/>
      <c r="D4" s="48" t="s">
        <v>4257</v>
      </c>
      <c r="E4" s="56">
        <v>2</v>
      </c>
      <c r="F4" s="57">
        <v>1</v>
      </c>
      <c r="G4" s="56">
        <v>4</v>
      </c>
      <c r="H4" s="57">
        <v>5</v>
      </c>
      <c r="I4" s="56">
        <v>6</v>
      </c>
      <c r="J4" s="57">
        <v>7</v>
      </c>
      <c r="K4" s="56" t="s">
        <v>146</v>
      </c>
    </row>
    <row r="5" spans="1:11">
      <c r="C5" s="18"/>
      <c r="E5" s="48"/>
      <c r="F5" s="48"/>
      <c r="G5" s="48"/>
      <c r="H5" s="48"/>
      <c r="I5" s="48"/>
      <c r="J5" s="48"/>
      <c r="K5" s="48"/>
    </row>
    <row r="6" spans="1:11">
      <c r="A6" s="58" t="s">
        <v>234</v>
      </c>
      <c r="B6" s="58" t="s">
        <v>4258</v>
      </c>
      <c r="C6" s="20" t="s">
        <v>4259</v>
      </c>
      <c r="D6" s="59" t="s">
        <v>12614</v>
      </c>
      <c r="E6" s="56">
        <v>2</v>
      </c>
      <c r="F6" s="57">
        <v>1</v>
      </c>
      <c r="G6" s="56">
        <v>4</v>
      </c>
      <c r="H6" s="57">
        <v>5</v>
      </c>
      <c r="I6" s="56">
        <v>6</v>
      </c>
      <c r="J6" s="57">
        <v>7</v>
      </c>
      <c r="K6" s="56" t="s">
        <v>146</v>
      </c>
    </row>
    <row r="7" spans="1:11">
      <c r="C7" s="18"/>
      <c r="E7" s="138"/>
      <c r="F7" s="138"/>
      <c r="G7" s="138"/>
      <c r="H7" s="138"/>
      <c r="I7" s="138"/>
      <c r="J7" s="138"/>
      <c r="K7" s="138"/>
    </row>
    <row r="8" spans="1:11">
      <c r="B8" s="14">
        <v>1</v>
      </c>
      <c r="C8" s="14">
        <v>5</v>
      </c>
      <c r="D8" s="60" t="s">
        <v>13075</v>
      </c>
      <c r="E8" s="139">
        <v>306.8</v>
      </c>
      <c r="F8" s="139">
        <v>112</v>
      </c>
      <c r="G8" s="139">
        <v>129.19999999999999</v>
      </c>
      <c r="H8" s="139">
        <v>83.6</v>
      </c>
      <c r="I8" s="139">
        <v>18</v>
      </c>
      <c r="J8" s="139">
        <v>200.4</v>
      </c>
      <c r="K8" s="140">
        <v>850</v>
      </c>
    </row>
    <row r="9" spans="1:11">
      <c r="B9" s="14">
        <v>2</v>
      </c>
      <c r="C9" s="14">
        <v>5</v>
      </c>
      <c r="D9" s="60" t="s">
        <v>13076</v>
      </c>
      <c r="E9" s="139">
        <v>269.39999999999998</v>
      </c>
      <c r="F9" s="139">
        <v>127</v>
      </c>
      <c r="G9" s="139">
        <v>106.8</v>
      </c>
      <c r="H9" s="139">
        <v>77.599999999999994</v>
      </c>
      <c r="I9" s="139">
        <v>0</v>
      </c>
      <c r="J9" s="139">
        <v>269</v>
      </c>
      <c r="K9" s="140">
        <v>849.8</v>
      </c>
    </row>
    <row r="10" spans="1:11">
      <c r="B10" s="14">
        <v>3</v>
      </c>
      <c r="C10" s="14">
        <v>6</v>
      </c>
      <c r="D10" s="60" t="s">
        <v>13077</v>
      </c>
      <c r="E10" s="139">
        <v>310</v>
      </c>
      <c r="F10" s="139">
        <v>133</v>
      </c>
      <c r="G10" s="139">
        <v>127</v>
      </c>
      <c r="H10" s="139">
        <v>210</v>
      </c>
      <c r="I10" s="139">
        <v>0</v>
      </c>
      <c r="J10" s="139">
        <v>240</v>
      </c>
      <c r="K10" s="140">
        <v>1020</v>
      </c>
    </row>
    <row r="11" spans="1:11">
      <c r="B11" s="14">
        <v>4</v>
      </c>
      <c r="C11" s="14">
        <v>5</v>
      </c>
      <c r="D11" s="60" t="s">
        <v>13078</v>
      </c>
      <c r="E11" s="139">
        <v>317</v>
      </c>
      <c r="F11" s="139">
        <v>176</v>
      </c>
      <c r="G11" s="139">
        <v>49</v>
      </c>
      <c r="H11" s="139">
        <v>30.8</v>
      </c>
      <c r="I11" s="139">
        <v>0</v>
      </c>
      <c r="J11" s="139">
        <v>277.2</v>
      </c>
      <c r="K11" s="140">
        <v>850</v>
      </c>
    </row>
    <row r="12" spans="1:11">
      <c r="B12" s="14">
        <v>5</v>
      </c>
      <c r="C12" s="14">
        <v>5</v>
      </c>
      <c r="D12" s="60" t="s">
        <v>13079</v>
      </c>
      <c r="E12" s="139">
        <v>208.1</v>
      </c>
      <c r="F12" s="139">
        <v>87.4</v>
      </c>
      <c r="G12" s="139">
        <v>208.05</v>
      </c>
      <c r="H12" s="139">
        <v>151.25</v>
      </c>
      <c r="I12" s="139">
        <v>9</v>
      </c>
      <c r="J12" s="139">
        <v>186.20000000000002</v>
      </c>
      <c r="K12" s="140">
        <v>850</v>
      </c>
    </row>
    <row r="13" spans="1:11">
      <c r="B13" s="14">
        <v>6</v>
      </c>
      <c r="C13" s="14">
        <v>6</v>
      </c>
      <c r="D13" s="60" t="s">
        <v>13080</v>
      </c>
      <c r="E13" s="139">
        <v>416.2</v>
      </c>
      <c r="F13" s="139">
        <v>73</v>
      </c>
      <c r="G13" s="139">
        <v>107</v>
      </c>
      <c r="H13" s="139">
        <v>64.400000000000006</v>
      </c>
      <c r="I13" s="139">
        <v>20</v>
      </c>
      <c r="J13" s="139">
        <v>339.4</v>
      </c>
      <c r="K13" s="140">
        <v>1020</v>
      </c>
    </row>
    <row r="14" spans="1:11">
      <c r="B14" s="14">
        <v>7</v>
      </c>
      <c r="C14" s="14">
        <v>5</v>
      </c>
      <c r="D14" s="60" t="s">
        <v>13081</v>
      </c>
      <c r="E14" s="139">
        <v>324.2</v>
      </c>
      <c r="F14" s="139">
        <v>123</v>
      </c>
      <c r="G14" s="139">
        <v>102</v>
      </c>
      <c r="H14" s="139">
        <v>71.599999999999994</v>
      </c>
      <c r="I14" s="139">
        <v>0</v>
      </c>
      <c r="J14" s="139">
        <v>212</v>
      </c>
      <c r="K14" s="140">
        <v>832.80000000000007</v>
      </c>
    </row>
    <row r="15" spans="1:11">
      <c r="B15" s="14">
        <v>8</v>
      </c>
      <c r="C15" s="14">
        <v>6</v>
      </c>
      <c r="D15" s="60" t="s">
        <v>13082</v>
      </c>
      <c r="E15" s="139">
        <v>345</v>
      </c>
      <c r="F15" s="139">
        <v>115</v>
      </c>
      <c r="G15" s="139">
        <v>100</v>
      </c>
      <c r="H15" s="139">
        <v>144</v>
      </c>
      <c r="I15" s="139">
        <v>31</v>
      </c>
      <c r="J15" s="139">
        <v>285</v>
      </c>
      <c r="K15" s="140">
        <v>1020</v>
      </c>
    </row>
    <row r="16" spans="1:11">
      <c r="B16" s="14">
        <v>9</v>
      </c>
      <c r="C16" s="14">
        <v>6</v>
      </c>
      <c r="D16" s="60" t="s">
        <v>13083</v>
      </c>
      <c r="E16" s="139">
        <v>543</v>
      </c>
      <c r="F16" s="139">
        <v>45</v>
      </c>
      <c r="G16" s="139">
        <v>142</v>
      </c>
      <c r="H16" s="139">
        <v>24</v>
      </c>
      <c r="I16" s="139">
        <v>15</v>
      </c>
      <c r="J16" s="139">
        <v>251</v>
      </c>
      <c r="K16" s="140">
        <v>1020</v>
      </c>
    </row>
    <row r="17" spans="2:11">
      <c r="B17" s="14">
        <v>10</v>
      </c>
      <c r="C17" s="14">
        <v>5</v>
      </c>
      <c r="D17" s="60" t="s">
        <v>13084</v>
      </c>
      <c r="E17" s="139">
        <v>288</v>
      </c>
      <c r="F17" s="139">
        <v>142.6</v>
      </c>
      <c r="G17" s="139">
        <v>144.4</v>
      </c>
      <c r="H17" s="139">
        <v>109</v>
      </c>
      <c r="I17" s="139">
        <v>20</v>
      </c>
      <c r="J17" s="139">
        <v>146</v>
      </c>
      <c r="K17" s="140">
        <v>850</v>
      </c>
    </row>
    <row r="18" spans="2:11">
      <c r="B18" s="14">
        <v>11</v>
      </c>
      <c r="C18" s="14">
        <v>4</v>
      </c>
      <c r="D18" s="60" t="s">
        <v>13085</v>
      </c>
      <c r="E18" s="139">
        <v>171.5</v>
      </c>
      <c r="F18" s="139">
        <v>56</v>
      </c>
      <c r="G18" s="139">
        <v>81</v>
      </c>
      <c r="H18" s="139">
        <v>95.5</v>
      </c>
      <c r="I18" s="139">
        <v>0</v>
      </c>
      <c r="J18" s="139">
        <v>250</v>
      </c>
      <c r="K18" s="140">
        <v>654</v>
      </c>
    </row>
    <row r="19" spans="2:11">
      <c r="B19" s="14">
        <v>12</v>
      </c>
      <c r="C19" s="14">
        <v>4</v>
      </c>
      <c r="D19" s="60" t="s">
        <v>13086</v>
      </c>
      <c r="E19" s="139">
        <v>209</v>
      </c>
      <c r="F19" s="139">
        <v>130</v>
      </c>
      <c r="G19" s="139">
        <v>107</v>
      </c>
      <c r="H19" s="139">
        <v>52</v>
      </c>
      <c r="I19" s="139">
        <v>5</v>
      </c>
      <c r="J19" s="139">
        <v>177</v>
      </c>
      <c r="K19" s="140">
        <v>680</v>
      </c>
    </row>
    <row r="20" spans="2:11">
      <c r="B20" s="14">
        <v>13</v>
      </c>
      <c r="C20" s="14">
        <v>4</v>
      </c>
      <c r="D20" s="60" t="s">
        <v>13087</v>
      </c>
      <c r="E20" s="139">
        <v>302</v>
      </c>
      <c r="F20" s="139">
        <v>82</v>
      </c>
      <c r="G20" s="139">
        <v>85.8</v>
      </c>
      <c r="H20" s="139">
        <v>17.200000000000003</v>
      </c>
      <c r="I20" s="139">
        <v>5</v>
      </c>
      <c r="J20" s="139">
        <v>188</v>
      </c>
      <c r="K20" s="140">
        <v>680</v>
      </c>
    </row>
    <row r="21" spans="2:11">
      <c r="B21" s="14">
        <v>14</v>
      </c>
      <c r="C21" s="14">
        <v>5</v>
      </c>
      <c r="D21" s="60" t="s">
        <v>13088</v>
      </c>
      <c r="E21" s="139">
        <v>389.8</v>
      </c>
      <c r="F21" s="139">
        <v>132.6</v>
      </c>
      <c r="G21" s="139">
        <v>172</v>
      </c>
      <c r="H21" s="139">
        <v>6</v>
      </c>
      <c r="I21" s="139">
        <v>5</v>
      </c>
      <c r="J21" s="139">
        <v>144.60000000000002</v>
      </c>
      <c r="K21" s="140">
        <v>850</v>
      </c>
    </row>
    <row r="22" spans="2:11">
      <c r="B22" s="14">
        <v>14</v>
      </c>
      <c r="C22" s="14">
        <v>5</v>
      </c>
      <c r="D22" s="60" t="s">
        <v>13089</v>
      </c>
      <c r="E22" s="139">
        <v>413.8</v>
      </c>
      <c r="F22" s="139">
        <v>190.6</v>
      </c>
      <c r="G22" s="139">
        <v>117.39999999999999</v>
      </c>
      <c r="H22" s="139">
        <v>41</v>
      </c>
      <c r="I22" s="139">
        <v>11</v>
      </c>
      <c r="J22" s="139">
        <v>226.2</v>
      </c>
      <c r="K22" s="140">
        <v>1000</v>
      </c>
    </row>
    <row r="23" spans="2:11">
      <c r="C23" s="61"/>
      <c r="E23" s="141"/>
      <c r="F23" s="141"/>
      <c r="G23" s="141"/>
      <c r="H23" s="141"/>
      <c r="I23" s="141"/>
      <c r="J23" s="141"/>
      <c r="K23" s="140"/>
    </row>
    <row r="24" spans="2:11">
      <c r="C24" s="15">
        <v>76</v>
      </c>
      <c r="D24" s="62" t="s">
        <v>13094</v>
      </c>
      <c r="E24" s="142">
        <v>4813.8</v>
      </c>
      <c r="F24" s="142">
        <v>1725.1999999999998</v>
      </c>
      <c r="G24" s="142">
        <v>1778.65</v>
      </c>
      <c r="H24" s="142">
        <v>1177.95</v>
      </c>
      <c r="I24" s="142">
        <v>139</v>
      </c>
      <c r="J24" s="142">
        <v>3391.9999999999995</v>
      </c>
      <c r="K24" s="142">
        <v>13026.6</v>
      </c>
    </row>
    <row r="25" spans="2:11">
      <c r="C25" s="18"/>
      <c r="D25" s="63"/>
      <c r="E25" s="143"/>
      <c r="F25" s="143"/>
      <c r="G25" s="143"/>
      <c r="H25" s="143"/>
      <c r="I25" s="143"/>
      <c r="J25" s="143"/>
      <c r="K25" s="138"/>
    </row>
  </sheetData>
  <printOptions horizontalCentered="1" gridLines="1" gridLinesSet="0"/>
  <pageMargins left="1" right="1" top="0.75" bottom="1" header="0.5" footer="0.75"/>
  <pageSetup paperSize="5" firstPageNumber="2" orientation="landscape" blackAndWhite="1" r:id="rId1"/>
  <headerFooter alignWithMargins="0">
    <oddFooter xml:space="preserve">&amp;C&amp;"Arial,Bold"  *          &amp;A          *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76">
    <tabColor rgb="FF00B050"/>
  </sheetPr>
  <dimension ref="A1:K1337"/>
  <sheetViews>
    <sheetView showZeros="0"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cols>
    <col min="1" max="1" width="20.83203125" style="9" customWidth="1"/>
    <col min="2" max="2" width="6.83203125" style="16" customWidth="1"/>
    <col min="3" max="3" width="7.83203125" style="245" customWidth="1"/>
    <col min="4" max="4" width="78.83203125" style="245" customWidth="1"/>
    <col min="5" max="11" width="10.83203125" style="245" customWidth="1"/>
    <col min="12" max="16384" width="9.1640625" style="258"/>
  </cols>
  <sheetData>
    <row r="1" spans="1:11">
      <c r="A1" s="16" t="s">
        <v>234</v>
      </c>
      <c r="B1" s="16" t="s">
        <v>506</v>
      </c>
      <c r="C1" s="16" t="s">
        <v>281</v>
      </c>
      <c r="D1" s="257" t="s">
        <v>12613</v>
      </c>
      <c r="E1" s="257" t="s">
        <v>4251</v>
      </c>
      <c r="F1" s="257" t="s">
        <v>4252</v>
      </c>
      <c r="G1" s="257" t="s">
        <v>4253</v>
      </c>
      <c r="H1" s="257" t="s">
        <v>4254</v>
      </c>
      <c r="I1" s="257" t="s">
        <v>4255</v>
      </c>
      <c r="J1" s="257" t="s">
        <v>4256</v>
      </c>
      <c r="K1" s="257" t="s">
        <v>3668</v>
      </c>
    </row>
    <row r="2" spans="1:11">
      <c r="C2" s="9"/>
      <c r="D2" s="241"/>
      <c r="E2" s="241"/>
      <c r="F2" s="241"/>
      <c r="G2" s="241"/>
      <c r="H2" s="241"/>
      <c r="I2" s="241"/>
      <c r="J2" s="241"/>
      <c r="K2" s="241"/>
    </row>
    <row r="3" spans="1:11">
      <c r="C3" s="9"/>
      <c r="D3" s="241"/>
      <c r="E3" s="241"/>
      <c r="F3" s="241"/>
      <c r="G3" s="241"/>
      <c r="H3" s="241"/>
      <c r="I3" s="241"/>
      <c r="J3" s="241"/>
      <c r="K3" s="241"/>
    </row>
    <row r="4" spans="1:11">
      <c r="C4" s="9"/>
      <c r="D4" s="241" t="s">
        <v>4257</v>
      </c>
      <c r="E4" s="259" t="s">
        <v>610</v>
      </c>
      <c r="F4" s="260" t="s">
        <v>611</v>
      </c>
      <c r="G4" s="259" t="s">
        <v>612</v>
      </c>
      <c r="H4" s="260" t="s">
        <v>681</v>
      </c>
      <c r="I4" s="259" t="s">
        <v>319</v>
      </c>
      <c r="J4" s="260" t="s">
        <v>320</v>
      </c>
      <c r="K4" s="259"/>
    </row>
    <row r="5" spans="1:11">
      <c r="C5" s="9"/>
      <c r="D5" s="241"/>
      <c r="E5" s="241"/>
      <c r="F5" s="241"/>
      <c r="G5" s="241"/>
      <c r="H5" s="241"/>
      <c r="I5" s="241"/>
      <c r="J5" s="241"/>
      <c r="K5" s="241"/>
    </row>
    <row r="6" spans="1:11" ht="15.75" customHeight="1">
      <c r="A6" s="261" t="s">
        <v>234</v>
      </c>
      <c r="B6" s="261" t="s">
        <v>4258</v>
      </c>
      <c r="C6" s="261" t="s">
        <v>4259</v>
      </c>
      <c r="D6" s="262" t="s">
        <v>12613</v>
      </c>
      <c r="E6" s="259" t="s">
        <v>4260</v>
      </c>
      <c r="F6" s="260" t="s">
        <v>4261</v>
      </c>
      <c r="G6" s="259" t="s">
        <v>4262</v>
      </c>
      <c r="H6" s="260" t="s">
        <v>4263</v>
      </c>
      <c r="I6" s="259" t="s">
        <v>4264</v>
      </c>
      <c r="J6" s="260" t="s">
        <v>4265</v>
      </c>
      <c r="K6" s="259" t="s">
        <v>146</v>
      </c>
    </row>
    <row r="7" spans="1:11">
      <c r="C7" s="9"/>
      <c r="D7" s="241"/>
      <c r="E7" s="263"/>
      <c r="F7" s="263"/>
      <c r="G7" s="263"/>
      <c r="H7" s="263"/>
      <c r="I7" s="263"/>
      <c r="J7" s="263"/>
      <c r="K7" s="263"/>
    </row>
    <row r="8" spans="1:11" ht="15.75" customHeight="1">
      <c r="B8" s="16">
        <v>1</v>
      </c>
      <c r="C8" s="264">
        <v>5</v>
      </c>
      <c r="D8" s="265" t="s">
        <v>13075</v>
      </c>
      <c r="E8" s="266">
        <v>228.8</v>
      </c>
      <c r="F8" s="266">
        <v>88</v>
      </c>
      <c r="G8" s="266">
        <v>75.2</v>
      </c>
      <c r="H8" s="266">
        <v>53.6</v>
      </c>
      <c r="I8" s="266">
        <v>0</v>
      </c>
      <c r="J8" s="266">
        <v>154.4</v>
      </c>
      <c r="K8" s="267">
        <v>600</v>
      </c>
    </row>
    <row r="9" spans="1:11" ht="15.75" customHeight="1">
      <c r="B9" s="16">
        <v>2</v>
      </c>
      <c r="C9" s="264">
        <v>5</v>
      </c>
      <c r="D9" s="265" t="s">
        <v>13076</v>
      </c>
      <c r="E9" s="266">
        <v>98.4</v>
      </c>
      <c r="F9" s="266">
        <v>59</v>
      </c>
      <c r="G9" s="266">
        <v>56.8</v>
      </c>
      <c r="H9" s="266">
        <v>37.6</v>
      </c>
      <c r="I9" s="266">
        <v>0</v>
      </c>
      <c r="J9" s="266">
        <v>120</v>
      </c>
      <c r="K9" s="267">
        <v>371.79999999999995</v>
      </c>
    </row>
    <row r="10" spans="1:11" ht="15.75" customHeight="1">
      <c r="B10" s="16">
        <v>3</v>
      </c>
      <c r="C10" s="264">
        <v>6</v>
      </c>
      <c r="D10" s="265" t="s">
        <v>13077</v>
      </c>
      <c r="E10" s="266">
        <v>228</v>
      </c>
      <c r="F10" s="266">
        <v>96</v>
      </c>
      <c r="G10" s="266">
        <v>96</v>
      </c>
      <c r="H10" s="266">
        <v>168</v>
      </c>
      <c r="I10" s="266">
        <v>0</v>
      </c>
      <c r="J10" s="266">
        <v>132</v>
      </c>
      <c r="K10" s="267">
        <v>720</v>
      </c>
    </row>
    <row r="11" spans="1:11" ht="15.75" customHeight="1">
      <c r="B11" s="16">
        <v>4</v>
      </c>
      <c r="C11" s="264">
        <v>5</v>
      </c>
      <c r="D11" s="265" t="s">
        <v>13078</v>
      </c>
      <c r="E11" s="266">
        <v>141.6</v>
      </c>
      <c r="F11" s="266">
        <v>56</v>
      </c>
      <c r="G11" s="266">
        <v>12</v>
      </c>
      <c r="H11" s="266">
        <v>20.8</v>
      </c>
      <c r="I11" s="266">
        <v>0</v>
      </c>
      <c r="J11" s="266">
        <v>124</v>
      </c>
      <c r="K11" s="267">
        <v>354.4</v>
      </c>
    </row>
    <row r="12" spans="1:11" ht="15.75" customHeight="1">
      <c r="B12" s="16">
        <v>5</v>
      </c>
      <c r="C12" s="264">
        <v>5</v>
      </c>
      <c r="D12" s="265" t="s">
        <v>13079</v>
      </c>
      <c r="E12" s="266">
        <v>137.6</v>
      </c>
      <c r="F12" s="266">
        <v>62.400000000000006</v>
      </c>
      <c r="G12" s="266">
        <v>164.8</v>
      </c>
      <c r="H12" s="266">
        <v>96</v>
      </c>
      <c r="I12" s="266">
        <v>0</v>
      </c>
      <c r="J12" s="266">
        <v>139.20000000000002</v>
      </c>
      <c r="K12" s="267">
        <v>600</v>
      </c>
    </row>
    <row r="13" spans="1:11" ht="15.75" customHeight="1">
      <c r="B13" s="16">
        <v>6</v>
      </c>
      <c r="C13" s="264">
        <v>6</v>
      </c>
      <c r="D13" s="265" t="s">
        <v>13080</v>
      </c>
      <c r="E13" s="266">
        <v>311.2</v>
      </c>
      <c r="F13" s="266">
        <v>48</v>
      </c>
      <c r="G13" s="266">
        <v>52</v>
      </c>
      <c r="H13" s="266">
        <v>54.4</v>
      </c>
      <c r="I13" s="266">
        <v>0</v>
      </c>
      <c r="J13" s="266">
        <v>254.4</v>
      </c>
      <c r="K13" s="267">
        <v>720</v>
      </c>
    </row>
    <row r="14" spans="1:11" ht="15.75" customHeight="1">
      <c r="B14" s="16">
        <v>7</v>
      </c>
      <c r="C14" s="264">
        <v>5</v>
      </c>
      <c r="D14" s="265" t="s">
        <v>13081</v>
      </c>
      <c r="E14" s="266">
        <v>80.8</v>
      </c>
      <c r="F14" s="266">
        <v>80</v>
      </c>
      <c r="G14" s="266">
        <v>55.2</v>
      </c>
      <c r="H14" s="266">
        <v>28</v>
      </c>
      <c r="I14" s="266">
        <v>0</v>
      </c>
      <c r="J14" s="266">
        <v>107</v>
      </c>
      <c r="K14" s="267">
        <v>351</v>
      </c>
    </row>
    <row r="15" spans="1:11" ht="15.75" customHeight="1">
      <c r="B15" s="16">
        <v>8</v>
      </c>
      <c r="C15" s="264">
        <v>6</v>
      </c>
      <c r="D15" s="265" t="s">
        <v>13082</v>
      </c>
      <c r="E15" s="266">
        <v>288</v>
      </c>
      <c r="F15" s="266">
        <v>80</v>
      </c>
      <c r="G15" s="266">
        <v>76</v>
      </c>
      <c r="H15" s="266">
        <v>68</v>
      </c>
      <c r="I15" s="266">
        <v>16</v>
      </c>
      <c r="J15" s="266">
        <v>192</v>
      </c>
      <c r="K15" s="267">
        <v>720</v>
      </c>
    </row>
    <row r="16" spans="1:11" ht="15.75" customHeight="1">
      <c r="B16" s="16">
        <v>9</v>
      </c>
      <c r="C16" s="264">
        <v>6</v>
      </c>
      <c r="D16" s="265" t="s">
        <v>13083</v>
      </c>
      <c r="E16" s="266">
        <v>416</v>
      </c>
      <c r="F16" s="266">
        <v>16</v>
      </c>
      <c r="G16" s="266">
        <v>88</v>
      </c>
      <c r="H16" s="266">
        <v>16</v>
      </c>
      <c r="I16" s="266">
        <v>0</v>
      </c>
      <c r="J16" s="266">
        <v>184</v>
      </c>
      <c r="K16" s="267">
        <v>720</v>
      </c>
    </row>
    <row r="17" spans="2:11" ht="15.75" customHeight="1">
      <c r="B17" s="16">
        <v>10</v>
      </c>
      <c r="C17" s="264">
        <v>5</v>
      </c>
      <c r="D17" s="265" t="s">
        <v>13084</v>
      </c>
      <c r="E17" s="266">
        <v>156</v>
      </c>
      <c r="F17" s="266">
        <v>93.6</v>
      </c>
      <c r="G17" s="266">
        <v>86.4</v>
      </c>
      <c r="H17" s="266">
        <v>44</v>
      </c>
      <c r="I17" s="266">
        <v>8</v>
      </c>
      <c r="J17" s="266">
        <v>92</v>
      </c>
      <c r="K17" s="267">
        <v>480</v>
      </c>
    </row>
    <row r="18" spans="2:11" ht="15.75" customHeight="1">
      <c r="B18" s="16">
        <v>11</v>
      </c>
      <c r="C18" s="264">
        <v>4</v>
      </c>
      <c r="D18" s="265" t="s">
        <v>13085</v>
      </c>
      <c r="E18" s="266">
        <v>16</v>
      </c>
      <c r="F18" s="266">
        <v>40</v>
      </c>
      <c r="G18" s="266">
        <v>8</v>
      </c>
      <c r="H18" s="266">
        <v>28</v>
      </c>
      <c r="I18" s="266">
        <v>0</v>
      </c>
      <c r="J18" s="266">
        <v>32</v>
      </c>
      <c r="K18" s="267">
        <v>124</v>
      </c>
    </row>
    <row r="19" spans="2:11" ht="15.75" customHeight="1">
      <c r="B19" s="16">
        <v>12</v>
      </c>
      <c r="C19" s="264">
        <v>4</v>
      </c>
      <c r="D19" s="265" t="s">
        <v>13086</v>
      </c>
      <c r="E19" s="266">
        <v>8</v>
      </c>
      <c r="F19" s="266">
        <v>80</v>
      </c>
      <c r="G19" s="266">
        <v>40</v>
      </c>
      <c r="H19" s="266">
        <v>24</v>
      </c>
      <c r="I19" s="266">
        <v>0</v>
      </c>
      <c r="J19" s="266">
        <v>68</v>
      </c>
      <c r="K19" s="267">
        <v>220</v>
      </c>
    </row>
    <row r="20" spans="2:11" ht="15.75" customHeight="1">
      <c r="B20" s="16">
        <v>13</v>
      </c>
      <c r="C20" s="264">
        <v>4</v>
      </c>
      <c r="D20" s="265" t="s">
        <v>13087</v>
      </c>
      <c r="E20" s="266">
        <v>52.800000000000004</v>
      </c>
      <c r="F20" s="266">
        <v>28.8</v>
      </c>
      <c r="G20" s="266">
        <v>20.8</v>
      </c>
      <c r="H20" s="266">
        <v>7.2000000000000011</v>
      </c>
      <c r="I20" s="266">
        <v>0</v>
      </c>
      <c r="J20" s="266">
        <v>83.199999999999989</v>
      </c>
      <c r="K20" s="267">
        <v>192.8</v>
      </c>
    </row>
    <row r="21" spans="2:11" ht="15.75" customHeight="1">
      <c r="B21" s="16">
        <v>14</v>
      </c>
      <c r="C21" s="264">
        <v>5</v>
      </c>
      <c r="D21" s="265" t="s">
        <v>13088</v>
      </c>
      <c r="E21" s="266">
        <v>84.8</v>
      </c>
      <c r="F21" s="266">
        <v>73.599999999999994</v>
      </c>
      <c r="G21" s="266">
        <v>36</v>
      </c>
      <c r="H21" s="266">
        <v>0</v>
      </c>
      <c r="I21" s="266">
        <v>0</v>
      </c>
      <c r="J21" s="266">
        <v>109.60000000000001</v>
      </c>
      <c r="K21" s="267">
        <v>304</v>
      </c>
    </row>
    <row r="22" spans="2:11" ht="15.75" customHeight="1">
      <c r="B22" s="16">
        <v>14</v>
      </c>
      <c r="C22" s="264">
        <v>5</v>
      </c>
      <c r="D22" s="265" t="s">
        <v>13089</v>
      </c>
      <c r="E22" s="266">
        <v>241.60000000000002</v>
      </c>
      <c r="F22" s="266">
        <v>157.6</v>
      </c>
      <c r="G22" s="266">
        <v>89.6</v>
      </c>
      <c r="H22" s="266">
        <v>28</v>
      </c>
      <c r="I22" s="266">
        <v>0</v>
      </c>
      <c r="J22" s="266">
        <v>175.2</v>
      </c>
      <c r="K22" s="267">
        <v>692</v>
      </c>
    </row>
    <row r="23" spans="2:11" ht="15.75" customHeight="1">
      <c r="C23" s="264"/>
      <c r="D23" s="265"/>
      <c r="E23" s="266"/>
      <c r="F23" s="266"/>
      <c r="G23" s="266"/>
      <c r="H23" s="266"/>
      <c r="I23" s="266"/>
      <c r="J23" s="266"/>
      <c r="K23" s="267"/>
    </row>
    <row r="24" spans="2:11" ht="15.75" customHeight="1">
      <c r="C24" s="268">
        <v>76</v>
      </c>
      <c r="D24" s="269" t="s">
        <v>13093</v>
      </c>
      <c r="E24" s="270">
        <v>2489.6000000000004</v>
      </c>
      <c r="F24" s="270">
        <v>1059</v>
      </c>
      <c r="G24" s="270">
        <v>956.8</v>
      </c>
      <c r="H24" s="270">
        <v>673.6</v>
      </c>
      <c r="I24" s="270">
        <v>24</v>
      </c>
      <c r="J24" s="270">
        <v>1967</v>
      </c>
      <c r="K24" s="270">
        <v>7170</v>
      </c>
    </row>
    <row r="25" spans="2:11">
      <c r="C25" s="9"/>
      <c r="D25" s="271"/>
      <c r="E25" s="263"/>
      <c r="F25" s="263"/>
      <c r="G25" s="263"/>
      <c r="H25" s="263"/>
      <c r="I25" s="263"/>
      <c r="J25" s="263"/>
      <c r="K25" s="263"/>
    </row>
    <row r="26" spans="2:11">
      <c r="C26" s="9"/>
      <c r="D26" s="271"/>
      <c r="E26" s="263"/>
      <c r="F26" s="263"/>
      <c r="G26" s="263"/>
      <c r="H26" s="263"/>
      <c r="I26" s="263"/>
      <c r="J26" s="263"/>
      <c r="K26" s="263"/>
    </row>
    <row r="27" spans="2:11">
      <c r="C27" s="9"/>
      <c r="D27" s="271"/>
      <c r="E27" s="263"/>
      <c r="F27" s="263"/>
      <c r="G27" s="263"/>
      <c r="H27" s="263"/>
      <c r="I27" s="263"/>
      <c r="J27" s="263"/>
      <c r="K27" s="263"/>
    </row>
    <row r="28" spans="2:11">
      <c r="C28" s="9"/>
      <c r="D28" s="271"/>
      <c r="E28" s="263"/>
      <c r="F28" s="263"/>
      <c r="G28" s="263"/>
      <c r="H28" s="263"/>
      <c r="I28" s="263"/>
      <c r="J28" s="263"/>
      <c r="K28" s="263"/>
    </row>
    <row r="29" spans="2:11">
      <c r="C29" s="9"/>
      <c r="D29" s="271"/>
      <c r="E29" s="263"/>
      <c r="F29" s="263"/>
      <c r="G29" s="263"/>
      <c r="H29" s="263"/>
      <c r="I29" s="263"/>
      <c r="J29" s="263"/>
      <c r="K29" s="263"/>
    </row>
    <row r="30" spans="2:11">
      <c r="C30" s="9"/>
      <c r="D30" s="271"/>
      <c r="E30" s="263"/>
      <c r="F30" s="263"/>
      <c r="G30" s="263"/>
      <c r="H30" s="263"/>
      <c r="I30" s="263"/>
      <c r="J30" s="263"/>
      <c r="K30" s="263"/>
    </row>
    <row r="31" spans="2:11">
      <c r="C31" s="9"/>
      <c r="D31" s="271"/>
      <c r="E31" s="263"/>
      <c r="F31" s="263"/>
      <c r="G31" s="263"/>
      <c r="H31" s="263"/>
      <c r="I31" s="263"/>
      <c r="J31" s="263"/>
      <c r="K31" s="263"/>
    </row>
    <row r="32" spans="2:11">
      <c r="C32" s="9"/>
      <c r="D32" s="271" t="s">
        <v>4266</v>
      </c>
      <c r="E32" s="263"/>
      <c r="F32" s="263"/>
      <c r="G32" s="263"/>
      <c r="H32" s="263"/>
      <c r="I32" s="263"/>
      <c r="J32" s="263"/>
      <c r="K32" s="267">
        <v>0</v>
      </c>
    </row>
    <row r="33" spans="1:11">
      <c r="C33" s="9"/>
      <c r="D33" s="271"/>
      <c r="E33" s="263"/>
      <c r="F33" s="263"/>
      <c r="G33" s="263"/>
      <c r="H33" s="263"/>
      <c r="I33" s="263"/>
      <c r="J33" s="263"/>
      <c r="K33" s="267">
        <v>0</v>
      </c>
    </row>
    <row r="34" spans="1:11">
      <c r="A34" s="9" t="s">
        <v>10584</v>
      </c>
      <c r="B34" s="16">
        <v>6</v>
      </c>
      <c r="C34" s="9"/>
      <c r="D34" s="271" t="s">
        <v>9156</v>
      </c>
      <c r="E34" s="263">
        <v>0</v>
      </c>
      <c r="F34" s="263">
        <v>0</v>
      </c>
      <c r="G34" s="263">
        <v>0</v>
      </c>
      <c r="H34" s="263">
        <v>4</v>
      </c>
      <c r="I34" s="263">
        <v>0</v>
      </c>
      <c r="J34" s="263">
        <v>0</v>
      </c>
      <c r="K34" s="267">
        <v>4</v>
      </c>
    </row>
    <row r="35" spans="1:11">
      <c r="A35" s="9" t="s">
        <v>10585</v>
      </c>
      <c r="B35" s="16">
        <v>6</v>
      </c>
      <c r="C35" s="9"/>
      <c r="D35" s="271" t="s">
        <v>9157</v>
      </c>
      <c r="E35" s="263">
        <v>0</v>
      </c>
      <c r="F35" s="263">
        <v>0</v>
      </c>
      <c r="G35" s="263">
        <v>0</v>
      </c>
      <c r="H35" s="263">
        <v>4</v>
      </c>
      <c r="I35" s="263">
        <v>0</v>
      </c>
      <c r="J35" s="263">
        <v>0</v>
      </c>
      <c r="K35" s="267">
        <v>4</v>
      </c>
    </row>
    <row r="36" spans="1:11">
      <c r="A36" s="9" t="s">
        <v>10586</v>
      </c>
      <c r="B36" s="16">
        <v>6</v>
      </c>
      <c r="C36" s="9"/>
      <c r="D36" s="271" t="s">
        <v>9158</v>
      </c>
      <c r="E36" s="263">
        <v>0</v>
      </c>
      <c r="F36" s="263">
        <v>0</v>
      </c>
      <c r="G36" s="263">
        <v>0</v>
      </c>
      <c r="H36" s="263">
        <v>0</v>
      </c>
      <c r="I36" s="263">
        <v>0</v>
      </c>
      <c r="J36" s="263">
        <v>4</v>
      </c>
      <c r="K36" s="267">
        <v>4</v>
      </c>
    </row>
    <row r="37" spans="1:11">
      <c r="A37" s="9" t="s">
        <v>10587</v>
      </c>
      <c r="B37" s="16">
        <v>6</v>
      </c>
      <c r="C37" s="9"/>
      <c r="D37" s="271" t="s">
        <v>9159</v>
      </c>
      <c r="E37" s="263">
        <v>0</v>
      </c>
      <c r="F37" s="263">
        <v>0</v>
      </c>
      <c r="G37" s="263">
        <v>0</v>
      </c>
      <c r="H37" s="263">
        <v>0</v>
      </c>
      <c r="I37" s="263">
        <v>0</v>
      </c>
      <c r="J37" s="263">
        <v>4</v>
      </c>
      <c r="K37" s="267">
        <v>4</v>
      </c>
    </row>
    <row r="38" spans="1:11">
      <c r="A38" s="9" t="s">
        <v>10588</v>
      </c>
      <c r="B38" s="16">
        <v>6</v>
      </c>
      <c r="C38" s="9"/>
      <c r="D38" s="271" t="s">
        <v>9160</v>
      </c>
      <c r="E38" s="263">
        <v>0</v>
      </c>
      <c r="F38" s="263">
        <v>0</v>
      </c>
      <c r="G38" s="263">
        <v>0</v>
      </c>
      <c r="H38" s="263">
        <v>0</v>
      </c>
      <c r="I38" s="263">
        <v>0</v>
      </c>
      <c r="J38" s="263">
        <v>8</v>
      </c>
      <c r="K38" s="267">
        <v>8</v>
      </c>
    </row>
    <row r="39" spans="1:11">
      <c r="A39" s="9" t="s">
        <v>10589</v>
      </c>
      <c r="B39" s="16">
        <v>6</v>
      </c>
      <c r="C39" s="9"/>
      <c r="D39" s="271" t="s">
        <v>9161</v>
      </c>
      <c r="E39" s="263">
        <v>0</v>
      </c>
      <c r="F39" s="263">
        <v>0</v>
      </c>
      <c r="G39" s="263">
        <v>0</v>
      </c>
      <c r="H39" s="263">
        <v>0</v>
      </c>
      <c r="I39" s="263">
        <v>0</v>
      </c>
      <c r="J39" s="263">
        <v>4</v>
      </c>
      <c r="K39" s="267">
        <v>4</v>
      </c>
    </row>
    <row r="40" spans="1:11">
      <c r="A40" s="9" t="s">
        <v>10590</v>
      </c>
      <c r="B40" s="16">
        <v>6</v>
      </c>
      <c r="C40" s="9"/>
      <c r="D40" s="271" t="s">
        <v>9162</v>
      </c>
      <c r="E40" s="263">
        <v>0</v>
      </c>
      <c r="F40" s="263">
        <v>0</v>
      </c>
      <c r="G40" s="263">
        <v>0</v>
      </c>
      <c r="H40" s="263">
        <v>0</v>
      </c>
      <c r="I40" s="263">
        <v>0</v>
      </c>
      <c r="J40" s="263">
        <v>4</v>
      </c>
      <c r="K40" s="267">
        <v>4</v>
      </c>
    </row>
    <row r="41" spans="1:11">
      <c r="A41" s="9" t="s">
        <v>10591</v>
      </c>
      <c r="B41" s="16">
        <v>6</v>
      </c>
      <c r="C41" s="9"/>
      <c r="D41" s="271" t="s">
        <v>9163</v>
      </c>
      <c r="E41" s="263">
        <v>8</v>
      </c>
      <c r="F41" s="263">
        <v>0</v>
      </c>
      <c r="G41" s="263">
        <v>0</v>
      </c>
      <c r="H41" s="263">
        <v>0</v>
      </c>
      <c r="I41" s="263">
        <v>0</v>
      </c>
      <c r="J41" s="263">
        <v>0</v>
      </c>
      <c r="K41" s="267">
        <v>8</v>
      </c>
    </row>
    <row r="42" spans="1:11">
      <c r="A42" s="9" t="s">
        <v>10592</v>
      </c>
      <c r="B42" s="16">
        <v>6</v>
      </c>
      <c r="C42" s="9"/>
      <c r="D42" s="271" t="s">
        <v>9164</v>
      </c>
      <c r="E42" s="263">
        <v>8</v>
      </c>
      <c r="F42" s="263">
        <v>0</v>
      </c>
      <c r="G42" s="263">
        <v>0</v>
      </c>
      <c r="H42" s="263">
        <v>0</v>
      </c>
      <c r="I42" s="263">
        <v>0</v>
      </c>
      <c r="J42" s="263">
        <v>0</v>
      </c>
      <c r="K42" s="267">
        <v>8</v>
      </c>
    </row>
    <row r="43" spans="1:11">
      <c r="A43" s="9" t="s">
        <v>10593</v>
      </c>
      <c r="B43" s="16">
        <v>6</v>
      </c>
      <c r="C43" s="9"/>
      <c r="D43" s="271" t="s">
        <v>9165</v>
      </c>
      <c r="E43" s="263">
        <v>8</v>
      </c>
      <c r="F43" s="263">
        <v>0</v>
      </c>
      <c r="G43" s="263">
        <v>0</v>
      </c>
      <c r="H43" s="263">
        <v>0</v>
      </c>
      <c r="I43" s="263">
        <v>0</v>
      </c>
      <c r="J43" s="263">
        <v>0</v>
      </c>
      <c r="K43" s="267">
        <v>8</v>
      </c>
    </row>
    <row r="44" spans="1:11">
      <c r="A44" s="9" t="s">
        <v>10594</v>
      </c>
      <c r="B44" s="16">
        <v>6</v>
      </c>
      <c r="C44" s="9"/>
      <c r="D44" s="271" t="s">
        <v>9166</v>
      </c>
      <c r="E44" s="263">
        <v>4</v>
      </c>
      <c r="F44" s="263">
        <v>0</v>
      </c>
      <c r="G44" s="263">
        <v>0</v>
      </c>
      <c r="H44" s="263">
        <v>0</v>
      </c>
      <c r="I44" s="263">
        <v>0</v>
      </c>
      <c r="J44" s="263">
        <v>0</v>
      </c>
      <c r="K44" s="267">
        <v>4</v>
      </c>
    </row>
    <row r="45" spans="1:11">
      <c r="A45" s="9" t="s">
        <v>10595</v>
      </c>
      <c r="B45" s="16">
        <v>6</v>
      </c>
      <c r="C45" s="9"/>
      <c r="D45" s="271" t="s">
        <v>9167</v>
      </c>
      <c r="E45" s="263">
        <v>4</v>
      </c>
      <c r="F45" s="263">
        <v>0</v>
      </c>
      <c r="G45" s="263">
        <v>0</v>
      </c>
      <c r="H45" s="263">
        <v>0</v>
      </c>
      <c r="I45" s="263">
        <v>0</v>
      </c>
      <c r="J45" s="263">
        <v>0</v>
      </c>
      <c r="K45" s="267">
        <v>4</v>
      </c>
    </row>
    <row r="46" spans="1:11">
      <c r="A46" s="9" t="s">
        <v>10596</v>
      </c>
      <c r="B46" s="16">
        <v>6</v>
      </c>
      <c r="C46" s="9"/>
      <c r="D46" s="271" t="s">
        <v>9168</v>
      </c>
      <c r="E46" s="263">
        <v>4</v>
      </c>
      <c r="F46" s="263">
        <v>0</v>
      </c>
      <c r="G46" s="263">
        <v>0</v>
      </c>
      <c r="H46" s="263">
        <v>0</v>
      </c>
      <c r="I46" s="263">
        <v>0</v>
      </c>
      <c r="J46" s="263">
        <v>0</v>
      </c>
      <c r="K46" s="267">
        <v>4</v>
      </c>
    </row>
    <row r="47" spans="1:11">
      <c r="A47" s="9" t="s">
        <v>10597</v>
      </c>
      <c r="B47" s="16">
        <v>6</v>
      </c>
      <c r="C47" s="9"/>
      <c r="D47" s="271" t="s">
        <v>9169</v>
      </c>
      <c r="E47" s="263">
        <v>8</v>
      </c>
      <c r="F47" s="263">
        <v>0</v>
      </c>
      <c r="G47" s="263">
        <v>0</v>
      </c>
      <c r="H47" s="263">
        <v>0</v>
      </c>
      <c r="I47" s="263">
        <v>0</v>
      </c>
      <c r="J47" s="263">
        <v>0</v>
      </c>
      <c r="K47" s="267">
        <v>8</v>
      </c>
    </row>
    <row r="48" spans="1:11">
      <c r="A48" s="9" t="s">
        <v>10598</v>
      </c>
      <c r="B48" s="16">
        <v>6</v>
      </c>
      <c r="C48" s="9"/>
      <c r="D48" s="271" t="s">
        <v>9170</v>
      </c>
      <c r="E48" s="263">
        <v>4</v>
      </c>
      <c r="F48" s="263">
        <v>0</v>
      </c>
      <c r="G48" s="263">
        <v>0</v>
      </c>
      <c r="H48" s="263">
        <v>0</v>
      </c>
      <c r="I48" s="263">
        <v>0</v>
      </c>
      <c r="J48" s="263">
        <v>0</v>
      </c>
      <c r="K48" s="267">
        <v>4</v>
      </c>
    </row>
    <row r="49" spans="1:11">
      <c r="A49" s="9" t="s">
        <v>10599</v>
      </c>
      <c r="B49" s="16">
        <v>6</v>
      </c>
      <c r="C49" s="9"/>
      <c r="D49" s="271" t="s">
        <v>9171</v>
      </c>
      <c r="E49" s="263">
        <v>0</v>
      </c>
      <c r="F49" s="263">
        <v>0</v>
      </c>
      <c r="G49" s="263">
        <v>4</v>
      </c>
      <c r="H49" s="263">
        <v>0</v>
      </c>
      <c r="I49" s="263">
        <v>0</v>
      </c>
      <c r="J49" s="263">
        <v>0</v>
      </c>
      <c r="K49" s="267">
        <v>4</v>
      </c>
    </row>
    <row r="50" spans="1:11">
      <c r="A50" s="9" t="s">
        <v>10600</v>
      </c>
      <c r="B50" s="16">
        <v>6</v>
      </c>
      <c r="C50" s="9"/>
      <c r="D50" s="271" t="s">
        <v>9172</v>
      </c>
      <c r="E50" s="263">
        <v>0</v>
      </c>
      <c r="F50" s="263">
        <v>0</v>
      </c>
      <c r="G50" s="263">
        <v>4</v>
      </c>
      <c r="H50" s="263">
        <v>0</v>
      </c>
      <c r="I50" s="263">
        <v>0</v>
      </c>
      <c r="J50" s="263">
        <v>0</v>
      </c>
      <c r="K50" s="267">
        <v>4</v>
      </c>
    </row>
    <row r="51" spans="1:11">
      <c r="A51" s="9" t="s">
        <v>10601</v>
      </c>
      <c r="B51" s="16">
        <v>6</v>
      </c>
      <c r="C51" s="9"/>
      <c r="D51" s="271" t="s">
        <v>9173</v>
      </c>
      <c r="E51" s="263">
        <v>0</v>
      </c>
      <c r="F51" s="263">
        <v>0</v>
      </c>
      <c r="G51" s="263">
        <v>4</v>
      </c>
      <c r="H51" s="263">
        <v>0</v>
      </c>
      <c r="I51" s="263">
        <v>0</v>
      </c>
      <c r="J51" s="263">
        <v>0</v>
      </c>
      <c r="K51" s="267">
        <v>4</v>
      </c>
    </row>
    <row r="52" spans="1:11">
      <c r="A52" s="9" t="s">
        <v>10602</v>
      </c>
      <c r="B52" s="16">
        <v>6</v>
      </c>
      <c r="C52" s="9"/>
      <c r="D52" s="271" t="s">
        <v>9174</v>
      </c>
      <c r="E52" s="263">
        <v>0</v>
      </c>
      <c r="F52" s="263">
        <v>0</v>
      </c>
      <c r="G52" s="263">
        <v>4</v>
      </c>
      <c r="H52" s="263">
        <v>0</v>
      </c>
      <c r="I52" s="263">
        <v>0</v>
      </c>
      <c r="J52" s="263">
        <v>0</v>
      </c>
      <c r="K52" s="267">
        <v>4</v>
      </c>
    </row>
    <row r="53" spans="1:11">
      <c r="A53" s="9" t="s">
        <v>10603</v>
      </c>
      <c r="B53" s="16">
        <v>6</v>
      </c>
      <c r="C53" s="9"/>
      <c r="D53" s="271" t="s">
        <v>9175</v>
      </c>
      <c r="E53" s="263">
        <v>0</v>
      </c>
      <c r="F53" s="263">
        <v>8</v>
      </c>
      <c r="G53" s="263">
        <v>0</v>
      </c>
      <c r="H53" s="263">
        <v>0</v>
      </c>
      <c r="I53" s="263">
        <v>0</v>
      </c>
      <c r="J53" s="263">
        <v>0</v>
      </c>
      <c r="K53" s="267">
        <v>8</v>
      </c>
    </row>
    <row r="54" spans="1:11">
      <c r="A54" s="9" t="s">
        <v>10604</v>
      </c>
      <c r="B54" s="16">
        <v>6</v>
      </c>
      <c r="C54" s="9"/>
      <c r="D54" s="271" t="s">
        <v>9176</v>
      </c>
      <c r="E54" s="263">
        <v>0</v>
      </c>
      <c r="F54" s="263">
        <v>8</v>
      </c>
      <c r="G54" s="263">
        <v>0</v>
      </c>
      <c r="H54" s="263">
        <v>0</v>
      </c>
      <c r="I54" s="263">
        <v>0</v>
      </c>
      <c r="J54" s="263">
        <v>0</v>
      </c>
      <c r="K54" s="267">
        <v>8</v>
      </c>
    </row>
    <row r="55" spans="1:11">
      <c r="A55" s="9" t="s">
        <v>10605</v>
      </c>
      <c r="B55" s="16">
        <v>6</v>
      </c>
      <c r="C55" s="9"/>
      <c r="D55" s="271" t="s">
        <v>9177</v>
      </c>
      <c r="E55" s="263">
        <v>0</v>
      </c>
      <c r="F55" s="263">
        <v>8</v>
      </c>
      <c r="G55" s="263">
        <v>0</v>
      </c>
      <c r="H55" s="263">
        <v>0</v>
      </c>
      <c r="I55" s="263">
        <v>0</v>
      </c>
      <c r="J55" s="263">
        <v>0</v>
      </c>
      <c r="K55" s="267">
        <v>8</v>
      </c>
    </row>
    <row r="56" spans="1:11">
      <c r="B56" s="16">
        <v>6</v>
      </c>
      <c r="C56" s="9"/>
      <c r="D56" s="271"/>
      <c r="E56" s="263"/>
      <c r="F56" s="263"/>
      <c r="G56" s="263"/>
      <c r="H56" s="263"/>
      <c r="I56" s="263"/>
      <c r="J56" s="263"/>
      <c r="K56" s="267">
        <v>0</v>
      </c>
    </row>
    <row r="57" spans="1:11" ht="15.75" customHeight="1">
      <c r="B57" s="16">
        <v>6</v>
      </c>
      <c r="C57" s="9"/>
      <c r="D57" s="272" t="s">
        <v>3674</v>
      </c>
      <c r="E57" s="273">
        <v>48</v>
      </c>
      <c r="F57" s="273">
        <v>24</v>
      </c>
      <c r="G57" s="273">
        <v>16</v>
      </c>
      <c r="H57" s="273">
        <v>8</v>
      </c>
      <c r="I57" s="273">
        <v>0</v>
      </c>
      <c r="J57" s="273">
        <v>24</v>
      </c>
      <c r="K57" s="273">
        <v>120</v>
      </c>
    </row>
    <row r="58" spans="1:11">
      <c r="C58" s="9"/>
      <c r="D58" s="271"/>
      <c r="E58" s="263"/>
      <c r="F58" s="263"/>
      <c r="G58" s="263"/>
      <c r="H58" s="263"/>
      <c r="I58" s="263"/>
      <c r="J58" s="263"/>
      <c r="K58" s="267">
        <v>0</v>
      </c>
    </row>
    <row r="59" spans="1:11">
      <c r="A59" s="9" t="s">
        <v>10606</v>
      </c>
      <c r="B59" s="16">
        <v>7</v>
      </c>
      <c r="C59" s="9"/>
      <c r="D59" s="271" t="s">
        <v>9178</v>
      </c>
      <c r="E59" s="263">
        <v>0</v>
      </c>
      <c r="F59" s="263">
        <v>0</v>
      </c>
      <c r="G59" s="263">
        <v>0</v>
      </c>
      <c r="H59" s="263">
        <v>4</v>
      </c>
      <c r="I59" s="263">
        <v>0</v>
      </c>
      <c r="J59" s="263">
        <v>0</v>
      </c>
      <c r="K59" s="267">
        <v>4</v>
      </c>
    </row>
    <row r="60" spans="1:11">
      <c r="A60" s="9" t="s">
        <v>10607</v>
      </c>
      <c r="B60" s="16">
        <v>7</v>
      </c>
      <c r="C60" s="9"/>
      <c r="D60" s="271" t="s">
        <v>9179</v>
      </c>
      <c r="E60" s="263">
        <v>0</v>
      </c>
      <c r="F60" s="263">
        <v>0</v>
      </c>
      <c r="G60" s="263">
        <v>0</v>
      </c>
      <c r="H60" s="263">
        <v>4</v>
      </c>
      <c r="I60" s="263">
        <v>0</v>
      </c>
      <c r="J60" s="263">
        <v>0</v>
      </c>
      <c r="K60" s="267">
        <v>4</v>
      </c>
    </row>
    <row r="61" spans="1:11">
      <c r="A61" s="9" t="s">
        <v>10608</v>
      </c>
      <c r="B61" s="16">
        <v>7</v>
      </c>
      <c r="C61" s="9"/>
      <c r="D61" s="271" t="s">
        <v>9180</v>
      </c>
      <c r="E61" s="263">
        <v>0</v>
      </c>
      <c r="F61" s="263">
        <v>0</v>
      </c>
      <c r="G61" s="263">
        <v>0</v>
      </c>
      <c r="H61" s="263">
        <v>4</v>
      </c>
      <c r="I61" s="263">
        <v>0</v>
      </c>
      <c r="J61" s="263">
        <v>0</v>
      </c>
      <c r="K61" s="267">
        <v>4</v>
      </c>
    </row>
    <row r="62" spans="1:11">
      <c r="A62" s="9" t="s">
        <v>10609</v>
      </c>
      <c r="B62" s="16">
        <v>7</v>
      </c>
      <c r="C62" s="9"/>
      <c r="D62" s="271" t="s">
        <v>9181</v>
      </c>
      <c r="E62" s="263">
        <v>0</v>
      </c>
      <c r="F62" s="263">
        <v>0</v>
      </c>
      <c r="G62" s="263">
        <v>0</v>
      </c>
      <c r="H62" s="263">
        <v>4</v>
      </c>
      <c r="I62" s="263">
        <v>0</v>
      </c>
      <c r="J62" s="263">
        <v>0</v>
      </c>
      <c r="K62" s="267">
        <v>4</v>
      </c>
    </row>
    <row r="63" spans="1:11">
      <c r="A63" s="9" t="s">
        <v>10610</v>
      </c>
      <c r="B63" s="16">
        <v>7</v>
      </c>
      <c r="C63" s="9"/>
      <c r="D63" s="271" t="s">
        <v>9182</v>
      </c>
      <c r="E63" s="263">
        <v>0</v>
      </c>
      <c r="F63" s="263">
        <v>0</v>
      </c>
      <c r="G63" s="263">
        <v>0</v>
      </c>
      <c r="H63" s="263">
        <v>4</v>
      </c>
      <c r="I63" s="263">
        <v>0</v>
      </c>
      <c r="J63" s="263">
        <v>0</v>
      </c>
      <c r="K63" s="267">
        <v>4</v>
      </c>
    </row>
    <row r="64" spans="1:11">
      <c r="A64" s="9" t="s">
        <v>10611</v>
      </c>
      <c r="B64" s="16">
        <v>7</v>
      </c>
      <c r="C64" s="9"/>
      <c r="D64" s="271" t="s">
        <v>9183</v>
      </c>
      <c r="E64" s="263">
        <v>0</v>
      </c>
      <c r="F64" s="263">
        <v>0</v>
      </c>
      <c r="G64" s="263">
        <v>0</v>
      </c>
      <c r="H64" s="263">
        <v>8</v>
      </c>
      <c r="I64" s="263">
        <v>0</v>
      </c>
      <c r="J64" s="263">
        <v>0</v>
      </c>
      <c r="K64" s="267">
        <v>8</v>
      </c>
    </row>
    <row r="65" spans="1:11">
      <c r="A65" s="9" t="s">
        <v>10612</v>
      </c>
      <c r="B65" s="16">
        <v>7</v>
      </c>
      <c r="C65" s="9"/>
      <c r="D65" s="271" t="s">
        <v>9184</v>
      </c>
      <c r="E65" s="263">
        <v>0</v>
      </c>
      <c r="F65" s="263">
        <v>0</v>
      </c>
      <c r="G65" s="263">
        <v>0</v>
      </c>
      <c r="H65" s="263">
        <v>0</v>
      </c>
      <c r="I65" s="263">
        <v>0</v>
      </c>
      <c r="J65" s="263">
        <v>5.6000000000000005</v>
      </c>
      <c r="K65" s="267">
        <v>5.6000000000000005</v>
      </c>
    </row>
    <row r="66" spans="1:11">
      <c r="A66" s="9" t="s">
        <v>10613</v>
      </c>
      <c r="B66" s="16">
        <v>7</v>
      </c>
      <c r="C66" s="9"/>
      <c r="D66" s="271" t="s">
        <v>9185</v>
      </c>
      <c r="E66" s="263">
        <v>0</v>
      </c>
      <c r="F66" s="263">
        <v>0</v>
      </c>
      <c r="G66" s="263">
        <v>0</v>
      </c>
      <c r="H66" s="263">
        <v>0</v>
      </c>
      <c r="I66" s="263">
        <v>0</v>
      </c>
      <c r="J66" s="263">
        <v>4</v>
      </c>
      <c r="K66" s="267">
        <v>4</v>
      </c>
    </row>
    <row r="67" spans="1:11">
      <c r="A67" s="9" t="s">
        <v>10614</v>
      </c>
      <c r="B67" s="16">
        <v>7</v>
      </c>
      <c r="C67" s="9"/>
      <c r="D67" s="271" t="s">
        <v>9186</v>
      </c>
      <c r="E67" s="263">
        <v>0</v>
      </c>
      <c r="F67" s="263">
        <v>0</v>
      </c>
      <c r="G67" s="263">
        <v>0</v>
      </c>
      <c r="H67" s="263">
        <v>0</v>
      </c>
      <c r="I67" s="263">
        <v>0</v>
      </c>
      <c r="J67" s="263">
        <v>8</v>
      </c>
      <c r="K67" s="267">
        <v>8</v>
      </c>
    </row>
    <row r="68" spans="1:11">
      <c r="A68" s="9" t="s">
        <v>10615</v>
      </c>
      <c r="B68" s="16">
        <v>7</v>
      </c>
      <c r="C68" s="9"/>
      <c r="D68" s="271" t="s">
        <v>9187</v>
      </c>
      <c r="E68" s="263">
        <v>0</v>
      </c>
      <c r="F68" s="263">
        <v>0</v>
      </c>
      <c r="G68" s="263">
        <v>0</v>
      </c>
      <c r="H68" s="263">
        <v>0</v>
      </c>
      <c r="I68" s="263">
        <v>0</v>
      </c>
      <c r="J68" s="263">
        <v>8</v>
      </c>
      <c r="K68" s="267">
        <v>8</v>
      </c>
    </row>
    <row r="69" spans="1:11">
      <c r="A69" s="9" t="s">
        <v>10616</v>
      </c>
      <c r="B69" s="16">
        <v>7</v>
      </c>
      <c r="C69" s="9"/>
      <c r="D69" s="271" t="s">
        <v>9188</v>
      </c>
      <c r="E69" s="263">
        <v>0</v>
      </c>
      <c r="F69" s="263">
        <v>0</v>
      </c>
      <c r="G69" s="263">
        <v>0</v>
      </c>
      <c r="H69" s="263">
        <v>0</v>
      </c>
      <c r="I69" s="263">
        <v>0</v>
      </c>
      <c r="J69" s="263">
        <v>4</v>
      </c>
      <c r="K69" s="267">
        <v>4</v>
      </c>
    </row>
    <row r="70" spans="1:11">
      <c r="A70" s="9" t="s">
        <v>10617</v>
      </c>
      <c r="B70" s="16">
        <v>7</v>
      </c>
      <c r="C70" s="9"/>
      <c r="D70" s="271" t="s">
        <v>9189</v>
      </c>
      <c r="E70" s="263">
        <v>0</v>
      </c>
      <c r="F70" s="263">
        <v>0</v>
      </c>
      <c r="G70" s="263">
        <v>0</v>
      </c>
      <c r="H70" s="263">
        <v>0</v>
      </c>
      <c r="I70" s="263">
        <v>0</v>
      </c>
      <c r="J70" s="263">
        <v>4</v>
      </c>
      <c r="K70" s="267">
        <v>4</v>
      </c>
    </row>
    <row r="71" spans="1:11">
      <c r="A71" s="9" t="s">
        <v>10618</v>
      </c>
      <c r="B71" s="16">
        <v>7</v>
      </c>
      <c r="C71" s="9"/>
      <c r="D71" s="271" t="s">
        <v>9190</v>
      </c>
      <c r="E71" s="263">
        <v>0</v>
      </c>
      <c r="F71" s="263">
        <v>0</v>
      </c>
      <c r="G71" s="263">
        <v>0</v>
      </c>
      <c r="H71" s="263">
        <v>0</v>
      </c>
      <c r="I71" s="263">
        <v>0</v>
      </c>
      <c r="J71" s="263">
        <v>2.4000000000000004</v>
      </c>
      <c r="K71" s="267">
        <v>2.4000000000000004</v>
      </c>
    </row>
    <row r="72" spans="1:11">
      <c r="A72" s="9" t="s">
        <v>10619</v>
      </c>
      <c r="B72" s="16">
        <v>7</v>
      </c>
      <c r="C72" s="9"/>
      <c r="D72" s="271" t="s">
        <v>9191</v>
      </c>
      <c r="E72" s="263">
        <v>0</v>
      </c>
      <c r="F72" s="263">
        <v>0</v>
      </c>
      <c r="G72" s="263">
        <v>0</v>
      </c>
      <c r="H72" s="263">
        <v>0</v>
      </c>
      <c r="I72" s="263">
        <v>0</v>
      </c>
      <c r="J72" s="263">
        <v>4</v>
      </c>
      <c r="K72" s="267">
        <v>4</v>
      </c>
    </row>
    <row r="73" spans="1:11" ht="31.5">
      <c r="A73" s="9" t="s">
        <v>10620</v>
      </c>
      <c r="B73" s="16">
        <v>7</v>
      </c>
      <c r="C73" s="9"/>
      <c r="D73" s="271" t="s">
        <v>9192</v>
      </c>
      <c r="E73" s="263">
        <v>0</v>
      </c>
      <c r="F73" s="263">
        <v>0</v>
      </c>
      <c r="G73" s="263">
        <v>0</v>
      </c>
      <c r="H73" s="263">
        <v>0</v>
      </c>
      <c r="I73" s="263">
        <v>0</v>
      </c>
      <c r="J73" s="263">
        <v>4</v>
      </c>
      <c r="K73" s="267">
        <v>4</v>
      </c>
    </row>
    <row r="74" spans="1:11">
      <c r="A74" s="9" t="s">
        <v>10621</v>
      </c>
      <c r="B74" s="16">
        <v>7</v>
      </c>
      <c r="C74" s="9"/>
      <c r="D74" s="271" t="s">
        <v>9193</v>
      </c>
      <c r="E74" s="263">
        <v>4</v>
      </c>
      <c r="F74" s="263">
        <v>0</v>
      </c>
      <c r="G74" s="263">
        <v>0</v>
      </c>
      <c r="H74" s="263">
        <v>0</v>
      </c>
      <c r="I74" s="263">
        <v>0</v>
      </c>
      <c r="J74" s="263">
        <v>0</v>
      </c>
      <c r="K74" s="267">
        <v>4</v>
      </c>
    </row>
    <row r="75" spans="1:11">
      <c r="A75" s="9" t="s">
        <v>10622</v>
      </c>
      <c r="B75" s="16">
        <v>7</v>
      </c>
      <c r="C75" s="9"/>
      <c r="D75" s="271" t="s">
        <v>9194</v>
      </c>
      <c r="E75" s="263">
        <v>4</v>
      </c>
      <c r="F75" s="263">
        <v>0</v>
      </c>
      <c r="G75" s="263">
        <v>0</v>
      </c>
      <c r="H75" s="263">
        <v>0</v>
      </c>
      <c r="I75" s="263">
        <v>0</v>
      </c>
      <c r="J75" s="263">
        <v>0</v>
      </c>
      <c r="K75" s="267">
        <v>4</v>
      </c>
    </row>
    <row r="76" spans="1:11">
      <c r="A76" s="9" t="s">
        <v>10623</v>
      </c>
      <c r="B76" s="16">
        <v>7</v>
      </c>
      <c r="C76" s="9"/>
      <c r="D76" s="271" t="s">
        <v>9195</v>
      </c>
      <c r="E76" s="263">
        <v>4</v>
      </c>
      <c r="F76" s="263">
        <v>0</v>
      </c>
      <c r="G76" s="263">
        <v>0</v>
      </c>
      <c r="H76" s="263">
        <v>0</v>
      </c>
      <c r="I76" s="263">
        <v>0</v>
      </c>
      <c r="J76" s="263">
        <v>0</v>
      </c>
      <c r="K76" s="267">
        <v>4</v>
      </c>
    </row>
    <row r="77" spans="1:11">
      <c r="A77" s="9" t="s">
        <v>10624</v>
      </c>
      <c r="B77" s="16">
        <v>7</v>
      </c>
      <c r="C77" s="9"/>
      <c r="D77" s="271" t="s">
        <v>9196</v>
      </c>
      <c r="E77" s="263">
        <v>4</v>
      </c>
      <c r="F77" s="263">
        <v>0</v>
      </c>
      <c r="G77" s="263">
        <v>0</v>
      </c>
      <c r="H77" s="263">
        <v>0</v>
      </c>
      <c r="I77" s="263">
        <v>0</v>
      </c>
      <c r="J77" s="263">
        <v>0</v>
      </c>
      <c r="K77" s="267">
        <v>4</v>
      </c>
    </row>
    <row r="78" spans="1:11">
      <c r="A78" s="9" t="s">
        <v>10625</v>
      </c>
      <c r="B78" s="16">
        <v>7</v>
      </c>
      <c r="C78" s="9"/>
      <c r="D78" s="271" t="s">
        <v>9197</v>
      </c>
      <c r="E78" s="263">
        <v>4</v>
      </c>
      <c r="F78" s="263">
        <v>0</v>
      </c>
      <c r="G78" s="263">
        <v>0</v>
      </c>
      <c r="H78" s="263">
        <v>0</v>
      </c>
      <c r="I78" s="263">
        <v>0</v>
      </c>
      <c r="J78" s="263">
        <v>0</v>
      </c>
      <c r="K78" s="267">
        <v>4</v>
      </c>
    </row>
    <row r="79" spans="1:11">
      <c r="A79" s="9" t="s">
        <v>10626</v>
      </c>
      <c r="B79" s="16">
        <v>7</v>
      </c>
      <c r="C79" s="9"/>
      <c r="D79" s="271" t="s">
        <v>9198</v>
      </c>
      <c r="E79" s="263">
        <v>0</v>
      </c>
      <c r="F79" s="263">
        <v>0</v>
      </c>
      <c r="G79" s="263">
        <v>4</v>
      </c>
      <c r="H79" s="263">
        <v>0</v>
      </c>
      <c r="I79" s="263">
        <v>0</v>
      </c>
      <c r="J79" s="263">
        <v>0</v>
      </c>
      <c r="K79" s="267">
        <v>4</v>
      </c>
    </row>
    <row r="80" spans="1:11">
      <c r="A80" s="9" t="s">
        <v>10627</v>
      </c>
      <c r="B80" s="16">
        <v>7</v>
      </c>
      <c r="C80" s="9"/>
      <c r="D80" s="271" t="s">
        <v>9199</v>
      </c>
      <c r="E80" s="263">
        <v>0</v>
      </c>
      <c r="F80" s="263">
        <v>0</v>
      </c>
      <c r="G80" s="263">
        <v>4</v>
      </c>
      <c r="H80" s="263">
        <v>0</v>
      </c>
      <c r="I80" s="263">
        <v>0</v>
      </c>
      <c r="J80" s="263">
        <v>0</v>
      </c>
      <c r="K80" s="267">
        <v>4</v>
      </c>
    </row>
    <row r="81" spans="1:11">
      <c r="A81" s="9" t="s">
        <v>10628</v>
      </c>
      <c r="B81" s="16">
        <v>7</v>
      </c>
      <c r="C81" s="9"/>
      <c r="D81" s="271" t="s">
        <v>9200</v>
      </c>
      <c r="E81" s="263">
        <v>0</v>
      </c>
      <c r="F81" s="263">
        <v>0</v>
      </c>
      <c r="G81" s="263">
        <v>4</v>
      </c>
      <c r="H81" s="263">
        <v>0</v>
      </c>
      <c r="I81" s="263">
        <v>0</v>
      </c>
      <c r="J81" s="263">
        <v>0</v>
      </c>
      <c r="K81" s="267">
        <v>4</v>
      </c>
    </row>
    <row r="82" spans="1:11">
      <c r="A82" s="9" t="s">
        <v>10629</v>
      </c>
      <c r="B82" s="16">
        <v>7</v>
      </c>
      <c r="C82" s="9"/>
      <c r="D82" s="271" t="s">
        <v>9201</v>
      </c>
      <c r="E82" s="263">
        <v>0</v>
      </c>
      <c r="F82" s="263">
        <v>8</v>
      </c>
      <c r="G82" s="263">
        <v>0</v>
      </c>
      <c r="H82" s="263">
        <v>0</v>
      </c>
      <c r="I82" s="263">
        <v>0</v>
      </c>
      <c r="J82" s="263">
        <v>0</v>
      </c>
      <c r="K82" s="267">
        <v>8</v>
      </c>
    </row>
    <row r="83" spans="1:11">
      <c r="A83" s="9" t="s">
        <v>10630</v>
      </c>
      <c r="B83" s="16">
        <v>7</v>
      </c>
      <c r="C83" s="9"/>
      <c r="D83" s="271" t="s">
        <v>9202</v>
      </c>
      <c r="E83" s="263">
        <v>0</v>
      </c>
      <c r="F83" s="263">
        <v>8</v>
      </c>
      <c r="G83" s="263">
        <v>0</v>
      </c>
      <c r="H83" s="263">
        <v>0</v>
      </c>
      <c r="I83" s="263">
        <v>0</v>
      </c>
      <c r="J83" s="263">
        <v>0</v>
      </c>
      <c r="K83" s="267">
        <v>8</v>
      </c>
    </row>
    <row r="84" spans="1:11">
      <c r="B84" s="16">
        <v>7</v>
      </c>
      <c r="C84" s="9"/>
      <c r="D84" s="271"/>
      <c r="E84" s="263"/>
      <c r="F84" s="263"/>
      <c r="G84" s="263"/>
      <c r="H84" s="263"/>
      <c r="I84" s="263"/>
      <c r="J84" s="263"/>
      <c r="K84" s="267">
        <v>0</v>
      </c>
    </row>
    <row r="85" spans="1:11" ht="15.75" customHeight="1">
      <c r="B85" s="16">
        <v>7</v>
      </c>
      <c r="C85" s="9"/>
      <c r="D85" s="272" t="s">
        <v>3674</v>
      </c>
      <c r="E85" s="273">
        <v>20</v>
      </c>
      <c r="F85" s="273">
        <v>16</v>
      </c>
      <c r="G85" s="273">
        <v>12</v>
      </c>
      <c r="H85" s="273">
        <v>28</v>
      </c>
      <c r="I85" s="273">
        <v>0</v>
      </c>
      <c r="J85" s="273">
        <v>44</v>
      </c>
      <c r="K85" s="273">
        <v>120</v>
      </c>
    </row>
    <row r="86" spans="1:11">
      <c r="C86" s="9"/>
      <c r="D86" s="271"/>
      <c r="E86" s="263"/>
      <c r="F86" s="263"/>
      <c r="G86" s="263"/>
      <c r="H86" s="263"/>
      <c r="I86" s="263"/>
      <c r="J86" s="263"/>
      <c r="K86" s="267">
        <v>0</v>
      </c>
    </row>
    <row r="87" spans="1:11">
      <c r="A87" s="9" t="s">
        <v>10631</v>
      </c>
      <c r="B87" s="16">
        <v>8</v>
      </c>
      <c r="C87" s="9"/>
      <c r="D87" s="271" t="s">
        <v>9203</v>
      </c>
      <c r="E87" s="263">
        <v>0</v>
      </c>
      <c r="F87" s="263">
        <v>0</v>
      </c>
      <c r="G87" s="263">
        <v>0</v>
      </c>
      <c r="H87" s="263">
        <v>7.2</v>
      </c>
      <c r="I87" s="263">
        <v>0</v>
      </c>
      <c r="J87" s="263">
        <v>0</v>
      </c>
      <c r="K87" s="267">
        <v>7.2</v>
      </c>
    </row>
    <row r="88" spans="1:11">
      <c r="A88" s="9" t="s">
        <v>10632</v>
      </c>
      <c r="B88" s="16">
        <v>8</v>
      </c>
      <c r="C88" s="9"/>
      <c r="D88" s="271" t="s">
        <v>9204</v>
      </c>
      <c r="E88" s="263">
        <v>0</v>
      </c>
      <c r="F88" s="263">
        <v>0</v>
      </c>
      <c r="G88" s="263">
        <v>0</v>
      </c>
      <c r="H88" s="263">
        <v>0</v>
      </c>
      <c r="I88" s="263">
        <v>0</v>
      </c>
      <c r="J88" s="263">
        <v>4.8000000000000007</v>
      </c>
      <c r="K88" s="267">
        <v>4.8000000000000007</v>
      </c>
    </row>
    <row r="89" spans="1:11">
      <c r="A89" s="9" t="s">
        <v>10633</v>
      </c>
      <c r="B89" s="16">
        <v>8</v>
      </c>
      <c r="C89" s="9"/>
      <c r="D89" s="271" t="s">
        <v>9205</v>
      </c>
      <c r="E89" s="263">
        <v>0</v>
      </c>
      <c r="F89" s="263">
        <v>0</v>
      </c>
      <c r="G89" s="263">
        <v>0</v>
      </c>
      <c r="H89" s="263">
        <v>0</v>
      </c>
      <c r="I89" s="263">
        <v>0</v>
      </c>
      <c r="J89" s="263">
        <v>7.2</v>
      </c>
      <c r="K89" s="267">
        <v>7.2</v>
      </c>
    </row>
    <row r="90" spans="1:11" ht="31.5">
      <c r="A90" s="9" t="s">
        <v>10634</v>
      </c>
      <c r="B90" s="16">
        <v>8</v>
      </c>
      <c r="C90" s="9"/>
      <c r="D90" s="271" t="s">
        <v>9206</v>
      </c>
      <c r="E90" s="263">
        <v>0</v>
      </c>
      <c r="F90" s="263">
        <v>0</v>
      </c>
      <c r="G90" s="263">
        <v>0</v>
      </c>
      <c r="H90" s="263">
        <v>0</v>
      </c>
      <c r="I90" s="263">
        <v>0</v>
      </c>
      <c r="J90" s="263">
        <v>7.2</v>
      </c>
      <c r="K90" s="267">
        <v>7.2</v>
      </c>
    </row>
    <row r="91" spans="1:11">
      <c r="A91" s="9" t="s">
        <v>10635</v>
      </c>
      <c r="B91" s="16">
        <v>8</v>
      </c>
      <c r="C91" s="9"/>
      <c r="D91" s="271" t="s">
        <v>9207</v>
      </c>
      <c r="E91" s="263">
        <v>0</v>
      </c>
      <c r="F91" s="263">
        <v>0</v>
      </c>
      <c r="G91" s="263">
        <v>0</v>
      </c>
      <c r="H91" s="263">
        <v>0</v>
      </c>
      <c r="I91" s="263">
        <v>0</v>
      </c>
      <c r="J91" s="263">
        <v>5.6000000000000005</v>
      </c>
      <c r="K91" s="267">
        <v>5.6000000000000005</v>
      </c>
    </row>
    <row r="92" spans="1:11">
      <c r="A92" s="9" t="s">
        <v>10636</v>
      </c>
      <c r="B92" s="16">
        <v>8</v>
      </c>
      <c r="C92" s="9"/>
      <c r="D92" s="271" t="s">
        <v>9208</v>
      </c>
      <c r="E92" s="263">
        <v>0</v>
      </c>
      <c r="F92" s="263">
        <v>0</v>
      </c>
      <c r="G92" s="263">
        <v>0</v>
      </c>
      <c r="H92" s="263">
        <v>0</v>
      </c>
      <c r="I92" s="263">
        <v>0</v>
      </c>
      <c r="J92" s="263">
        <v>5.6000000000000005</v>
      </c>
      <c r="K92" s="267">
        <v>5.6000000000000005</v>
      </c>
    </row>
    <row r="93" spans="1:11">
      <c r="A93" s="9" t="s">
        <v>10637</v>
      </c>
      <c r="B93" s="16">
        <v>8</v>
      </c>
      <c r="C93" s="9"/>
      <c r="D93" s="271" t="s">
        <v>9209</v>
      </c>
      <c r="E93" s="263">
        <v>7.2</v>
      </c>
      <c r="F93" s="263">
        <v>0</v>
      </c>
      <c r="G93" s="263">
        <v>0</v>
      </c>
      <c r="H93" s="263">
        <v>0</v>
      </c>
      <c r="I93" s="263">
        <v>0</v>
      </c>
      <c r="J93" s="263">
        <v>0</v>
      </c>
      <c r="K93" s="267">
        <v>7.2</v>
      </c>
    </row>
    <row r="94" spans="1:11">
      <c r="A94" s="9" t="s">
        <v>10638</v>
      </c>
      <c r="B94" s="16">
        <v>8</v>
      </c>
      <c r="C94" s="9"/>
      <c r="D94" s="271" t="s">
        <v>9210</v>
      </c>
      <c r="E94" s="263">
        <v>6.4</v>
      </c>
      <c r="F94" s="263">
        <v>0</v>
      </c>
      <c r="G94" s="263">
        <v>0</v>
      </c>
      <c r="H94" s="263">
        <v>0</v>
      </c>
      <c r="I94" s="263">
        <v>0</v>
      </c>
      <c r="J94" s="263">
        <v>0</v>
      </c>
      <c r="K94" s="267">
        <v>6.4</v>
      </c>
    </row>
    <row r="95" spans="1:11" ht="31.5">
      <c r="A95" s="9" t="s">
        <v>10639</v>
      </c>
      <c r="B95" s="16">
        <v>8</v>
      </c>
      <c r="C95" s="9"/>
      <c r="D95" s="271" t="s">
        <v>9211</v>
      </c>
      <c r="E95" s="263">
        <v>7.2</v>
      </c>
      <c r="F95" s="263">
        <v>0</v>
      </c>
      <c r="G95" s="263">
        <v>0</v>
      </c>
      <c r="H95" s="263">
        <v>0</v>
      </c>
      <c r="I95" s="263">
        <v>0</v>
      </c>
      <c r="J95" s="263">
        <v>0</v>
      </c>
      <c r="K95" s="267">
        <v>7.2</v>
      </c>
    </row>
    <row r="96" spans="1:11">
      <c r="A96" s="9" t="s">
        <v>10640</v>
      </c>
      <c r="B96" s="16">
        <v>8</v>
      </c>
      <c r="C96" s="9"/>
      <c r="D96" s="271" t="s">
        <v>9212</v>
      </c>
      <c r="E96" s="263">
        <v>8</v>
      </c>
      <c r="F96" s="263">
        <v>0</v>
      </c>
      <c r="G96" s="263">
        <v>0</v>
      </c>
      <c r="H96" s="263">
        <v>0</v>
      </c>
      <c r="I96" s="263">
        <v>0</v>
      </c>
      <c r="J96" s="263">
        <v>0</v>
      </c>
      <c r="K96" s="267">
        <v>8</v>
      </c>
    </row>
    <row r="97" spans="1:11">
      <c r="A97" s="9" t="s">
        <v>10641</v>
      </c>
      <c r="B97" s="16">
        <v>8</v>
      </c>
      <c r="C97" s="9"/>
      <c r="D97" s="271" t="s">
        <v>9213</v>
      </c>
      <c r="E97" s="263">
        <v>5.6000000000000005</v>
      </c>
      <c r="F97" s="263">
        <v>0</v>
      </c>
      <c r="G97" s="263">
        <v>0</v>
      </c>
      <c r="H97" s="263">
        <v>0</v>
      </c>
      <c r="I97" s="263">
        <v>0</v>
      </c>
      <c r="J97" s="263">
        <v>0</v>
      </c>
      <c r="K97" s="267">
        <v>5.6000000000000005</v>
      </c>
    </row>
    <row r="98" spans="1:11">
      <c r="A98" s="9" t="s">
        <v>10642</v>
      </c>
      <c r="B98" s="16">
        <v>8</v>
      </c>
      <c r="C98" s="9"/>
      <c r="D98" s="271" t="s">
        <v>9214</v>
      </c>
      <c r="E98" s="263">
        <v>8</v>
      </c>
      <c r="F98" s="263">
        <v>0</v>
      </c>
      <c r="G98" s="263">
        <v>0</v>
      </c>
      <c r="H98" s="263">
        <v>0</v>
      </c>
      <c r="I98" s="263">
        <v>0</v>
      </c>
      <c r="J98" s="263">
        <v>0</v>
      </c>
      <c r="K98" s="267">
        <v>8</v>
      </c>
    </row>
    <row r="99" spans="1:11">
      <c r="A99" s="9" t="s">
        <v>10643</v>
      </c>
      <c r="B99" s="16">
        <v>8</v>
      </c>
      <c r="C99" s="9"/>
      <c r="D99" s="271" t="s">
        <v>9215</v>
      </c>
      <c r="E99" s="263">
        <v>0</v>
      </c>
      <c r="F99" s="263">
        <v>0</v>
      </c>
      <c r="G99" s="263">
        <v>8</v>
      </c>
      <c r="H99" s="263">
        <v>0</v>
      </c>
      <c r="I99" s="263">
        <v>0</v>
      </c>
      <c r="J99" s="263">
        <v>0</v>
      </c>
      <c r="K99" s="267">
        <v>8</v>
      </c>
    </row>
    <row r="100" spans="1:11">
      <c r="A100" s="9" t="s">
        <v>10644</v>
      </c>
      <c r="B100" s="16">
        <v>8</v>
      </c>
      <c r="C100" s="9"/>
      <c r="D100" s="271" t="s">
        <v>9216</v>
      </c>
      <c r="E100" s="263">
        <v>0</v>
      </c>
      <c r="F100" s="263">
        <v>0</v>
      </c>
      <c r="G100" s="263">
        <v>8</v>
      </c>
      <c r="H100" s="263">
        <v>0</v>
      </c>
      <c r="I100" s="263">
        <v>0</v>
      </c>
      <c r="J100" s="263">
        <v>0</v>
      </c>
      <c r="K100" s="267">
        <v>8</v>
      </c>
    </row>
    <row r="101" spans="1:11">
      <c r="A101" s="9" t="s">
        <v>10645</v>
      </c>
      <c r="B101" s="16">
        <v>8</v>
      </c>
      <c r="C101" s="9"/>
      <c r="D101" s="271" t="s">
        <v>9217</v>
      </c>
      <c r="E101" s="263">
        <v>0</v>
      </c>
      <c r="F101" s="263">
        <v>0</v>
      </c>
      <c r="G101" s="263">
        <v>8</v>
      </c>
      <c r="H101" s="263">
        <v>0</v>
      </c>
      <c r="I101" s="263">
        <v>0</v>
      </c>
      <c r="J101" s="263">
        <v>0</v>
      </c>
      <c r="K101" s="267">
        <v>8</v>
      </c>
    </row>
    <row r="102" spans="1:11">
      <c r="A102" s="9" t="s">
        <v>10646</v>
      </c>
      <c r="B102" s="16">
        <v>8</v>
      </c>
      <c r="C102" s="9"/>
      <c r="D102" s="271" t="s">
        <v>9218</v>
      </c>
      <c r="E102" s="263">
        <v>0</v>
      </c>
      <c r="F102" s="263">
        <v>8</v>
      </c>
      <c r="G102" s="263">
        <v>0</v>
      </c>
      <c r="H102" s="263">
        <v>0</v>
      </c>
      <c r="I102" s="263">
        <v>0</v>
      </c>
      <c r="J102" s="263">
        <v>0</v>
      </c>
      <c r="K102" s="267">
        <v>8</v>
      </c>
    </row>
    <row r="103" spans="1:11">
      <c r="A103" s="9" t="s">
        <v>10647</v>
      </c>
      <c r="B103" s="16">
        <v>8</v>
      </c>
      <c r="C103" s="9"/>
      <c r="D103" s="271" t="s">
        <v>9219</v>
      </c>
      <c r="E103" s="263">
        <v>0</v>
      </c>
      <c r="F103" s="263">
        <v>8</v>
      </c>
      <c r="G103" s="263">
        <v>0</v>
      </c>
      <c r="H103" s="263">
        <v>0</v>
      </c>
      <c r="I103" s="263">
        <v>0</v>
      </c>
      <c r="J103" s="263">
        <v>0</v>
      </c>
      <c r="K103" s="267">
        <v>8</v>
      </c>
    </row>
    <row r="104" spans="1:11">
      <c r="B104" s="16">
        <v>8</v>
      </c>
      <c r="C104" s="9"/>
      <c r="D104" s="271"/>
      <c r="E104" s="263"/>
      <c r="F104" s="263"/>
      <c r="G104" s="263"/>
      <c r="H104" s="263"/>
      <c r="I104" s="263"/>
      <c r="J104" s="263"/>
      <c r="K104" s="267">
        <v>0</v>
      </c>
    </row>
    <row r="105" spans="1:11" ht="15.75" customHeight="1">
      <c r="B105" s="16">
        <v>8</v>
      </c>
      <c r="C105" s="9"/>
      <c r="D105" s="272" t="s">
        <v>3674</v>
      </c>
      <c r="E105" s="273">
        <v>42.4</v>
      </c>
      <c r="F105" s="273">
        <v>16</v>
      </c>
      <c r="G105" s="273">
        <v>24</v>
      </c>
      <c r="H105" s="273">
        <v>7.2</v>
      </c>
      <c r="I105" s="273">
        <v>0</v>
      </c>
      <c r="J105" s="273">
        <v>30.400000000000002</v>
      </c>
      <c r="K105" s="273">
        <v>120</v>
      </c>
    </row>
    <row r="106" spans="1:11">
      <c r="C106" s="9"/>
      <c r="D106" s="271"/>
      <c r="E106" s="263"/>
      <c r="F106" s="263"/>
      <c r="G106" s="263"/>
      <c r="H106" s="263"/>
      <c r="I106" s="263"/>
      <c r="J106" s="263"/>
      <c r="K106" s="267">
        <v>0</v>
      </c>
    </row>
    <row r="107" spans="1:11">
      <c r="A107" s="9" t="s">
        <v>10648</v>
      </c>
      <c r="B107" s="16">
        <v>9</v>
      </c>
      <c r="C107" s="9"/>
      <c r="D107" s="271" t="s">
        <v>9220</v>
      </c>
      <c r="E107" s="263">
        <v>0</v>
      </c>
      <c r="F107" s="263">
        <v>0</v>
      </c>
      <c r="G107" s="263">
        <v>0</v>
      </c>
      <c r="H107" s="263">
        <v>4</v>
      </c>
      <c r="I107" s="263">
        <v>0</v>
      </c>
      <c r="J107" s="263">
        <v>0</v>
      </c>
      <c r="K107" s="267">
        <v>4</v>
      </c>
    </row>
    <row r="108" spans="1:11">
      <c r="A108" s="9" t="s">
        <v>10649</v>
      </c>
      <c r="B108" s="16">
        <v>9</v>
      </c>
      <c r="C108" s="9"/>
      <c r="D108" s="271" t="s">
        <v>9221</v>
      </c>
      <c r="E108" s="263">
        <v>0</v>
      </c>
      <c r="F108" s="263">
        <v>0</v>
      </c>
      <c r="G108" s="263">
        <v>0</v>
      </c>
      <c r="H108" s="263">
        <v>0</v>
      </c>
      <c r="I108" s="263">
        <v>0</v>
      </c>
      <c r="J108" s="263">
        <v>4</v>
      </c>
      <c r="K108" s="267">
        <v>4</v>
      </c>
    </row>
    <row r="109" spans="1:11">
      <c r="A109" s="9" t="s">
        <v>10650</v>
      </c>
      <c r="B109" s="16">
        <v>9</v>
      </c>
      <c r="C109" s="9"/>
      <c r="D109" s="271" t="s">
        <v>9222</v>
      </c>
      <c r="E109" s="263">
        <v>0</v>
      </c>
      <c r="F109" s="263">
        <v>0</v>
      </c>
      <c r="G109" s="263">
        <v>0</v>
      </c>
      <c r="H109" s="263">
        <v>0</v>
      </c>
      <c r="I109" s="263">
        <v>0</v>
      </c>
      <c r="J109" s="263">
        <v>8</v>
      </c>
      <c r="K109" s="267">
        <v>8</v>
      </c>
    </row>
    <row r="110" spans="1:11">
      <c r="A110" s="9" t="s">
        <v>10651</v>
      </c>
      <c r="B110" s="16">
        <v>9</v>
      </c>
      <c r="C110" s="9"/>
      <c r="D110" s="271" t="s">
        <v>9223</v>
      </c>
      <c r="E110" s="263">
        <v>0</v>
      </c>
      <c r="F110" s="263">
        <v>0</v>
      </c>
      <c r="G110" s="263">
        <v>0</v>
      </c>
      <c r="H110" s="263">
        <v>0</v>
      </c>
      <c r="I110" s="263">
        <v>0</v>
      </c>
      <c r="J110" s="263">
        <v>4</v>
      </c>
      <c r="K110" s="267">
        <v>4</v>
      </c>
    </row>
    <row r="111" spans="1:11">
      <c r="A111" s="9" t="s">
        <v>10652</v>
      </c>
      <c r="B111" s="16">
        <v>9</v>
      </c>
      <c r="C111" s="9"/>
      <c r="D111" s="271" t="s">
        <v>9224</v>
      </c>
      <c r="E111" s="263">
        <v>0</v>
      </c>
      <c r="F111" s="263">
        <v>0</v>
      </c>
      <c r="G111" s="263">
        <v>0</v>
      </c>
      <c r="H111" s="263">
        <v>0</v>
      </c>
      <c r="I111" s="263">
        <v>0</v>
      </c>
      <c r="J111" s="263">
        <v>4</v>
      </c>
      <c r="K111" s="267">
        <v>4</v>
      </c>
    </row>
    <row r="112" spans="1:11">
      <c r="A112" s="9" t="s">
        <v>10653</v>
      </c>
      <c r="B112" s="16">
        <v>9</v>
      </c>
      <c r="C112" s="9"/>
      <c r="D112" s="271" t="s">
        <v>9225</v>
      </c>
      <c r="E112" s="263">
        <v>0</v>
      </c>
      <c r="F112" s="263">
        <v>0</v>
      </c>
      <c r="G112" s="263">
        <v>0</v>
      </c>
      <c r="H112" s="263">
        <v>0</v>
      </c>
      <c r="I112" s="263">
        <v>0</v>
      </c>
      <c r="J112" s="263">
        <v>4</v>
      </c>
      <c r="K112" s="267">
        <v>4</v>
      </c>
    </row>
    <row r="113" spans="1:11">
      <c r="A113" s="9" t="s">
        <v>10654</v>
      </c>
      <c r="B113" s="16">
        <v>9</v>
      </c>
      <c r="C113" s="9"/>
      <c r="D113" s="271" t="s">
        <v>9226</v>
      </c>
      <c r="E113" s="263">
        <v>0</v>
      </c>
      <c r="F113" s="263">
        <v>0</v>
      </c>
      <c r="G113" s="263">
        <v>0</v>
      </c>
      <c r="H113" s="263">
        <v>0</v>
      </c>
      <c r="I113" s="263">
        <v>0</v>
      </c>
      <c r="J113" s="263">
        <v>4</v>
      </c>
      <c r="K113" s="267">
        <v>4</v>
      </c>
    </row>
    <row r="114" spans="1:11">
      <c r="A114" s="9" t="s">
        <v>10655</v>
      </c>
      <c r="B114" s="16">
        <v>9</v>
      </c>
      <c r="C114" s="9"/>
      <c r="D114" s="271" t="s">
        <v>9227</v>
      </c>
      <c r="E114" s="263">
        <v>0</v>
      </c>
      <c r="F114" s="263">
        <v>0</v>
      </c>
      <c r="G114" s="263">
        <v>0</v>
      </c>
      <c r="H114" s="263">
        <v>0</v>
      </c>
      <c r="I114" s="263">
        <v>0</v>
      </c>
      <c r="J114" s="263">
        <v>4</v>
      </c>
      <c r="K114" s="267">
        <v>4</v>
      </c>
    </row>
    <row r="115" spans="1:11">
      <c r="A115" s="9" t="s">
        <v>10656</v>
      </c>
      <c r="B115" s="16">
        <v>9</v>
      </c>
      <c r="C115" s="9"/>
      <c r="D115" s="271" t="s">
        <v>9228</v>
      </c>
      <c r="E115" s="263">
        <v>8</v>
      </c>
      <c r="F115" s="263">
        <v>0</v>
      </c>
      <c r="G115" s="263">
        <v>0</v>
      </c>
      <c r="H115" s="263">
        <v>0</v>
      </c>
      <c r="I115" s="263">
        <v>0</v>
      </c>
      <c r="J115" s="263">
        <v>0</v>
      </c>
      <c r="K115" s="267">
        <v>8</v>
      </c>
    </row>
    <row r="116" spans="1:11">
      <c r="A116" s="9" t="s">
        <v>10657</v>
      </c>
      <c r="B116" s="16">
        <v>9</v>
      </c>
      <c r="C116" s="9"/>
      <c r="D116" s="271" t="s">
        <v>9229</v>
      </c>
      <c r="E116" s="263">
        <v>8</v>
      </c>
      <c r="F116" s="263">
        <v>0</v>
      </c>
      <c r="G116" s="263">
        <v>0</v>
      </c>
      <c r="H116" s="263">
        <v>0</v>
      </c>
      <c r="I116" s="263">
        <v>0</v>
      </c>
      <c r="J116" s="263">
        <v>0</v>
      </c>
      <c r="K116" s="267">
        <v>8</v>
      </c>
    </row>
    <row r="117" spans="1:11">
      <c r="A117" s="9" t="s">
        <v>10658</v>
      </c>
      <c r="B117" s="16">
        <v>9</v>
      </c>
      <c r="C117" s="9"/>
      <c r="D117" s="271" t="s">
        <v>9230</v>
      </c>
      <c r="E117" s="263">
        <v>4</v>
      </c>
      <c r="F117" s="263">
        <v>0</v>
      </c>
      <c r="G117" s="263">
        <v>0</v>
      </c>
      <c r="H117" s="263">
        <v>0</v>
      </c>
      <c r="I117" s="263">
        <v>0</v>
      </c>
      <c r="J117" s="263">
        <v>0</v>
      </c>
      <c r="K117" s="267">
        <v>4</v>
      </c>
    </row>
    <row r="118" spans="1:11">
      <c r="A118" s="9" t="s">
        <v>10659</v>
      </c>
      <c r="B118" s="16">
        <v>9</v>
      </c>
      <c r="C118" s="9"/>
      <c r="D118" s="271" t="s">
        <v>9231</v>
      </c>
      <c r="E118" s="263">
        <v>4</v>
      </c>
      <c r="F118" s="263">
        <v>0</v>
      </c>
      <c r="G118" s="263">
        <v>0</v>
      </c>
      <c r="H118" s="263">
        <v>0</v>
      </c>
      <c r="I118" s="263">
        <v>0</v>
      </c>
      <c r="J118" s="263">
        <v>0</v>
      </c>
      <c r="K118" s="267">
        <v>4</v>
      </c>
    </row>
    <row r="119" spans="1:11">
      <c r="A119" s="9" t="s">
        <v>10660</v>
      </c>
      <c r="B119" s="16">
        <v>9</v>
      </c>
      <c r="C119" s="9"/>
      <c r="D119" s="271" t="s">
        <v>9232</v>
      </c>
      <c r="E119" s="263">
        <v>8</v>
      </c>
      <c r="F119" s="263">
        <v>0</v>
      </c>
      <c r="G119" s="263">
        <v>0</v>
      </c>
      <c r="H119" s="263">
        <v>0</v>
      </c>
      <c r="I119" s="263">
        <v>0</v>
      </c>
      <c r="J119" s="263">
        <v>0</v>
      </c>
      <c r="K119" s="267">
        <v>8</v>
      </c>
    </row>
    <row r="120" spans="1:11">
      <c r="A120" s="9" t="s">
        <v>10661</v>
      </c>
      <c r="B120" s="16">
        <v>9</v>
      </c>
      <c r="C120" s="9"/>
      <c r="D120" s="271" t="s">
        <v>9233</v>
      </c>
      <c r="E120" s="263">
        <v>8</v>
      </c>
      <c r="F120" s="263">
        <v>0</v>
      </c>
      <c r="G120" s="263">
        <v>0</v>
      </c>
      <c r="H120" s="263">
        <v>0</v>
      </c>
      <c r="I120" s="263">
        <v>0</v>
      </c>
      <c r="J120" s="263">
        <v>0</v>
      </c>
      <c r="K120" s="267">
        <v>8</v>
      </c>
    </row>
    <row r="121" spans="1:11">
      <c r="A121" s="9" t="s">
        <v>10662</v>
      </c>
      <c r="B121" s="16">
        <v>9</v>
      </c>
      <c r="C121" s="9"/>
      <c r="D121" s="271" t="s">
        <v>9234</v>
      </c>
      <c r="E121" s="263">
        <v>8</v>
      </c>
      <c r="F121" s="263">
        <v>0</v>
      </c>
      <c r="G121" s="263">
        <v>0</v>
      </c>
      <c r="H121" s="263">
        <v>0</v>
      </c>
      <c r="I121" s="263">
        <v>0</v>
      </c>
      <c r="J121" s="263">
        <v>0</v>
      </c>
      <c r="K121" s="267">
        <v>8</v>
      </c>
    </row>
    <row r="122" spans="1:11">
      <c r="A122" s="9" t="s">
        <v>10663</v>
      </c>
      <c r="B122" s="16">
        <v>9</v>
      </c>
      <c r="C122" s="9"/>
      <c r="D122" s="271" t="s">
        <v>9235</v>
      </c>
      <c r="E122" s="263">
        <v>8</v>
      </c>
      <c r="F122" s="263">
        <v>0</v>
      </c>
      <c r="G122" s="263">
        <v>0</v>
      </c>
      <c r="H122" s="263">
        <v>0</v>
      </c>
      <c r="I122" s="263">
        <v>0</v>
      </c>
      <c r="J122" s="263">
        <v>0</v>
      </c>
      <c r="K122" s="267">
        <v>8</v>
      </c>
    </row>
    <row r="123" spans="1:11">
      <c r="A123" s="9" t="s">
        <v>10664</v>
      </c>
      <c r="B123" s="16">
        <v>9</v>
      </c>
      <c r="C123" s="9"/>
      <c r="D123" s="271" t="s">
        <v>9236</v>
      </c>
      <c r="E123" s="263">
        <v>0</v>
      </c>
      <c r="F123" s="263">
        <v>0</v>
      </c>
      <c r="G123" s="263">
        <v>4</v>
      </c>
      <c r="H123" s="263">
        <v>0</v>
      </c>
      <c r="I123" s="263">
        <v>0</v>
      </c>
      <c r="J123" s="263">
        <v>0</v>
      </c>
      <c r="K123" s="267">
        <v>4</v>
      </c>
    </row>
    <row r="124" spans="1:11">
      <c r="A124" s="9" t="s">
        <v>10665</v>
      </c>
      <c r="B124" s="16">
        <v>9</v>
      </c>
      <c r="C124" s="9"/>
      <c r="D124" s="271" t="s">
        <v>9237</v>
      </c>
      <c r="E124" s="263">
        <v>0</v>
      </c>
      <c r="F124" s="263">
        <v>0</v>
      </c>
      <c r="G124" s="263">
        <v>4</v>
      </c>
      <c r="H124" s="263">
        <v>0</v>
      </c>
      <c r="I124" s="263">
        <v>0</v>
      </c>
      <c r="J124" s="263">
        <v>0</v>
      </c>
      <c r="K124" s="267">
        <v>4</v>
      </c>
    </row>
    <row r="125" spans="1:11">
      <c r="A125" s="9" t="s">
        <v>10666</v>
      </c>
      <c r="B125" s="16">
        <v>9</v>
      </c>
      <c r="C125" s="9"/>
      <c r="D125" s="271" t="s">
        <v>9238</v>
      </c>
      <c r="E125" s="263">
        <v>0</v>
      </c>
      <c r="F125" s="263">
        <v>0</v>
      </c>
      <c r="G125" s="263">
        <v>4</v>
      </c>
      <c r="H125" s="263">
        <v>0</v>
      </c>
      <c r="I125" s="263">
        <v>0</v>
      </c>
      <c r="J125" s="263">
        <v>0</v>
      </c>
      <c r="K125" s="267">
        <v>4</v>
      </c>
    </row>
    <row r="126" spans="1:11" ht="31.5">
      <c r="A126" s="9" t="s">
        <v>10667</v>
      </c>
      <c r="B126" s="16">
        <v>9</v>
      </c>
      <c r="C126" s="9"/>
      <c r="D126" s="271" t="s">
        <v>9240</v>
      </c>
      <c r="E126" s="263">
        <v>0</v>
      </c>
      <c r="F126" s="263">
        <v>8</v>
      </c>
      <c r="G126" s="263">
        <v>0</v>
      </c>
      <c r="H126" s="263">
        <v>0</v>
      </c>
      <c r="I126" s="263">
        <v>0</v>
      </c>
      <c r="J126" s="263">
        <v>0</v>
      </c>
      <c r="K126" s="267">
        <v>8</v>
      </c>
    </row>
    <row r="127" spans="1:11">
      <c r="A127" s="9" t="s">
        <v>10668</v>
      </c>
      <c r="B127" s="16">
        <v>9</v>
      </c>
      <c r="C127" s="9"/>
      <c r="D127" s="271" t="s">
        <v>9239</v>
      </c>
      <c r="E127" s="263">
        <v>0</v>
      </c>
      <c r="F127" s="263">
        <v>8</v>
      </c>
      <c r="G127" s="263">
        <v>0</v>
      </c>
      <c r="H127" s="263">
        <v>0</v>
      </c>
      <c r="I127" s="263">
        <v>0</v>
      </c>
      <c r="J127" s="263">
        <v>0</v>
      </c>
      <c r="K127" s="267">
        <v>8</v>
      </c>
    </row>
    <row r="128" spans="1:11">
      <c r="B128" s="16">
        <v>9</v>
      </c>
      <c r="C128" s="9"/>
      <c r="D128" s="271"/>
      <c r="E128" s="263"/>
      <c r="F128" s="263"/>
      <c r="G128" s="263"/>
      <c r="H128" s="263"/>
      <c r="I128" s="263"/>
      <c r="J128" s="263"/>
      <c r="K128" s="267">
        <v>0</v>
      </c>
    </row>
    <row r="129" spans="1:11" ht="15.75" customHeight="1">
      <c r="B129" s="16">
        <v>9</v>
      </c>
      <c r="C129" s="9"/>
      <c r="D129" s="272" t="s">
        <v>3674</v>
      </c>
      <c r="E129" s="273">
        <v>56</v>
      </c>
      <c r="F129" s="273">
        <v>16</v>
      </c>
      <c r="G129" s="273">
        <v>12</v>
      </c>
      <c r="H129" s="273">
        <v>4</v>
      </c>
      <c r="I129" s="273">
        <v>0</v>
      </c>
      <c r="J129" s="273">
        <v>32</v>
      </c>
      <c r="K129" s="273">
        <v>120</v>
      </c>
    </row>
    <row r="130" spans="1:11">
      <c r="C130" s="9"/>
      <c r="D130" s="271"/>
      <c r="E130" s="263"/>
      <c r="F130" s="263"/>
      <c r="G130" s="263"/>
      <c r="H130" s="263"/>
      <c r="I130" s="263"/>
      <c r="J130" s="263"/>
      <c r="K130" s="267">
        <v>0</v>
      </c>
    </row>
    <row r="131" spans="1:11">
      <c r="A131" s="9" t="s">
        <v>10669</v>
      </c>
      <c r="B131" s="16">
        <v>10</v>
      </c>
      <c r="C131" s="9"/>
      <c r="D131" s="271" t="s">
        <v>9241</v>
      </c>
      <c r="E131" s="263">
        <v>0</v>
      </c>
      <c r="F131" s="263">
        <v>0</v>
      </c>
      <c r="G131" s="263">
        <v>0</v>
      </c>
      <c r="H131" s="263">
        <v>4</v>
      </c>
      <c r="I131" s="263">
        <v>0</v>
      </c>
      <c r="J131" s="263">
        <v>0</v>
      </c>
      <c r="K131" s="267">
        <v>4</v>
      </c>
    </row>
    <row r="132" spans="1:11">
      <c r="A132" s="9" t="s">
        <v>10670</v>
      </c>
      <c r="B132" s="16">
        <v>10</v>
      </c>
      <c r="C132" s="9"/>
      <c r="D132" s="271" t="s">
        <v>9242</v>
      </c>
      <c r="E132" s="263">
        <v>0</v>
      </c>
      <c r="F132" s="263">
        <v>0</v>
      </c>
      <c r="G132" s="263">
        <v>0</v>
      </c>
      <c r="H132" s="263">
        <v>0</v>
      </c>
      <c r="I132" s="263">
        <v>0</v>
      </c>
      <c r="J132" s="263">
        <v>4</v>
      </c>
      <c r="K132" s="267">
        <v>4</v>
      </c>
    </row>
    <row r="133" spans="1:11">
      <c r="A133" s="9" t="s">
        <v>10671</v>
      </c>
      <c r="B133" s="16">
        <v>10</v>
      </c>
      <c r="C133" s="9"/>
      <c r="D133" s="271" t="s">
        <v>9243</v>
      </c>
      <c r="E133" s="263">
        <v>0</v>
      </c>
      <c r="F133" s="263">
        <v>0</v>
      </c>
      <c r="G133" s="263">
        <v>0</v>
      </c>
      <c r="H133" s="263">
        <v>0</v>
      </c>
      <c r="I133" s="263">
        <v>0</v>
      </c>
      <c r="J133" s="263">
        <v>4</v>
      </c>
      <c r="K133" s="267">
        <v>4</v>
      </c>
    </row>
    <row r="134" spans="1:11">
      <c r="A134" s="9" t="s">
        <v>10672</v>
      </c>
      <c r="B134" s="16">
        <v>10</v>
      </c>
      <c r="C134" s="9"/>
      <c r="D134" s="271" t="s">
        <v>9244</v>
      </c>
      <c r="E134" s="263">
        <v>0</v>
      </c>
      <c r="F134" s="263">
        <v>0</v>
      </c>
      <c r="G134" s="263">
        <v>0</v>
      </c>
      <c r="H134" s="263">
        <v>0</v>
      </c>
      <c r="I134" s="263">
        <v>0</v>
      </c>
      <c r="J134" s="263">
        <v>8</v>
      </c>
      <c r="K134" s="267">
        <v>8</v>
      </c>
    </row>
    <row r="135" spans="1:11">
      <c r="A135" s="9" t="s">
        <v>10673</v>
      </c>
      <c r="B135" s="16">
        <v>10</v>
      </c>
      <c r="C135" s="9"/>
      <c r="D135" s="271" t="s">
        <v>9245</v>
      </c>
      <c r="E135" s="263">
        <v>0</v>
      </c>
      <c r="F135" s="263">
        <v>0</v>
      </c>
      <c r="G135" s="263">
        <v>0</v>
      </c>
      <c r="H135" s="263">
        <v>2.4000000000000004</v>
      </c>
      <c r="I135" s="263">
        <v>0</v>
      </c>
      <c r="J135" s="263">
        <v>0</v>
      </c>
      <c r="K135" s="267">
        <v>2.4000000000000004</v>
      </c>
    </row>
    <row r="136" spans="1:11">
      <c r="A136" s="9" t="s">
        <v>10674</v>
      </c>
      <c r="B136" s="16">
        <v>10</v>
      </c>
      <c r="C136" s="9"/>
      <c r="D136" s="271" t="s">
        <v>9246</v>
      </c>
      <c r="E136" s="263">
        <v>0</v>
      </c>
      <c r="F136" s="263">
        <v>0</v>
      </c>
      <c r="G136" s="263">
        <v>0</v>
      </c>
      <c r="H136" s="263">
        <v>0</v>
      </c>
      <c r="I136" s="263">
        <v>0</v>
      </c>
      <c r="J136" s="263">
        <v>4</v>
      </c>
      <c r="K136" s="267">
        <v>4</v>
      </c>
    </row>
    <row r="137" spans="1:11">
      <c r="A137" s="9" t="s">
        <v>10675</v>
      </c>
      <c r="B137" s="16">
        <v>10</v>
      </c>
      <c r="C137" s="9"/>
      <c r="D137" s="271" t="s">
        <v>9247</v>
      </c>
      <c r="E137" s="263">
        <v>0</v>
      </c>
      <c r="F137" s="263">
        <v>0</v>
      </c>
      <c r="G137" s="263">
        <v>0</v>
      </c>
      <c r="H137" s="263">
        <v>0</v>
      </c>
      <c r="I137" s="263">
        <v>0</v>
      </c>
      <c r="J137" s="263">
        <v>4</v>
      </c>
      <c r="K137" s="267">
        <v>4</v>
      </c>
    </row>
    <row r="138" spans="1:11">
      <c r="A138" s="9" t="s">
        <v>10676</v>
      </c>
      <c r="B138" s="16">
        <v>10</v>
      </c>
      <c r="C138" s="9"/>
      <c r="D138" s="271" t="s">
        <v>9248</v>
      </c>
      <c r="E138" s="263">
        <v>4</v>
      </c>
      <c r="F138" s="263">
        <v>0</v>
      </c>
      <c r="G138" s="263">
        <v>0</v>
      </c>
      <c r="H138" s="263">
        <v>0</v>
      </c>
      <c r="I138" s="263">
        <v>0</v>
      </c>
      <c r="J138" s="263">
        <v>0</v>
      </c>
      <c r="K138" s="267">
        <v>4</v>
      </c>
    </row>
    <row r="139" spans="1:11">
      <c r="A139" s="9" t="s">
        <v>10677</v>
      </c>
      <c r="B139" s="16">
        <v>10</v>
      </c>
      <c r="C139" s="9"/>
      <c r="D139" s="271" t="s">
        <v>9249</v>
      </c>
      <c r="E139" s="263">
        <v>8</v>
      </c>
      <c r="F139" s="263">
        <v>0</v>
      </c>
      <c r="G139" s="263">
        <v>0</v>
      </c>
      <c r="H139" s="263">
        <v>0</v>
      </c>
      <c r="I139" s="263">
        <v>0</v>
      </c>
      <c r="J139" s="263">
        <v>0</v>
      </c>
      <c r="K139" s="267">
        <v>8</v>
      </c>
    </row>
    <row r="140" spans="1:11">
      <c r="A140" s="9" t="s">
        <v>10678</v>
      </c>
      <c r="B140" s="16">
        <v>10</v>
      </c>
      <c r="C140" s="9"/>
      <c r="D140" s="271" t="s">
        <v>9250</v>
      </c>
      <c r="E140" s="263">
        <v>4</v>
      </c>
      <c r="F140" s="263">
        <v>0</v>
      </c>
      <c r="G140" s="263">
        <v>0</v>
      </c>
      <c r="H140" s="263">
        <v>0</v>
      </c>
      <c r="I140" s="263">
        <v>0</v>
      </c>
      <c r="J140" s="263">
        <v>0</v>
      </c>
      <c r="K140" s="267">
        <v>4</v>
      </c>
    </row>
    <row r="141" spans="1:11">
      <c r="A141" s="9" t="s">
        <v>10679</v>
      </c>
      <c r="B141" s="16">
        <v>10</v>
      </c>
      <c r="C141" s="9"/>
      <c r="D141" s="271" t="s">
        <v>9251</v>
      </c>
      <c r="E141" s="263">
        <v>4</v>
      </c>
      <c r="F141" s="263">
        <v>0</v>
      </c>
      <c r="G141" s="263">
        <v>0</v>
      </c>
      <c r="H141" s="263">
        <v>0</v>
      </c>
      <c r="I141" s="263">
        <v>0</v>
      </c>
      <c r="J141" s="263">
        <v>0</v>
      </c>
      <c r="K141" s="267">
        <v>4</v>
      </c>
    </row>
    <row r="142" spans="1:11">
      <c r="A142" s="9" t="s">
        <v>10680</v>
      </c>
      <c r="B142" s="16">
        <v>10</v>
      </c>
      <c r="C142" s="9"/>
      <c r="D142" s="271" t="s">
        <v>9252</v>
      </c>
      <c r="E142" s="263">
        <v>2.4000000000000004</v>
      </c>
      <c r="F142" s="263">
        <v>0</v>
      </c>
      <c r="G142" s="263">
        <v>0</v>
      </c>
      <c r="H142" s="263">
        <v>0</v>
      </c>
      <c r="I142" s="263">
        <v>0</v>
      </c>
      <c r="J142" s="263">
        <v>0</v>
      </c>
      <c r="K142" s="267">
        <v>2.4000000000000004</v>
      </c>
    </row>
    <row r="143" spans="1:11">
      <c r="A143" s="9" t="s">
        <v>10681</v>
      </c>
      <c r="B143" s="16">
        <v>10</v>
      </c>
      <c r="C143" s="9"/>
      <c r="D143" s="271" t="s">
        <v>9253</v>
      </c>
      <c r="E143" s="263">
        <v>4</v>
      </c>
      <c r="F143" s="263">
        <v>0</v>
      </c>
      <c r="G143" s="263">
        <v>0</v>
      </c>
      <c r="H143" s="263">
        <v>0</v>
      </c>
      <c r="I143" s="263">
        <v>0</v>
      </c>
      <c r="J143" s="263">
        <v>0</v>
      </c>
      <c r="K143" s="267">
        <v>4</v>
      </c>
    </row>
    <row r="144" spans="1:11">
      <c r="A144" s="9" t="s">
        <v>10682</v>
      </c>
      <c r="B144" s="16">
        <v>10</v>
      </c>
      <c r="C144" s="9"/>
      <c r="D144" s="271" t="s">
        <v>9254</v>
      </c>
      <c r="E144" s="263">
        <v>8</v>
      </c>
      <c r="F144" s="263">
        <v>0</v>
      </c>
      <c r="G144" s="263">
        <v>0</v>
      </c>
      <c r="H144" s="263">
        <v>0</v>
      </c>
      <c r="I144" s="263">
        <v>0</v>
      </c>
      <c r="J144" s="263">
        <v>0</v>
      </c>
      <c r="K144" s="267">
        <v>8</v>
      </c>
    </row>
    <row r="145" spans="1:11">
      <c r="A145" s="9" t="s">
        <v>10683</v>
      </c>
      <c r="B145" s="16">
        <v>10</v>
      </c>
      <c r="C145" s="9"/>
      <c r="D145" s="271" t="s">
        <v>9255</v>
      </c>
      <c r="E145" s="263">
        <v>4</v>
      </c>
      <c r="F145" s="263">
        <v>0</v>
      </c>
      <c r="G145" s="263">
        <v>0</v>
      </c>
      <c r="H145" s="263">
        <v>0</v>
      </c>
      <c r="I145" s="263">
        <v>0</v>
      </c>
      <c r="J145" s="263">
        <v>0</v>
      </c>
      <c r="K145" s="267">
        <v>4</v>
      </c>
    </row>
    <row r="146" spans="1:11">
      <c r="A146" s="9" t="s">
        <v>10684</v>
      </c>
      <c r="B146" s="16">
        <v>10</v>
      </c>
      <c r="C146" s="9"/>
      <c r="D146" s="271" t="s">
        <v>9256</v>
      </c>
      <c r="E146" s="263">
        <v>4</v>
      </c>
      <c r="F146" s="263">
        <v>0</v>
      </c>
      <c r="G146" s="263">
        <v>0</v>
      </c>
      <c r="H146" s="263">
        <v>0</v>
      </c>
      <c r="I146" s="263">
        <v>0</v>
      </c>
      <c r="J146" s="263">
        <v>0</v>
      </c>
      <c r="K146" s="267">
        <v>4</v>
      </c>
    </row>
    <row r="147" spans="1:11">
      <c r="A147" s="9" t="s">
        <v>10685</v>
      </c>
      <c r="B147" s="16">
        <v>10</v>
      </c>
      <c r="C147" s="9"/>
      <c r="D147" s="271" t="s">
        <v>9257</v>
      </c>
      <c r="E147" s="263">
        <v>4</v>
      </c>
      <c r="F147" s="263">
        <v>0</v>
      </c>
      <c r="G147" s="263">
        <v>0</v>
      </c>
      <c r="H147" s="263">
        <v>0</v>
      </c>
      <c r="I147" s="263">
        <v>0</v>
      </c>
      <c r="J147" s="263">
        <v>0</v>
      </c>
      <c r="K147" s="267">
        <v>4</v>
      </c>
    </row>
    <row r="148" spans="1:11">
      <c r="A148" s="9" t="s">
        <v>10686</v>
      </c>
      <c r="B148" s="16">
        <v>10</v>
      </c>
      <c r="C148" s="9"/>
      <c r="D148" s="271" t="s">
        <v>9258</v>
      </c>
      <c r="E148" s="263">
        <v>4</v>
      </c>
      <c r="F148" s="263">
        <v>0</v>
      </c>
      <c r="G148" s="263">
        <v>0</v>
      </c>
      <c r="H148" s="263">
        <v>0</v>
      </c>
      <c r="I148" s="263">
        <v>0</v>
      </c>
      <c r="J148" s="263">
        <v>0</v>
      </c>
      <c r="K148" s="267">
        <v>4</v>
      </c>
    </row>
    <row r="149" spans="1:11">
      <c r="A149" s="9" t="s">
        <v>10687</v>
      </c>
      <c r="B149" s="16">
        <v>10</v>
      </c>
      <c r="C149" s="9"/>
      <c r="D149" s="271" t="s">
        <v>9259</v>
      </c>
      <c r="E149" s="263">
        <v>4</v>
      </c>
      <c r="F149" s="263">
        <v>0</v>
      </c>
      <c r="G149" s="263">
        <v>0</v>
      </c>
      <c r="H149" s="263">
        <v>0</v>
      </c>
      <c r="I149" s="263">
        <v>0</v>
      </c>
      <c r="J149" s="263">
        <v>0</v>
      </c>
      <c r="K149" s="267">
        <v>4</v>
      </c>
    </row>
    <row r="150" spans="1:11">
      <c r="A150" s="9" t="s">
        <v>10688</v>
      </c>
      <c r="B150" s="16">
        <v>10</v>
      </c>
      <c r="C150" s="9"/>
      <c r="D150" s="271" t="s">
        <v>9260</v>
      </c>
      <c r="E150" s="263">
        <v>4</v>
      </c>
      <c r="F150" s="263">
        <v>0</v>
      </c>
      <c r="G150" s="263">
        <v>0</v>
      </c>
      <c r="H150" s="263">
        <v>0</v>
      </c>
      <c r="I150" s="263">
        <v>0</v>
      </c>
      <c r="J150" s="263">
        <v>0</v>
      </c>
      <c r="K150" s="267">
        <v>4</v>
      </c>
    </row>
    <row r="151" spans="1:11">
      <c r="A151" s="9" t="s">
        <v>10689</v>
      </c>
      <c r="B151" s="16">
        <v>10</v>
      </c>
      <c r="C151" s="9"/>
      <c r="D151" s="271" t="s">
        <v>9261</v>
      </c>
      <c r="E151" s="263">
        <v>4</v>
      </c>
      <c r="F151" s="263">
        <v>0</v>
      </c>
      <c r="G151" s="263">
        <v>0</v>
      </c>
      <c r="H151" s="263">
        <v>0</v>
      </c>
      <c r="I151" s="263">
        <v>0</v>
      </c>
      <c r="J151" s="263">
        <v>0</v>
      </c>
      <c r="K151" s="267">
        <v>4</v>
      </c>
    </row>
    <row r="152" spans="1:11">
      <c r="A152" s="9" t="s">
        <v>10690</v>
      </c>
      <c r="B152" s="16">
        <v>10</v>
      </c>
      <c r="C152" s="9"/>
      <c r="D152" s="271" t="s">
        <v>9262</v>
      </c>
      <c r="E152" s="263">
        <v>0</v>
      </c>
      <c r="F152" s="263">
        <v>0</v>
      </c>
      <c r="G152" s="263">
        <v>8</v>
      </c>
      <c r="H152" s="263">
        <v>0</v>
      </c>
      <c r="I152" s="263">
        <v>0</v>
      </c>
      <c r="J152" s="263">
        <v>0</v>
      </c>
      <c r="K152" s="267">
        <v>8</v>
      </c>
    </row>
    <row r="153" spans="1:11">
      <c r="A153" s="9" t="s">
        <v>10691</v>
      </c>
      <c r="B153" s="16">
        <v>10</v>
      </c>
      <c r="C153" s="9"/>
      <c r="D153" s="271" t="s">
        <v>9263</v>
      </c>
      <c r="E153" s="263">
        <v>0</v>
      </c>
      <c r="F153" s="263">
        <v>0</v>
      </c>
      <c r="G153" s="263">
        <v>3.2</v>
      </c>
      <c r="H153" s="263">
        <v>0</v>
      </c>
      <c r="I153" s="263">
        <v>0</v>
      </c>
      <c r="J153" s="263">
        <v>0</v>
      </c>
      <c r="K153" s="267">
        <v>3.2</v>
      </c>
    </row>
    <row r="154" spans="1:11">
      <c r="A154" s="9" t="s">
        <v>10692</v>
      </c>
      <c r="B154" s="16">
        <v>10</v>
      </c>
      <c r="C154" s="9"/>
      <c r="D154" s="271" t="s">
        <v>9264</v>
      </c>
      <c r="E154" s="263">
        <v>0</v>
      </c>
      <c r="F154" s="263">
        <v>8</v>
      </c>
      <c r="G154" s="263">
        <v>0</v>
      </c>
      <c r="H154" s="263">
        <v>0</v>
      </c>
      <c r="I154" s="263">
        <v>0</v>
      </c>
      <c r="J154" s="263">
        <v>0</v>
      </c>
      <c r="K154" s="267">
        <v>8</v>
      </c>
    </row>
    <row r="155" spans="1:11">
      <c r="A155" s="9" t="s">
        <v>10693</v>
      </c>
      <c r="B155" s="16">
        <v>10</v>
      </c>
      <c r="C155" s="9"/>
      <c r="D155" s="271" t="s">
        <v>9265</v>
      </c>
      <c r="E155" s="263">
        <v>0</v>
      </c>
      <c r="F155" s="263">
        <v>8</v>
      </c>
      <c r="G155" s="263">
        <v>0</v>
      </c>
      <c r="H155" s="263">
        <v>0</v>
      </c>
      <c r="I155" s="263">
        <v>0</v>
      </c>
      <c r="J155" s="263">
        <v>0</v>
      </c>
      <c r="K155" s="267">
        <v>8</v>
      </c>
    </row>
    <row r="156" spans="1:11">
      <c r="B156" s="16">
        <v>10</v>
      </c>
      <c r="C156" s="9"/>
      <c r="D156" s="271"/>
      <c r="E156" s="263"/>
      <c r="F156" s="263"/>
      <c r="G156" s="263"/>
      <c r="H156" s="263"/>
      <c r="I156" s="263"/>
      <c r="J156" s="263"/>
      <c r="K156" s="267">
        <v>0</v>
      </c>
    </row>
    <row r="157" spans="1:11" ht="15.75" customHeight="1">
      <c r="B157" s="16">
        <v>10</v>
      </c>
      <c r="C157" s="9"/>
      <c r="D157" s="272" t="s">
        <v>3674</v>
      </c>
      <c r="E157" s="273">
        <v>62.4</v>
      </c>
      <c r="F157" s="273">
        <v>16</v>
      </c>
      <c r="G157" s="273">
        <v>11.2</v>
      </c>
      <c r="H157" s="273">
        <v>6.4</v>
      </c>
      <c r="I157" s="273">
        <v>0</v>
      </c>
      <c r="J157" s="273">
        <v>24</v>
      </c>
      <c r="K157" s="273">
        <v>120</v>
      </c>
    </row>
    <row r="158" spans="1:11">
      <c r="C158" s="9"/>
      <c r="D158" s="271"/>
      <c r="E158" s="263"/>
      <c r="F158" s="263"/>
      <c r="G158" s="263"/>
      <c r="H158" s="263"/>
      <c r="I158" s="263"/>
      <c r="J158" s="263"/>
      <c r="K158" s="267">
        <v>0</v>
      </c>
    </row>
    <row r="159" spans="1:11" ht="15.75" customHeight="1">
      <c r="B159" s="16">
        <v>0</v>
      </c>
      <c r="C159" s="9"/>
      <c r="D159" s="269" t="s">
        <v>13075</v>
      </c>
      <c r="E159" s="270">
        <v>228.8</v>
      </c>
      <c r="F159" s="270">
        <v>88</v>
      </c>
      <c r="G159" s="270">
        <v>75.2</v>
      </c>
      <c r="H159" s="270">
        <v>53.6</v>
      </c>
      <c r="I159" s="270">
        <v>0</v>
      </c>
      <c r="J159" s="270">
        <v>154.4</v>
      </c>
      <c r="K159" s="270">
        <v>600</v>
      </c>
    </row>
    <row r="160" spans="1:11">
      <c r="C160" s="9"/>
      <c r="D160" s="271"/>
      <c r="E160" s="263"/>
      <c r="F160" s="263"/>
      <c r="G160" s="263"/>
      <c r="H160" s="263"/>
      <c r="I160" s="263"/>
      <c r="J160" s="263"/>
      <c r="K160" s="267">
        <v>0</v>
      </c>
    </row>
    <row r="161" spans="1:11">
      <c r="C161" s="9"/>
      <c r="D161" s="271"/>
      <c r="E161" s="263"/>
      <c r="F161" s="263"/>
      <c r="G161" s="263"/>
      <c r="H161" s="263"/>
      <c r="I161" s="263"/>
      <c r="J161" s="263"/>
      <c r="K161" s="267">
        <v>0</v>
      </c>
    </row>
    <row r="162" spans="1:11">
      <c r="C162" s="9"/>
      <c r="D162" s="271" t="s">
        <v>4267</v>
      </c>
      <c r="E162" s="263"/>
      <c r="F162" s="263"/>
      <c r="G162" s="263"/>
      <c r="H162" s="263"/>
      <c r="I162" s="263"/>
      <c r="J162" s="263"/>
      <c r="K162" s="267">
        <v>0</v>
      </c>
    </row>
    <row r="163" spans="1:11">
      <c r="C163" s="9"/>
      <c r="D163" s="271"/>
      <c r="E163" s="263"/>
      <c r="F163" s="263"/>
      <c r="G163" s="263"/>
      <c r="H163" s="263"/>
      <c r="I163" s="263"/>
      <c r="J163" s="263"/>
      <c r="K163" s="267">
        <v>0</v>
      </c>
    </row>
    <row r="164" spans="1:11">
      <c r="A164" s="9" t="s">
        <v>10694</v>
      </c>
      <c r="B164" s="16">
        <v>26</v>
      </c>
      <c r="C164" s="9"/>
      <c r="D164" s="271" t="s">
        <v>9544</v>
      </c>
      <c r="E164" s="263">
        <v>8</v>
      </c>
      <c r="F164" s="263">
        <v>0</v>
      </c>
      <c r="G164" s="263">
        <v>0</v>
      </c>
      <c r="H164" s="263">
        <v>0</v>
      </c>
      <c r="I164" s="263">
        <v>0</v>
      </c>
      <c r="J164" s="263">
        <v>0</v>
      </c>
      <c r="K164" s="267">
        <v>8</v>
      </c>
    </row>
    <row r="165" spans="1:11">
      <c r="A165" s="9" t="s">
        <v>10695</v>
      </c>
      <c r="B165" s="16">
        <v>26</v>
      </c>
      <c r="C165" s="9"/>
      <c r="D165" s="271" t="s">
        <v>9545</v>
      </c>
      <c r="E165" s="263">
        <v>8</v>
      </c>
      <c r="F165" s="263">
        <v>0</v>
      </c>
      <c r="G165" s="263">
        <v>0</v>
      </c>
      <c r="H165" s="263">
        <v>0</v>
      </c>
      <c r="I165" s="263">
        <v>0</v>
      </c>
      <c r="J165" s="263">
        <v>0</v>
      </c>
      <c r="K165" s="267">
        <v>8</v>
      </c>
    </row>
    <row r="166" spans="1:11">
      <c r="A166" s="9" t="s">
        <v>10696</v>
      </c>
      <c r="B166" s="16">
        <v>26</v>
      </c>
      <c r="C166" s="9"/>
      <c r="D166" s="271" t="s">
        <v>9546</v>
      </c>
      <c r="E166" s="263">
        <v>0</v>
      </c>
      <c r="F166" s="263">
        <v>0</v>
      </c>
      <c r="G166" s="263">
        <v>0</v>
      </c>
      <c r="H166" s="263">
        <v>0</v>
      </c>
      <c r="I166" s="263">
        <v>0</v>
      </c>
      <c r="J166" s="263">
        <v>8</v>
      </c>
      <c r="K166" s="267">
        <v>8</v>
      </c>
    </row>
    <row r="167" spans="1:11">
      <c r="A167" s="9" t="s">
        <v>10697</v>
      </c>
      <c r="B167" s="16">
        <v>26</v>
      </c>
      <c r="C167" s="9"/>
      <c r="D167" s="271" t="s">
        <v>9547</v>
      </c>
      <c r="E167" s="263">
        <v>0</v>
      </c>
      <c r="F167" s="263">
        <v>0</v>
      </c>
      <c r="G167" s="263">
        <v>0</v>
      </c>
      <c r="H167" s="263">
        <v>0</v>
      </c>
      <c r="I167" s="263">
        <v>0</v>
      </c>
      <c r="J167" s="263">
        <v>8</v>
      </c>
      <c r="K167" s="267">
        <v>8</v>
      </c>
    </row>
    <row r="168" spans="1:11">
      <c r="A168" s="9" t="s">
        <v>10698</v>
      </c>
      <c r="B168" s="16">
        <v>26</v>
      </c>
      <c r="C168" s="9"/>
      <c r="D168" s="271" t="s">
        <v>9548</v>
      </c>
      <c r="E168" s="263">
        <v>0</v>
      </c>
      <c r="F168" s="263">
        <v>0</v>
      </c>
      <c r="G168" s="263">
        <v>0</v>
      </c>
      <c r="H168" s="263">
        <v>0</v>
      </c>
      <c r="I168" s="263">
        <v>0</v>
      </c>
      <c r="J168" s="263">
        <v>8</v>
      </c>
      <c r="K168" s="267">
        <v>8</v>
      </c>
    </row>
    <row r="169" spans="1:11">
      <c r="A169" s="9" t="s">
        <v>10699</v>
      </c>
      <c r="B169" s="16">
        <v>26</v>
      </c>
      <c r="C169" s="9"/>
      <c r="D169" s="271" t="s">
        <v>9549</v>
      </c>
      <c r="E169" s="263">
        <v>0</v>
      </c>
      <c r="F169" s="263">
        <v>0</v>
      </c>
      <c r="G169" s="263">
        <v>0</v>
      </c>
      <c r="H169" s="263">
        <v>0</v>
      </c>
      <c r="I169" s="263">
        <v>0</v>
      </c>
      <c r="J169" s="263">
        <v>8</v>
      </c>
      <c r="K169" s="267">
        <v>8</v>
      </c>
    </row>
    <row r="170" spans="1:11">
      <c r="A170" s="9" t="s">
        <v>10700</v>
      </c>
      <c r="B170" s="16">
        <v>26</v>
      </c>
      <c r="C170" s="9"/>
      <c r="D170" s="271" t="s">
        <v>9550</v>
      </c>
      <c r="E170" s="263">
        <v>0</v>
      </c>
      <c r="F170" s="263">
        <v>0</v>
      </c>
      <c r="G170" s="263">
        <v>0</v>
      </c>
      <c r="H170" s="263">
        <v>0</v>
      </c>
      <c r="I170" s="263">
        <v>0</v>
      </c>
      <c r="J170" s="263">
        <v>8</v>
      </c>
      <c r="K170" s="267">
        <v>8</v>
      </c>
    </row>
    <row r="171" spans="1:11">
      <c r="A171" s="9" t="s">
        <v>10701</v>
      </c>
      <c r="B171" s="16">
        <v>26</v>
      </c>
      <c r="C171" s="9"/>
      <c r="D171" s="271" t="s">
        <v>9551</v>
      </c>
      <c r="E171" s="263">
        <v>0</v>
      </c>
      <c r="F171" s="263">
        <v>0</v>
      </c>
      <c r="G171" s="263">
        <v>8</v>
      </c>
      <c r="H171" s="263">
        <v>0</v>
      </c>
      <c r="I171" s="263">
        <v>0</v>
      </c>
      <c r="J171" s="263">
        <v>0</v>
      </c>
      <c r="K171" s="267">
        <v>8</v>
      </c>
    </row>
    <row r="172" spans="1:11">
      <c r="A172" s="9" t="s">
        <v>10702</v>
      </c>
      <c r="B172" s="16">
        <v>26</v>
      </c>
      <c r="C172" s="9"/>
      <c r="D172" s="271" t="s">
        <v>9552</v>
      </c>
      <c r="E172" s="263">
        <v>0</v>
      </c>
      <c r="F172" s="263">
        <v>8</v>
      </c>
      <c r="G172" s="263">
        <v>0</v>
      </c>
      <c r="H172" s="263">
        <v>0</v>
      </c>
      <c r="I172" s="263">
        <v>0</v>
      </c>
      <c r="J172" s="263">
        <v>0</v>
      </c>
      <c r="K172" s="267">
        <v>8</v>
      </c>
    </row>
    <row r="173" spans="1:11">
      <c r="A173" s="9" t="s">
        <v>10703</v>
      </c>
      <c r="B173" s="16">
        <v>26</v>
      </c>
      <c r="C173" s="9"/>
      <c r="D173" s="271" t="s">
        <v>9553</v>
      </c>
      <c r="E173" s="263">
        <v>0</v>
      </c>
      <c r="F173" s="263">
        <v>8</v>
      </c>
      <c r="G173" s="263">
        <v>0</v>
      </c>
      <c r="H173" s="263">
        <v>0</v>
      </c>
      <c r="I173" s="263">
        <v>0</v>
      </c>
      <c r="J173" s="263">
        <v>0</v>
      </c>
      <c r="K173" s="267">
        <v>8</v>
      </c>
    </row>
    <row r="174" spans="1:11">
      <c r="B174" s="16">
        <v>26</v>
      </c>
      <c r="C174" s="9"/>
      <c r="D174" s="271"/>
      <c r="E174" s="263"/>
      <c r="F174" s="263"/>
      <c r="G174" s="263"/>
      <c r="H174" s="263"/>
      <c r="I174" s="263"/>
      <c r="J174" s="263"/>
      <c r="K174" s="267">
        <v>0</v>
      </c>
    </row>
    <row r="175" spans="1:11" ht="15.75" customHeight="1">
      <c r="B175" s="16">
        <v>26</v>
      </c>
      <c r="C175" s="9"/>
      <c r="D175" s="272" t="s">
        <v>3674</v>
      </c>
      <c r="E175" s="273">
        <v>16</v>
      </c>
      <c r="F175" s="273">
        <v>16</v>
      </c>
      <c r="G175" s="273">
        <v>8</v>
      </c>
      <c r="H175" s="273">
        <v>0</v>
      </c>
      <c r="I175" s="273">
        <v>0</v>
      </c>
      <c r="J175" s="273">
        <v>40</v>
      </c>
      <c r="K175" s="273">
        <v>80</v>
      </c>
    </row>
    <row r="176" spans="1:11">
      <c r="C176" s="9"/>
      <c r="D176" s="271"/>
      <c r="E176" s="263"/>
      <c r="F176" s="263"/>
      <c r="G176" s="263"/>
      <c r="H176" s="263"/>
      <c r="I176" s="263"/>
      <c r="J176" s="263"/>
      <c r="K176" s="267">
        <v>0</v>
      </c>
    </row>
    <row r="177" spans="1:11">
      <c r="A177" s="9" t="s">
        <v>10704</v>
      </c>
      <c r="B177" s="16">
        <v>27</v>
      </c>
      <c r="C177" s="9"/>
      <c r="D177" s="271" t="s">
        <v>9554</v>
      </c>
      <c r="E177" s="263">
        <v>0</v>
      </c>
      <c r="F177" s="263">
        <v>0</v>
      </c>
      <c r="G177" s="263">
        <v>0</v>
      </c>
      <c r="H177" s="263">
        <v>4</v>
      </c>
      <c r="I177" s="263">
        <v>0</v>
      </c>
      <c r="J177" s="263">
        <v>0</v>
      </c>
      <c r="K177" s="267">
        <v>4</v>
      </c>
    </row>
    <row r="178" spans="1:11">
      <c r="A178" s="9" t="s">
        <v>10705</v>
      </c>
      <c r="B178" s="16">
        <v>27</v>
      </c>
      <c r="C178" s="9"/>
      <c r="D178" s="271" t="s">
        <v>9555</v>
      </c>
      <c r="E178" s="263">
        <v>0</v>
      </c>
      <c r="F178" s="263">
        <v>0</v>
      </c>
      <c r="G178" s="263">
        <v>0</v>
      </c>
      <c r="H178" s="263">
        <v>0</v>
      </c>
      <c r="I178" s="263">
        <v>0</v>
      </c>
      <c r="J178" s="263">
        <v>5.6000000000000005</v>
      </c>
      <c r="K178" s="267">
        <v>5.6000000000000005</v>
      </c>
    </row>
    <row r="179" spans="1:11">
      <c r="A179" s="9" t="s">
        <v>10706</v>
      </c>
      <c r="B179" s="16">
        <v>27</v>
      </c>
      <c r="C179" s="9"/>
      <c r="D179" s="271" t="s">
        <v>9556</v>
      </c>
      <c r="E179" s="263">
        <v>0</v>
      </c>
      <c r="F179" s="263">
        <v>0</v>
      </c>
      <c r="G179" s="263">
        <v>6.4</v>
      </c>
      <c r="H179" s="263">
        <v>0</v>
      </c>
      <c r="I179" s="263">
        <v>0</v>
      </c>
      <c r="J179" s="263">
        <v>0</v>
      </c>
      <c r="K179" s="267">
        <v>6.4</v>
      </c>
    </row>
    <row r="180" spans="1:11">
      <c r="A180" s="9" t="s">
        <v>10707</v>
      </c>
      <c r="B180" s="16">
        <v>27</v>
      </c>
      <c r="C180" s="9"/>
      <c r="D180" s="271" t="s">
        <v>9557</v>
      </c>
      <c r="E180" s="263">
        <v>0</v>
      </c>
      <c r="F180" s="263">
        <v>0</v>
      </c>
      <c r="G180" s="263">
        <v>0</v>
      </c>
      <c r="H180" s="263">
        <v>8</v>
      </c>
      <c r="I180" s="263">
        <v>0</v>
      </c>
      <c r="J180" s="263">
        <v>0</v>
      </c>
      <c r="K180" s="267">
        <v>8</v>
      </c>
    </row>
    <row r="181" spans="1:11">
      <c r="A181" s="9" t="s">
        <v>10708</v>
      </c>
      <c r="B181" s="16">
        <v>27</v>
      </c>
      <c r="C181" s="9"/>
      <c r="D181" s="271" t="s">
        <v>9558</v>
      </c>
      <c r="E181" s="263">
        <v>0</v>
      </c>
      <c r="F181" s="263">
        <v>0</v>
      </c>
      <c r="G181" s="263">
        <v>0</v>
      </c>
      <c r="H181" s="263">
        <v>0</v>
      </c>
      <c r="I181" s="263">
        <v>0</v>
      </c>
      <c r="J181" s="263">
        <v>8</v>
      </c>
      <c r="K181" s="267">
        <v>8</v>
      </c>
    </row>
    <row r="182" spans="1:11">
      <c r="A182" s="9" t="s">
        <v>10709</v>
      </c>
      <c r="B182" s="16">
        <v>27</v>
      </c>
      <c r="C182" s="9"/>
      <c r="D182" s="271" t="s">
        <v>9559</v>
      </c>
      <c r="E182" s="263">
        <v>0</v>
      </c>
      <c r="F182" s="263">
        <v>0</v>
      </c>
      <c r="G182" s="263">
        <v>8</v>
      </c>
      <c r="H182" s="263">
        <v>0</v>
      </c>
      <c r="I182" s="263">
        <v>0</v>
      </c>
      <c r="J182" s="263">
        <v>0</v>
      </c>
      <c r="K182" s="267">
        <v>8</v>
      </c>
    </row>
    <row r="183" spans="1:11">
      <c r="A183" s="9" t="s">
        <v>10710</v>
      </c>
      <c r="B183" s="16">
        <v>27</v>
      </c>
      <c r="C183" s="9"/>
      <c r="D183" s="271" t="s">
        <v>9560</v>
      </c>
      <c r="E183" s="263">
        <v>0</v>
      </c>
      <c r="F183" s="263">
        <v>0</v>
      </c>
      <c r="G183" s="263">
        <v>8</v>
      </c>
      <c r="H183" s="263">
        <v>0</v>
      </c>
      <c r="I183" s="263">
        <v>0</v>
      </c>
      <c r="J183" s="263">
        <v>0</v>
      </c>
      <c r="K183" s="267">
        <v>8</v>
      </c>
    </row>
    <row r="184" spans="1:11">
      <c r="B184" s="16">
        <v>27</v>
      </c>
      <c r="C184" s="9"/>
      <c r="D184" s="271"/>
      <c r="E184" s="263"/>
      <c r="F184" s="263"/>
      <c r="G184" s="263"/>
      <c r="H184" s="263"/>
      <c r="I184" s="263"/>
      <c r="J184" s="263"/>
      <c r="K184" s="267">
        <v>0</v>
      </c>
    </row>
    <row r="185" spans="1:11" ht="15.75" customHeight="1">
      <c r="B185" s="16">
        <v>27</v>
      </c>
      <c r="C185" s="9"/>
      <c r="D185" s="272" t="s">
        <v>3674</v>
      </c>
      <c r="E185" s="273">
        <v>0</v>
      </c>
      <c r="F185" s="273">
        <v>0</v>
      </c>
      <c r="G185" s="273">
        <v>22.4</v>
      </c>
      <c r="H185" s="273">
        <v>12</v>
      </c>
      <c r="I185" s="273">
        <v>0</v>
      </c>
      <c r="J185" s="273">
        <v>13.600000000000001</v>
      </c>
      <c r="K185" s="273">
        <v>48</v>
      </c>
    </row>
    <row r="186" spans="1:11">
      <c r="C186" s="9"/>
      <c r="D186" s="271"/>
      <c r="E186" s="263"/>
      <c r="F186" s="263"/>
      <c r="G186" s="263"/>
      <c r="H186" s="263"/>
      <c r="I186" s="263"/>
      <c r="J186" s="263"/>
      <c r="K186" s="267">
        <v>0</v>
      </c>
    </row>
    <row r="187" spans="1:11">
      <c r="A187" s="9" t="s">
        <v>10711</v>
      </c>
      <c r="B187" s="16">
        <v>28</v>
      </c>
      <c r="C187" s="9"/>
      <c r="D187" s="271" t="s">
        <v>9561</v>
      </c>
      <c r="E187" s="263">
        <v>0</v>
      </c>
      <c r="F187" s="263">
        <v>0</v>
      </c>
      <c r="G187" s="263">
        <v>0</v>
      </c>
      <c r="H187" s="263">
        <v>0</v>
      </c>
      <c r="I187" s="263">
        <v>0</v>
      </c>
      <c r="J187" s="263">
        <v>8</v>
      </c>
      <c r="K187" s="267">
        <v>8</v>
      </c>
    </row>
    <row r="188" spans="1:11">
      <c r="A188" s="9" t="s">
        <v>10712</v>
      </c>
      <c r="B188" s="16">
        <v>28</v>
      </c>
      <c r="C188" s="9"/>
      <c r="D188" s="271" t="s">
        <v>9562</v>
      </c>
      <c r="E188" s="263">
        <v>0</v>
      </c>
      <c r="F188" s="263">
        <v>0</v>
      </c>
      <c r="G188" s="263">
        <v>0</v>
      </c>
      <c r="H188" s="263">
        <v>8</v>
      </c>
      <c r="I188" s="263">
        <v>0</v>
      </c>
      <c r="J188" s="263">
        <v>0</v>
      </c>
      <c r="K188" s="267">
        <v>8</v>
      </c>
    </row>
    <row r="189" spans="1:11">
      <c r="A189" s="9" t="s">
        <v>10713</v>
      </c>
      <c r="B189" s="16">
        <v>28</v>
      </c>
      <c r="C189" s="9"/>
      <c r="D189" s="271" t="s">
        <v>9563</v>
      </c>
      <c r="E189" s="263">
        <v>0</v>
      </c>
      <c r="F189" s="263">
        <v>8</v>
      </c>
      <c r="G189" s="263">
        <v>0</v>
      </c>
      <c r="H189" s="263">
        <v>0</v>
      </c>
      <c r="I189" s="263">
        <v>0</v>
      </c>
      <c r="J189" s="263">
        <v>0</v>
      </c>
      <c r="K189" s="267">
        <v>8</v>
      </c>
    </row>
    <row r="190" spans="1:11">
      <c r="A190" s="9" t="s">
        <v>10714</v>
      </c>
      <c r="B190" s="16">
        <v>28</v>
      </c>
      <c r="C190" s="9"/>
      <c r="D190" s="271" t="s">
        <v>9564</v>
      </c>
      <c r="E190" s="263">
        <v>8</v>
      </c>
      <c r="F190" s="263">
        <v>0</v>
      </c>
      <c r="G190" s="263">
        <v>0</v>
      </c>
      <c r="H190" s="263">
        <v>0</v>
      </c>
      <c r="I190" s="263">
        <v>0</v>
      </c>
      <c r="J190" s="263">
        <v>0</v>
      </c>
      <c r="K190" s="267">
        <v>8</v>
      </c>
    </row>
    <row r="191" spans="1:11">
      <c r="A191" s="9" t="s">
        <v>10715</v>
      </c>
      <c r="B191" s="16">
        <v>28</v>
      </c>
      <c r="C191" s="9"/>
      <c r="D191" s="271" t="s">
        <v>9565</v>
      </c>
      <c r="E191" s="263">
        <v>0</v>
      </c>
      <c r="F191" s="263">
        <v>0</v>
      </c>
      <c r="G191" s="263">
        <v>0</v>
      </c>
      <c r="H191" s="263">
        <v>0</v>
      </c>
      <c r="I191" s="263">
        <v>0</v>
      </c>
      <c r="J191" s="263">
        <v>8</v>
      </c>
      <c r="K191" s="267">
        <v>8</v>
      </c>
    </row>
    <row r="192" spans="1:11">
      <c r="A192" s="9" t="s">
        <v>10716</v>
      </c>
      <c r="B192" s="16">
        <v>28</v>
      </c>
      <c r="C192" s="9"/>
      <c r="D192" s="271" t="s">
        <v>9566</v>
      </c>
      <c r="E192" s="263">
        <v>0</v>
      </c>
      <c r="F192" s="263">
        <v>0</v>
      </c>
      <c r="G192" s="263">
        <v>8</v>
      </c>
      <c r="H192" s="263">
        <v>0</v>
      </c>
      <c r="I192" s="263">
        <v>0</v>
      </c>
      <c r="J192" s="263">
        <v>0</v>
      </c>
      <c r="K192" s="267">
        <v>8</v>
      </c>
    </row>
    <row r="193" spans="1:11">
      <c r="A193" s="9" t="s">
        <v>10717</v>
      </c>
      <c r="B193" s="16">
        <v>28</v>
      </c>
      <c r="C193" s="9"/>
      <c r="D193" s="271" t="s">
        <v>9567</v>
      </c>
      <c r="E193" s="263">
        <v>0</v>
      </c>
      <c r="F193" s="263">
        <v>0</v>
      </c>
      <c r="G193" s="263">
        <v>0</v>
      </c>
      <c r="H193" s="263">
        <v>8</v>
      </c>
      <c r="I193" s="263">
        <v>0</v>
      </c>
      <c r="J193" s="263">
        <v>0</v>
      </c>
      <c r="K193" s="267">
        <v>8</v>
      </c>
    </row>
    <row r="194" spans="1:11">
      <c r="A194" s="9" t="s">
        <v>10718</v>
      </c>
      <c r="B194" s="16">
        <v>28</v>
      </c>
      <c r="C194" s="9"/>
      <c r="D194" s="271" t="s">
        <v>9568</v>
      </c>
      <c r="E194" s="263">
        <v>0</v>
      </c>
      <c r="F194" s="263">
        <v>8</v>
      </c>
      <c r="G194" s="263">
        <v>0</v>
      </c>
      <c r="H194" s="263">
        <v>0</v>
      </c>
      <c r="I194" s="263">
        <v>0</v>
      </c>
      <c r="J194" s="263">
        <v>0</v>
      </c>
      <c r="K194" s="267">
        <v>8</v>
      </c>
    </row>
    <row r="195" spans="1:11">
      <c r="B195" s="16">
        <v>28</v>
      </c>
      <c r="C195" s="9"/>
      <c r="D195" s="271"/>
      <c r="E195" s="263"/>
      <c r="F195" s="263"/>
      <c r="G195" s="263"/>
      <c r="H195" s="263"/>
      <c r="I195" s="263"/>
      <c r="J195" s="263"/>
      <c r="K195" s="267">
        <v>0</v>
      </c>
    </row>
    <row r="196" spans="1:11" ht="15.75" customHeight="1">
      <c r="B196" s="16">
        <v>28</v>
      </c>
      <c r="C196" s="9"/>
      <c r="D196" s="272" t="s">
        <v>3674</v>
      </c>
      <c r="E196" s="273">
        <v>8</v>
      </c>
      <c r="F196" s="273">
        <v>16</v>
      </c>
      <c r="G196" s="273">
        <v>8</v>
      </c>
      <c r="H196" s="273">
        <v>16</v>
      </c>
      <c r="I196" s="273">
        <v>0</v>
      </c>
      <c r="J196" s="273">
        <v>16</v>
      </c>
      <c r="K196" s="273">
        <v>64</v>
      </c>
    </row>
    <row r="197" spans="1:11">
      <c r="C197" s="9"/>
      <c r="D197" s="271"/>
      <c r="E197" s="263"/>
      <c r="F197" s="263"/>
      <c r="G197" s="263"/>
      <c r="H197" s="263"/>
      <c r="I197" s="263"/>
      <c r="J197" s="263"/>
      <c r="K197" s="267">
        <v>0</v>
      </c>
    </row>
    <row r="198" spans="1:11">
      <c r="A198" s="9" t="s">
        <v>10719</v>
      </c>
      <c r="B198" s="16">
        <v>29</v>
      </c>
      <c r="C198" s="9"/>
      <c r="D198" s="271" t="s">
        <v>9569</v>
      </c>
      <c r="E198" s="263">
        <v>8</v>
      </c>
      <c r="F198" s="263">
        <v>0</v>
      </c>
      <c r="G198" s="263">
        <v>0</v>
      </c>
      <c r="H198" s="263">
        <v>0</v>
      </c>
      <c r="I198" s="263">
        <v>0</v>
      </c>
      <c r="J198" s="263">
        <v>0</v>
      </c>
      <c r="K198" s="267">
        <v>8</v>
      </c>
    </row>
    <row r="199" spans="1:11">
      <c r="A199" s="9" t="s">
        <v>10720</v>
      </c>
      <c r="B199" s="16">
        <v>29</v>
      </c>
      <c r="C199" s="9"/>
      <c r="D199" s="271" t="s">
        <v>9570</v>
      </c>
      <c r="E199" s="263">
        <v>8</v>
      </c>
      <c r="F199" s="263">
        <v>0</v>
      </c>
      <c r="G199" s="263">
        <v>0</v>
      </c>
      <c r="H199" s="263">
        <v>0</v>
      </c>
      <c r="I199" s="263">
        <v>0</v>
      </c>
      <c r="J199" s="263">
        <v>0</v>
      </c>
      <c r="K199" s="267">
        <v>8</v>
      </c>
    </row>
    <row r="200" spans="1:11">
      <c r="A200" s="9" t="s">
        <v>10721</v>
      </c>
      <c r="B200" s="16">
        <v>29</v>
      </c>
      <c r="C200" s="9"/>
      <c r="D200" s="271" t="s">
        <v>9571</v>
      </c>
      <c r="E200" s="263">
        <v>4</v>
      </c>
      <c r="F200" s="263">
        <v>0</v>
      </c>
      <c r="G200" s="263">
        <v>0</v>
      </c>
      <c r="H200" s="263">
        <v>0</v>
      </c>
      <c r="I200" s="263">
        <v>0</v>
      </c>
      <c r="J200" s="263">
        <v>0</v>
      </c>
      <c r="K200" s="267">
        <v>4</v>
      </c>
    </row>
    <row r="201" spans="1:11">
      <c r="A201" s="9" t="s">
        <v>10722</v>
      </c>
      <c r="B201" s="16">
        <v>29</v>
      </c>
      <c r="C201" s="9"/>
      <c r="D201" s="271" t="s">
        <v>9572</v>
      </c>
      <c r="E201" s="263">
        <v>0</v>
      </c>
      <c r="F201" s="263">
        <v>0</v>
      </c>
      <c r="G201" s="263">
        <v>0</v>
      </c>
      <c r="H201" s="263">
        <v>0</v>
      </c>
      <c r="I201" s="263">
        <v>0</v>
      </c>
      <c r="J201" s="263">
        <v>8</v>
      </c>
      <c r="K201" s="267">
        <v>8</v>
      </c>
    </row>
    <row r="202" spans="1:11">
      <c r="A202" s="9" t="s">
        <v>10723</v>
      </c>
      <c r="B202" s="16">
        <v>29</v>
      </c>
      <c r="C202" s="9"/>
      <c r="D202" s="271" t="s">
        <v>9573</v>
      </c>
      <c r="E202" s="263">
        <v>0</v>
      </c>
      <c r="F202" s="263">
        <v>0</v>
      </c>
      <c r="G202" s="263">
        <v>0</v>
      </c>
      <c r="H202" s="263">
        <v>0</v>
      </c>
      <c r="I202" s="263">
        <v>0</v>
      </c>
      <c r="J202" s="263">
        <v>8</v>
      </c>
      <c r="K202" s="267">
        <v>8</v>
      </c>
    </row>
    <row r="203" spans="1:11">
      <c r="A203" s="9" t="s">
        <v>10724</v>
      </c>
      <c r="B203" s="16">
        <v>29</v>
      </c>
      <c r="C203" s="9"/>
      <c r="D203" s="271" t="s">
        <v>9574</v>
      </c>
      <c r="E203" s="263">
        <v>0</v>
      </c>
      <c r="F203" s="263">
        <v>0</v>
      </c>
      <c r="G203" s="263">
        <v>0</v>
      </c>
      <c r="H203" s="263">
        <v>0</v>
      </c>
      <c r="I203" s="263">
        <v>0</v>
      </c>
      <c r="J203" s="263">
        <v>8</v>
      </c>
      <c r="K203" s="267">
        <v>8</v>
      </c>
    </row>
    <row r="204" spans="1:11">
      <c r="A204" s="9" t="s">
        <v>10725</v>
      </c>
      <c r="B204" s="16">
        <v>29</v>
      </c>
      <c r="C204" s="9"/>
      <c r="D204" s="271" t="s">
        <v>9575</v>
      </c>
      <c r="E204" s="263">
        <v>0</v>
      </c>
      <c r="F204" s="263">
        <v>0</v>
      </c>
      <c r="G204" s="263">
        <v>8</v>
      </c>
      <c r="H204" s="263">
        <v>0</v>
      </c>
      <c r="I204" s="263">
        <v>0</v>
      </c>
      <c r="J204" s="263">
        <v>0</v>
      </c>
      <c r="K204" s="267">
        <v>8</v>
      </c>
    </row>
    <row r="205" spans="1:11">
      <c r="A205" s="9" t="s">
        <v>10726</v>
      </c>
      <c r="B205" s="16">
        <v>29</v>
      </c>
      <c r="C205" s="9"/>
      <c r="D205" s="271" t="s">
        <v>9576</v>
      </c>
      <c r="E205" s="263">
        <v>0</v>
      </c>
      <c r="F205" s="263">
        <v>8</v>
      </c>
      <c r="G205" s="263">
        <v>0</v>
      </c>
      <c r="H205" s="263">
        <v>0</v>
      </c>
      <c r="I205" s="263">
        <v>0</v>
      </c>
      <c r="J205" s="263">
        <v>0</v>
      </c>
      <c r="K205" s="267">
        <v>8</v>
      </c>
    </row>
    <row r="206" spans="1:11">
      <c r="B206" s="16">
        <v>29</v>
      </c>
      <c r="C206" s="9"/>
      <c r="D206" s="271"/>
      <c r="E206" s="263"/>
      <c r="F206" s="263"/>
      <c r="G206" s="263"/>
      <c r="H206" s="263"/>
      <c r="I206" s="263"/>
      <c r="J206" s="263"/>
      <c r="K206" s="267">
        <v>0</v>
      </c>
    </row>
    <row r="207" spans="1:11" ht="15.75" customHeight="1">
      <c r="B207" s="16">
        <v>29</v>
      </c>
      <c r="C207" s="9"/>
      <c r="D207" s="272" t="s">
        <v>3674</v>
      </c>
      <c r="E207" s="273">
        <v>20</v>
      </c>
      <c r="F207" s="273">
        <v>8</v>
      </c>
      <c r="G207" s="273">
        <v>8</v>
      </c>
      <c r="H207" s="273">
        <v>0</v>
      </c>
      <c r="I207" s="273">
        <v>0</v>
      </c>
      <c r="J207" s="273">
        <v>24</v>
      </c>
      <c r="K207" s="273">
        <v>60</v>
      </c>
    </row>
    <row r="208" spans="1:11">
      <c r="C208" s="9"/>
      <c r="D208" s="271"/>
      <c r="E208" s="263"/>
      <c r="F208" s="263"/>
      <c r="G208" s="263"/>
      <c r="H208" s="263"/>
      <c r="I208" s="263"/>
      <c r="J208" s="263"/>
      <c r="K208" s="267">
        <v>0</v>
      </c>
    </row>
    <row r="209" spans="1:11">
      <c r="A209" s="9" t="s">
        <v>10727</v>
      </c>
      <c r="B209" s="16">
        <v>34</v>
      </c>
      <c r="C209" s="9"/>
      <c r="D209" s="271" t="s">
        <v>9577</v>
      </c>
      <c r="E209" s="263">
        <v>5.6000000000000005</v>
      </c>
      <c r="F209" s="263">
        <v>0</v>
      </c>
      <c r="G209" s="263">
        <v>0</v>
      </c>
      <c r="H209" s="263">
        <v>0</v>
      </c>
      <c r="I209" s="263">
        <v>0</v>
      </c>
      <c r="J209" s="263">
        <v>0</v>
      </c>
      <c r="K209" s="267">
        <v>5.6000000000000005</v>
      </c>
    </row>
    <row r="210" spans="1:11">
      <c r="A210" s="9" t="s">
        <v>10728</v>
      </c>
      <c r="B210" s="16">
        <v>34</v>
      </c>
      <c r="C210" s="9"/>
      <c r="D210" s="271" t="s">
        <v>9578</v>
      </c>
      <c r="E210" s="263">
        <v>8</v>
      </c>
      <c r="F210" s="263">
        <v>0</v>
      </c>
      <c r="G210" s="263">
        <v>0</v>
      </c>
      <c r="H210" s="263">
        <v>0</v>
      </c>
      <c r="I210" s="263">
        <v>0</v>
      </c>
      <c r="J210" s="263">
        <v>0</v>
      </c>
      <c r="K210" s="267">
        <v>8</v>
      </c>
    </row>
    <row r="211" spans="1:11">
      <c r="A211" s="9" t="s">
        <v>10729</v>
      </c>
      <c r="B211" s="16">
        <v>34</v>
      </c>
      <c r="C211" s="9"/>
      <c r="D211" s="271" t="s">
        <v>9579</v>
      </c>
      <c r="E211" s="263">
        <v>4</v>
      </c>
      <c r="F211" s="263">
        <v>0</v>
      </c>
      <c r="G211" s="263">
        <v>0</v>
      </c>
      <c r="H211" s="263">
        <v>0</v>
      </c>
      <c r="I211" s="263">
        <v>0</v>
      </c>
      <c r="J211" s="263">
        <v>0</v>
      </c>
      <c r="K211" s="267">
        <v>4</v>
      </c>
    </row>
    <row r="212" spans="1:11">
      <c r="A212" s="9" t="s">
        <v>10730</v>
      </c>
      <c r="B212" s="16">
        <v>34</v>
      </c>
      <c r="C212" s="9"/>
      <c r="D212" s="271" t="s">
        <v>9596</v>
      </c>
      <c r="E212" s="263">
        <v>6.4</v>
      </c>
      <c r="F212" s="263">
        <v>0</v>
      </c>
      <c r="G212" s="263">
        <v>0</v>
      </c>
      <c r="H212" s="263">
        <v>0</v>
      </c>
      <c r="I212" s="263">
        <v>0</v>
      </c>
      <c r="J212" s="263">
        <v>0</v>
      </c>
      <c r="K212" s="267">
        <v>6.4</v>
      </c>
    </row>
    <row r="213" spans="1:11">
      <c r="A213" s="9" t="s">
        <v>10731</v>
      </c>
      <c r="B213" s="16">
        <v>34</v>
      </c>
      <c r="C213" s="9"/>
      <c r="D213" s="271" t="s">
        <v>9580</v>
      </c>
      <c r="E213" s="263">
        <v>3.2</v>
      </c>
      <c r="F213" s="263">
        <v>0</v>
      </c>
      <c r="G213" s="263">
        <v>0</v>
      </c>
      <c r="H213" s="263">
        <v>0</v>
      </c>
      <c r="I213" s="263">
        <v>0</v>
      </c>
      <c r="J213" s="263">
        <v>0</v>
      </c>
      <c r="K213" s="267">
        <v>3.2</v>
      </c>
    </row>
    <row r="214" spans="1:11">
      <c r="A214" s="9" t="s">
        <v>10732</v>
      </c>
      <c r="B214" s="16">
        <v>34</v>
      </c>
      <c r="C214" s="9"/>
      <c r="D214" s="271" t="s">
        <v>9581</v>
      </c>
      <c r="E214" s="263">
        <v>0</v>
      </c>
      <c r="F214" s="263">
        <v>0</v>
      </c>
      <c r="G214" s="263">
        <v>0</v>
      </c>
      <c r="H214" s="263">
        <v>0</v>
      </c>
      <c r="I214" s="263">
        <v>0</v>
      </c>
      <c r="J214" s="263">
        <v>8</v>
      </c>
      <c r="K214" s="267">
        <v>8</v>
      </c>
    </row>
    <row r="215" spans="1:11" ht="31.5">
      <c r="A215" s="9" t="s">
        <v>10733</v>
      </c>
      <c r="B215" s="16">
        <v>34</v>
      </c>
      <c r="C215" s="9"/>
      <c r="D215" s="271" t="s">
        <v>9582</v>
      </c>
      <c r="E215" s="263">
        <v>0</v>
      </c>
      <c r="F215" s="263">
        <v>0</v>
      </c>
      <c r="G215" s="263">
        <v>0</v>
      </c>
      <c r="H215" s="263">
        <v>0</v>
      </c>
      <c r="I215" s="263">
        <v>0</v>
      </c>
      <c r="J215" s="263">
        <v>4.8000000000000007</v>
      </c>
      <c r="K215" s="267">
        <v>4.8000000000000007</v>
      </c>
    </row>
    <row r="216" spans="1:11">
      <c r="A216" s="9" t="s">
        <v>10734</v>
      </c>
      <c r="B216" s="16">
        <v>34</v>
      </c>
      <c r="C216" s="9"/>
      <c r="D216" s="271" t="s">
        <v>9583</v>
      </c>
      <c r="E216" s="263">
        <v>0</v>
      </c>
      <c r="F216" s="263">
        <v>0</v>
      </c>
      <c r="G216" s="263">
        <v>6.4</v>
      </c>
      <c r="H216" s="263">
        <v>0</v>
      </c>
      <c r="I216" s="263">
        <v>0</v>
      </c>
      <c r="J216" s="263">
        <v>0</v>
      </c>
      <c r="K216" s="267">
        <v>6.4</v>
      </c>
    </row>
    <row r="217" spans="1:11">
      <c r="A217" s="9" t="s">
        <v>10735</v>
      </c>
      <c r="B217" s="16">
        <v>34</v>
      </c>
      <c r="C217" s="9"/>
      <c r="D217" s="271" t="s">
        <v>9584</v>
      </c>
      <c r="E217" s="263">
        <v>0</v>
      </c>
      <c r="F217" s="263">
        <v>0</v>
      </c>
      <c r="G217" s="263">
        <v>0</v>
      </c>
      <c r="H217" s="263">
        <v>4.8000000000000007</v>
      </c>
      <c r="I217" s="263">
        <v>0</v>
      </c>
      <c r="J217" s="263">
        <v>0</v>
      </c>
      <c r="K217" s="267">
        <v>4.8000000000000007</v>
      </c>
    </row>
    <row r="218" spans="1:11">
      <c r="A218" s="9" t="s">
        <v>10736</v>
      </c>
      <c r="B218" s="16">
        <v>34</v>
      </c>
      <c r="C218" s="9"/>
      <c r="D218" s="271" t="s">
        <v>9585</v>
      </c>
      <c r="E218" s="263">
        <v>0</v>
      </c>
      <c r="F218" s="263">
        <v>6.2</v>
      </c>
      <c r="G218" s="263">
        <v>0</v>
      </c>
      <c r="H218" s="263">
        <v>0</v>
      </c>
      <c r="I218" s="263">
        <v>0</v>
      </c>
      <c r="J218" s="263">
        <v>0</v>
      </c>
      <c r="K218" s="267">
        <v>6.2</v>
      </c>
    </row>
    <row r="219" spans="1:11">
      <c r="A219" s="9" t="s">
        <v>10737</v>
      </c>
      <c r="B219" s="16">
        <v>34</v>
      </c>
      <c r="C219" s="9"/>
      <c r="D219" s="271" t="s">
        <v>9586</v>
      </c>
      <c r="E219" s="263">
        <v>0</v>
      </c>
      <c r="F219" s="263">
        <v>4</v>
      </c>
      <c r="G219" s="263">
        <v>0</v>
      </c>
      <c r="H219" s="263">
        <v>0</v>
      </c>
      <c r="I219" s="263">
        <v>0</v>
      </c>
      <c r="J219" s="263">
        <v>0</v>
      </c>
      <c r="K219" s="267">
        <v>4</v>
      </c>
    </row>
    <row r="220" spans="1:11">
      <c r="A220" s="9" t="s">
        <v>10738</v>
      </c>
      <c r="B220" s="16">
        <v>34</v>
      </c>
      <c r="C220" s="9"/>
      <c r="D220" s="271" t="s">
        <v>9587</v>
      </c>
      <c r="E220" s="263">
        <v>8</v>
      </c>
      <c r="F220" s="263">
        <v>0</v>
      </c>
      <c r="G220" s="263">
        <v>0</v>
      </c>
      <c r="H220" s="263">
        <v>0</v>
      </c>
      <c r="I220" s="263">
        <v>0</v>
      </c>
      <c r="J220" s="263">
        <v>0</v>
      </c>
      <c r="K220" s="267">
        <v>8</v>
      </c>
    </row>
    <row r="221" spans="1:11">
      <c r="A221" s="9" t="s">
        <v>10739</v>
      </c>
      <c r="B221" s="16">
        <v>34</v>
      </c>
      <c r="C221" s="9"/>
      <c r="D221" s="271" t="s">
        <v>9597</v>
      </c>
      <c r="E221" s="263">
        <v>4</v>
      </c>
      <c r="F221" s="263">
        <v>0</v>
      </c>
      <c r="G221" s="263">
        <v>0</v>
      </c>
      <c r="H221" s="263">
        <v>0</v>
      </c>
      <c r="I221" s="263">
        <v>0</v>
      </c>
      <c r="J221" s="263">
        <v>0</v>
      </c>
      <c r="K221" s="267">
        <v>4</v>
      </c>
    </row>
    <row r="222" spans="1:11">
      <c r="A222" s="9" t="s">
        <v>10740</v>
      </c>
      <c r="B222" s="16">
        <v>34</v>
      </c>
      <c r="C222" s="9"/>
      <c r="D222" s="271" t="s">
        <v>9588</v>
      </c>
      <c r="E222" s="263">
        <v>4</v>
      </c>
      <c r="F222" s="263">
        <v>0</v>
      </c>
      <c r="G222" s="263">
        <v>0</v>
      </c>
      <c r="H222" s="263">
        <v>0</v>
      </c>
      <c r="I222" s="263">
        <v>0</v>
      </c>
      <c r="J222" s="263">
        <v>0</v>
      </c>
      <c r="K222" s="267">
        <v>4</v>
      </c>
    </row>
    <row r="223" spans="1:11">
      <c r="A223" s="9" t="s">
        <v>10741</v>
      </c>
      <c r="B223" s="16">
        <v>34</v>
      </c>
      <c r="C223" s="9"/>
      <c r="D223" s="271" t="s">
        <v>9598</v>
      </c>
      <c r="E223" s="263">
        <v>5.6000000000000005</v>
      </c>
      <c r="F223" s="263">
        <v>0</v>
      </c>
      <c r="G223" s="263">
        <v>0</v>
      </c>
      <c r="H223" s="263">
        <v>0</v>
      </c>
      <c r="I223" s="263">
        <v>0</v>
      </c>
      <c r="J223" s="263">
        <v>0</v>
      </c>
      <c r="K223" s="267">
        <v>5.6000000000000005</v>
      </c>
    </row>
    <row r="224" spans="1:11">
      <c r="A224" s="9" t="s">
        <v>10742</v>
      </c>
      <c r="B224" s="16">
        <v>34</v>
      </c>
      <c r="C224" s="9"/>
      <c r="D224" s="271" t="s">
        <v>9589</v>
      </c>
      <c r="E224" s="263">
        <v>5.6000000000000005</v>
      </c>
      <c r="F224" s="263">
        <v>0</v>
      </c>
      <c r="G224" s="263">
        <v>0</v>
      </c>
      <c r="H224" s="263">
        <v>0</v>
      </c>
      <c r="I224" s="263">
        <v>0</v>
      </c>
      <c r="J224" s="263">
        <v>0</v>
      </c>
      <c r="K224" s="267">
        <v>5.6000000000000005</v>
      </c>
    </row>
    <row r="225" spans="1:11">
      <c r="A225" s="9" t="s">
        <v>10743</v>
      </c>
      <c r="B225" s="16">
        <v>34</v>
      </c>
      <c r="C225" s="9"/>
      <c r="D225" s="271" t="s">
        <v>9590</v>
      </c>
      <c r="E225" s="263">
        <v>0</v>
      </c>
      <c r="F225" s="263">
        <v>0</v>
      </c>
      <c r="G225" s="263">
        <v>0</v>
      </c>
      <c r="H225" s="263">
        <v>0</v>
      </c>
      <c r="I225" s="263">
        <v>0</v>
      </c>
      <c r="J225" s="263">
        <v>5.6000000000000005</v>
      </c>
      <c r="K225" s="267">
        <v>5.6000000000000005</v>
      </c>
    </row>
    <row r="226" spans="1:11">
      <c r="A226" s="9" t="s">
        <v>10744</v>
      </c>
      <c r="B226" s="16">
        <v>34</v>
      </c>
      <c r="C226" s="9"/>
      <c r="D226" s="271" t="s">
        <v>9591</v>
      </c>
      <c r="E226" s="263">
        <v>0</v>
      </c>
      <c r="F226" s="263">
        <v>0</v>
      </c>
      <c r="G226" s="263">
        <v>0</v>
      </c>
      <c r="H226" s="263">
        <v>0</v>
      </c>
      <c r="I226" s="263">
        <v>0</v>
      </c>
      <c r="J226" s="263">
        <v>8</v>
      </c>
      <c r="K226" s="267">
        <v>8</v>
      </c>
    </row>
    <row r="227" spans="1:11">
      <c r="A227" s="9" t="s">
        <v>10745</v>
      </c>
      <c r="B227" s="16">
        <v>34</v>
      </c>
      <c r="C227" s="9"/>
      <c r="D227" s="271" t="s">
        <v>9592</v>
      </c>
      <c r="E227" s="263">
        <v>0</v>
      </c>
      <c r="F227" s="263">
        <v>0</v>
      </c>
      <c r="G227" s="263">
        <v>4</v>
      </c>
      <c r="H227" s="263">
        <v>0</v>
      </c>
      <c r="I227" s="263">
        <v>0</v>
      </c>
      <c r="J227" s="263">
        <v>0</v>
      </c>
      <c r="K227" s="267">
        <v>4</v>
      </c>
    </row>
    <row r="228" spans="1:11">
      <c r="A228" s="9" t="s">
        <v>10746</v>
      </c>
      <c r="B228" s="16">
        <v>34</v>
      </c>
      <c r="C228" s="9"/>
      <c r="D228" s="271" t="s">
        <v>9593</v>
      </c>
      <c r="E228" s="263">
        <v>0</v>
      </c>
      <c r="F228" s="263">
        <v>0</v>
      </c>
      <c r="G228" s="263">
        <v>0</v>
      </c>
      <c r="H228" s="263">
        <v>4.8000000000000007</v>
      </c>
      <c r="I228" s="263">
        <v>0</v>
      </c>
      <c r="J228" s="263">
        <v>0</v>
      </c>
      <c r="K228" s="267">
        <v>4.8000000000000007</v>
      </c>
    </row>
    <row r="229" spans="1:11">
      <c r="A229" s="9" t="s">
        <v>10747</v>
      </c>
      <c r="B229" s="16">
        <v>34</v>
      </c>
      <c r="C229" s="9"/>
      <c r="D229" s="271" t="s">
        <v>9594</v>
      </c>
      <c r="E229" s="263">
        <v>0</v>
      </c>
      <c r="F229" s="263">
        <v>4.8000000000000007</v>
      </c>
      <c r="G229" s="263">
        <v>0</v>
      </c>
      <c r="H229" s="263">
        <v>0</v>
      </c>
      <c r="I229" s="263">
        <v>0</v>
      </c>
      <c r="J229" s="263">
        <v>0</v>
      </c>
      <c r="K229" s="267">
        <v>4.8000000000000007</v>
      </c>
    </row>
    <row r="230" spans="1:11">
      <c r="A230" s="9" t="s">
        <v>10748</v>
      </c>
      <c r="B230" s="16">
        <v>34</v>
      </c>
      <c r="C230" s="9"/>
      <c r="D230" s="271" t="s">
        <v>9595</v>
      </c>
      <c r="E230" s="263">
        <v>0</v>
      </c>
      <c r="F230" s="263">
        <v>4</v>
      </c>
      <c r="G230" s="263">
        <v>0</v>
      </c>
      <c r="H230" s="263">
        <v>0</v>
      </c>
      <c r="I230" s="263">
        <v>0</v>
      </c>
      <c r="J230" s="263">
        <v>0</v>
      </c>
      <c r="K230" s="267">
        <v>4</v>
      </c>
    </row>
    <row r="231" spans="1:11">
      <c r="B231" s="16">
        <v>34</v>
      </c>
      <c r="C231" s="9"/>
      <c r="D231" s="271"/>
      <c r="E231" s="263"/>
      <c r="F231" s="263"/>
      <c r="G231" s="263"/>
      <c r="H231" s="263"/>
      <c r="I231" s="263"/>
      <c r="J231" s="263"/>
      <c r="K231" s="267">
        <v>0</v>
      </c>
    </row>
    <row r="232" spans="1:11" ht="15.75" customHeight="1">
      <c r="B232" s="16">
        <v>34</v>
      </c>
      <c r="C232" s="9"/>
      <c r="D232" s="272" t="s">
        <v>3674</v>
      </c>
      <c r="E232" s="273">
        <v>54.400000000000006</v>
      </c>
      <c r="F232" s="273">
        <v>19</v>
      </c>
      <c r="G232" s="273">
        <v>10.4</v>
      </c>
      <c r="H232" s="273">
        <v>9.6000000000000014</v>
      </c>
      <c r="I232" s="273">
        <v>0</v>
      </c>
      <c r="J232" s="273">
        <v>26.400000000000002</v>
      </c>
      <c r="K232" s="273">
        <v>119.79999999999998</v>
      </c>
    </row>
    <row r="233" spans="1:11">
      <c r="C233" s="9"/>
      <c r="D233" s="271"/>
      <c r="E233" s="263"/>
      <c r="F233" s="263"/>
      <c r="G233" s="263"/>
      <c r="H233" s="263"/>
      <c r="I233" s="263"/>
      <c r="J233" s="263"/>
      <c r="K233" s="267">
        <v>0</v>
      </c>
    </row>
    <row r="234" spans="1:11" ht="15.75" customHeight="1">
      <c r="B234" s="16">
        <v>0</v>
      </c>
      <c r="C234" s="9"/>
      <c r="D234" s="269" t="s">
        <v>13076</v>
      </c>
      <c r="E234" s="270">
        <v>98.4</v>
      </c>
      <c r="F234" s="270">
        <v>59</v>
      </c>
      <c r="G234" s="270">
        <v>56.8</v>
      </c>
      <c r="H234" s="270">
        <v>37.6</v>
      </c>
      <c r="I234" s="270">
        <v>0</v>
      </c>
      <c r="J234" s="270">
        <v>120</v>
      </c>
      <c r="K234" s="270">
        <v>371.79999999999995</v>
      </c>
    </row>
    <row r="235" spans="1:11">
      <c r="C235" s="9"/>
      <c r="D235" s="271"/>
      <c r="E235" s="263"/>
      <c r="F235" s="263"/>
      <c r="G235" s="263"/>
      <c r="H235" s="263"/>
      <c r="I235" s="263"/>
      <c r="J235" s="263"/>
      <c r="K235" s="267">
        <v>0</v>
      </c>
    </row>
    <row r="236" spans="1:11">
      <c r="C236" s="9"/>
      <c r="D236" s="271"/>
      <c r="E236" s="263"/>
      <c r="F236" s="263"/>
      <c r="G236" s="263"/>
      <c r="H236" s="263"/>
      <c r="I236" s="263"/>
      <c r="J236" s="263"/>
      <c r="K236" s="267">
        <v>0</v>
      </c>
    </row>
    <row r="237" spans="1:11">
      <c r="C237" s="9"/>
      <c r="D237" s="271" t="s">
        <v>4268</v>
      </c>
      <c r="E237" s="263"/>
      <c r="F237" s="263"/>
      <c r="G237" s="263"/>
      <c r="H237" s="263"/>
      <c r="I237" s="263"/>
      <c r="J237" s="263"/>
      <c r="K237" s="267">
        <v>0</v>
      </c>
    </row>
    <row r="238" spans="1:11">
      <c r="C238" s="9"/>
      <c r="D238" s="271"/>
      <c r="E238" s="263"/>
      <c r="F238" s="263"/>
      <c r="G238" s="263"/>
      <c r="H238" s="263"/>
      <c r="I238" s="263"/>
      <c r="J238" s="263"/>
      <c r="K238" s="267">
        <v>0</v>
      </c>
    </row>
    <row r="239" spans="1:11">
      <c r="A239" s="9" t="s">
        <v>10749</v>
      </c>
      <c r="B239" s="16">
        <v>11</v>
      </c>
      <c r="C239" s="9"/>
      <c r="D239" s="271" t="s">
        <v>4770</v>
      </c>
      <c r="E239" s="263">
        <v>0</v>
      </c>
      <c r="F239" s="263">
        <v>0</v>
      </c>
      <c r="G239" s="263">
        <v>0</v>
      </c>
      <c r="H239" s="263">
        <v>8</v>
      </c>
      <c r="I239" s="263">
        <v>0</v>
      </c>
      <c r="J239" s="263">
        <v>0</v>
      </c>
      <c r="K239" s="267">
        <v>8</v>
      </c>
    </row>
    <row r="240" spans="1:11">
      <c r="A240" s="9" t="s">
        <v>10750</v>
      </c>
      <c r="B240" s="16">
        <v>11</v>
      </c>
      <c r="C240" s="9"/>
      <c r="D240" s="271" t="s">
        <v>4771</v>
      </c>
      <c r="E240" s="263">
        <v>0</v>
      </c>
      <c r="F240" s="263">
        <v>0</v>
      </c>
      <c r="G240" s="263">
        <v>0</v>
      </c>
      <c r="H240" s="263">
        <v>4</v>
      </c>
      <c r="I240" s="263">
        <v>0</v>
      </c>
      <c r="J240" s="263">
        <v>0</v>
      </c>
      <c r="K240" s="267">
        <v>4</v>
      </c>
    </row>
    <row r="241" spans="1:11">
      <c r="A241" s="9" t="s">
        <v>10751</v>
      </c>
      <c r="B241" s="16">
        <v>11</v>
      </c>
      <c r="C241" s="9"/>
      <c r="D241" s="271" t="s">
        <v>8791</v>
      </c>
      <c r="E241" s="263">
        <v>0</v>
      </c>
      <c r="F241" s="263">
        <v>0</v>
      </c>
      <c r="G241" s="263">
        <v>0</v>
      </c>
      <c r="H241" s="263">
        <v>0</v>
      </c>
      <c r="I241" s="263">
        <v>0</v>
      </c>
      <c r="J241" s="263">
        <v>4</v>
      </c>
      <c r="K241" s="267">
        <v>4</v>
      </c>
    </row>
    <row r="242" spans="1:11">
      <c r="A242" s="9" t="s">
        <v>10752</v>
      </c>
      <c r="B242" s="16">
        <v>11</v>
      </c>
      <c r="C242" s="9"/>
      <c r="D242" s="271" t="s">
        <v>8792</v>
      </c>
      <c r="E242" s="263">
        <v>0</v>
      </c>
      <c r="F242" s="263">
        <v>0</v>
      </c>
      <c r="G242" s="263">
        <v>0</v>
      </c>
      <c r="H242" s="263">
        <v>0</v>
      </c>
      <c r="I242" s="263">
        <v>0</v>
      </c>
      <c r="J242" s="263">
        <v>4</v>
      </c>
      <c r="K242" s="267">
        <v>4</v>
      </c>
    </row>
    <row r="243" spans="1:11">
      <c r="A243" s="9" t="s">
        <v>10753</v>
      </c>
      <c r="B243" s="16">
        <v>11</v>
      </c>
      <c r="C243" s="9"/>
      <c r="D243" s="271" t="s">
        <v>8793</v>
      </c>
      <c r="E243" s="263">
        <v>0</v>
      </c>
      <c r="F243" s="263">
        <v>0</v>
      </c>
      <c r="G243" s="263">
        <v>0</v>
      </c>
      <c r="H243" s="263">
        <v>4</v>
      </c>
      <c r="I243" s="263">
        <v>0</v>
      </c>
      <c r="J243" s="263">
        <v>0</v>
      </c>
      <c r="K243" s="267">
        <v>4</v>
      </c>
    </row>
    <row r="244" spans="1:11">
      <c r="A244" s="9" t="s">
        <v>10754</v>
      </c>
      <c r="B244" s="16">
        <v>11</v>
      </c>
      <c r="C244" s="9"/>
      <c r="D244" s="271" t="s">
        <v>8804</v>
      </c>
      <c r="E244" s="263">
        <v>0</v>
      </c>
      <c r="F244" s="263">
        <v>0</v>
      </c>
      <c r="G244" s="263">
        <v>0</v>
      </c>
      <c r="H244" s="263">
        <v>8</v>
      </c>
      <c r="I244" s="263">
        <v>0</v>
      </c>
      <c r="J244" s="263">
        <v>0</v>
      </c>
      <c r="K244" s="267">
        <v>8</v>
      </c>
    </row>
    <row r="245" spans="1:11">
      <c r="A245" s="9" t="s">
        <v>10755</v>
      </c>
      <c r="B245" s="16">
        <v>11</v>
      </c>
      <c r="C245" s="9"/>
      <c r="D245" s="271" t="s">
        <v>8794</v>
      </c>
      <c r="E245" s="263">
        <v>0</v>
      </c>
      <c r="F245" s="263">
        <v>0</v>
      </c>
      <c r="G245" s="263">
        <v>0</v>
      </c>
      <c r="H245" s="263">
        <v>0</v>
      </c>
      <c r="I245" s="263">
        <v>0</v>
      </c>
      <c r="J245" s="263">
        <v>8</v>
      </c>
      <c r="K245" s="267">
        <v>8</v>
      </c>
    </row>
    <row r="246" spans="1:11">
      <c r="A246" s="9" t="s">
        <v>10756</v>
      </c>
      <c r="B246" s="16">
        <v>11</v>
      </c>
      <c r="C246" s="9"/>
      <c r="D246" s="271" t="s">
        <v>8795</v>
      </c>
      <c r="E246" s="263">
        <v>0</v>
      </c>
      <c r="F246" s="263">
        <v>0</v>
      </c>
      <c r="G246" s="263">
        <v>0</v>
      </c>
      <c r="H246" s="263">
        <v>0</v>
      </c>
      <c r="I246" s="263">
        <v>0</v>
      </c>
      <c r="J246" s="263">
        <v>4</v>
      </c>
      <c r="K246" s="267">
        <v>4</v>
      </c>
    </row>
    <row r="247" spans="1:11">
      <c r="A247" s="9" t="s">
        <v>10757</v>
      </c>
      <c r="B247" s="16">
        <v>11</v>
      </c>
      <c r="C247" s="9"/>
      <c r="D247" s="271" t="s">
        <v>4772</v>
      </c>
      <c r="E247" s="263">
        <v>0</v>
      </c>
      <c r="F247" s="263">
        <v>0</v>
      </c>
      <c r="G247" s="263">
        <v>0</v>
      </c>
      <c r="H247" s="263">
        <v>0</v>
      </c>
      <c r="I247" s="263">
        <v>0</v>
      </c>
      <c r="J247" s="263">
        <v>8</v>
      </c>
      <c r="K247" s="267">
        <v>8</v>
      </c>
    </row>
    <row r="248" spans="1:11">
      <c r="A248" s="9" t="s">
        <v>10758</v>
      </c>
      <c r="B248" s="16">
        <v>11</v>
      </c>
      <c r="C248" s="9"/>
      <c r="D248" s="271" t="s">
        <v>4773</v>
      </c>
      <c r="E248" s="263">
        <v>8</v>
      </c>
      <c r="F248" s="263">
        <v>0</v>
      </c>
      <c r="G248" s="263">
        <v>0</v>
      </c>
      <c r="H248" s="263">
        <v>0</v>
      </c>
      <c r="I248" s="263">
        <v>0</v>
      </c>
      <c r="J248" s="263">
        <v>0</v>
      </c>
      <c r="K248" s="267">
        <v>8</v>
      </c>
    </row>
    <row r="249" spans="1:11">
      <c r="A249" s="9" t="s">
        <v>10759</v>
      </c>
      <c r="B249" s="16">
        <v>11</v>
      </c>
      <c r="C249" s="9"/>
      <c r="D249" s="271" t="s">
        <v>8796</v>
      </c>
      <c r="E249" s="263">
        <v>0</v>
      </c>
      <c r="F249" s="263">
        <v>0</v>
      </c>
      <c r="G249" s="263">
        <v>8</v>
      </c>
      <c r="H249" s="263">
        <v>0</v>
      </c>
      <c r="I249" s="263">
        <v>0</v>
      </c>
      <c r="J249" s="263">
        <v>0</v>
      </c>
      <c r="K249" s="267">
        <v>8</v>
      </c>
    </row>
    <row r="250" spans="1:11">
      <c r="A250" s="9" t="s">
        <v>10760</v>
      </c>
      <c r="B250" s="16">
        <v>11</v>
      </c>
      <c r="C250" s="9"/>
      <c r="D250" s="271" t="s">
        <v>8797</v>
      </c>
      <c r="E250" s="263">
        <v>0</v>
      </c>
      <c r="F250" s="263">
        <v>0</v>
      </c>
      <c r="G250" s="263">
        <v>4</v>
      </c>
      <c r="H250" s="263">
        <v>0</v>
      </c>
      <c r="I250" s="263">
        <v>0</v>
      </c>
      <c r="J250" s="263">
        <v>0</v>
      </c>
      <c r="K250" s="267">
        <v>4</v>
      </c>
    </row>
    <row r="251" spans="1:11">
      <c r="A251" s="9" t="s">
        <v>10761</v>
      </c>
      <c r="B251" s="16">
        <v>11</v>
      </c>
      <c r="C251" s="9"/>
      <c r="D251" s="271" t="s">
        <v>4774</v>
      </c>
      <c r="E251" s="263">
        <v>4</v>
      </c>
      <c r="F251" s="263">
        <v>0</v>
      </c>
      <c r="G251" s="263">
        <v>0</v>
      </c>
      <c r="H251" s="263">
        <v>0</v>
      </c>
      <c r="I251" s="263">
        <v>0</v>
      </c>
      <c r="J251" s="263">
        <v>0</v>
      </c>
      <c r="K251" s="267">
        <v>4</v>
      </c>
    </row>
    <row r="252" spans="1:11">
      <c r="A252" s="9" t="s">
        <v>10762</v>
      </c>
      <c r="B252" s="16">
        <v>11</v>
      </c>
      <c r="C252" s="9"/>
      <c r="D252" s="271" t="s">
        <v>8798</v>
      </c>
      <c r="E252" s="263">
        <v>8</v>
      </c>
      <c r="F252" s="263">
        <v>0</v>
      </c>
      <c r="G252" s="263">
        <v>0</v>
      </c>
      <c r="H252" s="263">
        <v>0</v>
      </c>
      <c r="I252" s="263">
        <v>0</v>
      </c>
      <c r="J252" s="263">
        <v>0</v>
      </c>
      <c r="K252" s="267">
        <v>8</v>
      </c>
    </row>
    <row r="253" spans="1:11">
      <c r="A253" s="9" t="s">
        <v>10763</v>
      </c>
      <c r="B253" s="16">
        <v>11</v>
      </c>
      <c r="C253" s="9"/>
      <c r="D253" s="271" t="s">
        <v>8799</v>
      </c>
      <c r="E253" s="263">
        <v>4</v>
      </c>
      <c r="F253" s="263">
        <v>0</v>
      </c>
      <c r="G253" s="263">
        <v>0</v>
      </c>
      <c r="H253" s="263">
        <v>0</v>
      </c>
      <c r="I253" s="263">
        <v>0</v>
      </c>
      <c r="J253" s="263">
        <v>0</v>
      </c>
      <c r="K253" s="267">
        <v>4</v>
      </c>
    </row>
    <row r="254" spans="1:11">
      <c r="A254" s="9" t="s">
        <v>10764</v>
      </c>
      <c r="B254" s="16">
        <v>11</v>
      </c>
      <c r="C254" s="9"/>
      <c r="D254" s="271" t="s">
        <v>4775</v>
      </c>
      <c r="E254" s="263">
        <v>0</v>
      </c>
      <c r="F254" s="263">
        <v>0</v>
      </c>
      <c r="G254" s="263">
        <v>0</v>
      </c>
      <c r="H254" s="263">
        <v>12</v>
      </c>
      <c r="I254" s="263">
        <v>0</v>
      </c>
      <c r="J254" s="263">
        <v>0</v>
      </c>
      <c r="K254" s="267">
        <v>12</v>
      </c>
    </row>
    <row r="255" spans="1:11">
      <c r="A255" s="9" t="s">
        <v>10765</v>
      </c>
      <c r="B255" s="16">
        <v>11</v>
      </c>
      <c r="C255" s="9"/>
      <c r="D255" s="271" t="s">
        <v>8800</v>
      </c>
      <c r="E255" s="263">
        <v>0</v>
      </c>
      <c r="F255" s="263">
        <v>4</v>
      </c>
      <c r="G255" s="263">
        <v>0</v>
      </c>
      <c r="H255" s="263">
        <v>0</v>
      </c>
      <c r="I255" s="263">
        <v>0</v>
      </c>
      <c r="J255" s="263">
        <v>0</v>
      </c>
      <c r="K255" s="267">
        <v>4</v>
      </c>
    </row>
    <row r="256" spans="1:11">
      <c r="A256" s="9" t="s">
        <v>10766</v>
      </c>
      <c r="B256" s="16">
        <v>11</v>
      </c>
      <c r="C256" s="9"/>
      <c r="D256" s="271" t="s">
        <v>8801</v>
      </c>
      <c r="E256" s="263">
        <v>0</v>
      </c>
      <c r="F256" s="263">
        <v>4</v>
      </c>
      <c r="G256" s="263">
        <v>0</v>
      </c>
      <c r="H256" s="263">
        <v>0</v>
      </c>
      <c r="I256" s="263">
        <v>0</v>
      </c>
      <c r="J256" s="263">
        <v>0</v>
      </c>
      <c r="K256" s="267">
        <v>4</v>
      </c>
    </row>
    <row r="257" spans="1:11">
      <c r="A257" s="9" t="s">
        <v>10767</v>
      </c>
      <c r="B257" s="16">
        <v>11</v>
      </c>
      <c r="C257" s="9"/>
      <c r="D257" s="271" t="s">
        <v>4776</v>
      </c>
      <c r="E257" s="263">
        <v>0</v>
      </c>
      <c r="F257" s="263">
        <v>4</v>
      </c>
      <c r="G257" s="263">
        <v>0</v>
      </c>
      <c r="H257" s="263">
        <v>0</v>
      </c>
      <c r="I257" s="263">
        <v>0</v>
      </c>
      <c r="J257" s="263">
        <v>0</v>
      </c>
      <c r="K257" s="267">
        <v>4</v>
      </c>
    </row>
    <row r="258" spans="1:11" ht="31.5">
      <c r="A258" s="9" t="s">
        <v>10768</v>
      </c>
      <c r="B258" s="16">
        <v>11</v>
      </c>
      <c r="C258" s="9"/>
      <c r="D258" s="271" t="s">
        <v>8802</v>
      </c>
      <c r="E258" s="263">
        <v>0</v>
      </c>
      <c r="F258" s="263">
        <v>4</v>
      </c>
      <c r="G258" s="263">
        <v>0</v>
      </c>
      <c r="H258" s="263">
        <v>0</v>
      </c>
      <c r="I258" s="263">
        <v>0</v>
      </c>
      <c r="J258" s="263">
        <v>0</v>
      </c>
      <c r="K258" s="267">
        <v>4</v>
      </c>
    </row>
    <row r="259" spans="1:11">
      <c r="A259" s="9" t="s">
        <v>10769</v>
      </c>
      <c r="B259" s="16">
        <v>11</v>
      </c>
      <c r="C259" s="9"/>
      <c r="D259" s="271" t="s">
        <v>8803</v>
      </c>
      <c r="E259" s="263">
        <v>0</v>
      </c>
      <c r="F259" s="263">
        <v>4</v>
      </c>
      <c r="G259" s="263">
        <v>0</v>
      </c>
      <c r="H259" s="263">
        <v>0</v>
      </c>
      <c r="I259" s="263">
        <v>0</v>
      </c>
      <c r="J259" s="263">
        <v>0</v>
      </c>
      <c r="K259" s="267">
        <v>4</v>
      </c>
    </row>
    <row r="260" spans="1:11">
      <c r="B260" s="16">
        <v>11</v>
      </c>
      <c r="C260" s="9"/>
      <c r="D260" s="271"/>
      <c r="E260" s="263"/>
      <c r="F260" s="263"/>
      <c r="G260" s="263"/>
      <c r="H260" s="263"/>
      <c r="I260" s="263"/>
      <c r="J260" s="263"/>
      <c r="K260" s="267">
        <v>0</v>
      </c>
    </row>
    <row r="261" spans="1:11" ht="15.75" customHeight="1">
      <c r="B261" s="16">
        <v>11</v>
      </c>
      <c r="C261" s="9"/>
      <c r="D261" s="272" t="s">
        <v>3674</v>
      </c>
      <c r="E261" s="273">
        <v>24</v>
      </c>
      <c r="F261" s="273">
        <v>20</v>
      </c>
      <c r="G261" s="273">
        <v>12</v>
      </c>
      <c r="H261" s="273">
        <v>36</v>
      </c>
      <c r="I261" s="273">
        <v>0</v>
      </c>
      <c r="J261" s="273">
        <v>28</v>
      </c>
      <c r="K261" s="273">
        <v>120</v>
      </c>
    </row>
    <row r="262" spans="1:11">
      <c r="C262" s="9"/>
      <c r="D262" s="271"/>
      <c r="E262" s="263"/>
      <c r="F262" s="263"/>
      <c r="G262" s="263"/>
      <c r="H262" s="263"/>
      <c r="I262" s="263"/>
      <c r="J262" s="263"/>
      <c r="K262" s="267">
        <v>0</v>
      </c>
    </row>
    <row r="263" spans="1:11">
      <c r="A263" s="9" t="s">
        <v>10770</v>
      </c>
      <c r="B263" s="16">
        <v>12</v>
      </c>
      <c r="C263" s="9"/>
      <c r="D263" s="271" t="s">
        <v>8805</v>
      </c>
      <c r="E263" s="263">
        <v>4</v>
      </c>
      <c r="F263" s="263">
        <v>0</v>
      </c>
      <c r="G263" s="263">
        <v>0</v>
      </c>
      <c r="H263" s="263">
        <v>0</v>
      </c>
      <c r="I263" s="263">
        <v>0</v>
      </c>
      <c r="J263" s="263">
        <v>0</v>
      </c>
      <c r="K263" s="267">
        <v>4</v>
      </c>
    </row>
    <row r="264" spans="1:11">
      <c r="A264" s="9" t="s">
        <v>10771</v>
      </c>
      <c r="B264" s="16">
        <v>12</v>
      </c>
      <c r="C264" s="9"/>
      <c r="D264" s="271" t="s">
        <v>8806</v>
      </c>
      <c r="E264" s="263">
        <v>4</v>
      </c>
      <c r="F264" s="263">
        <v>0</v>
      </c>
      <c r="G264" s="263">
        <v>0</v>
      </c>
      <c r="H264" s="263">
        <v>0</v>
      </c>
      <c r="I264" s="263">
        <v>0</v>
      </c>
      <c r="J264" s="263">
        <v>0</v>
      </c>
      <c r="K264" s="267">
        <v>4</v>
      </c>
    </row>
    <row r="265" spans="1:11">
      <c r="A265" s="9" t="s">
        <v>10772</v>
      </c>
      <c r="B265" s="16">
        <v>12</v>
      </c>
      <c r="C265" s="9"/>
      <c r="D265" s="271" t="s">
        <v>4777</v>
      </c>
      <c r="E265" s="263">
        <v>8</v>
      </c>
      <c r="F265" s="263">
        <v>0</v>
      </c>
      <c r="G265" s="263">
        <v>0</v>
      </c>
      <c r="H265" s="263">
        <v>0</v>
      </c>
      <c r="I265" s="263">
        <v>0</v>
      </c>
      <c r="J265" s="263">
        <v>0</v>
      </c>
      <c r="K265" s="267">
        <v>8</v>
      </c>
    </row>
    <row r="266" spans="1:11">
      <c r="A266" s="9" t="s">
        <v>10773</v>
      </c>
      <c r="B266" s="16">
        <v>12</v>
      </c>
      <c r="C266" s="9"/>
      <c r="D266" s="271" t="s">
        <v>8807</v>
      </c>
      <c r="E266" s="263">
        <v>0</v>
      </c>
      <c r="F266" s="263">
        <v>0</v>
      </c>
      <c r="G266" s="263">
        <v>0</v>
      </c>
      <c r="H266" s="263">
        <v>0</v>
      </c>
      <c r="I266" s="263">
        <v>0</v>
      </c>
      <c r="J266" s="263">
        <v>8</v>
      </c>
      <c r="K266" s="267">
        <v>8</v>
      </c>
    </row>
    <row r="267" spans="1:11">
      <c r="A267" s="9" t="s">
        <v>10774</v>
      </c>
      <c r="B267" s="16">
        <v>12</v>
      </c>
      <c r="C267" s="9"/>
      <c r="D267" s="271" t="s">
        <v>8808</v>
      </c>
      <c r="E267" s="263">
        <v>0</v>
      </c>
      <c r="F267" s="263">
        <v>0</v>
      </c>
      <c r="G267" s="263">
        <v>0</v>
      </c>
      <c r="H267" s="263">
        <v>0</v>
      </c>
      <c r="I267" s="263">
        <v>0</v>
      </c>
      <c r="J267" s="263">
        <v>8</v>
      </c>
      <c r="K267" s="267">
        <v>8</v>
      </c>
    </row>
    <row r="268" spans="1:11">
      <c r="A268" s="9" t="s">
        <v>10775</v>
      </c>
      <c r="B268" s="16">
        <v>12</v>
      </c>
      <c r="C268" s="9"/>
      <c r="D268" s="271" t="s">
        <v>4778</v>
      </c>
      <c r="E268" s="263">
        <v>0</v>
      </c>
      <c r="F268" s="263">
        <v>0</v>
      </c>
      <c r="G268" s="263">
        <v>0</v>
      </c>
      <c r="H268" s="263">
        <v>0</v>
      </c>
      <c r="I268" s="263">
        <v>0</v>
      </c>
      <c r="J268" s="263">
        <v>8</v>
      </c>
      <c r="K268" s="267">
        <v>8</v>
      </c>
    </row>
    <row r="269" spans="1:11">
      <c r="A269" s="9" t="s">
        <v>10776</v>
      </c>
      <c r="B269" s="16">
        <v>12</v>
      </c>
      <c r="C269" s="9"/>
      <c r="D269" s="271" t="s">
        <v>8809</v>
      </c>
      <c r="E269" s="263">
        <v>0</v>
      </c>
      <c r="F269" s="263">
        <v>0</v>
      </c>
      <c r="G269" s="263">
        <v>8</v>
      </c>
      <c r="H269" s="263">
        <v>0</v>
      </c>
      <c r="I269" s="263">
        <v>0</v>
      </c>
      <c r="J269" s="263">
        <v>0</v>
      </c>
      <c r="K269" s="267">
        <v>8</v>
      </c>
    </row>
    <row r="270" spans="1:11">
      <c r="A270" s="9" t="s">
        <v>10777</v>
      </c>
      <c r="B270" s="16">
        <v>12</v>
      </c>
      <c r="C270" s="9"/>
      <c r="D270" s="271" t="s">
        <v>8810</v>
      </c>
      <c r="E270" s="263">
        <v>0</v>
      </c>
      <c r="F270" s="263">
        <v>0</v>
      </c>
      <c r="G270" s="263">
        <v>4</v>
      </c>
      <c r="H270" s="263">
        <v>0</v>
      </c>
      <c r="I270" s="263">
        <v>0</v>
      </c>
      <c r="J270" s="263">
        <v>0</v>
      </c>
      <c r="K270" s="267">
        <v>4</v>
      </c>
    </row>
    <row r="271" spans="1:11">
      <c r="A271" s="9" t="s">
        <v>10778</v>
      </c>
      <c r="B271" s="16">
        <v>12</v>
      </c>
      <c r="C271" s="9"/>
      <c r="D271" s="271" t="s">
        <v>4779</v>
      </c>
      <c r="E271" s="263">
        <v>0</v>
      </c>
      <c r="F271" s="263">
        <v>0</v>
      </c>
      <c r="G271" s="263">
        <v>0</v>
      </c>
      <c r="H271" s="263">
        <v>16</v>
      </c>
      <c r="I271" s="263">
        <v>0</v>
      </c>
      <c r="J271" s="263">
        <v>0</v>
      </c>
      <c r="K271" s="267">
        <v>16</v>
      </c>
    </row>
    <row r="272" spans="1:11">
      <c r="A272" s="9" t="s">
        <v>10779</v>
      </c>
      <c r="B272" s="16">
        <v>12</v>
      </c>
      <c r="C272" s="9"/>
      <c r="D272" s="271" t="s">
        <v>8811</v>
      </c>
      <c r="E272" s="263">
        <v>16</v>
      </c>
      <c r="F272" s="263">
        <v>0</v>
      </c>
      <c r="G272" s="263">
        <v>0</v>
      </c>
      <c r="H272" s="263">
        <v>0</v>
      </c>
      <c r="I272" s="263">
        <v>0</v>
      </c>
      <c r="J272" s="263">
        <v>0</v>
      </c>
      <c r="K272" s="267">
        <v>16</v>
      </c>
    </row>
    <row r="273" spans="1:11">
      <c r="A273" s="9" t="s">
        <v>10780</v>
      </c>
      <c r="B273" s="16">
        <v>12</v>
      </c>
      <c r="C273" s="9"/>
      <c r="D273" s="271" t="s">
        <v>8812</v>
      </c>
      <c r="E273" s="263">
        <v>4</v>
      </c>
      <c r="F273" s="263">
        <v>0</v>
      </c>
      <c r="G273" s="263">
        <v>0</v>
      </c>
      <c r="H273" s="263">
        <v>0</v>
      </c>
      <c r="I273" s="263">
        <v>0</v>
      </c>
      <c r="J273" s="263">
        <v>0</v>
      </c>
      <c r="K273" s="267">
        <v>4</v>
      </c>
    </row>
    <row r="274" spans="1:11">
      <c r="A274" s="9" t="s">
        <v>10781</v>
      </c>
      <c r="B274" s="16">
        <v>12</v>
      </c>
      <c r="C274" s="9"/>
      <c r="D274" s="271" t="s">
        <v>8813</v>
      </c>
      <c r="E274" s="263">
        <v>16</v>
      </c>
      <c r="F274" s="263">
        <v>0</v>
      </c>
      <c r="G274" s="263">
        <v>0</v>
      </c>
      <c r="H274" s="263">
        <v>0</v>
      </c>
      <c r="I274" s="263">
        <v>0</v>
      </c>
      <c r="J274" s="263">
        <v>0</v>
      </c>
      <c r="K274" s="267">
        <v>16</v>
      </c>
    </row>
    <row r="275" spans="1:11">
      <c r="A275" s="9" t="s">
        <v>10782</v>
      </c>
      <c r="B275" s="16">
        <v>12</v>
      </c>
      <c r="C275" s="9"/>
      <c r="D275" s="271" t="s">
        <v>8814</v>
      </c>
      <c r="E275" s="263">
        <v>4</v>
      </c>
      <c r="F275" s="263">
        <v>0</v>
      </c>
      <c r="G275" s="263">
        <v>0</v>
      </c>
      <c r="H275" s="263">
        <v>0</v>
      </c>
      <c r="I275" s="263">
        <v>0</v>
      </c>
      <c r="J275" s="263">
        <v>0</v>
      </c>
      <c r="K275" s="267">
        <v>4</v>
      </c>
    </row>
    <row r="276" spans="1:11">
      <c r="A276" s="9" t="s">
        <v>10783</v>
      </c>
      <c r="B276" s="16">
        <v>12</v>
      </c>
      <c r="C276" s="9"/>
      <c r="D276" s="271" t="s">
        <v>8815</v>
      </c>
      <c r="E276" s="263">
        <v>0</v>
      </c>
      <c r="F276" s="263">
        <v>7.2</v>
      </c>
      <c r="G276" s="263">
        <v>0</v>
      </c>
      <c r="H276" s="263">
        <v>0</v>
      </c>
      <c r="I276" s="263">
        <v>0</v>
      </c>
      <c r="J276" s="263">
        <v>0</v>
      </c>
      <c r="K276" s="267">
        <v>7.2</v>
      </c>
    </row>
    <row r="277" spans="1:11">
      <c r="A277" s="9" t="s">
        <v>10784</v>
      </c>
      <c r="B277" s="16">
        <v>12</v>
      </c>
      <c r="C277" s="9"/>
      <c r="D277" s="271" t="s">
        <v>8816</v>
      </c>
      <c r="E277" s="263">
        <v>0</v>
      </c>
      <c r="F277" s="263">
        <v>4.8000000000000007</v>
      </c>
      <c r="G277" s="263">
        <v>0</v>
      </c>
      <c r="H277" s="263">
        <v>0</v>
      </c>
      <c r="I277" s="263">
        <v>0</v>
      </c>
      <c r="J277" s="263">
        <v>0</v>
      </c>
      <c r="K277" s="267">
        <v>4.8000000000000007</v>
      </c>
    </row>
    <row r="278" spans="1:11">
      <c r="B278" s="16">
        <v>12</v>
      </c>
      <c r="C278" s="9"/>
      <c r="D278" s="271"/>
      <c r="E278" s="263"/>
      <c r="F278" s="263"/>
      <c r="G278" s="263"/>
      <c r="H278" s="263"/>
      <c r="I278" s="263"/>
      <c r="J278" s="263"/>
      <c r="K278" s="267">
        <v>0</v>
      </c>
    </row>
    <row r="279" spans="1:11" ht="15.75" customHeight="1">
      <c r="B279" s="16">
        <v>12</v>
      </c>
      <c r="C279" s="9"/>
      <c r="D279" s="272" t="s">
        <v>3674</v>
      </c>
      <c r="E279" s="273">
        <v>56</v>
      </c>
      <c r="F279" s="273">
        <v>12</v>
      </c>
      <c r="G279" s="273">
        <v>12</v>
      </c>
      <c r="H279" s="273">
        <v>16</v>
      </c>
      <c r="I279" s="273">
        <v>0</v>
      </c>
      <c r="J279" s="273">
        <v>24</v>
      </c>
      <c r="K279" s="273">
        <v>120</v>
      </c>
    </row>
    <row r="280" spans="1:11">
      <c r="C280" s="9"/>
      <c r="D280" s="271"/>
      <c r="E280" s="263"/>
      <c r="F280" s="263"/>
      <c r="G280" s="263"/>
      <c r="H280" s="263"/>
      <c r="I280" s="263"/>
      <c r="J280" s="263"/>
      <c r="K280" s="267">
        <v>0</v>
      </c>
    </row>
    <row r="281" spans="1:11">
      <c r="A281" s="9" t="s">
        <v>10785</v>
      </c>
      <c r="B281" s="16">
        <v>13</v>
      </c>
      <c r="C281" s="9"/>
      <c r="D281" s="271" t="s">
        <v>4780</v>
      </c>
      <c r="E281" s="263">
        <v>0</v>
      </c>
      <c r="F281" s="263">
        <v>0</v>
      </c>
      <c r="G281" s="263">
        <v>8</v>
      </c>
      <c r="H281" s="263">
        <v>0</v>
      </c>
      <c r="I281" s="263">
        <v>0</v>
      </c>
      <c r="J281" s="263">
        <v>0</v>
      </c>
      <c r="K281" s="267">
        <v>8</v>
      </c>
    </row>
    <row r="282" spans="1:11">
      <c r="A282" s="9" t="s">
        <v>10786</v>
      </c>
      <c r="B282" s="16">
        <v>13</v>
      </c>
      <c r="C282" s="9"/>
      <c r="D282" s="271" t="s">
        <v>8817</v>
      </c>
      <c r="E282" s="263">
        <v>0</v>
      </c>
      <c r="F282" s="263">
        <v>0</v>
      </c>
      <c r="G282" s="263">
        <v>4</v>
      </c>
      <c r="H282" s="263">
        <v>0</v>
      </c>
      <c r="I282" s="263">
        <v>0</v>
      </c>
      <c r="J282" s="263">
        <v>0</v>
      </c>
      <c r="K282" s="267">
        <v>4</v>
      </c>
    </row>
    <row r="283" spans="1:11">
      <c r="A283" s="9" t="s">
        <v>10787</v>
      </c>
      <c r="B283" s="16">
        <v>13</v>
      </c>
      <c r="C283" s="9"/>
      <c r="D283" s="271" t="s">
        <v>8818</v>
      </c>
      <c r="E283" s="263">
        <v>0</v>
      </c>
      <c r="F283" s="263">
        <v>0</v>
      </c>
      <c r="G283" s="263">
        <v>4</v>
      </c>
      <c r="H283" s="263">
        <v>0</v>
      </c>
      <c r="I283" s="263">
        <v>0</v>
      </c>
      <c r="J283" s="263">
        <v>0</v>
      </c>
      <c r="K283" s="267">
        <v>4</v>
      </c>
    </row>
    <row r="284" spans="1:11">
      <c r="A284" s="9" t="s">
        <v>10788</v>
      </c>
      <c r="B284" s="16">
        <v>13</v>
      </c>
      <c r="C284" s="9"/>
      <c r="D284" s="271" t="s">
        <v>8819</v>
      </c>
      <c r="E284" s="263">
        <v>8</v>
      </c>
      <c r="F284" s="263">
        <v>0</v>
      </c>
      <c r="G284" s="263">
        <v>0</v>
      </c>
      <c r="H284" s="263">
        <v>0</v>
      </c>
      <c r="I284" s="263">
        <v>0</v>
      </c>
      <c r="J284" s="263">
        <v>0</v>
      </c>
      <c r="K284" s="267">
        <v>8</v>
      </c>
    </row>
    <row r="285" spans="1:11">
      <c r="A285" s="9" t="s">
        <v>10789</v>
      </c>
      <c r="B285" s="16">
        <v>13</v>
      </c>
      <c r="C285" s="9"/>
      <c r="D285" s="271" t="s">
        <v>8820</v>
      </c>
      <c r="E285" s="263">
        <v>8</v>
      </c>
      <c r="F285" s="263">
        <v>0</v>
      </c>
      <c r="G285" s="263">
        <v>0</v>
      </c>
      <c r="H285" s="263">
        <v>0</v>
      </c>
      <c r="I285" s="263">
        <v>0</v>
      </c>
      <c r="J285" s="263">
        <v>0</v>
      </c>
      <c r="K285" s="267">
        <v>8</v>
      </c>
    </row>
    <row r="286" spans="1:11">
      <c r="A286" s="9" t="s">
        <v>10790</v>
      </c>
      <c r="B286" s="16">
        <v>13</v>
      </c>
      <c r="C286" s="9"/>
      <c r="D286" s="271" t="s">
        <v>8821</v>
      </c>
      <c r="E286" s="263">
        <v>0</v>
      </c>
      <c r="F286" s="263">
        <v>0</v>
      </c>
      <c r="G286" s="263">
        <v>0</v>
      </c>
      <c r="H286" s="263">
        <v>0</v>
      </c>
      <c r="I286" s="263">
        <v>0</v>
      </c>
      <c r="J286" s="263">
        <v>8</v>
      </c>
      <c r="K286" s="267">
        <v>8</v>
      </c>
    </row>
    <row r="287" spans="1:11">
      <c r="A287" s="9" t="s">
        <v>10791</v>
      </c>
      <c r="B287" s="16">
        <v>13</v>
      </c>
      <c r="C287" s="9"/>
      <c r="D287" s="271" t="s">
        <v>8822</v>
      </c>
      <c r="E287" s="263">
        <v>0</v>
      </c>
      <c r="F287" s="263">
        <v>0</v>
      </c>
      <c r="G287" s="263">
        <v>0</v>
      </c>
      <c r="H287" s="263">
        <v>0</v>
      </c>
      <c r="I287" s="263">
        <v>0</v>
      </c>
      <c r="J287" s="263">
        <v>8</v>
      </c>
      <c r="K287" s="267">
        <v>8</v>
      </c>
    </row>
    <row r="288" spans="1:11">
      <c r="A288" s="9" t="s">
        <v>10792</v>
      </c>
      <c r="B288" s="16">
        <v>13</v>
      </c>
      <c r="C288" s="9"/>
      <c r="D288" s="271" t="s">
        <v>4781</v>
      </c>
      <c r="E288" s="263">
        <v>0</v>
      </c>
      <c r="F288" s="263">
        <v>0</v>
      </c>
      <c r="G288" s="263">
        <v>0</v>
      </c>
      <c r="H288" s="263">
        <v>4</v>
      </c>
      <c r="I288" s="263">
        <v>0</v>
      </c>
      <c r="J288" s="263">
        <v>0</v>
      </c>
      <c r="K288" s="267">
        <v>4</v>
      </c>
    </row>
    <row r="289" spans="1:11">
      <c r="A289" s="9" t="s">
        <v>10793</v>
      </c>
      <c r="B289" s="16">
        <v>13</v>
      </c>
      <c r="C289" s="9"/>
      <c r="D289" s="271" t="s">
        <v>8823</v>
      </c>
      <c r="E289" s="263">
        <v>0</v>
      </c>
      <c r="F289" s="263">
        <v>0</v>
      </c>
      <c r="G289" s="263">
        <v>0</v>
      </c>
      <c r="H289" s="263">
        <v>4</v>
      </c>
      <c r="I289" s="263">
        <v>0</v>
      </c>
      <c r="J289" s="263">
        <v>0</v>
      </c>
      <c r="K289" s="267">
        <v>4</v>
      </c>
    </row>
    <row r="290" spans="1:11">
      <c r="A290" s="9" t="s">
        <v>10794</v>
      </c>
      <c r="B290" s="16">
        <v>13</v>
      </c>
      <c r="C290" s="9"/>
      <c r="D290" s="271" t="s">
        <v>8824</v>
      </c>
      <c r="E290" s="263">
        <v>0</v>
      </c>
      <c r="F290" s="263">
        <v>0</v>
      </c>
      <c r="G290" s="263">
        <v>0</v>
      </c>
      <c r="H290" s="263">
        <v>8</v>
      </c>
      <c r="I290" s="263">
        <v>0</v>
      </c>
      <c r="J290" s="263">
        <v>0</v>
      </c>
      <c r="K290" s="267">
        <v>8</v>
      </c>
    </row>
    <row r="291" spans="1:11">
      <c r="A291" s="9" t="s">
        <v>10795</v>
      </c>
      <c r="B291" s="16">
        <v>13</v>
      </c>
      <c r="C291" s="9"/>
      <c r="D291" s="271" t="s">
        <v>8825</v>
      </c>
      <c r="E291" s="263">
        <v>0</v>
      </c>
      <c r="F291" s="263">
        <v>0</v>
      </c>
      <c r="G291" s="263">
        <v>8</v>
      </c>
      <c r="H291" s="263">
        <v>0</v>
      </c>
      <c r="I291" s="263">
        <v>0</v>
      </c>
      <c r="J291" s="263">
        <v>0</v>
      </c>
      <c r="K291" s="267">
        <v>8</v>
      </c>
    </row>
    <row r="292" spans="1:11">
      <c r="A292" s="9" t="s">
        <v>10796</v>
      </c>
      <c r="B292" s="16">
        <v>13</v>
      </c>
      <c r="C292" s="9"/>
      <c r="D292" s="271" t="s">
        <v>8826</v>
      </c>
      <c r="E292" s="263">
        <v>0</v>
      </c>
      <c r="F292" s="263">
        <v>0</v>
      </c>
      <c r="G292" s="263">
        <v>0</v>
      </c>
      <c r="H292" s="263">
        <v>0</v>
      </c>
      <c r="I292" s="263">
        <v>0</v>
      </c>
      <c r="J292" s="263">
        <v>8</v>
      </c>
      <c r="K292" s="267">
        <v>8</v>
      </c>
    </row>
    <row r="293" spans="1:11">
      <c r="A293" s="9" t="s">
        <v>10797</v>
      </c>
      <c r="B293" s="16">
        <v>13</v>
      </c>
      <c r="C293" s="9"/>
      <c r="D293" s="271" t="s">
        <v>4782</v>
      </c>
      <c r="E293" s="263">
        <v>0</v>
      </c>
      <c r="F293" s="263">
        <v>0</v>
      </c>
      <c r="G293" s="263">
        <v>0</v>
      </c>
      <c r="H293" s="263">
        <v>16</v>
      </c>
      <c r="I293" s="263">
        <v>0</v>
      </c>
      <c r="J293" s="263">
        <v>0</v>
      </c>
      <c r="K293" s="267">
        <v>16</v>
      </c>
    </row>
    <row r="294" spans="1:11">
      <c r="A294" s="9" t="s">
        <v>10798</v>
      </c>
      <c r="B294" s="16">
        <v>13</v>
      </c>
      <c r="C294" s="9"/>
      <c r="D294" s="271" t="s">
        <v>8827</v>
      </c>
      <c r="E294" s="263">
        <v>0</v>
      </c>
      <c r="F294" s="263">
        <v>0</v>
      </c>
      <c r="G294" s="263">
        <v>0</v>
      </c>
      <c r="H294" s="263">
        <v>4</v>
      </c>
      <c r="I294" s="263">
        <v>0</v>
      </c>
      <c r="J294" s="263">
        <v>0</v>
      </c>
      <c r="K294" s="267">
        <v>4</v>
      </c>
    </row>
    <row r="295" spans="1:11">
      <c r="A295" s="9" t="s">
        <v>10799</v>
      </c>
      <c r="B295" s="16">
        <v>13</v>
      </c>
      <c r="C295" s="9"/>
      <c r="D295" s="271" t="s">
        <v>8828</v>
      </c>
      <c r="E295" s="263">
        <v>0</v>
      </c>
      <c r="F295" s="263">
        <v>4</v>
      </c>
      <c r="G295" s="263">
        <v>0</v>
      </c>
      <c r="H295" s="263">
        <v>0</v>
      </c>
      <c r="I295" s="263">
        <v>0</v>
      </c>
      <c r="J295" s="263">
        <v>0</v>
      </c>
      <c r="K295" s="267">
        <v>4</v>
      </c>
    </row>
    <row r="296" spans="1:11">
      <c r="A296" s="9" t="s">
        <v>10800</v>
      </c>
      <c r="B296" s="16">
        <v>13</v>
      </c>
      <c r="C296" s="9"/>
      <c r="D296" s="271" t="s">
        <v>8829</v>
      </c>
      <c r="E296" s="263">
        <v>0</v>
      </c>
      <c r="F296" s="263">
        <v>4</v>
      </c>
      <c r="G296" s="263">
        <v>0</v>
      </c>
      <c r="H296" s="263">
        <v>0</v>
      </c>
      <c r="I296" s="263">
        <v>0</v>
      </c>
      <c r="J296" s="263">
        <v>0</v>
      </c>
      <c r="K296" s="267">
        <v>4</v>
      </c>
    </row>
    <row r="297" spans="1:11">
      <c r="A297" s="9" t="s">
        <v>10801</v>
      </c>
      <c r="B297" s="16">
        <v>13</v>
      </c>
      <c r="C297" s="9"/>
      <c r="D297" s="271" t="s">
        <v>8830</v>
      </c>
      <c r="E297" s="263">
        <v>0</v>
      </c>
      <c r="F297" s="263">
        <v>4</v>
      </c>
      <c r="G297" s="263">
        <v>0</v>
      </c>
      <c r="H297" s="263">
        <v>0</v>
      </c>
      <c r="I297" s="263">
        <v>0</v>
      </c>
      <c r="J297" s="263">
        <v>0</v>
      </c>
      <c r="K297" s="267">
        <v>4</v>
      </c>
    </row>
    <row r="298" spans="1:11">
      <c r="A298" s="9" t="s">
        <v>10802</v>
      </c>
      <c r="B298" s="16">
        <v>13</v>
      </c>
      <c r="C298" s="9"/>
      <c r="D298" s="271" t="s">
        <v>8831</v>
      </c>
      <c r="E298" s="263">
        <v>0</v>
      </c>
      <c r="F298" s="263">
        <v>8</v>
      </c>
      <c r="G298" s="263">
        <v>0</v>
      </c>
      <c r="H298" s="263">
        <v>0</v>
      </c>
      <c r="I298" s="263">
        <v>0</v>
      </c>
      <c r="J298" s="263">
        <v>0</v>
      </c>
      <c r="K298" s="267">
        <v>8</v>
      </c>
    </row>
    <row r="299" spans="1:11" ht="15.75" customHeight="1">
      <c r="B299" s="16">
        <v>13</v>
      </c>
      <c r="C299" s="9"/>
      <c r="D299" s="272" t="s">
        <v>3674</v>
      </c>
      <c r="E299" s="273">
        <v>16</v>
      </c>
      <c r="F299" s="273">
        <v>20</v>
      </c>
      <c r="G299" s="273">
        <v>24</v>
      </c>
      <c r="H299" s="273">
        <v>36</v>
      </c>
      <c r="I299" s="273">
        <v>0</v>
      </c>
      <c r="J299" s="273">
        <v>24</v>
      </c>
      <c r="K299" s="273">
        <v>120</v>
      </c>
    </row>
    <row r="300" spans="1:11">
      <c r="A300" s="9" t="s">
        <v>10803</v>
      </c>
      <c r="B300" s="16">
        <v>24</v>
      </c>
      <c r="C300" s="9"/>
      <c r="D300" s="271" t="s">
        <v>8832</v>
      </c>
      <c r="E300" s="263">
        <v>0</v>
      </c>
      <c r="F300" s="263">
        <v>0</v>
      </c>
      <c r="G300" s="263">
        <v>0</v>
      </c>
      <c r="H300" s="263">
        <v>8</v>
      </c>
      <c r="I300" s="263">
        <v>0</v>
      </c>
      <c r="J300" s="263">
        <v>0</v>
      </c>
      <c r="K300" s="267">
        <v>8</v>
      </c>
    </row>
    <row r="301" spans="1:11">
      <c r="A301" s="9" t="s">
        <v>10804</v>
      </c>
      <c r="B301" s="16">
        <v>24</v>
      </c>
      <c r="C301" s="9"/>
      <c r="D301" s="271" t="s">
        <v>8833</v>
      </c>
      <c r="E301" s="263">
        <v>0</v>
      </c>
      <c r="F301" s="263">
        <v>0</v>
      </c>
      <c r="G301" s="263">
        <v>8</v>
      </c>
      <c r="H301" s="263">
        <v>0</v>
      </c>
      <c r="I301" s="263">
        <v>0</v>
      </c>
      <c r="J301" s="263">
        <v>0</v>
      </c>
      <c r="K301" s="267">
        <v>8</v>
      </c>
    </row>
    <row r="302" spans="1:11">
      <c r="A302" s="9" t="s">
        <v>10805</v>
      </c>
      <c r="B302" s="16">
        <v>24</v>
      </c>
      <c r="C302" s="9"/>
      <c r="D302" s="271" t="s">
        <v>8834</v>
      </c>
      <c r="E302" s="263">
        <v>4</v>
      </c>
      <c r="F302" s="263">
        <v>0</v>
      </c>
      <c r="G302" s="263">
        <v>0</v>
      </c>
      <c r="H302" s="263">
        <v>0</v>
      </c>
      <c r="I302" s="263">
        <v>0</v>
      </c>
      <c r="J302" s="263">
        <v>0</v>
      </c>
      <c r="K302" s="267">
        <v>4</v>
      </c>
    </row>
    <row r="303" spans="1:11">
      <c r="A303" s="9" t="s">
        <v>10806</v>
      </c>
      <c r="B303" s="16">
        <v>24</v>
      </c>
      <c r="C303" s="9"/>
      <c r="D303" s="271" t="s">
        <v>4783</v>
      </c>
      <c r="E303" s="263">
        <v>8</v>
      </c>
      <c r="F303" s="263">
        <v>0</v>
      </c>
      <c r="G303" s="263">
        <v>0</v>
      </c>
      <c r="H303" s="263">
        <v>0</v>
      </c>
      <c r="I303" s="263">
        <v>0</v>
      </c>
      <c r="J303" s="263">
        <v>0</v>
      </c>
      <c r="K303" s="267">
        <v>8</v>
      </c>
    </row>
    <row r="304" spans="1:11">
      <c r="A304" s="9" t="s">
        <v>10807</v>
      </c>
      <c r="B304" s="16">
        <v>24</v>
      </c>
      <c r="C304" s="9"/>
      <c r="D304" s="271" t="s">
        <v>8835</v>
      </c>
      <c r="E304" s="263">
        <v>0</v>
      </c>
      <c r="F304" s="263">
        <v>0</v>
      </c>
      <c r="G304" s="263">
        <v>0</v>
      </c>
      <c r="H304" s="263">
        <v>0</v>
      </c>
      <c r="I304" s="263">
        <v>0</v>
      </c>
      <c r="J304" s="263">
        <v>8</v>
      </c>
      <c r="K304" s="267">
        <v>8</v>
      </c>
    </row>
    <row r="305" spans="1:11">
      <c r="A305" s="9" t="s">
        <v>10808</v>
      </c>
      <c r="B305" s="16">
        <v>24</v>
      </c>
      <c r="C305" s="9"/>
      <c r="D305" s="271" t="s">
        <v>8836</v>
      </c>
      <c r="E305" s="263">
        <v>0</v>
      </c>
      <c r="F305" s="263">
        <v>0</v>
      </c>
      <c r="G305" s="263">
        <v>0</v>
      </c>
      <c r="H305" s="263">
        <v>8</v>
      </c>
      <c r="I305" s="263">
        <v>0</v>
      </c>
      <c r="J305" s="263">
        <v>0</v>
      </c>
      <c r="K305" s="267">
        <v>8</v>
      </c>
    </row>
    <row r="306" spans="1:11">
      <c r="A306" s="9" t="s">
        <v>10809</v>
      </c>
      <c r="B306" s="16">
        <v>24</v>
      </c>
      <c r="C306" s="9"/>
      <c r="D306" s="271" t="s">
        <v>8837</v>
      </c>
      <c r="E306" s="263">
        <v>8</v>
      </c>
      <c r="F306" s="263">
        <v>0</v>
      </c>
      <c r="G306" s="263">
        <v>0</v>
      </c>
      <c r="H306" s="263">
        <v>0</v>
      </c>
      <c r="I306" s="263">
        <v>0</v>
      </c>
      <c r="J306" s="263">
        <v>0</v>
      </c>
      <c r="K306" s="267">
        <v>8</v>
      </c>
    </row>
    <row r="307" spans="1:11">
      <c r="A307" s="9" t="s">
        <v>10810</v>
      </c>
      <c r="B307" s="16">
        <v>24</v>
      </c>
      <c r="C307" s="9"/>
      <c r="D307" s="271" t="s">
        <v>8838</v>
      </c>
      <c r="E307" s="263">
        <v>4</v>
      </c>
      <c r="F307" s="263">
        <v>0</v>
      </c>
      <c r="G307" s="263">
        <v>0</v>
      </c>
      <c r="H307" s="263">
        <v>0</v>
      </c>
      <c r="I307" s="263">
        <v>0</v>
      </c>
      <c r="J307" s="263">
        <v>0</v>
      </c>
      <c r="K307" s="267">
        <v>4</v>
      </c>
    </row>
    <row r="308" spans="1:11">
      <c r="A308" s="9" t="s">
        <v>10811</v>
      </c>
      <c r="B308" s="16">
        <v>24</v>
      </c>
      <c r="C308" s="9"/>
      <c r="D308" s="271" t="s">
        <v>4784</v>
      </c>
      <c r="E308" s="263">
        <v>8</v>
      </c>
      <c r="F308" s="263">
        <v>0</v>
      </c>
      <c r="G308" s="263">
        <v>0</v>
      </c>
      <c r="H308" s="263">
        <v>0</v>
      </c>
      <c r="I308" s="263">
        <v>0</v>
      </c>
      <c r="J308" s="263">
        <v>0</v>
      </c>
      <c r="K308" s="267">
        <v>8</v>
      </c>
    </row>
    <row r="309" spans="1:11">
      <c r="A309" s="9" t="s">
        <v>10812</v>
      </c>
      <c r="B309" s="16">
        <v>24</v>
      </c>
      <c r="C309" s="9"/>
      <c r="D309" s="271" t="s">
        <v>8839</v>
      </c>
      <c r="E309" s="263">
        <v>4</v>
      </c>
      <c r="F309" s="263">
        <v>0</v>
      </c>
      <c r="G309" s="263">
        <v>0</v>
      </c>
      <c r="H309" s="263">
        <v>0</v>
      </c>
      <c r="I309" s="263">
        <v>0</v>
      </c>
      <c r="J309" s="263">
        <v>0</v>
      </c>
      <c r="K309" s="267">
        <v>4</v>
      </c>
    </row>
    <row r="310" spans="1:11">
      <c r="A310" s="9" t="s">
        <v>10813</v>
      </c>
      <c r="B310" s="16">
        <v>24</v>
      </c>
      <c r="C310" s="9"/>
      <c r="D310" s="271" t="s">
        <v>8840</v>
      </c>
      <c r="E310" s="263">
        <v>0</v>
      </c>
      <c r="F310" s="263">
        <v>0</v>
      </c>
      <c r="G310" s="263">
        <v>4</v>
      </c>
      <c r="H310" s="263">
        <v>0</v>
      </c>
      <c r="I310" s="263">
        <v>0</v>
      </c>
      <c r="J310" s="263">
        <v>0</v>
      </c>
      <c r="K310" s="267">
        <v>4</v>
      </c>
    </row>
    <row r="311" spans="1:11">
      <c r="A311" s="9" t="s">
        <v>10814</v>
      </c>
      <c r="B311" s="16">
        <v>24</v>
      </c>
      <c r="C311" s="9"/>
      <c r="D311" s="271" t="s">
        <v>8841</v>
      </c>
      <c r="E311" s="263">
        <v>0</v>
      </c>
      <c r="F311" s="263">
        <v>0</v>
      </c>
      <c r="G311" s="263">
        <v>0</v>
      </c>
      <c r="H311" s="263">
        <v>0</v>
      </c>
      <c r="I311" s="263">
        <v>0</v>
      </c>
      <c r="J311" s="263">
        <v>8</v>
      </c>
      <c r="K311" s="267">
        <v>8</v>
      </c>
    </row>
    <row r="312" spans="1:11">
      <c r="A312" s="9" t="s">
        <v>10815</v>
      </c>
      <c r="B312" s="16">
        <v>24</v>
      </c>
      <c r="C312" s="9"/>
      <c r="D312" s="271" t="s">
        <v>8842</v>
      </c>
      <c r="E312" s="263">
        <v>4</v>
      </c>
      <c r="F312" s="263">
        <v>0</v>
      </c>
      <c r="G312" s="263">
        <v>0</v>
      </c>
      <c r="H312" s="263">
        <v>0</v>
      </c>
      <c r="I312" s="263">
        <v>0</v>
      </c>
      <c r="J312" s="263">
        <v>0</v>
      </c>
      <c r="K312" s="267">
        <v>4</v>
      </c>
    </row>
    <row r="313" spans="1:11">
      <c r="A313" s="9" t="s">
        <v>10816</v>
      </c>
      <c r="B313" s="16">
        <v>24</v>
      </c>
      <c r="C313" s="9"/>
      <c r="D313" s="271" t="s">
        <v>8843</v>
      </c>
      <c r="E313" s="263">
        <v>8</v>
      </c>
      <c r="F313" s="263">
        <v>0</v>
      </c>
      <c r="G313" s="263">
        <v>0</v>
      </c>
      <c r="H313" s="263">
        <v>0</v>
      </c>
      <c r="I313" s="263">
        <v>0</v>
      </c>
      <c r="J313" s="263">
        <v>0</v>
      </c>
      <c r="K313" s="267">
        <v>8</v>
      </c>
    </row>
    <row r="314" spans="1:11">
      <c r="A314" s="9" t="s">
        <v>10817</v>
      </c>
      <c r="B314" s="16">
        <v>24</v>
      </c>
      <c r="C314" s="9"/>
      <c r="D314" s="271" t="s">
        <v>8844</v>
      </c>
      <c r="E314" s="263">
        <v>4</v>
      </c>
      <c r="F314" s="263">
        <v>0</v>
      </c>
      <c r="G314" s="263">
        <v>0</v>
      </c>
      <c r="H314" s="263">
        <v>0</v>
      </c>
      <c r="I314" s="263">
        <v>0</v>
      </c>
      <c r="J314" s="263">
        <v>0</v>
      </c>
      <c r="K314" s="267">
        <v>4</v>
      </c>
    </row>
    <row r="315" spans="1:11">
      <c r="A315" s="9" t="s">
        <v>10818</v>
      </c>
      <c r="B315" s="16">
        <v>24</v>
      </c>
      <c r="C315" s="9"/>
      <c r="D315" s="271" t="s">
        <v>4785</v>
      </c>
      <c r="E315" s="263">
        <v>0</v>
      </c>
      <c r="F315" s="263">
        <v>0</v>
      </c>
      <c r="G315" s="263">
        <v>0</v>
      </c>
      <c r="H315" s="263">
        <v>8</v>
      </c>
      <c r="I315" s="263">
        <v>0</v>
      </c>
      <c r="J315" s="263">
        <v>0</v>
      </c>
      <c r="K315" s="267">
        <v>8</v>
      </c>
    </row>
    <row r="316" spans="1:11">
      <c r="A316" s="9" t="s">
        <v>10819</v>
      </c>
      <c r="B316" s="16">
        <v>24</v>
      </c>
      <c r="C316" s="9"/>
      <c r="D316" s="271" t="s">
        <v>8845</v>
      </c>
      <c r="E316" s="263">
        <v>0</v>
      </c>
      <c r="F316" s="263">
        <v>0</v>
      </c>
      <c r="G316" s="263">
        <v>0</v>
      </c>
      <c r="H316" s="263">
        <v>0</v>
      </c>
      <c r="I316" s="263">
        <v>0</v>
      </c>
      <c r="J316" s="263">
        <v>4</v>
      </c>
      <c r="K316" s="267">
        <v>4</v>
      </c>
    </row>
    <row r="317" spans="1:11">
      <c r="A317" s="9" t="s">
        <v>10820</v>
      </c>
      <c r="B317" s="16">
        <v>24</v>
      </c>
      <c r="C317" s="9"/>
      <c r="D317" s="271" t="s">
        <v>8846</v>
      </c>
      <c r="E317" s="263">
        <v>0</v>
      </c>
      <c r="F317" s="263">
        <v>4</v>
      </c>
      <c r="G317" s="263">
        <v>0</v>
      </c>
      <c r="H317" s="263">
        <v>0</v>
      </c>
      <c r="I317" s="263">
        <v>0</v>
      </c>
      <c r="J317" s="263">
        <v>0</v>
      </c>
      <c r="K317" s="267">
        <v>4</v>
      </c>
    </row>
    <row r="318" spans="1:11">
      <c r="A318" s="9" t="s">
        <v>10821</v>
      </c>
      <c r="B318" s="16">
        <v>24</v>
      </c>
      <c r="C318" s="9"/>
      <c r="D318" s="271" t="s">
        <v>8847</v>
      </c>
      <c r="E318" s="263">
        <v>0</v>
      </c>
      <c r="F318" s="263">
        <v>4</v>
      </c>
      <c r="G318" s="263">
        <v>0</v>
      </c>
      <c r="H318" s="263">
        <v>0</v>
      </c>
      <c r="I318" s="263">
        <v>0</v>
      </c>
      <c r="J318" s="263">
        <v>0</v>
      </c>
      <c r="K318" s="267">
        <v>4</v>
      </c>
    </row>
    <row r="319" spans="1:11">
      <c r="A319" s="9" t="s">
        <v>10822</v>
      </c>
      <c r="B319" s="16">
        <v>24</v>
      </c>
      <c r="C319" s="9"/>
      <c r="D319" s="271" t="s">
        <v>8848</v>
      </c>
      <c r="E319" s="263">
        <v>0</v>
      </c>
      <c r="F319" s="263">
        <v>4</v>
      </c>
      <c r="G319" s="263">
        <v>0</v>
      </c>
      <c r="H319" s="263">
        <v>0</v>
      </c>
      <c r="I319" s="263">
        <v>0</v>
      </c>
      <c r="J319" s="263">
        <v>0</v>
      </c>
      <c r="K319" s="267">
        <v>4</v>
      </c>
    </row>
    <row r="320" spans="1:11">
      <c r="B320" s="16">
        <v>24</v>
      </c>
      <c r="C320" s="9"/>
      <c r="D320" s="271"/>
      <c r="E320" s="263"/>
      <c r="F320" s="263"/>
      <c r="G320" s="263"/>
      <c r="H320" s="263"/>
      <c r="I320" s="263"/>
      <c r="J320" s="263"/>
      <c r="K320" s="267">
        <v>0</v>
      </c>
    </row>
    <row r="321" spans="1:11" ht="15.75" customHeight="1">
      <c r="B321" s="16">
        <v>24</v>
      </c>
      <c r="C321" s="9"/>
      <c r="D321" s="272" t="s">
        <v>3674</v>
      </c>
      <c r="E321" s="273">
        <v>52</v>
      </c>
      <c r="F321" s="273">
        <v>12</v>
      </c>
      <c r="G321" s="273">
        <v>12</v>
      </c>
      <c r="H321" s="273">
        <v>24</v>
      </c>
      <c r="I321" s="273">
        <v>0</v>
      </c>
      <c r="J321" s="273">
        <v>20</v>
      </c>
      <c r="K321" s="273">
        <v>120</v>
      </c>
    </row>
    <row r="322" spans="1:11">
      <c r="C322" s="9"/>
      <c r="D322" s="271"/>
      <c r="E322" s="263"/>
      <c r="F322" s="263"/>
      <c r="G322" s="263"/>
      <c r="H322" s="263"/>
      <c r="I322" s="263"/>
      <c r="J322" s="263"/>
      <c r="K322" s="267">
        <v>0</v>
      </c>
    </row>
    <row r="323" spans="1:11">
      <c r="A323" s="9" t="s">
        <v>10823</v>
      </c>
      <c r="B323" s="16">
        <v>25</v>
      </c>
      <c r="C323" s="9"/>
      <c r="D323" s="271" t="s">
        <v>8849</v>
      </c>
      <c r="E323" s="263">
        <v>0</v>
      </c>
      <c r="F323" s="263">
        <v>0</v>
      </c>
      <c r="G323" s="263">
        <v>12</v>
      </c>
      <c r="H323" s="263">
        <v>0</v>
      </c>
      <c r="I323" s="263">
        <v>0</v>
      </c>
      <c r="J323" s="263">
        <v>0</v>
      </c>
      <c r="K323" s="267">
        <v>12</v>
      </c>
    </row>
    <row r="324" spans="1:11">
      <c r="A324" s="9" t="s">
        <v>10824</v>
      </c>
      <c r="B324" s="16">
        <v>25</v>
      </c>
      <c r="C324" s="9"/>
      <c r="D324" s="271" t="s">
        <v>4786</v>
      </c>
      <c r="E324" s="263">
        <v>8</v>
      </c>
      <c r="F324" s="263">
        <v>0</v>
      </c>
      <c r="G324" s="263">
        <v>0</v>
      </c>
      <c r="H324" s="263">
        <v>0</v>
      </c>
      <c r="I324" s="263">
        <v>0</v>
      </c>
      <c r="J324" s="263">
        <v>0</v>
      </c>
      <c r="K324" s="267">
        <v>8</v>
      </c>
    </row>
    <row r="325" spans="1:11">
      <c r="A325" s="9" t="s">
        <v>10825</v>
      </c>
      <c r="B325" s="16">
        <v>25</v>
      </c>
      <c r="C325" s="9"/>
      <c r="D325" s="271" t="s">
        <v>8850</v>
      </c>
      <c r="E325" s="263">
        <v>0</v>
      </c>
      <c r="F325" s="263">
        <v>0</v>
      </c>
      <c r="G325" s="263">
        <v>0</v>
      </c>
      <c r="H325" s="263">
        <v>0</v>
      </c>
      <c r="I325" s="263">
        <v>0</v>
      </c>
      <c r="J325" s="263">
        <v>16</v>
      </c>
      <c r="K325" s="267">
        <v>16</v>
      </c>
    </row>
    <row r="326" spans="1:11">
      <c r="A326" s="9" t="s">
        <v>10826</v>
      </c>
      <c r="B326" s="16">
        <v>25</v>
      </c>
      <c r="C326" s="9"/>
      <c r="D326" s="271" t="s">
        <v>4787</v>
      </c>
      <c r="E326" s="263">
        <v>8</v>
      </c>
      <c r="F326" s="263">
        <v>0</v>
      </c>
      <c r="G326" s="263">
        <v>0</v>
      </c>
      <c r="H326" s="263">
        <v>0</v>
      </c>
      <c r="I326" s="263">
        <v>0</v>
      </c>
      <c r="J326" s="263">
        <v>0</v>
      </c>
      <c r="K326" s="267">
        <v>8</v>
      </c>
    </row>
    <row r="327" spans="1:11">
      <c r="A327" s="9" t="s">
        <v>10827</v>
      </c>
      <c r="B327" s="16">
        <v>25</v>
      </c>
      <c r="C327" s="9"/>
      <c r="D327" s="271" t="s">
        <v>8851</v>
      </c>
      <c r="E327" s="263">
        <v>0</v>
      </c>
      <c r="F327" s="263">
        <v>0</v>
      </c>
      <c r="G327" s="263">
        <v>0</v>
      </c>
      <c r="H327" s="263">
        <v>8</v>
      </c>
      <c r="I327" s="263">
        <v>0</v>
      </c>
      <c r="J327" s="263">
        <v>0</v>
      </c>
      <c r="K327" s="267">
        <v>8</v>
      </c>
    </row>
    <row r="328" spans="1:11">
      <c r="A328" s="9" t="s">
        <v>10828</v>
      </c>
      <c r="B328" s="16">
        <v>25</v>
      </c>
      <c r="C328" s="9"/>
      <c r="D328" s="271" t="s">
        <v>8852</v>
      </c>
      <c r="E328" s="263">
        <v>0</v>
      </c>
      <c r="F328" s="263">
        <v>0</v>
      </c>
      <c r="G328" s="263">
        <v>16</v>
      </c>
      <c r="H328" s="263">
        <v>0</v>
      </c>
      <c r="I328" s="263">
        <v>0</v>
      </c>
      <c r="J328" s="263">
        <v>0</v>
      </c>
      <c r="K328" s="267">
        <v>16</v>
      </c>
    </row>
    <row r="329" spans="1:11">
      <c r="A329" s="9" t="s">
        <v>10829</v>
      </c>
      <c r="B329" s="16">
        <v>25</v>
      </c>
      <c r="C329" s="9"/>
      <c r="D329" s="271" t="s">
        <v>8853</v>
      </c>
      <c r="E329" s="263">
        <v>0</v>
      </c>
      <c r="F329" s="263">
        <v>0</v>
      </c>
      <c r="G329" s="263">
        <v>0</v>
      </c>
      <c r="H329" s="263">
        <v>16</v>
      </c>
      <c r="I329" s="263">
        <v>0</v>
      </c>
      <c r="J329" s="263">
        <v>0</v>
      </c>
      <c r="K329" s="267">
        <v>16</v>
      </c>
    </row>
    <row r="330" spans="1:11">
      <c r="A330" s="9" t="s">
        <v>10830</v>
      </c>
      <c r="B330" s="16">
        <v>25</v>
      </c>
      <c r="C330" s="9"/>
      <c r="D330" s="271" t="s">
        <v>8854</v>
      </c>
      <c r="E330" s="263">
        <v>0</v>
      </c>
      <c r="F330" s="263">
        <v>0</v>
      </c>
      <c r="G330" s="263">
        <v>0</v>
      </c>
      <c r="H330" s="263">
        <v>16</v>
      </c>
      <c r="I330" s="263">
        <v>0</v>
      </c>
      <c r="J330" s="263">
        <v>0</v>
      </c>
      <c r="K330" s="267">
        <v>16</v>
      </c>
    </row>
    <row r="331" spans="1:11">
      <c r="A331" s="9" t="s">
        <v>10831</v>
      </c>
      <c r="B331" s="16">
        <v>25</v>
      </c>
      <c r="C331" s="9"/>
      <c r="D331" s="271" t="s">
        <v>8855</v>
      </c>
      <c r="E331" s="263">
        <v>0</v>
      </c>
      <c r="F331" s="263">
        <v>2.4000000000000004</v>
      </c>
      <c r="G331" s="263">
        <v>0</v>
      </c>
      <c r="H331" s="263">
        <v>0</v>
      </c>
      <c r="I331" s="263">
        <v>0</v>
      </c>
      <c r="J331" s="263">
        <v>0</v>
      </c>
      <c r="K331" s="267">
        <v>2.4000000000000004</v>
      </c>
    </row>
    <row r="332" spans="1:11">
      <c r="A332" s="9" t="s">
        <v>10832</v>
      </c>
      <c r="B332" s="16">
        <v>25</v>
      </c>
      <c r="C332" s="9"/>
      <c r="D332" s="271" t="s">
        <v>8856</v>
      </c>
      <c r="E332" s="263">
        <v>0</v>
      </c>
      <c r="F332" s="263">
        <v>2.4000000000000004</v>
      </c>
      <c r="G332" s="263">
        <v>0</v>
      </c>
      <c r="H332" s="263">
        <v>0</v>
      </c>
      <c r="I332" s="263">
        <v>0</v>
      </c>
      <c r="J332" s="263">
        <v>0</v>
      </c>
      <c r="K332" s="267">
        <v>2.4000000000000004</v>
      </c>
    </row>
    <row r="333" spans="1:11">
      <c r="A333" s="9" t="s">
        <v>10833</v>
      </c>
      <c r="B333" s="16">
        <v>25</v>
      </c>
      <c r="C333" s="9"/>
      <c r="D333" s="271" t="s">
        <v>8857</v>
      </c>
      <c r="E333" s="263">
        <v>0</v>
      </c>
      <c r="F333" s="263">
        <v>2.4000000000000004</v>
      </c>
      <c r="G333" s="263">
        <v>0</v>
      </c>
      <c r="H333" s="263">
        <v>0</v>
      </c>
      <c r="I333" s="263">
        <v>0</v>
      </c>
      <c r="J333" s="263">
        <v>0</v>
      </c>
      <c r="K333" s="267">
        <v>2.4000000000000004</v>
      </c>
    </row>
    <row r="334" spans="1:11">
      <c r="A334" s="9" t="s">
        <v>10834</v>
      </c>
      <c r="B334" s="16">
        <v>25</v>
      </c>
      <c r="C334" s="9"/>
      <c r="D334" s="271" t="s">
        <v>8858</v>
      </c>
      <c r="E334" s="263">
        <v>0</v>
      </c>
      <c r="F334" s="263">
        <v>3.2</v>
      </c>
      <c r="G334" s="263">
        <v>0</v>
      </c>
      <c r="H334" s="263">
        <v>0</v>
      </c>
      <c r="I334" s="263">
        <v>0</v>
      </c>
      <c r="J334" s="263">
        <v>0</v>
      </c>
      <c r="K334" s="267">
        <v>3.2</v>
      </c>
    </row>
    <row r="335" spans="1:11">
      <c r="A335" s="9" t="s">
        <v>10835</v>
      </c>
      <c r="B335" s="16">
        <v>25</v>
      </c>
      <c r="C335" s="9"/>
      <c r="D335" s="271" t="s">
        <v>8859</v>
      </c>
      <c r="E335" s="263">
        <v>0</v>
      </c>
      <c r="F335" s="263">
        <v>6.4</v>
      </c>
      <c r="G335" s="263">
        <v>0</v>
      </c>
      <c r="H335" s="263">
        <v>0</v>
      </c>
      <c r="I335" s="263">
        <v>0</v>
      </c>
      <c r="J335" s="263">
        <v>0</v>
      </c>
      <c r="K335" s="267">
        <v>6.4</v>
      </c>
    </row>
    <row r="336" spans="1:11">
      <c r="A336" s="9" t="s">
        <v>10836</v>
      </c>
      <c r="B336" s="16">
        <v>25</v>
      </c>
      <c r="C336" s="9"/>
      <c r="D336" s="271" t="s">
        <v>8860</v>
      </c>
      <c r="E336" s="263">
        <v>0</v>
      </c>
      <c r="F336" s="263">
        <v>3.2</v>
      </c>
      <c r="G336" s="263">
        <v>0</v>
      </c>
      <c r="H336" s="263">
        <v>0</v>
      </c>
      <c r="I336" s="263">
        <v>0</v>
      </c>
      <c r="J336" s="263">
        <v>0</v>
      </c>
      <c r="K336" s="267">
        <v>3.2</v>
      </c>
    </row>
    <row r="337" spans="1:11">
      <c r="B337" s="16">
        <v>25</v>
      </c>
      <c r="C337" s="9"/>
      <c r="D337" s="271"/>
      <c r="E337" s="263"/>
      <c r="F337" s="263"/>
      <c r="G337" s="263"/>
      <c r="H337" s="263"/>
      <c r="I337" s="263"/>
      <c r="J337" s="263"/>
      <c r="K337" s="267">
        <v>0</v>
      </c>
    </row>
    <row r="338" spans="1:11" ht="15.75" customHeight="1">
      <c r="B338" s="16">
        <v>25</v>
      </c>
      <c r="C338" s="9"/>
      <c r="D338" s="272" t="s">
        <v>3674</v>
      </c>
      <c r="E338" s="273">
        <v>16</v>
      </c>
      <c r="F338" s="273">
        <v>20.000000000000004</v>
      </c>
      <c r="G338" s="273">
        <v>28</v>
      </c>
      <c r="H338" s="273">
        <v>40</v>
      </c>
      <c r="I338" s="273">
        <v>0</v>
      </c>
      <c r="J338" s="273">
        <v>16</v>
      </c>
      <c r="K338" s="273">
        <v>120.00000000000003</v>
      </c>
    </row>
    <row r="339" spans="1:11">
      <c r="C339" s="9"/>
      <c r="D339" s="271"/>
      <c r="E339" s="263"/>
      <c r="F339" s="263"/>
      <c r="G339" s="263"/>
      <c r="H339" s="263"/>
      <c r="I339" s="263"/>
      <c r="J339" s="263"/>
      <c r="K339" s="267">
        <v>0</v>
      </c>
    </row>
    <row r="340" spans="1:11">
      <c r="A340" s="9" t="s">
        <v>10837</v>
      </c>
      <c r="B340" s="16">
        <v>36</v>
      </c>
      <c r="C340" s="9"/>
      <c r="D340" s="271" t="s">
        <v>4788</v>
      </c>
      <c r="E340" s="263">
        <v>0</v>
      </c>
      <c r="F340" s="263">
        <v>0</v>
      </c>
      <c r="G340" s="263">
        <v>4</v>
      </c>
      <c r="H340" s="263">
        <v>0</v>
      </c>
      <c r="I340" s="263">
        <v>0</v>
      </c>
      <c r="J340" s="263">
        <v>0</v>
      </c>
      <c r="K340" s="267">
        <v>4</v>
      </c>
    </row>
    <row r="341" spans="1:11">
      <c r="A341" s="9" t="s">
        <v>10838</v>
      </c>
      <c r="B341" s="16">
        <v>36</v>
      </c>
      <c r="C341" s="9"/>
      <c r="D341" s="271" t="s">
        <v>8861</v>
      </c>
      <c r="E341" s="263">
        <v>0</v>
      </c>
      <c r="F341" s="263">
        <v>0</v>
      </c>
      <c r="G341" s="263">
        <v>4</v>
      </c>
      <c r="H341" s="263">
        <v>0</v>
      </c>
      <c r="I341" s="263">
        <v>0</v>
      </c>
      <c r="J341" s="263">
        <v>0</v>
      </c>
      <c r="K341" s="267">
        <v>4</v>
      </c>
    </row>
    <row r="342" spans="1:11">
      <c r="A342" s="9" t="s">
        <v>10839</v>
      </c>
      <c r="B342" s="16">
        <v>36</v>
      </c>
      <c r="C342" s="9"/>
      <c r="D342" s="271" t="s">
        <v>8862</v>
      </c>
      <c r="E342" s="263">
        <v>8</v>
      </c>
      <c r="F342" s="263">
        <v>0</v>
      </c>
      <c r="G342" s="263">
        <v>0</v>
      </c>
      <c r="H342" s="263">
        <v>0</v>
      </c>
      <c r="I342" s="263">
        <v>0</v>
      </c>
      <c r="J342" s="263">
        <v>0</v>
      </c>
      <c r="K342" s="267">
        <v>8</v>
      </c>
    </row>
    <row r="343" spans="1:11">
      <c r="A343" s="9" t="s">
        <v>10840</v>
      </c>
      <c r="B343" s="16">
        <v>36</v>
      </c>
      <c r="C343" s="9"/>
      <c r="D343" s="271" t="s">
        <v>8863</v>
      </c>
      <c r="E343" s="263">
        <v>0</v>
      </c>
      <c r="F343" s="263">
        <v>0</v>
      </c>
      <c r="G343" s="263">
        <v>0</v>
      </c>
      <c r="H343" s="263">
        <v>0</v>
      </c>
      <c r="I343" s="263">
        <v>0</v>
      </c>
      <c r="J343" s="263">
        <v>9.6000000000000014</v>
      </c>
      <c r="K343" s="267">
        <v>9.6000000000000014</v>
      </c>
    </row>
    <row r="344" spans="1:11">
      <c r="A344" s="9" t="s">
        <v>10841</v>
      </c>
      <c r="B344" s="16">
        <v>36</v>
      </c>
      <c r="C344" s="9"/>
      <c r="D344" s="271" t="s">
        <v>8864</v>
      </c>
      <c r="E344" s="263">
        <v>0</v>
      </c>
      <c r="F344" s="263">
        <v>0</v>
      </c>
      <c r="G344" s="263">
        <v>0</v>
      </c>
      <c r="H344" s="263">
        <v>0</v>
      </c>
      <c r="I344" s="263">
        <v>0</v>
      </c>
      <c r="J344" s="263">
        <v>10.4</v>
      </c>
      <c r="K344" s="267">
        <v>10.4</v>
      </c>
    </row>
    <row r="345" spans="1:11">
      <c r="A345" s="9" t="s">
        <v>10842</v>
      </c>
      <c r="B345" s="16">
        <v>36</v>
      </c>
      <c r="C345" s="9"/>
      <c r="D345" s="271" t="s">
        <v>4789</v>
      </c>
      <c r="E345" s="263">
        <v>8</v>
      </c>
      <c r="F345" s="263">
        <v>0</v>
      </c>
      <c r="G345" s="263">
        <v>0</v>
      </c>
      <c r="H345" s="263">
        <v>0</v>
      </c>
      <c r="I345" s="263">
        <v>0</v>
      </c>
      <c r="J345" s="263">
        <v>0</v>
      </c>
      <c r="K345" s="267">
        <v>8</v>
      </c>
    </row>
    <row r="346" spans="1:11">
      <c r="A346" s="9" t="s">
        <v>10843</v>
      </c>
      <c r="B346" s="16">
        <v>36</v>
      </c>
      <c r="C346" s="9"/>
      <c r="D346" s="271" t="s">
        <v>8877</v>
      </c>
      <c r="E346" s="263">
        <v>16</v>
      </c>
      <c r="F346" s="263">
        <v>0</v>
      </c>
      <c r="G346" s="263">
        <v>0</v>
      </c>
      <c r="H346" s="263">
        <v>0</v>
      </c>
      <c r="I346" s="263">
        <v>0</v>
      </c>
      <c r="J346" s="263">
        <v>0</v>
      </c>
      <c r="K346" s="267">
        <v>16</v>
      </c>
    </row>
    <row r="347" spans="1:11">
      <c r="A347" s="9" t="s">
        <v>10844</v>
      </c>
      <c r="B347" s="16">
        <v>36</v>
      </c>
      <c r="C347" s="9"/>
      <c r="D347" s="271" t="s">
        <v>8865</v>
      </c>
      <c r="E347" s="263">
        <v>0</v>
      </c>
      <c r="F347" s="263">
        <v>0</v>
      </c>
      <c r="G347" s="263">
        <v>0</v>
      </c>
      <c r="H347" s="263">
        <v>8</v>
      </c>
      <c r="I347" s="263">
        <v>0</v>
      </c>
      <c r="J347" s="263">
        <v>0</v>
      </c>
      <c r="K347" s="267">
        <v>8</v>
      </c>
    </row>
    <row r="348" spans="1:11">
      <c r="A348" s="9" t="s">
        <v>10845</v>
      </c>
      <c r="B348" s="16">
        <v>36</v>
      </c>
      <c r="C348" s="9"/>
      <c r="D348" s="271" t="s">
        <v>8866</v>
      </c>
      <c r="E348" s="263">
        <v>8</v>
      </c>
      <c r="F348" s="263">
        <v>0</v>
      </c>
      <c r="G348" s="263">
        <v>0</v>
      </c>
      <c r="H348" s="263">
        <v>0</v>
      </c>
      <c r="I348" s="263">
        <v>0</v>
      </c>
      <c r="J348" s="263">
        <v>0</v>
      </c>
      <c r="K348" s="267">
        <v>8</v>
      </c>
    </row>
    <row r="349" spans="1:11">
      <c r="A349" s="9" t="s">
        <v>10846</v>
      </c>
      <c r="B349" s="16">
        <v>36</v>
      </c>
      <c r="C349" s="9"/>
      <c r="D349" s="271" t="s">
        <v>8867</v>
      </c>
      <c r="E349" s="263">
        <v>8</v>
      </c>
      <c r="F349" s="263">
        <v>0</v>
      </c>
      <c r="G349" s="263">
        <v>0</v>
      </c>
      <c r="H349" s="263">
        <v>0</v>
      </c>
      <c r="I349" s="263">
        <v>0</v>
      </c>
      <c r="J349" s="263">
        <v>0</v>
      </c>
      <c r="K349" s="267">
        <v>8</v>
      </c>
    </row>
    <row r="350" spans="1:11">
      <c r="A350" s="9" t="s">
        <v>10847</v>
      </c>
      <c r="B350" s="16">
        <v>36</v>
      </c>
      <c r="C350" s="9"/>
      <c r="D350" s="271" t="s">
        <v>8868</v>
      </c>
      <c r="E350" s="263">
        <v>4</v>
      </c>
      <c r="F350" s="263">
        <v>0</v>
      </c>
      <c r="G350" s="263">
        <v>0</v>
      </c>
      <c r="H350" s="263">
        <v>0</v>
      </c>
      <c r="I350" s="263">
        <v>0</v>
      </c>
      <c r="J350" s="263">
        <v>0</v>
      </c>
      <c r="K350" s="267">
        <v>4</v>
      </c>
    </row>
    <row r="351" spans="1:11">
      <c r="A351" s="9" t="s">
        <v>10848</v>
      </c>
      <c r="B351" s="16">
        <v>36</v>
      </c>
      <c r="C351" s="9"/>
      <c r="D351" s="271" t="s">
        <v>8869</v>
      </c>
      <c r="E351" s="263">
        <v>4</v>
      </c>
      <c r="F351" s="263">
        <v>0</v>
      </c>
      <c r="G351" s="263">
        <v>0</v>
      </c>
      <c r="H351" s="263">
        <v>0</v>
      </c>
      <c r="I351" s="263">
        <v>0</v>
      </c>
      <c r="J351" s="263">
        <v>0</v>
      </c>
      <c r="K351" s="267">
        <v>4</v>
      </c>
    </row>
    <row r="352" spans="1:11">
      <c r="A352" s="9" t="s">
        <v>10849</v>
      </c>
      <c r="B352" s="16">
        <v>36</v>
      </c>
      <c r="C352" s="9"/>
      <c r="D352" s="271" t="s">
        <v>8870</v>
      </c>
      <c r="E352" s="263">
        <v>8</v>
      </c>
      <c r="F352" s="263">
        <v>0</v>
      </c>
      <c r="G352" s="263">
        <v>0</v>
      </c>
      <c r="H352" s="263">
        <v>0</v>
      </c>
      <c r="I352" s="263">
        <v>0</v>
      </c>
      <c r="J352" s="263">
        <v>0</v>
      </c>
      <c r="K352" s="267">
        <v>8</v>
      </c>
    </row>
    <row r="353" spans="1:11">
      <c r="A353" s="9" t="s">
        <v>10850</v>
      </c>
      <c r="B353" s="16">
        <v>36</v>
      </c>
      <c r="C353" s="9"/>
      <c r="D353" s="271" t="s">
        <v>8871</v>
      </c>
      <c r="E353" s="263">
        <v>0</v>
      </c>
      <c r="F353" s="263">
        <v>0</v>
      </c>
      <c r="G353" s="263">
        <v>0</v>
      </c>
      <c r="H353" s="263">
        <v>8</v>
      </c>
      <c r="I353" s="263">
        <v>0</v>
      </c>
      <c r="J353" s="263">
        <v>0</v>
      </c>
      <c r="K353" s="267">
        <v>8</v>
      </c>
    </row>
    <row r="354" spans="1:11">
      <c r="B354" s="16">
        <v>36</v>
      </c>
      <c r="C354" s="9"/>
      <c r="D354" s="271" t="s">
        <v>8872</v>
      </c>
      <c r="E354" s="263">
        <v>0</v>
      </c>
      <c r="F354" s="263">
        <v>0</v>
      </c>
      <c r="G354" s="263">
        <v>0</v>
      </c>
      <c r="H354" s="263">
        <v>0</v>
      </c>
      <c r="I354" s="263">
        <v>0</v>
      </c>
      <c r="J354" s="263">
        <v>0</v>
      </c>
      <c r="K354" s="267">
        <v>0</v>
      </c>
    </row>
    <row r="355" spans="1:11">
      <c r="A355" s="9" t="s">
        <v>10851</v>
      </c>
      <c r="B355" s="16">
        <v>36</v>
      </c>
      <c r="C355" s="9"/>
      <c r="D355" s="271" t="s">
        <v>8873</v>
      </c>
      <c r="E355" s="263">
        <v>0</v>
      </c>
      <c r="F355" s="263">
        <v>4</v>
      </c>
      <c r="G355" s="263">
        <v>0</v>
      </c>
      <c r="H355" s="263">
        <v>0</v>
      </c>
      <c r="I355" s="263">
        <v>0</v>
      </c>
      <c r="J355" s="263">
        <v>0</v>
      </c>
      <c r="K355" s="267">
        <v>4</v>
      </c>
    </row>
    <row r="356" spans="1:11">
      <c r="A356" s="9" t="s">
        <v>10852</v>
      </c>
      <c r="B356" s="16">
        <v>36</v>
      </c>
      <c r="C356" s="9"/>
      <c r="D356" s="271" t="s">
        <v>8874</v>
      </c>
      <c r="E356" s="263">
        <v>0</v>
      </c>
      <c r="F356" s="263">
        <v>3.2</v>
      </c>
      <c r="G356" s="263">
        <v>0</v>
      </c>
      <c r="H356" s="263">
        <v>0</v>
      </c>
      <c r="I356" s="263">
        <v>0</v>
      </c>
      <c r="J356" s="263">
        <v>0</v>
      </c>
      <c r="K356" s="267">
        <v>3.2</v>
      </c>
    </row>
    <row r="357" spans="1:11">
      <c r="A357" s="9" t="s">
        <v>10853</v>
      </c>
      <c r="B357" s="16">
        <v>36</v>
      </c>
      <c r="C357" s="9"/>
      <c r="D357" s="271" t="s">
        <v>8875</v>
      </c>
      <c r="E357" s="263">
        <v>0</v>
      </c>
      <c r="F357" s="263">
        <v>2.4000000000000004</v>
      </c>
      <c r="G357" s="263">
        <v>0</v>
      </c>
      <c r="H357" s="263">
        <v>0</v>
      </c>
      <c r="I357" s="263">
        <v>0</v>
      </c>
      <c r="J357" s="263">
        <v>0</v>
      </c>
      <c r="K357" s="267">
        <v>2.4000000000000004</v>
      </c>
    </row>
    <row r="358" spans="1:11">
      <c r="A358" s="9" t="s">
        <v>10854</v>
      </c>
      <c r="B358" s="16">
        <v>36</v>
      </c>
      <c r="C358" s="9"/>
      <c r="D358" s="271" t="s">
        <v>8876</v>
      </c>
      <c r="E358" s="263">
        <v>0</v>
      </c>
      <c r="F358" s="263">
        <v>2.4000000000000004</v>
      </c>
      <c r="G358" s="263">
        <v>0</v>
      </c>
      <c r="H358" s="263">
        <v>0</v>
      </c>
      <c r="I358" s="263">
        <v>0</v>
      </c>
      <c r="J358" s="263">
        <v>0</v>
      </c>
      <c r="K358" s="267">
        <v>2.4000000000000004</v>
      </c>
    </row>
    <row r="359" spans="1:11">
      <c r="B359" s="16">
        <v>36</v>
      </c>
      <c r="C359" s="9"/>
      <c r="D359" s="271"/>
      <c r="E359" s="263"/>
      <c r="F359" s="263"/>
      <c r="G359" s="263"/>
      <c r="H359" s="263"/>
      <c r="I359" s="263"/>
      <c r="J359" s="263"/>
      <c r="K359" s="267">
        <v>0</v>
      </c>
    </row>
    <row r="360" spans="1:11" ht="15.75" customHeight="1">
      <c r="B360" s="16">
        <v>36</v>
      </c>
      <c r="C360" s="9"/>
      <c r="D360" s="272" t="s">
        <v>3674</v>
      </c>
      <c r="E360" s="273">
        <v>64</v>
      </c>
      <c r="F360" s="273">
        <v>12.000000000000002</v>
      </c>
      <c r="G360" s="273">
        <v>8</v>
      </c>
      <c r="H360" s="273">
        <v>16</v>
      </c>
      <c r="I360" s="273">
        <v>0</v>
      </c>
      <c r="J360" s="273">
        <v>20</v>
      </c>
      <c r="K360" s="273">
        <v>120.00000000000001</v>
      </c>
    </row>
    <row r="361" spans="1:11">
      <c r="C361" s="9"/>
      <c r="D361" s="271"/>
      <c r="E361" s="263"/>
      <c r="F361" s="263"/>
      <c r="G361" s="263"/>
      <c r="H361" s="263"/>
      <c r="I361" s="263"/>
      <c r="J361" s="263"/>
      <c r="K361" s="267">
        <v>0</v>
      </c>
    </row>
    <row r="362" spans="1:11" ht="15.75" customHeight="1">
      <c r="B362" s="16">
        <v>0</v>
      </c>
      <c r="C362" s="9"/>
      <c r="D362" s="269" t="s">
        <v>13077</v>
      </c>
      <c r="E362" s="270">
        <v>228</v>
      </c>
      <c r="F362" s="270">
        <v>96</v>
      </c>
      <c r="G362" s="270">
        <v>96</v>
      </c>
      <c r="H362" s="270">
        <v>168</v>
      </c>
      <c r="I362" s="270">
        <v>0</v>
      </c>
      <c r="J362" s="270">
        <v>132</v>
      </c>
      <c r="K362" s="270">
        <v>720</v>
      </c>
    </row>
    <row r="363" spans="1:11">
      <c r="C363" s="9"/>
      <c r="D363" s="271" t="s">
        <v>4269</v>
      </c>
      <c r="E363" s="263"/>
      <c r="F363" s="263"/>
      <c r="G363" s="263"/>
      <c r="H363" s="263"/>
      <c r="I363" s="263"/>
      <c r="J363" s="263"/>
      <c r="K363" s="267">
        <v>0</v>
      </c>
    </row>
    <row r="364" spans="1:11">
      <c r="C364" s="9"/>
      <c r="D364" s="271"/>
      <c r="E364" s="263"/>
      <c r="F364" s="263"/>
      <c r="G364" s="263"/>
      <c r="H364" s="263"/>
      <c r="I364" s="263"/>
      <c r="J364" s="263"/>
      <c r="K364" s="267">
        <v>0</v>
      </c>
    </row>
    <row r="365" spans="1:11">
      <c r="A365" s="9" t="s">
        <v>10855</v>
      </c>
      <c r="B365" s="16">
        <v>30</v>
      </c>
      <c r="C365" s="9"/>
      <c r="D365" s="271" t="s">
        <v>10087</v>
      </c>
      <c r="E365" s="263">
        <v>8</v>
      </c>
      <c r="F365" s="263">
        <v>0</v>
      </c>
      <c r="G365" s="263">
        <v>0</v>
      </c>
      <c r="H365" s="263">
        <v>0</v>
      </c>
      <c r="I365" s="263">
        <v>0</v>
      </c>
      <c r="J365" s="263">
        <v>0</v>
      </c>
      <c r="K365" s="267">
        <v>8</v>
      </c>
    </row>
    <row r="366" spans="1:11">
      <c r="A366" s="9" t="s">
        <v>10856</v>
      </c>
      <c r="B366" s="16">
        <v>30</v>
      </c>
      <c r="C366" s="9"/>
      <c r="D366" s="271" t="s">
        <v>10088</v>
      </c>
      <c r="E366" s="263">
        <v>4</v>
      </c>
      <c r="F366" s="263">
        <v>0</v>
      </c>
      <c r="G366" s="263">
        <v>0</v>
      </c>
      <c r="H366" s="263">
        <v>0</v>
      </c>
      <c r="I366" s="263">
        <v>0</v>
      </c>
      <c r="J366" s="263">
        <v>0</v>
      </c>
      <c r="K366" s="267">
        <v>4</v>
      </c>
    </row>
    <row r="367" spans="1:11">
      <c r="A367" s="9" t="s">
        <v>10857</v>
      </c>
      <c r="B367" s="16">
        <v>30</v>
      </c>
      <c r="C367" s="9"/>
      <c r="D367" s="271" t="s">
        <v>10089</v>
      </c>
      <c r="E367" s="263">
        <v>0</v>
      </c>
      <c r="F367" s="263">
        <v>0</v>
      </c>
      <c r="G367" s="263">
        <v>0</v>
      </c>
      <c r="H367" s="263">
        <v>0</v>
      </c>
      <c r="I367" s="263">
        <v>0</v>
      </c>
      <c r="J367" s="263">
        <v>4</v>
      </c>
      <c r="K367" s="267">
        <v>4</v>
      </c>
    </row>
    <row r="368" spans="1:11">
      <c r="A368" s="9" t="s">
        <v>10858</v>
      </c>
      <c r="B368" s="16">
        <v>30</v>
      </c>
      <c r="C368" s="9"/>
      <c r="D368" s="271" t="s">
        <v>10090</v>
      </c>
      <c r="E368" s="263">
        <v>0</v>
      </c>
      <c r="F368" s="263">
        <v>3.2</v>
      </c>
      <c r="G368" s="263">
        <v>0</v>
      </c>
      <c r="H368" s="263">
        <v>0</v>
      </c>
      <c r="I368" s="263">
        <v>0</v>
      </c>
      <c r="J368" s="263">
        <v>0</v>
      </c>
      <c r="K368" s="267">
        <v>3.2</v>
      </c>
    </row>
    <row r="369" spans="1:11">
      <c r="A369" s="9" t="s">
        <v>10859</v>
      </c>
      <c r="B369" s="16">
        <v>30</v>
      </c>
      <c r="C369" s="9"/>
      <c r="D369" s="271" t="s">
        <v>10091</v>
      </c>
      <c r="E369" s="263">
        <v>0</v>
      </c>
      <c r="F369" s="263">
        <v>4</v>
      </c>
      <c r="G369" s="263">
        <v>0</v>
      </c>
      <c r="H369" s="263">
        <v>0</v>
      </c>
      <c r="I369" s="263">
        <v>0</v>
      </c>
      <c r="J369" s="263">
        <v>0</v>
      </c>
      <c r="K369" s="267">
        <v>4</v>
      </c>
    </row>
    <row r="370" spans="1:11">
      <c r="A370" s="9" t="s">
        <v>10860</v>
      </c>
      <c r="B370" s="16">
        <v>30</v>
      </c>
      <c r="C370" s="9"/>
      <c r="D370" s="271" t="s">
        <v>10092</v>
      </c>
      <c r="E370" s="263">
        <v>8</v>
      </c>
      <c r="F370" s="263">
        <v>0</v>
      </c>
      <c r="G370" s="263">
        <v>0</v>
      </c>
      <c r="H370" s="263">
        <v>0</v>
      </c>
      <c r="I370" s="263">
        <v>0</v>
      </c>
      <c r="J370" s="263">
        <v>0</v>
      </c>
      <c r="K370" s="267">
        <v>8</v>
      </c>
    </row>
    <row r="371" spans="1:11">
      <c r="A371" s="9" t="s">
        <v>10861</v>
      </c>
      <c r="B371" s="16">
        <v>30</v>
      </c>
      <c r="C371" s="9"/>
      <c r="D371" s="271" t="s">
        <v>10093</v>
      </c>
      <c r="E371" s="263">
        <v>4</v>
      </c>
      <c r="F371" s="263">
        <v>0</v>
      </c>
      <c r="G371" s="263">
        <v>0</v>
      </c>
      <c r="H371" s="263">
        <v>0</v>
      </c>
      <c r="I371" s="263">
        <v>0</v>
      </c>
      <c r="J371" s="263">
        <v>0</v>
      </c>
      <c r="K371" s="267">
        <v>4</v>
      </c>
    </row>
    <row r="372" spans="1:11">
      <c r="A372" s="9" t="s">
        <v>10862</v>
      </c>
      <c r="B372" s="16">
        <v>30</v>
      </c>
      <c r="C372" s="9"/>
      <c r="D372" s="271" t="s">
        <v>10094</v>
      </c>
      <c r="E372" s="263">
        <v>0</v>
      </c>
      <c r="F372" s="263">
        <v>0</v>
      </c>
      <c r="G372" s="263">
        <v>0</v>
      </c>
      <c r="H372" s="263">
        <v>0</v>
      </c>
      <c r="I372" s="263">
        <v>0</v>
      </c>
      <c r="J372" s="263">
        <v>4</v>
      </c>
      <c r="K372" s="267">
        <v>4</v>
      </c>
    </row>
    <row r="373" spans="1:11">
      <c r="A373" s="9" t="s">
        <v>10863</v>
      </c>
      <c r="B373" s="16">
        <v>30</v>
      </c>
      <c r="C373" s="9"/>
      <c r="D373" s="271" t="s">
        <v>10095</v>
      </c>
      <c r="E373" s="263">
        <v>0</v>
      </c>
      <c r="F373" s="263">
        <v>4.8000000000000007</v>
      </c>
      <c r="G373" s="263">
        <v>0</v>
      </c>
      <c r="H373" s="263">
        <v>0</v>
      </c>
      <c r="I373" s="263">
        <v>0</v>
      </c>
      <c r="J373" s="263">
        <v>0</v>
      </c>
      <c r="K373" s="267">
        <v>4.8000000000000007</v>
      </c>
    </row>
    <row r="374" spans="1:11">
      <c r="A374" s="9" t="s">
        <v>10864</v>
      </c>
      <c r="B374" s="16">
        <v>30</v>
      </c>
      <c r="C374" s="9"/>
      <c r="D374" s="271" t="s">
        <v>10096</v>
      </c>
      <c r="E374" s="263">
        <v>0</v>
      </c>
      <c r="F374" s="263">
        <v>0</v>
      </c>
      <c r="G374" s="263">
        <v>0</v>
      </c>
      <c r="H374" s="263">
        <v>0</v>
      </c>
      <c r="I374" s="263">
        <v>0</v>
      </c>
      <c r="J374" s="263">
        <v>8</v>
      </c>
      <c r="K374" s="267">
        <v>8</v>
      </c>
    </row>
    <row r="375" spans="1:11">
      <c r="A375" s="9" t="s">
        <v>10865</v>
      </c>
      <c r="B375" s="16">
        <v>30</v>
      </c>
      <c r="C375" s="9"/>
      <c r="D375" s="271" t="s">
        <v>10097</v>
      </c>
      <c r="E375" s="263">
        <v>0</v>
      </c>
      <c r="F375" s="263">
        <v>0</v>
      </c>
      <c r="G375" s="263">
        <v>0</v>
      </c>
      <c r="H375" s="263">
        <v>0</v>
      </c>
      <c r="I375" s="263">
        <v>0</v>
      </c>
      <c r="J375" s="263">
        <v>8</v>
      </c>
      <c r="K375" s="267">
        <v>8</v>
      </c>
    </row>
    <row r="376" spans="1:11">
      <c r="A376" s="9" t="s">
        <v>10866</v>
      </c>
      <c r="B376" s="16">
        <v>30</v>
      </c>
      <c r="C376" s="9"/>
      <c r="D376" s="271" t="s">
        <v>10098</v>
      </c>
      <c r="E376" s="263">
        <v>0</v>
      </c>
      <c r="F376" s="263">
        <v>0</v>
      </c>
      <c r="G376" s="263">
        <v>0</v>
      </c>
      <c r="H376" s="263">
        <v>0</v>
      </c>
      <c r="I376" s="263">
        <v>0</v>
      </c>
      <c r="J376" s="263">
        <v>4</v>
      </c>
      <c r="K376" s="267">
        <v>4</v>
      </c>
    </row>
    <row r="377" spans="1:11">
      <c r="A377" s="9" t="s">
        <v>10867</v>
      </c>
      <c r="B377" s="16">
        <v>30</v>
      </c>
      <c r="C377" s="9"/>
      <c r="D377" s="271" t="s">
        <v>10099</v>
      </c>
      <c r="E377" s="263">
        <v>8</v>
      </c>
      <c r="F377" s="263">
        <v>0</v>
      </c>
      <c r="G377" s="263">
        <v>0</v>
      </c>
      <c r="H377" s="263">
        <v>0</v>
      </c>
      <c r="I377" s="263">
        <v>0</v>
      </c>
      <c r="J377" s="263">
        <v>0</v>
      </c>
      <c r="K377" s="267">
        <v>8</v>
      </c>
    </row>
    <row r="378" spans="1:11">
      <c r="A378" s="9" t="s">
        <v>10868</v>
      </c>
      <c r="B378" s="16">
        <v>30</v>
      </c>
      <c r="C378" s="9"/>
      <c r="D378" s="271" t="s">
        <v>10100</v>
      </c>
      <c r="E378" s="263">
        <v>0</v>
      </c>
      <c r="F378" s="263">
        <v>0</v>
      </c>
      <c r="G378" s="263">
        <v>0</v>
      </c>
      <c r="H378" s="263">
        <v>0</v>
      </c>
      <c r="I378" s="263">
        <v>0</v>
      </c>
      <c r="J378" s="263">
        <v>4</v>
      </c>
      <c r="K378" s="267">
        <v>4</v>
      </c>
    </row>
    <row r="379" spans="1:11">
      <c r="A379" s="9" t="s">
        <v>10869</v>
      </c>
      <c r="B379" s="16">
        <v>30</v>
      </c>
      <c r="C379" s="9"/>
      <c r="D379" s="271" t="s">
        <v>10101</v>
      </c>
      <c r="E379" s="263">
        <v>4</v>
      </c>
      <c r="F379" s="263">
        <v>0</v>
      </c>
      <c r="G379" s="263">
        <v>0</v>
      </c>
      <c r="H379" s="263">
        <v>0</v>
      </c>
      <c r="I379" s="263">
        <v>0</v>
      </c>
      <c r="J379" s="263">
        <v>0</v>
      </c>
      <c r="K379" s="267">
        <v>4</v>
      </c>
    </row>
    <row r="380" spans="1:11">
      <c r="B380" s="16">
        <v>30</v>
      </c>
      <c r="C380" s="9"/>
      <c r="D380" s="271"/>
      <c r="E380" s="263"/>
      <c r="F380" s="263"/>
      <c r="G380" s="263"/>
      <c r="H380" s="263"/>
      <c r="I380" s="263"/>
      <c r="J380" s="263"/>
      <c r="K380" s="267">
        <v>0</v>
      </c>
    </row>
    <row r="381" spans="1:11" ht="15.75" customHeight="1">
      <c r="B381" s="16">
        <v>30</v>
      </c>
      <c r="C381" s="9"/>
      <c r="D381" s="272" t="s">
        <v>3674</v>
      </c>
      <c r="E381" s="273">
        <v>36</v>
      </c>
      <c r="F381" s="273">
        <v>12</v>
      </c>
      <c r="G381" s="273">
        <v>0</v>
      </c>
      <c r="H381" s="273">
        <v>0</v>
      </c>
      <c r="I381" s="273">
        <v>0</v>
      </c>
      <c r="J381" s="273">
        <v>32</v>
      </c>
      <c r="K381" s="273">
        <v>80</v>
      </c>
    </row>
    <row r="382" spans="1:11">
      <c r="C382" s="9"/>
      <c r="D382" s="271"/>
      <c r="E382" s="263"/>
      <c r="F382" s="263"/>
      <c r="G382" s="263"/>
      <c r="H382" s="263"/>
      <c r="I382" s="263"/>
      <c r="J382" s="263"/>
      <c r="K382" s="267">
        <v>0</v>
      </c>
    </row>
    <row r="383" spans="1:11">
      <c r="A383" s="9" t="s">
        <v>10870</v>
      </c>
      <c r="B383" s="16">
        <v>31</v>
      </c>
      <c r="C383" s="9"/>
      <c r="D383" s="271" t="s">
        <v>10102</v>
      </c>
      <c r="E383" s="263">
        <v>0</v>
      </c>
      <c r="F383" s="263">
        <v>0</v>
      </c>
      <c r="G383" s="263">
        <v>0</v>
      </c>
      <c r="H383" s="263">
        <v>0</v>
      </c>
      <c r="I383" s="263">
        <v>0</v>
      </c>
      <c r="J383" s="263">
        <v>8</v>
      </c>
      <c r="K383" s="267">
        <v>8</v>
      </c>
    </row>
    <row r="384" spans="1:11">
      <c r="A384" s="9" t="s">
        <v>10871</v>
      </c>
      <c r="B384" s="16">
        <v>31</v>
      </c>
      <c r="C384" s="9"/>
      <c r="D384" s="271" t="s">
        <v>10103</v>
      </c>
      <c r="E384" s="263">
        <v>0</v>
      </c>
      <c r="F384" s="263">
        <v>0</v>
      </c>
      <c r="G384" s="263">
        <v>0</v>
      </c>
      <c r="H384" s="263">
        <v>0</v>
      </c>
      <c r="I384" s="263">
        <v>0</v>
      </c>
      <c r="J384" s="263">
        <v>8</v>
      </c>
      <c r="K384" s="267">
        <v>8</v>
      </c>
    </row>
    <row r="385" spans="1:11">
      <c r="A385" s="9" t="s">
        <v>10872</v>
      </c>
      <c r="B385" s="16">
        <v>31</v>
      </c>
      <c r="C385" s="9"/>
      <c r="D385" s="271" t="s">
        <v>10104</v>
      </c>
      <c r="E385" s="263">
        <v>0</v>
      </c>
      <c r="F385" s="263">
        <v>0</v>
      </c>
      <c r="G385" s="263">
        <v>0</v>
      </c>
      <c r="H385" s="263">
        <v>0</v>
      </c>
      <c r="I385" s="263">
        <v>0</v>
      </c>
      <c r="J385" s="263">
        <v>8</v>
      </c>
      <c r="K385" s="267">
        <v>8</v>
      </c>
    </row>
    <row r="386" spans="1:11">
      <c r="A386" s="9" t="s">
        <v>10873</v>
      </c>
      <c r="B386" s="16">
        <v>31</v>
      </c>
      <c r="C386" s="9"/>
      <c r="D386" s="271" t="s">
        <v>10105</v>
      </c>
      <c r="E386" s="263">
        <v>0</v>
      </c>
      <c r="F386" s="263">
        <v>8</v>
      </c>
      <c r="G386" s="263">
        <v>0</v>
      </c>
      <c r="H386" s="263">
        <v>0</v>
      </c>
      <c r="I386" s="263">
        <v>0</v>
      </c>
      <c r="J386" s="263">
        <v>0</v>
      </c>
      <c r="K386" s="267">
        <v>8</v>
      </c>
    </row>
    <row r="387" spans="1:11">
      <c r="A387" s="9" t="s">
        <v>10874</v>
      </c>
      <c r="B387" s="16">
        <v>31</v>
      </c>
      <c r="C387" s="9"/>
      <c r="D387" s="271" t="s">
        <v>10106</v>
      </c>
      <c r="E387" s="263">
        <v>4</v>
      </c>
      <c r="F387" s="263">
        <v>0</v>
      </c>
      <c r="G387" s="263">
        <v>0</v>
      </c>
      <c r="H387" s="263">
        <v>0</v>
      </c>
      <c r="I387" s="263">
        <v>0</v>
      </c>
      <c r="J387" s="263">
        <v>0</v>
      </c>
      <c r="K387" s="267">
        <v>4</v>
      </c>
    </row>
    <row r="388" spans="1:11">
      <c r="A388" s="9" t="s">
        <v>10875</v>
      </c>
      <c r="B388" s="16">
        <v>31</v>
      </c>
      <c r="C388" s="9"/>
      <c r="D388" s="271" t="s">
        <v>10107</v>
      </c>
      <c r="E388" s="263">
        <v>8</v>
      </c>
      <c r="F388" s="263">
        <v>0</v>
      </c>
      <c r="G388" s="263">
        <v>0</v>
      </c>
      <c r="H388" s="263">
        <v>0</v>
      </c>
      <c r="I388" s="263">
        <v>0</v>
      </c>
      <c r="J388" s="263">
        <v>0</v>
      </c>
      <c r="K388" s="267">
        <v>8</v>
      </c>
    </row>
    <row r="389" spans="1:11">
      <c r="A389" s="9" t="s">
        <v>10876</v>
      </c>
      <c r="B389" s="16">
        <v>31</v>
      </c>
      <c r="C389" s="9"/>
      <c r="D389" s="271" t="s">
        <v>10108</v>
      </c>
      <c r="E389" s="263">
        <v>4</v>
      </c>
      <c r="F389" s="263">
        <v>0</v>
      </c>
      <c r="G389" s="263">
        <v>0</v>
      </c>
      <c r="H389" s="263">
        <v>0</v>
      </c>
      <c r="I389" s="263">
        <v>0</v>
      </c>
      <c r="J389" s="263">
        <v>0</v>
      </c>
      <c r="K389" s="267">
        <v>4</v>
      </c>
    </row>
    <row r="390" spans="1:11">
      <c r="A390" s="9" t="s">
        <v>10877</v>
      </c>
      <c r="B390" s="16">
        <v>31</v>
      </c>
      <c r="C390" s="9"/>
      <c r="D390" s="271" t="s">
        <v>10109</v>
      </c>
      <c r="E390" s="263">
        <v>0</v>
      </c>
      <c r="F390" s="263">
        <v>0</v>
      </c>
      <c r="G390" s="263">
        <v>0</v>
      </c>
      <c r="H390" s="263">
        <v>0</v>
      </c>
      <c r="I390" s="263">
        <v>0</v>
      </c>
      <c r="J390" s="263">
        <v>8</v>
      </c>
      <c r="K390" s="267">
        <v>8</v>
      </c>
    </row>
    <row r="391" spans="1:11">
      <c r="A391" s="9" t="s">
        <v>10878</v>
      </c>
      <c r="B391" s="16">
        <v>31</v>
      </c>
      <c r="C391" s="9"/>
      <c r="D391" s="271" t="s">
        <v>10110</v>
      </c>
      <c r="E391" s="263">
        <v>0</v>
      </c>
      <c r="F391" s="263">
        <v>4</v>
      </c>
      <c r="G391" s="263">
        <v>0</v>
      </c>
      <c r="H391" s="263">
        <v>0</v>
      </c>
      <c r="I391" s="263">
        <v>0</v>
      </c>
      <c r="J391" s="263">
        <v>0</v>
      </c>
      <c r="K391" s="267">
        <v>4</v>
      </c>
    </row>
    <row r="392" spans="1:11">
      <c r="B392" s="16">
        <v>31</v>
      </c>
      <c r="C392" s="9"/>
      <c r="D392" s="271"/>
      <c r="E392" s="263"/>
      <c r="F392" s="263"/>
      <c r="G392" s="263"/>
      <c r="H392" s="263"/>
      <c r="I392" s="263"/>
      <c r="J392" s="263"/>
      <c r="K392" s="267">
        <v>0</v>
      </c>
    </row>
    <row r="393" spans="1:11" ht="15.75" customHeight="1">
      <c r="B393" s="16">
        <v>31</v>
      </c>
      <c r="C393" s="9"/>
      <c r="D393" s="272" t="s">
        <v>3674</v>
      </c>
      <c r="E393" s="273">
        <v>16</v>
      </c>
      <c r="F393" s="273">
        <v>12</v>
      </c>
      <c r="G393" s="273">
        <v>0</v>
      </c>
      <c r="H393" s="273">
        <v>0</v>
      </c>
      <c r="I393" s="273">
        <v>0</v>
      </c>
      <c r="J393" s="273">
        <v>32</v>
      </c>
      <c r="K393" s="273">
        <v>60</v>
      </c>
    </row>
    <row r="394" spans="1:11">
      <c r="C394" s="9"/>
      <c r="D394" s="271"/>
      <c r="E394" s="263"/>
      <c r="F394" s="263"/>
      <c r="G394" s="263"/>
      <c r="H394" s="263"/>
      <c r="I394" s="263"/>
      <c r="J394" s="263"/>
      <c r="K394" s="267">
        <v>0</v>
      </c>
    </row>
    <row r="395" spans="1:11">
      <c r="A395" s="9" t="s">
        <v>10879</v>
      </c>
      <c r="B395" s="16">
        <v>32</v>
      </c>
      <c r="C395" s="9"/>
      <c r="D395" s="271" t="s">
        <v>10111</v>
      </c>
      <c r="E395" s="263">
        <v>0</v>
      </c>
      <c r="F395" s="263">
        <v>4</v>
      </c>
      <c r="G395" s="263">
        <v>0</v>
      </c>
      <c r="H395" s="263">
        <v>0</v>
      </c>
      <c r="I395" s="263">
        <v>0</v>
      </c>
      <c r="J395" s="263">
        <v>0</v>
      </c>
      <c r="K395" s="267">
        <v>4</v>
      </c>
    </row>
    <row r="396" spans="1:11">
      <c r="A396" s="9" t="s">
        <v>10880</v>
      </c>
      <c r="B396" s="16">
        <v>32</v>
      </c>
      <c r="C396" s="9"/>
      <c r="D396" s="271" t="s">
        <v>10112</v>
      </c>
      <c r="E396" s="263">
        <v>0</v>
      </c>
      <c r="F396" s="263">
        <v>0</v>
      </c>
      <c r="G396" s="263">
        <v>4</v>
      </c>
      <c r="H396" s="263">
        <v>0</v>
      </c>
      <c r="I396" s="263">
        <v>0</v>
      </c>
      <c r="J396" s="263">
        <v>0</v>
      </c>
      <c r="K396" s="267">
        <v>4</v>
      </c>
    </row>
    <row r="397" spans="1:11">
      <c r="A397" s="9" t="s">
        <v>10881</v>
      </c>
      <c r="B397" s="16">
        <v>32</v>
      </c>
      <c r="C397" s="9"/>
      <c r="D397" s="271" t="s">
        <v>10113</v>
      </c>
      <c r="E397" s="263">
        <v>0</v>
      </c>
      <c r="F397" s="263">
        <v>4</v>
      </c>
      <c r="G397" s="263">
        <v>0</v>
      </c>
      <c r="H397" s="263">
        <v>0</v>
      </c>
      <c r="I397" s="263">
        <v>0</v>
      </c>
      <c r="J397" s="263">
        <v>0</v>
      </c>
      <c r="K397" s="267">
        <v>4</v>
      </c>
    </row>
    <row r="398" spans="1:11">
      <c r="A398" s="9" t="s">
        <v>10882</v>
      </c>
      <c r="B398" s="16">
        <v>32</v>
      </c>
      <c r="C398" s="9"/>
      <c r="D398" s="271" t="s">
        <v>10114</v>
      </c>
      <c r="E398" s="263">
        <v>8</v>
      </c>
      <c r="F398" s="263">
        <v>0</v>
      </c>
      <c r="G398" s="263">
        <v>0</v>
      </c>
      <c r="H398" s="263">
        <v>0</v>
      </c>
      <c r="I398" s="263">
        <v>0</v>
      </c>
      <c r="J398" s="263">
        <v>0</v>
      </c>
      <c r="K398" s="267">
        <v>8</v>
      </c>
    </row>
    <row r="399" spans="1:11">
      <c r="A399" s="9" t="s">
        <v>10883</v>
      </c>
      <c r="B399" s="16">
        <v>32</v>
      </c>
      <c r="C399" s="9"/>
      <c r="D399" s="271" t="s">
        <v>10115</v>
      </c>
      <c r="E399" s="263">
        <v>0</v>
      </c>
      <c r="F399" s="263">
        <v>0</v>
      </c>
      <c r="G399" s="263">
        <v>0</v>
      </c>
      <c r="H399" s="263">
        <v>0</v>
      </c>
      <c r="I399" s="263">
        <v>0</v>
      </c>
      <c r="J399" s="263">
        <v>8</v>
      </c>
      <c r="K399" s="267">
        <v>8</v>
      </c>
    </row>
    <row r="400" spans="1:11">
      <c r="A400" s="9" t="s">
        <v>10884</v>
      </c>
      <c r="B400" s="16">
        <v>32</v>
      </c>
      <c r="C400" s="9"/>
      <c r="D400" s="271" t="s">
        <v>10116</v>
      </c>
      <c r="E400" s="263">
        <v>8</v>
      </c>
      <c r="F400" s="263">
        <v>0</v>
      </c>
      <c r="G400" s="263">
        <v>0</v>
      </c>
      <c r="H400" s="263">
        <v>0</v>
      </c>
      <c r="I400" s="263">
        <v>0</v>
      </c>
      <c r="J400" s="263">
        <v>0</v>
      </c>
      <c r="K400" s="267">
        <v>8</v>
      </c>
    </row>
    <row r="401" spans="1:11">
      <c r="A401" s="9" t="s">
        <v>10885</v>
      </c>
      <c r="B401" s="16">
        <v>32</v>
      </c>
      <c r="C401" s="9"/>
      <c r="D401" s="271" t="s">
        <v>10117</v>
      </c>
      <c r="E401" s="263">
        <v>0</v>
      </c>
      <c r="F401" s="263">
        <v>0</v>
      </c>
      <c r="G401" s="263">
        <v>0</v>
      </c>
      <c r="H401" s="263">
        <v>6.4</v>
      </c>
      <c r="I401" s="263">
        <v>0</v>
      </c>
      <c r="J401" s="263">
        <v>0</v>
      </c>
      <c r="K401" s="267">
        <v>6.4</v>
      </c>
    </row>
    <row r="402" spans="1:11">
      <c r="A402" s="9" t="s">
        <v>10886</v>
      </c>
      <c r="B402" s="16">
        <v>32</v>
      </c>
      <c r="C402" s="9"/>
      <c r="D402" s="271" t="s">
        <v>10118</v>
      </c>
      <c r="E402" s="263">
        <v>0</v>
      </c>
      <c r="F402" s="263">
        <v>0</v>
      </c>
      <c r="G402" s="263">
        <v>0</v>
      </c>
      <c r="H402" s="263">
        <v>6.4</v>
      </c>
      <c r="I402" s="263">
        <v>0</v>
      </c>
      <c r="J402" s="263">
        <v>0</v>
      </c>
      <c r="K402" s="267">
        <v>6.4</v>
      </c>
    </row>
    <row r="403" spans="1:11">
      <c r="A403" s="9" t="s">
        <v>10887</v>
      </c>
      <c r="B403" s="16">
        <v>32</v>
      </c>
      <c r="C403" s="9"/>
      <c r="D403" s="271" t="s">
        <v>10119</v>
      </c>
      <c r="E403" s="263">
        <v>5.6000000000000005</v>
      </c>
      <c r="F403" s="263">
        <v>0</v>
      </c>
      <c r="G403" s="263">
        <v>0</v>
      </c>
      <c r="H403" s="263">
        <v>0</v>
      </c>
      <c r="I403" s="263">
        <v>0</v>
      </c>
      <c r="J403" s="263">
        <v>0</v>
      </c>
      <c r="K403" s="267">
        <v>5.6000000000000005</v>
      </c>
    </row>
    <row r="404" spans="1:11">
      <c r="A404" s="9" t="s">
        <v>10888</v>
      </c>
      <c r="B404" s="16">
        <v>32</v>
      </c>
      <c r="C404" s="9"/>
      <c r="D404" s="271" t="s">
        <v>10120</v>
      </c>
      <c r="E404" s="263">
        <v>0</v>
      </c>
      <c r="F404" s="263">
        <v>0</v>
      </c>
      <c r="G404" s="263">
        <v>4</v>
      </c>
      <c r="H404" s="263">
        <v>0</v>
      </c>
      <c r="I404" s="263">
        <v>0</v>
      </c>
      <c r="J404" s="263">
        <v>0</v>
      </c>
      <c r="K404" s="267">
        <v>4</v>
      </c>
    </row>
    <row r="405" spans="1:11">
      <c r="B405" s="16">
        <v>32</v>
      </c>
      <c r="C405" s="9"/>
      <c r="D405" s="271"/>
      <c r="E405" s="263"/>
      <c r="F405" s="263"/>
      <c r="G405" s="263"/>
      <c r="H405" s="263"/>
      <c r="I405" s="263"/>
      <c r="J405" s="263"/>
      <c r="K405" s="267">
        <v>0</v>
      </c>
    </row>
    <row r="406" spans="1:11" ht="15.75" customHeight="1">
      <c r="B406" s="16">
        <v>32</v>
      </c>
      <c r="C406" s="9"/>
      <c r="D406" s="272" t="s">
        <v>3674</v>
      </c>
      <c r="E406" s="273">
        <v>21.6</v>
      </c>
      <c r="F406" s="273">
        <v>8</v>
      </c>
      <c r="G406" s="273">
        <v>8</v>
      </c>
      <c r="H406" s="273">
        <v>12.8</v>
      </c>
      <c r="I406" s="273">
        <v>0</v>
      </c>
      <c r="J406" s="273">
        <v>8</v>
      </c>
      <c r="K406" s="273">
        <v>58.4</v>
      </c>
    </row>
    <row r="407" spans="1:11">
      <c r="C407" s="9"/>
      <c r="D407" s="271"/>
      <c r="E407" s="263"/>
      <c r="F407" s="263"/>
      <c r="G407" s="263"/>
      <c r="H407" s="263"/>
      <c r="I407" s="263"/>
      <c r="J407" s="263"/>
      <c r="K407" s="267">
        <v>0</v>
      </c>
    </row>
    <row r="408" spans="1:11">
      <c r="A408" s="9" t="s">
        <v>10889</v>
      </c>
      <c r="B408" s="16">
        <v>33</v>
      </c>
      <c r="C408" s="9"/>
      <c r="D408" s="271" t="s">
        <v>10121</v>
      </c>
      <c r="E408" s="263">
        <v>0</v>
      </c>
      <c r="F408" s="263">
        <v>0</v>
      </c>
      <c r="G408" s="263">
        <v>0</v>
      </c>
      <c r="H408" s="263">
        <v>0</v>
      </c>
      <c r="I408" s="263">
        <v>0</v>
      </c>
      <c r="J408" s="263">
        <v>8</v>
      </c>
      <c r="K408" s="267">
        <v>8</v>
      </c>
    </row>
    <row r="409" spans="1:11">
      <c r="A409" s="9" t="s">
        <v>10890</v>
      </c>
      <c r="B409" s="16">
        <v>33</v>
      </c>
      <c r="C409" s="9"/>
      <c r="D409" s="271" t="s">
        <v>10122</v>
      </c>
      <c r="E409" s="263">
        <v>0</v>
      </c>
      <c r="F409" s="263">
        <v>0</v>
      </c>
      <c r="G409" s="263">
        <v>0</v>
      </c>
      <c r="H409" s="263">
        <v>0</v>
      </c>
      <c r="I409" s="263">
        <v>0</v>
      </c>
      <c r="J409" s="263">
        <v>4</v>
      </c>
      <c r="K409" s="267">
        <v>4</v>
      </c>
    </row>
    <row r="410" spans="1:11">
      <c r="A410" s="9" t="s">
        <v>10891</v>
      </c>
      <c r="B410" s="16">
        <v>33</v>
      </c>
      <c r="C410" s="9"/>
      <c r="D410" s="271" t="s">
        <v>10123</v>
      </c>
      <c r="E410" s="263">
        <v>0</v>
      </c>
      <c r="F410" s="263">
        <v>0</v>
      </c>
      <c r="G410" s="263">
        <v>0</v>
      </c>
      <c r="H410" s="263">
        <v>0</v>
      </c>
      <c r="I410" s="263">
        <v>0</v>
      </c>
      <c r="J410" s="263">
        <v>8</v>
      </c>
      <c r="K410" s="267">
        <v>8</v>
      </c>
    </row>
    <row r="411" spans="1:11">
      <c r="A411" s="9" t="s">
        <v>10892</v>
      </c>
      <c r="B411" s="16">
        <v>33</v>
      </c>
      <c r="C411" s="9"/>
      <c r="D411" s="271" t="s">
        <v>10124</v>
      </c>
      <c r="E411" s="263">
        <v>4</v>
      </c>
      <c r="F411" s="263">
        <v>0</v>
      </c>
      <c r="G411" s="263">
        <v>0</v>
      </c>
      <c r="H411" s="263">
        <v>0</v>
      </c>
      <c r="I411" s="263">
        <v>0</v>
      </c>
      <c r="J411" s="263">
        <v>0</v>
      </c>
      <c r="K411" s="267">
        <v>4</v>
      </c>
    </row>
    <row r="412" spans="1:11">
      <c r="A412" s="9" t="s">
        <v>10893</v>
      </c>
      <c r="B412" s="16">
        <v>33</v>
      </c>
      <c r="C412" s="9"/>
      <c r="D412" s="271" t="s">
        <v>10125</v>
      </c>
      <c r="E412" s="263">
        <v>0</v>
      </c>
      <c r="F412" s="263">
        <v>0</v>
      </c>
      <c r="G412" s="263">
        <v>0</v>
      </c>
      <c r="H412" s="263">
        <v>0</v>
      </c>
      <c r="I412" s="263">
        <v>0</v>
      </c>
      <c r="J412" s="263">
        <v>8</v>
      </c>
      <c r="K412" s="267">
        <v>8</v>
      </c>
    </row>
    <row r="413" spans="1:11">
      <c r="A413" s="9" t="s">
        <v>10894</v>
      </c>
      <c r="B413" s="16">
        <v>33</v>
      </c>
      <c r="C413" s="9"/>
      <c r="D413" s="271" t="s">
        <v>10126</v>
      </c>
      <c r="E413" s="263">
        <v>8</v>
      </c>
      <c r="F413" s="263">
        <v>0</v>
      </c>
      <c r="G413" s="263">
        <v>0</v>
      </c>
      <c r="H413" s="263">
        <v>0</v>
      </c>
      <c r="I413" s="263">
        <v>0</v>
      </c>
      <c r="J413" s="263">
        <v>0</v>
      </c>
      <c r="K413" s="267">
        <v>8</v>
      </c>
    </row>
    <row r="414" spans="1:11">
      <c r="A414" s="9" t="s">
        <v>10895</v>
      </c>
      <c r="B414" s="16">
        <v>33</v>
      </c>
      <c r="C414" s="9"/>
      <c r="D414" s="271" t="s">
        <v>10127</v>
      </c>
      <c r="E414" s="263">
        <v>4</v>
      </c>
      <c r="F414" s="263">
        <v>0</v>
      </c>
      <c r="G414" s="263">
        <v>0</v>
      </c>
      <c r="H414" s="263">
        <v>0</v>
      </c>
      <c r="I414" s="263">
        <v>0</v>
      </c>
      <c r="J414" s="263">
        <v>0</v>
      </c>
      <c r="K414" s="267">
        <v>4</v>
      </c>
    </row>
    <row r="415" spans="1:11">
      <c r="A415" s="9" t="s">
        <v>10896</v>
      </c>
      <c r="B415" s="16">
        <v>33</v>
      </c>
      <c r="C415" s="9"/>
      <c r="D415" s="271" t="s">
        <v>10128</v>
      </c>
      <c r="E415" s="263">
        <v>0</v>
      </c>
      <c r="F415" s="263">
        <v>0</v>
      </c>
      <c r="G415" s="263">
        <v>0</v>
      </c>
      <c r="H415" s="263">
        <v>8</v>
      </c>
      <c r="I415" s="263">
        <v>0</v>
      </c>
      <c r="J415" s="263">
        <v>0</v>
      </c>
      <c r="K415" s="267">
        <v>8</v>
      </c>
    </row>
    <row r="416" spans="1:11">
      <c r="A416" s="9" t="s">
        <v>10897</v>
      </c>
      <c r="B416" s="16">
        <v>33</v>
      </c>
      <c r="C416" s="9"/>
      <c r="D416" s="271" t="s">
        <v>10129</v>
      </c>
      <c r="E416" s="263">
        <v>0</v>
      </c>
      <c r="F416" s="263">
        <v>0</v>
      </c>
      <c r="G416" s="263">
        <v>4</v>
      </c>
      <c r="H416" s="263">
        <v>0</v>
      </c>
      <c r="I416" s="263">
        <v>0</v>
      </c>
      <c r="J416" s="263">
        <v>0</v>
      </c>
      <c r="K416" s="267">
        <v>4</v>
      </c>
    </row>
    <row r="417" spans="1:11">
      <c r="A417" s="9" t="s">
        <v>10898</v>
      </c>
      <c r="B417" s="16">
        <v>33</v>
      </c>
      <c r="C417" s="9"/>
      <c r="D417" s="271" t="s">
        <v>10130</v>
      </c>
      <c r="E417" s="263">
        <v>0</v>
      </c>
      <c r="F417" s="263">
        <v>0</v>
      </c>
      <c r="G417" s="263">
        <v>0</v>
      </c>
      <c r="H417" s="263">
        <v>0</v>
      </c>
      <c r="I417" s="263">
        <v>0</v>
      </c>
      <c r="J417" s="263">
        <v>8</v>
      </c>
      <c r="K417" s="267">
        <v>8</v>
      </c>
    </row>
    <row r="418" spans="1:11">
      <c r="A418" s="9" t="s">
        <v>10899</v>
      </c>
      <c r="B418" s="16">
        <v>33</v>
      </c>
      <c r="C418" s="9"/>
      <c r="D418" s="271" t="s">
        <v>10131</v>
      </c>
      <c r="E418" s="263">
        <v>8</v>
      </c>
      <c r="F418" s="263">
        <v>0</v>
      </c>
      <c r="G418" s="263">
        <v>0</v>
      </c>
      <c r="H418" s="263">
        <v>0</v>
      </c>
      <c r="I418" s="263">
        <v>0</v>
      </c>
      <c r="J418" s="263">
        <v>0</v>
      </c>
      <c r="K418" s="267">
        <v>8</v>
      </c>
    </row>
    <row r="419" spans="1:11">
      <c r="A419" s="9" t="s">
        <v>10900</v>
      </c>
      <c r="B419" s="16">
        <v>33</v>
      </c>
      <c r="C419" s="9"/>
      <c r="D419" s="271" t="s">
        <v>10132</v>
      </c>
      <c r="E419" s="263">
        <v>8</v>
      </c>
      <c r="F419" s="263">
        <v>0</v>
      </c>
      <c r="G419" s="263">
        <v>0</v>
      </c>
      <c r="H419" s="263">
        <v>0</v>
      </c>
      <c r="I419" s="263">
        <v>0</v>
      </c>
      <c r="J419" s="263">
        <v>0</v>
      </c>
      <c r="K419" s="267">
        <v>8</v>
      </c>
    </row>
    <row r="420" spans="1:11">
      <c r="A420" s="9" t="s">
        <v>10901</v>
      </c>
      <c r="B420" s="16">
        <v>33</v>
      </c>
      <c r="C420" s="9"/>
      <c r="D420" s="271" t="s">
        <v>10133</v>
      </c>
      <c r="E420" s="263">
        <v>0</v>
      </c>
      <c r="F420" s="263">
        <v>0</v>
      </c>
      <c r="G420" s="263">
        <v>0</v>
      </c>
      <c r="H420" s="263">
        <v>0</v>
      </c>
      <c r="I420" s="263">
        <v>0</v>
      </c>
      <c r="J420" s="263">
        <v>8</v>
      </c>
      <c r="K420" s="267">
        <v>8</v>
      </c>
    </row>
    <row r="421" spans="1:11">
      <c r="A421" s="9" t="s">
        <v>10902</v>
      </c>
      <c r="B421" s="16">
        <v>33</v>
      </c>
      <c r="C421" s="9"/>
      <c r="D421" s="271" t="s">
        <v>10134</v>
      </c>
      <c r="E421" s="263">
        <v>0</v>
      </c>
      <c r="F421" s="263">
        <v>8</v>
      </c>
      <c r="G421" s="263">
        <v>0</v>
      </c>
      <c r="H421" s="263">
        <v>0</v>
      </c>
      <c r="I421" s="263">
        <v>0</v>
      </c>
      <c r="J421" s="263">
        <v>0</v>
      </c>
      <c r="K421" s="267">
        <v>8</v>
      </c>
    </row>
    <row r="422" spans="1:11">
      <c r="A422" s="9" t="s">
        <v>10903</v>
      </c>
      <c r="B422" s="16">
        <v>33</v>
      </c>
      <c r="C422" s="9"/>
      <c r="D422" s="271" t="s">
        <v>10135</v>
      </c>
      <c r="E422" s="263">
        <v>8</v>
      </c>
      <c r="F422" s="263">
        <v>0</v>
      </c>
      <c r="G422" s="263">
        <v>0</v>
      </c>
      <c r="H422" s="263">
        <v>0</v>
      </c>
      <c r="I422" s="263">
        <v>0</v>
      </c>
      <c r="J422" s="263">
        <v>0</v>
      </c>
      <c r="K422" s="267">
        <v>8</v>
      </c>
    </row>
    <row r="423" spans="1:11">
      <c r="B423" s="16">
        <v>33</v>
      </c>
      <c r="C423" s="9"/>
      <c r="D423" s="271"/>
      <c r="E423" s="263"/>
      <c r="F423" s="263"/>
      <c r="G423" s="263"/>
      <c r="H423" s="263"/>
      <c r="I423" s="263"/>
      <c r="J423" s="263"/>
      <c r="K423" s="267">
        <v>0</v>
      </c>
    </row>
    <row r="424" spans="1:11" ht="15.75" customHeight="1">
      <c r="B424" s="16">
        <v>33</v>
      </c>
      <c r="C424" s="9"/>
      <c r="D424" s="272" t="s">
        <v>3674</v>
      </c>
      <c r="E424" s="273">
        <v>40</v>
      </c>
      <c r="F424" s="273">
        <v>8</v>
      </c>
      <c r="G424" s="273">
        <v>4</v>
      </c>
      <c r="H424" s="273">
        <v>8</v>
      </c>
      <c r="I424" s="273">
        <v>0</v>
      </c>
      <c r="J424" s="273">
        <v>44</v>
      </c>
      <c r="K424" s="273">
        <v>104</v>
      </c>
    </row>
    <row r="425" spans="1:11">
      <c r="C425" s="9"/>
      <c r="D425" s="271"/>
      <c r="E425" s="263"/>
      <c r="F425" s="263"/>
      <c r="G425" s="263"/>
      <c r="H425" s="263"/>
      <c r="I425" s="263"/>
      <c r="J425" s="263"/>
      <c r="K425" s="267">
        <v>0</v>
      </c>
    </row>
    <row r="426" spans="1:11">
      <c r="A426" s="9" t="s">
        <v>10904</v>
      </c>
      <c r="B426" s="16">
        <v>35</v>
      </c>
      <c r="C426" s="9"/>
      <c r="D426" s="271" t="s">
        <v>10137</v>
      </c>
      <c r="E426" s="263">
        <v>0</v>
      </c>
      <c r="F426" s="263">
        <v>0</v>
      </c>
      <c r="G426" s="263">
        <v>0</v>
      </c>
      <c r="H426" s="263">
        <v>0</v>
      </c>
      <c r="I426" s="263">
        <v>0</v>
      </c>
      <c r="J426" s="263">
        <v>4</v>
      </c>
      <c r="K426" s="267">
        <v>4</v>
      </c>
    </row>
    <row r="427" spans="1:11">
      <c r="A427" s="9" t="s">
        <v>10905</v>
      </c>
      <c r="B427" s="16">
        <v>35</v>
      </c>
      <c r="C427" s="9"/>
      <c r="D427" s="271" t="s">
        <v>10138</v>
      </c>
      <c r="E427" s="263">
        <v>0</v>
      </c>
      <c r="F427" s="263">
        <v>0</v>
      </c>
      <c r="G427" s="263">
        <v>0</v>
      </c>
      <c r="H427" s="263">
        <v>0</v>
      </c>
      <c r="I427" s="263">
        <v>0</v>
      </c>
      <c r="J427" s="263">
        <v>4</v>
      </c>
      <c r="K427" s="267">
        <v>4</v>
      </c>
    </row>
    <row r="428" spans="1:11">
      <c r="A428" s="9" t="s">
        <v>10906</v>
      </c>
      <c r="B428" s="16">
        <v>35</v>
      </c>
      <c r="C428" s="9"/>
      <c r="D428" s="271" t="s">
        <v>10116</v>
      </c>
      <c r="E428" s="263">
        <v>8</v>
      </c>
      <c r="F428" s="263">
        <v>0</v>
      </c>
      <c r="G428" s="263">
        <v>0</v>
      </c>
      <c r="H428" s="263">
        <v>0</v>
      </c>
      <c r="I428" s="263">
        <v>0</v>
      </c>
      <c r="J428" s="263">
        <v>0</v>
      </c>
      <c r="K428" s="267">
        <v>8</v>
      </c>
    </row>
    <row r="429" spans="1:11">
      <c r="A429" s="9" t="s">
        <v>10907</v>
      </c>
      <c r="B429" s="16">
        <v>35</v>
      </c>
      <c r="C429" s="9"/>
      <c r="D429" s="271" t="s">
        <v>10167</v>
      </c>
      <c r="E429" s="263">
        <v>8</v>
      </c>
      <c r="F429" s="263">
        <v>0</v>
      </c>
      <c r="G429" s="263">
        <v>0</v>
      </c>
      <c r="H429" s="263">
        <v>0</v>
      </c>
      <c r="I429" s="263">
        <v>0</v>
      </c>
      <c r="J429" s="263">
        <v>0</v>
      </c>
      <c r="K429" s="267">
        <v>8</v>
      </c>
    </row>
    <row r="430" spans="1:11">
      <c r="A430" s="9" t="s">
        <v>10908</v>
      </c>
      <c r="B430" s="16">
        <v>35</v>
      </c>
      <c r="C430" s="9"/>
      <c r="D430" s="271" t="s">
        <v>10139</v>
      </c>
      <c r="E430" s="263">
        <v>0</v>
      </c>
      <c r="F430" s="263">
        <v>4</v>
      </c>
      <c r="G430" s="263">
        <v>0</v>
      </c>
      <c r="H430" s="263">
        <v>0</v>
      </c>
      <c r="I430" s="263">
        <v>0</v>
      </c>
      <c r="J430" s="263">
        <v>0</v>
      </c>
      <c r="K430" s="267">
        <v>4</v>
      </c>
    </row>
    <row r="431" spans="1:11">
      <c r="A431" s="9" t="s">
        <v>10909</v>
      </c>
      <c r="B431" s="16">
        <v>35</v>
      </c>
      <c r="C431" s="9"/>
      <c r="D431" s="271" t="s">
        <v>10168</v>
      </c>
      <c r="E431" s="263">
        <v>12</v>
      </c>
      <c r="F431" s="263">
        <v>0</v>
      </c>
      <c r="G431" s="263">
        <v>0</v>
      </c>
      <c r="H431" s="263">
        <v>0</v>
      </c>
      <c r="I431" s="263">
        <v>0</v>
      </c>
      <c r="J431" s="263">
        <v>0</v>
      </c>
      <c r="K431" s="267">
        <v>12</v>
      </c>
    </row>
    <row r="432" spans="1:11">
      <c r="A432" s="9" t="s">
        <v>10910</v>
      </c>
      <c r="B432" s="16">
        <v>35</v>
      </c>
      <c r="C432" s="9"/>
      <c r="D432" s="271" t="s">
        <v>10136</v>
      </c>
      <c r="E432" s="263">
        <v>0</v>
      </c>
      <c r="F432" s="263">
        <v>4</v>
      </c>
      <c r="G432" s="263">
        <v>0</v>
      </c>
      <c r="H432" s="263">
        <v>0</v>
      </c>
      <c r="I432" s="263">
        <v>0</v>
      </c>
      <c r="J432" s="263">
        <v>0</v>
      </c>
      <c r="K432" s="267">
        <v>4</v>
      </c>
    </row>
    <row r="433" spans="1:11">
      <c r="A433" s="9" t="s">
        <v>10911</v>
      </c>
      <c r="B433" s="16">
        <v>35</v>
      </c>
      <c r="C433" s="9"/>
      <c r="D433" s="271" t="s">
        <v>10140</v>
      </c>
      <c r="E433" s="263">
        <v>0</v>
      </c>
      <c r="F433" s="263">
        <v>8</v>
      </c>
      <c r="G433" s="263">
        <v>0</v>
      </c>
      <c r="H433" s="263">
        <v>0</v>
      </c>
      <c r="I433" s="263">
        <v>0</v>
      </c>
      <c r="J433" s="263">
        <v>0</v>
      </c>
      <c r="K433" s="267">
        <v>8</v>
      </c>
    </row>
    <row r="434" spans="1:11" ht="15.75" customHeight="1">
      <c r="B434" s="16">
        <v>35</v>
      </c>
      <c r="C434" s="9"/>
      <c r="D434" s="272" t="s">
        <v>3674</v>
      </c>
      <c r="E434" s="273">
        <v>28</v>
      </c>
      <c r="F434" s="273">
        <v>16</v>
      </c>
      <c r="G434" s="273">
        <v>0</v>
      </c>
      <c r="H434" s="273">
        <v>0</v>
      </c>
      <c r="I434" s="273">
        <v>0</v>
      </c>
      <c r="J434" s="273">
        <v>8</v>
      </c>
      <c r="K434" s="273">
        <v>52</v>
      </c>
    </row>
    <row r="435" spans="1:11">
      <c r="C435" s="9"/>
      <c r="D435" s="271"/>
      <c r="E435" s="263"/>
      <c r="F435" s="263"/>
      <c r="G435" s="263"/>
      <c r="H435" s="263"/>
      <c r="I435" s="263"/>
      <c r="J435" s="263"/>
      <c r="K435" s="267">
        <v>0</v>
      </c>
    </row>
    <row r="436" spans="1:11" ht="15.75" customHeight="1">
      <c r="B436" s="16">
        <v>0</v>
      </c>
      <c r="C436" s="9"/>
      <c r="D436" s="269" t="s">
        <v>13078</v>
      </c>
      <c r="E436" s="270">
        <v>141.6</v>
      </c>
      <c r="F436" s="270">
        <v>56</v>
      </c>
      <c r="G436" s="270">
        <v>12</v>
      </c>
      <c r="H436" s="270">
        <v>20.8</v>
      </c>
      <c r="I436" s="270">
        <v>0</v>
      </c>
      <c r="J436" s="270">
        <v>124</v>
      </c>
      <c r="K436" s="270">
        <v>354.4</v>
      </c>
    </row>
    <row r="437" spans="1:11">
      <c r="C437" s="9"/>
      <c r="D437" s="271"/>
      <c r="E437" s="263"/>
      <c r="F437" s="263"/>
      <c r="G437" s="263"/>
      <c r="H437" s="263"/>
      <c r="I437" s="263"/>
      <c r="J437" s="263"/>
      <c r="K437" s="267">
        <v>0</v>
      </c>
    </row>
    <row r="438" spans="1:11">
      <c r="C438" s="9"/>
      <c r="D438" s="271" t="s">
        <v>4270</v>
      </c>
      <c r="E438" s="263"/>
      <c r="F438" s="263"/>
      <c r="G438" s="263"/>
      <c r="H438" s="263"/>
      <c r="I438" s="263"/>
      <c r="J438" s="263"/>
      <c r="K438" s="267">
        <v>0</v>
      </c>
    </row>
    <row r="439" spans="1:11">
      <c r="C439" s="9"/>
      <c r="D439" s="271"/>
      <c r="E439" s="263"/>
      <c r="F439" s="263"/>
      <c r="G439" s="263"/>
      <c r="H439" s="263"/>
      <c r="I439" s="263"/>
      <c r="J439" s="263"/>
      <c r="K439" s="267">
        <v>0</v>
      </c>
    </row>
    <row r="440" spans="1:11">
      <c r="A440" s="9" t="s">
        <v>10912</v>
      </c>
      <c r="B440" s="16">
        <v>20</v>
      </c>
      <c r="C440" s="9"/>
      <c r="D440" s="271" t="s">
        <v>8948</v>
      </c>
      <c r="E440" s="263">
        <v>0</v>
      </c>
      <c r="F440" s="263">
        <v>0</v>
      </c>
      <c r="G440" s="263">
        <v>0</v>
      </c>
      <c r="H440" s="263">
        <v>0</v>
      </c>
      <c r="I440" s="263">
        <v>0</v>
      </c>
      <c r="J440" s="263">
        <v>9.6000000000000014</v>
      </c>
      <c r="K440" s="267">
        <v>9.6000000000000014</v>
      </c>
    </row>
    <row r="441" spans="1:11">
      <c r="A441" s="9" t="s">
        <v>10913</v>
      </c>
      <c r="B441" s="16">
        <v>20</v>
      </c>
      <c r="C441" s="9"/>
      <c r="D441" s="271" t="s">
        <v>8949</v>
      </c>
      <c r="E441" s="263">
        <v>0</v>
      </c>
      <c r="F441" s="263">
        <v>0</v>
      </c>
      <c r="G441" s="263">
        <v>0</v>
      </c>
      <c r="H441" s="263">
        <v>0</v>
      </c>
      <c r="I441" s="263">
        <v>0</v>
      </c>
      <c r="J441" s="263">
        <v>9.6000000000000014</v>
      </c>
      <c r="K441" s="267">
        <v>9.6000000000000014</v>
      </c>
    </row>
    <row r="442" spans="1:11">
      <c r="A442" s="9" t="s">
        <v>10914</v>
      </c>
      <c r="B442" s="16">
        <v>20</v>
      </c>
      <c r="C442" s="9"/>
      <c r="D442" s="271" t="s">
        <v>8950</v>
      </c>
      <c r="E442" s="263">
        <v>0</v>
      </c>
      <c r="F442" s="263">
        <v>0</v>
      </c>
      <c r="G442" s="263">
        <v>0</v>
      </c>
      <c r="H442" s="263">
        <v>0</v>
      </c>
      <c r="I442" s="263">
        <v>0</v>
      </c>
      <c r="J442" s="263">
        <v>8</v>
      </c>
      <c r="K442" s="267">
        <v>8</v>
      </c>
    </row>
    <row r="443" spans="1:11">
      <c r="A443" s="9" t="s">
        <v>10915</v>
      </c>
      <c r="B443" s="16">
        <v>20</v>
      </c>
      <c r="C443" s="9"/>
      <c r="D443" s="271" t="s">
        <v>8951</v>
      </c>
      <c r="E443" s="263">
        <v>0</v>
      </c>
      <c r="F443" s="263">
        <v>0</v>
      </c>
      <c r="G443" s="263">
        <v>0</v>
      </c>
      <c r="H443" s="263">
        <v>8</v>
      </c>
      <c r="I443" s="263">
        <v>0</v>
      </c>
      <c r="J443" s="263">
        <v>0</v>
      </c>
      <c r="K443" s="267">
        <v>8</v>
      </c>
    </row>
    <row r="444" spans="1:11">
      <c r="A444" s="9" t="s">
        <v>10916</v>
      </c>
      <c r="B444" s="16">
        <v>20</v>
      </c>
      <c r="C444" s="9"/>
      <c r="D444" s="271" t="s">
        <v>8952</v>
      </c>
      <c r="E444" s="263">
        <v>0</v>
      </c>
      <c r="F444" s="263">
        <v>0</v>
      </c>
      <c r="G444" s="263">
        <v>0</v>
      </c>
      <c r="H444" s="263">
        <v>8</v>
      </c>
      <c r="I444" s="263">
        <v>0</v>
      </c>
      <c r="J444" s="263">
        <v>0</v>
      </c>
      <c r="K444" s="267">
        <v>8</v>
      </c>
    </row>
    <row r="445" spans="1:11">
      <c r="A445" s="9" t="s">
        <v>10917</v>
      </c>
      <c r="B445" s="16">
        <v>20</v>
      </c>
      <c r="C445" s="9"/>
      <c r="D445" s="271" t="s">
        <v>8953</v>
      </c>
      <c r="E445" s="263">
        <v>0</v>
      </c>
      <c r="F445" s="263">
        <v>0</v>
      </c>
      <c r="G445" s="263">
        <v>0</v>
      </c>
      <c r="H445" s="263">
        <v>4</v>
      </c>
      <c r="I445" s="263">
        <v>0</v>
      </c>
      <c r="J445" s="263">
        <v>0</v>
      </c>
      <c r="K445" s="267">
        <v>4</v>
      </c>
    </row>
    <row r="446" spans="1:11">
      <c r="A446" s="9" t="s">
        <v>10918</v>
      </c>
      <c r="B446" s="16">
        <v>20</v>
      </c>
      <c r="C446" s="9"/>
      <c r="D446" s="271" t="s">
        <v>8964</v>
      </c>
      <c r="E446" s="263">
        <v>0</v>
      </c>
      <c r="F446" s="263">
        <v>0</v>
      </c>
      <c r="G446" s="263">
        <v>0</v>
      </c>
      <c r="H446" s="263">
        <v>0</v>
      </c>
      <c r="I446" s="263">
        <v>0</v>
      </c>
      <c r="J446" s="263">
        <v>8</v>
      </c>
      <c r="K446" s="267">
        <v>8</v>
      </c>
    </row>
    <row r="447" spans="1:11">
      <c r="A447" s="9" t="s">
        <v>10919</v>
      </c>
      <c r="B447" s="16">
        <v>20</v>
      </c>
      <c r="C447" s="9"/>
      <c r="D447" s="271" t="s">
        <v>8954</v>
      </c>
      <c r="E447" s="263">
        <v>0</v>
      </c>
      <c r="F447" s="263">
        <v>0</v>
      </c>
      <c r="G447" s="263">
        <v>0</v>
      </c>
      <c r="H447" s="263">
        <v>0</v>
      </c>
      <c r="I447" s="263">
        <v>0</v>
      </c>
      <c r="J447" s="263">
        <v>7.2</v>
      </c>
      <c r="K447" s="267">
        <v>7.2</v>
      </c>
    </row>
    <row r="448" spans="1:11">
      <c r="A448" s="9" t="s">
        <v>10920</v>
      </c>
      <c r="B448" s="16">
        <v>20</v>
      </c>
      <c r="C448" s="9"/>
      <c r="D448" s="271" t="s">
        <v>8955</v>
      </c>
      <c r="E448" s="263">
        <v>7.2</v>
      </c>
      <c r="F448" s="263">
        <v>0</v>
      </c>
      <c r="G448" s="263">
        <v>0</v>
      </c>
      <c r="H448" s="263">
        <v>0</v>
      </c>
      <c r="I448" s="263">
        <v>0</v>
      </c>
      <c r="J448" s="263">
        <v>0</v>
      </c>
      <c r="K448" s="267">
        <v>7.2</v>
      </c>
    </row>
    <row r="449" spans="1:11">
      <c r="A449" s="9" t="s">
        <v>10921</v>
      </c>
      <c r="B449" s="16">
        <v>20</v>
      </c>
      <c r="C449" s="9"/>
      <c r="D449" s="271" t="s">
        <v>8956</v>
      </c>
      <c r="E449" s="263">
        <v>4</v>
      </c>
      <c r="F449" s="263">
        <v>0</v>
      </c>
      <c r="G449" s="263">
        <v>0</v>
      </c>
      <c r="H449" s="263">
        <v>0</v>
      </c>
      <c r="I449" s="263">
        <v>0</v>
      </c>
      <c r="J449" s="263">
        <v>0</v>
      </c>
      <c r="K449" s="267">
        <v>4</v>
      </c>
    </row>
    <row r="450" spans="1:11">
      <c r="A450" s="9" t="s">
        <v>10922</v>
      </c>
      <c r="B450" s="16">
        <v>20</v>
      </c>
      <c r="C450" s="9"/>
      <c r="D450" s="271" t="s">
        <v>8957</v>
      </c>
      <c r="E450" s="263">
        <v>0</v>
      </c>
      <c r="F450" s="263">
        <v>0</v>
      </c>
      <c r="G450" s="263">
        <v>8</v>
      </c>
      <c r="H450" s="263">
        <v>0</v>
      </c>
      <c r="I450" s="263">
        <v>0</v>
      </c>
      <c r="J450" s="263">
        <v>0</v>
      </c>
      <c r="K450" s="267">
        <v>8</v>
      </c>
    </row>
    <row r="451" spans="1:11">
      <c r="A451" s="9" t="s">
        <v>10923</v>
      </c>
      <c r="B451" s="16">
        <v>20</v>
      </c>
      <c r="C451" s="9"/>
      <c r="D451" s="271" t="s">
        <v>8958</v>
      </c>
      <c r="E451" s="263">
        <v>7.2</v>
      </c>
      <c r="F451" s="263">
        <v>0</v>
      </c>
      <c r="G451" s="263">
        <v>0</v>
      </c>
      <c r="H451" s="263">
        <v>0</v>
      </c>
      <c r="I451" s="263">
        <v>0</v>
      </c>
      <c r="J451" s="263">
        <v>0</v>
      </c>
      <c r="K451" s="267">
        <v>7.2</v>
      </c>
    </row>
    <row r="452" spans="1:11">
      <c r="A452" s="9" t="s">
        <v>10924</v>
      </c>
      <c r="B452" s="16">
        <v>20</v>
      </c>
      <c r="C452" s="9"/>
      <c r="D452" s="271" t="s">
        <v>8959</v>
      </c>
      <c r="E452" s="263">
        <v>9.6000000000000014</v>
      </c>
      <c r="F452" s="263">
        <v>0</v>
      </c>
      <c r="G452" s="263">
        <v>0</v>
      </c>
      <c r="H452" s="263">
        <v>0</v>
      </c>
      <c r="I452" s="263">
        <v>0</v>
      </c>
      <c r="J452" s="263">
        <v>0</v>
      </c>
      <c r="K452" s="267">
        <v>9.6000000000000014</v>
      </c>
    </row>
    <row r="453" spans="1:11">
      <c r="A453" s="9" t="s">
        <v>10925</v>
      </c>
      <c r="B453" s="16">
        <v>20</v>
      </c>
      <c r="C453" s="9"/>
      <c r="D453" s="271" t="s">
        <v>8960</v>
      </c>
      <c r="E453" s="263">
        <v>4</v>
      </c>
      <c r="F453" s="263">
        <v>0</v>
      </c>
      <c r="G453" s="263">
        <v>0</v>
      </c>
      <c r="H453" s="263">
        <v>0</v>
      </c>
      <c r="I453" s="263">
        <v>0</v>
      </c>
      <c r="J453" s="263">
        <v>0</v>
      </c>
      <c r="K453" s="267">
        <v>4</v>
      </c>
    </row>
    <row r="454" spans="1:11">
      <c r="A454" s="9" t="s">
        <v>10926</v>
      </c>
      <c r="B454" s="16">
        <v>20</v>
      </c>
      <c r="C454" s="9"/>
      <c r="D454" s="271" t="s">
        <v>8961</v>
      </c>
      <c r="E454" s="263">
        <v>4</v>
      </c>
      <c r="F454" s="263">
        <v>0</v>
      </c>
      <c r="G454" s="263">
        <v>0</v>
      </c>
      <c r="H454" s="263">
        <v>0</v>
      </c>
      <c r="I454" s="263">
        <v>0</v>
      </c>
      <c r="J454" s="263">
        <v>0</v>
      </c>
      <c r="K454" s="267">
        <v>4</v>
      </c>
    </row>
    <row r="455" spans="1:11">
      <c r="A455" s="9" t="s">
        <v>10927</v>
      </c>
      <c r="B455" s="16">
        <v>20</v>
      </c>
      <c r="C455" s="9"/>
      <c r="D455" s="271" t="s">
        <v>8962</v>
      </c>
      <c r="E455" s="263">
        <v>4</v>
      </c>
      <c r="F455" s="263">
        <v>0</v>
      </c>
      <c r="G455" s="263">
        <v>0</v>
      </c>
      <c r="H455" s="263">
        <v>0</v>
      </c>
      <c r="I455" s="263">
        <v>0</v>
      </c>
      <c r="J455" s="263">
        <v>0</v>
      </c>
      <c r="K455" s="267">
        <v>4</v>
      </c>
    </row>
    <row r="456" spans="1:11">
      <c r="A456" s="9" t="s">
        <v>10928</v>
      </c>
      <c r="B456" s="16">
        <v>20</v>
      </c>
      <c r="C456" s="9"/>
      <c r="D456" s="271" t="s">
        <v>8963</v>
      </c>
      <c r="E456" s="263">
        <v>0</v>
      </c>
      <c r="F456" s="263">
        <v>9.6000000000000014</v>
      </c>
      <c r="G456" s="263">
        <v>0</v>
      </c>
      <c r="H456" s="263">
        <v>0</v>
      </c>
      <c r="I456" s="263">
        <v>0</v>
      </c>
      <c r="J456" s="263">
        <v>0</v>
      </c>
      <c r="K456" s="267">
        <v>9.6000000000000014</v>
      </c>
    </row>
    <row r="457" spans="1:11">
      <c r="B457" s="16">
        <v>20</v>
      </c>
      <c r="C457" s="9"/>
      <c r="D457" s="271">
        <v>0</v>
      </c>
      <c r="E457" s="263">
        <v>0</v>
      </c>
      <c r="F457" s="263">
        <v>0</v>
      </c>
      <c r="G457" s="263">
        <v>0</v>
      </c>
      <c r="H457" s="263">
        <v>0</v>
      </c>
      <c r="I457" s="263">
        <v>0</v>
      </c>
      <c r="J457" s="263">
        <v>0</v>
      </c>
      <c r="K457" s="267">
        <v>0</v>
      </c>
    </row>
    <row r="458" spans="1:11" ht="15.75" customHeight="1">
      <c r="B458" s="16">
        <v>20</v>
      </c>
      <c r="C458" s="9"/>
      <c r="D458" s="272" t="s">
        <v>3674</v>
      </c>
      <c r="E458" s="273">
        <v>40</v>
      </c>
      <c r="F458" s="273">
        <v>9.6000000000000014</v>
      </c>
      <c r="G458" s="273">
        <v>8</v>
      </c>
      <c r="H458" s="273">
        <v>20</v>
      </c>
      <c r="I458" s="273">
        <v>0</v>
      </c>
      <c r="J458" s="273">
        <v>42.400000000000006</v>
      </c>
      <c r="K458" s="273">
        <v>120</v>
      </c>
    </row>
    <row r="459" spans="1:11">
      <c r="C459" s="9"/>
      <c r="D459" s="271"/>
      <c r="E459" s="263"/>
      <c r="F459" s="263"/>
      <c r="G459" s="263"/>
      <c r="H459" s="263"/>
      <c r="I459" s="263"/>
      <c r="J459" s="263"/>
      <c r="K459" s="267">
        <v>0</v>
      </c>
    </row>
    <row r="460" spans="1:11">
      <c r="A460" s="9" t="s">
        <v>10929</v>
      </c>
      <c r="B460" s="16">
        <v>21</v>
      </c>
      <c r="C460" s="9"/>
      <c r="D460" s="271" t="s">
        <v>8965</v>
      </c>
      <c r="E460" s="263">
        <v>0</v>
      </c>
      <c r="F460" s="263">
        <v>0</v>
      </c>
      <c r="G460" s="263">
        <v>8</v>
      </c>
      <c r="H460" s="263">
        <v>0</v>
      </c>
      <c r="I460" s="263">
        <v>0</v>
      </c>
      <c r="J460" s="263">
        <v>0</v>
      </c>
      <c r="K460" s="267">
        <v>8</v>
      </c>
    </row>
    <row r="461" spans="1:11">
      <c r="A461" s="9" t="s">
        <v>10930</v>
      </c>
      <c r="B461" s="16">
        <v>21</v>
      </c>
      <c r="C461" s="9"/>
      <c r="D461" s="271" t="s">
        <v>8966</v>
      </c>
      <c r="E461" s="263">
        <v>0</v>
      </c>
      <c r="F461" s="263">
        <v>0</v>
      </c>
      <c r="G461" s="263">
        <v>12</v>
      </c>
      <c r="H461" s="263">
        <v>0</v>
      </c>
      <c r="I461" s="263">
        <v>0</v>
      </c>
      <c r="J461" s="263">
        <v>0</v>
      </c>
      <c r="K461" s="267">
        <v>12</v>
      </c>
    </row>
    <row r="462" spans="1:11">
      <c r="A462" s="9" t="s">
        <v>10931</v>
      </c>
      <c r="B462" s="16">
        <v>21</v>
      </c>
      <c r="C462" s="9"/>
      <c r="D462" s="271" t="s">
        <v>8967</v>
      </c>
      <c r="E462" s="263">
        <v>0</v>
      </c>
      <c r="F462" s="263">
        <v>0</v>
      </c>
      <c r="G462" s="263">
        <v>8</v>
      </c>
      <c r="H462" s="263">
        <v>0</v>
      </c>
      <c r="I462" s="263">
        <v>0</v>
      </c>
      <c r="J462" s="263">
        <v>0</v>
      </c>
      <c r="K462" s="267">
        <v>8</v>
      </c>
    </row>
    <row r="463" spans="1:11">
      <c r="A463" s="9" t="s">
        <v>10932</v>
      </c>
      <c r="B463" s="16">
        <v>21</v>
      </c>
      <c r="C463" s="9"/>
      <c r="D463" s="271" t="s">
        <v>8968</v>
      </c>
      <c r="E463" s="263">
        <v>0</v>
      </c>
      <c r="F463" s="263">
        <v>0</v>
      </c>
      <c r="G463" s="263">
        <v>8</v>
      </c>
      <c r="H463" s="263">
        <v>0</v>
      </c>
      <c r="I463" s="263">
        <v>0</v>
      </c>
      <c r="J463" s="263">
        <v>0</v>
      </c>
      <c r="K463" s="267">
        <v>8</v>
      </c>
    </row>
    <row r="464" spans="1:11">
      <c r="A464" s="9" t="s">
        <v>10933</v>
      </c>
      <c r="B464" s="16">
        <v>21</v>
      </c>
      <c r="C464" s="9"/>
      <c r="D464" s="271" t="s">
        <v>8969</v>
      </c>
      <c r="E464" s="263">
        <v>0</v>
      </c>
      <c r="F464" s="263">
        <v>0</v>
      </c>
      <c r="G464" s="263">
        <v>8</v>
      </c>
      <c r="H464" s="263">
        <v>0</v>
      </c>
      <c r="I464" s="263">
        <v>0</v>
      </c>
      <c r="J464" s="263">
        <v>0</v>
      </c>
      <c r="K464" s="267">
        <v>8</v>
      </c>
    </row>
    <row r="465" spans="1:11">
      <c r="A465" s="9" t="s">
        <v>10934</v>
      </c>
      <c r="B465" s="16">
        <v>21</v>
      </c>
      <c r="C465" s="9"/>
      <c r="D465" s="271" t="s">
        <v>8970</v>
      </c>
      <c r="E465" s="263">
        <v>0</v>
      </c>
      <c r="F465" s="263">
        <v>0</v>
      </c>
      <c r="G465" s="263">
        <v>4</v>
      </c>
      <c r="H465" s="263">
        <v>0</v>
      </c>
      <c r="I465" s="263">
        <v>0</v>
      </c>
      <c r="J465" s="263">
        <v>0</v>
      </c>
      <c r="K465" s="267">
        <v>4</v>
      </c>
    </row>
    <row r="466" spans="1:11">
      <c r="A466" s="9" t="s">
        <v>10935</v>
      </c>
      <c r="B466" s="16">
        <v>21</v>
      </c>
      <c r="C466" s="9"/>
      <c r="D466" s="271" t="s">
        <v>8971</v>
      </c>
      <c r="E466" s="263">
        <v>8</v>
      </c>
      <c r="F466" s="263">
        <v>0</v>
      </c>
      <c r="G466" s="263">
        <v>0</v>
      </c>
      <c r="H466" s="263">
        <v>0</v>
      </c>
      <c r="I466" s="263">
        <v>0</v>
      </c>
      <c r="J466" s="263">
        <v>0</v>
      </c>
      <c r="K466" s="267">
        <v>8</v>
      </c>
    </row>
    <row r="467" spans="1:11">
      <c r="A467" s="9" t="s">
        <v>10936</v>
      </c>
      <c r="B467" s="16">
        <v>21</v>
      </c>
      <c r="C467" s="9"/>
      <c r="D467" s="271" t="s">
        <v>8972</v>
      </c>
      <c r="E467" s="263">
        <v>12</v>
      </c>
      <c r="F467" s="263">
        <v>0</v>
      </c>
      <c r="G467" s="263">
        <v>0</v>
      </c>
      <c r="H467" s="263">
        <v>0</v>
      </c>
      <c r="I467" s="263">
        <v>0</v>
      </c>
      <c r="J467" s="263">
        <v>0</v>
      </c>
      <c r="K467" s="267">
        <v>12</v>
      </c>
    </row>
    <row r="468" spans="1:11">
      <c r="A468" s="9" t="s">
        <v>10937</v>
      </c>
      <c r="B468" s="16">
        <v>21</v>
      </c>
      <c r="C468" s="9"/>
      <c r="D468" s="271" t="s">
        <v>8973</v>
      </c>
      <c r="E468" s="263">
        <v>9.6000000000000014</v>
      </c>
      <c r="F468" s="263">
        <v>0</v>
      </c>
      <c r="G468" s="263">
        <v>0</v>
      </c>
      <c r="H468" s="263">
        <v>0</v>
      </c>
      <c r="I468" s="263">
        <v>0</v>
      </c>
      <c r="J468" s="263">
        <v>0</v>
      </c>
      <c r="K468" s="267">
        <v>9.6000000000000014</v>
      </c>
    </row>
    <row r="469" spans="1:11">
      <c r="A469" s="9" t="s">
        <v>10938</v>
      </c>
      <c r="B469" s="16">
        <v>21</v>
      </c>
      <c r="C469" s="9"/>
      <c r="D469" s="271" t="s">
        <v>8974</v>
      </c>
      <c r="E469" s="263">
        <v>10.4</v>
      </c>
      <c r="F469" s="263">
        <v>0</v>
      </c>
      <c r="G469" s="263">
        <v>0</v>
      </c>
      <c r="H469" s="263">
        <v>0</v>
      </c>
      <c r="I469" s="263">
        <v>0</v>
      </c>
      <c r="J469" s="263">
        <v>0</v>
      </c>
      <c r="K469" s="267">
        <v>10.4</v>
      </c>
    </row>
    <row r="470" spans="1:11">
      <c r="A470" s="9" t="s">
        <v>10939</v>
      </c>
      <c r="B470" s="16">
        <v>21</v>
      </c>
      <c r="C470" s="9"/>
      <c r="D470" s="271" t="s">
        <v>8975</v>
      </c>
      <c r="E470" s="263">
        <v>0</v>
      </c>
      <c r="F470" s="263">
        <v>0</v>
      </c>
      <c r="G470" s="263">
        <v>0</v>
      </c>
      <c r="H470" s="263">
        <v>0</v>
      </c>
      <c r="I470" s="263">
        <v>0</v>
      </c>
      <c r="J470" s="263">
        <v>8</v>
      </c>
      <c r="K470" s="267">
        <v>8</v>
      </c>
    </row>
    <row r="471" spans="1:11">
      <c r="A471" s="9" t="s">
        <v>10940</v>
      </c>
      <c r="B471" s="16">
        <v>21</v>
      </c>
      <c r="C471" s="9"/>
      <c r="D471" s="271" t="s">
        <v>8976</v>
      </c>
      <c r="E471" s="263">
        <v>0</v>
      </c>
      <c r="F471" s="263">
        <v>0</v>
      </c>
      <c r="G471" s="263">
        <v>0</v>
      </c>
      <c r="H471" s="263">
        <v>8</v>
      </c>
      <c r="I471" s="263">
        <v>0</v>
      </c>
      <c r="J471" s="263">
        <v>0</v>
      </c>
      <c r="K471" s="267">
        <v>8</v>
      </c>
    </row>
    <row r="472" spans="1:11">
      <c r="A472" s="9" t="s">
        <v>10941</v>
      </c>
      <c r="B472" s="16">
        <v>21</v>
      </c>
      <c r="C472" s="9"/>
      <c r="D472" s="271" t="s">
        <v>8977</v>
      </c>
      <c r="E472" s="263">
        <v>0</v>
      </c>
      <c r="F472" s="263">
        <v>0</v>
      </c>
      <c r="G472" s="263">
        <v>0</v>
      </c>
      <c r="H472" s="263">
        <v>8</v>
      </c>
      <c r="I472" s="263">
        <v>0</v>
      </c>
      <c r="J472" s="263">
        <v>0</v>
      </c>
      <c r="K472" s="267">
        <v>8</v>
      </c>
    </row>
    <row r="473" spans="1:11">
      <c r="A473" s="9" t="s">
        <v>10942</v>
      </c>
      <c r="B473" s="16">
        <v>21</v>
      </c>
      <c r="C473" s="9"/>
      <c r="D473" s="271" t="s">
        <v>8978</v>
      </c>
      <c r="E473" s="263">
        <v>0</v>
      </c>
      <c r="F473" s="263">
        <v>8</v>
      </c>
      <c r="G473" s="263">
        <v>0</v>
      </c>
      <c r="H473" s="263">
        <v>0</v>
      </c>
      <c r="I473" s="263">
        <v>0</v>
      </c>
      <c r="J473" s="263">
        <v>0</v>
      </c>
      <c r="K473" s="267">
        <v>8</v>
      </c>
    </row>
    <row r="474" spans="1:11">
      <c r="B474" s="16">
        <v>21</v>
      </c>
      <c r="C474" s="9"/>
      <c r="D474" s="271"/>
      <c r="E474" s="263"/>
      <c r="F474" s="263"/>
      <c r="G474" s="263"/>
      <c r="H474" s="263"/>
      <c r="I474" s="263"/>
      <c r="J474" s="263"/>
      <c r="K474" s="267">
        <v>0</v>
      </c>
    </row>
    <row r="475" spans="1:11" ht="15.75" customHeight="1">
      <c r="B475" s="16">
        <v>21</v>
      </c>
      <c r="C475" s="9"/>
      <c r="D475" s="272" t="s">
        <v>3674</v>
      </c>
      <c r="E475" s="273">
        <v>40</v>
      </c>
      <c r="F475" s="273">
        <v>8</v>
      </c>
      <c r="G475" s="273">
        <v>48</v>
      </c>
      <c r="H475" s="273">
        <v>16</v>
      </c>
      <c r="I475" s="273">
        <v>0</v>
      </c>
      <c r="J475" s="273">
        <v>8</v>
      </c>
      <c r="K475" s="273">
        <v>120</v>
      </c>
    </row>
    <row r="476" spans="1:11">
      <c r="C476" s="9"/>
      <c r="D476" s="271"/>
      <c r="E476" s="263"/>
      <c r="F476" s="263"/>
      <c r="G476" s="263"/>
      <c r="H476" s="263"/>
      <c r="I476" s="263"/>
      <c r="J476" s="263"/>
      <c r="K476" s="267">
        <v>0</v>
      </c>
    </row>
    <row r="477" spans="1:11">
      <c r="A477" s="9" t="s">
        <v>10943</v>
      </c>
      <c r="B477" s="16">
        <v>22</v>
      </c>
      <c r="C477" s="9"/>
      <c r="D477" s="271" t="s">
        <v>8979</v>
      </c>
      <c r="E477" s="263">
        <v>0</v>
      </c>
      <c r="F477" s="263">
        <v>0</v>
      </c>
      <c r="G477" s="263">
        <v>6.4</v>
      </c>
      <c r="H477" s="263">
        <v>0</v>
      </c>
      <c r="I477" s="263">
        <v>0</v>
      </c>
      <c r="J477" s="263">
        <v>0</v>
      </c>
      <c r="K477" s="267">
        <v>6.4</v>
      </c>
    </row>
    <row r="478" spans="1:11">
      <c r="A478" s="9" t="s">
        <v>10944</v>
      </c>
      <c r="B478" s="16">
        <v>22</v>
      </c>
      <c r="C478" s="9"/>
      <c r="D478" s="271" t="s">
        <v>8980</v>
      </c>
      <c r="E478" s="263">
        <v>0</v>
      </c>
      <c r="F478" s="263">
        <v>0</v>
      </c>
      <c r="G478" s="263">
        <v>0</v>
      </c>
      <c r="H478" s="263">
        <v>0</v>
      </c>
      <c r="I478" s="263">
        <v>0</v>
      </c>
      <c r="J478" s="263">
        <v>6.4</v>
      </c>
      <c r="K478" s="267">
        <v>6.4</v>
      </c>
    </row>
    <row r="479" spans="1:11">
      <c r="A479" s="9" t="s">
        <v>10945</v>
      </c>
      <c r="B479" s="16">
        <v>22</v>
      </c>
      <c r="C479" s="9"/>
      <c r="D479" s="271" t="s">
        <v>8981</v>
      </c>
      <c r="E479" s="263">
        <v>0</v>
      </c>
      <c r="F479" s="263">
        <v>0</v>
      </c>
      <c r="G479" s="263">
        <v>0</v>
      </c>
      <c r="H479" s="263">
        <v>0</v>
      </c>
      <c r="I479" s="263">
        <v>0</v>
      </c>
      <c r="J479" s="263">
        <v>12</v>
      </c>
      <c r="K479" s="267">
        <v>12</v>
      </c>
    </row>
    <row r="480" spans="1:11">
      <c r="A480" s="9" t="s">
        <v>10946</v>
      </c>
      <c r="B480" s="16">
        <v>22</v>
      </c>
      <c r="C480" s="9"/>
      <c r="D480" s="271" t="s">
        <v>8982</v>
      </c>
      <c r="E480" s="263">
        <v>0</v>
      </c>
      <c r="F480" s="263">
        <v>0</v>
      </c>
      <c r="G480" s="263">
        <v>0</v>
      </c>
      <c r="H480" s="263">
        <v>12</v>
      </c>
      <c r="I480" s="263">
        <v>0</v>
      </c>
      <c r="J480" s="263">
        <v>0</v>
      </c>
      <c r="K480" s="267">
        <v>12</v>
      </c>
    </row>
    <row r="481" spans="1:11">
      <c r="A481" s="9" t="s">
        <v>10947</v>
      </c>
      <c r="B481" s="16">
        <v>22</v>
      </c>
      <c r="C481" s="9"/>
      <c r="D481" s="271" t="s">
        <v>8983</v>
      </c>
      <c r="E481" s="263">
        <v>0</v>
      </c>
      <c r="F481" s="263">
        <v>0</v>
      </c>
      <c r="G481" s="263">
        <v>6.4</v>
      </c>
      <c r="H481" s="263">
        <v>0</v>
      </c>
      <c r="I481" s="263">
        <v>0</v>
      </c>
      <c r="J481" s="263">
        <v>0</v>
      </c>
      <c r="K481" s="267">
        <v>6.4</v>
      </c>
    </row>
    <row r="482" spans="1:11">
      <c r="A482" s="9" t="s">
        <v>10948</v>
      </c>
      <c r="B482" s="16">
        <v>22</v>
      </c>
      <c r="C482" s="9"/>
      <c r="D482" s="271" t="s">
        <v>8984</v>
      </c>
      <c r="E482" s="263">
        <v>0</v>
      </c>
      <c r="F482" s="263">
        <v>0</v>
      </c>
      <c r="G482" s="263">
        <v>8</v>
      </c>
      <c r="H482" s="263">
        <v>0</v>
      </c>
      <c r="I482" s="263">
        <v>0</v>
      </c>
      <c r="J482" s="263">
        <v>0</v>
      </c>
      <c r="K482" s="267">
        <v>8</v>
      </c>
    </row>
    <row r="483" spans="1:11">
      <c r="A483" s="9" t="s">
        <v>10949</v>
      </c>
      <c r="B483" s="16">
        <v>22</v>
      </c>
      <c r="C483" s="9"/>
      <c r="D483" s="271" t="s">
        <v>8985</v>
      </c>
      <c r="E483" s="263">
        <v>0</v>
      </c>
      <c r="F483" s="263">
        <v>0</v>
      </c>
      <c r="G483" s="263">
        <v>0</v>
      </c>
      <c r="H483" s="263">
        <v>8</v>
      </c>
      <c r="I483" s="263">
        <v>0</v>
      </c>
      <c r="J483" s="263">
        <v>0</v>
      </c>
      <c r="K483" s="267">
        <v>8</v>
      </c>
    </row>
    <row r="484" spans="1:11">
      <c r="A484" s="9" t="s">
        <v>10950</v>
      </c>
      <c r="B484" s="16">
        <v>22</v>
      </c>
      <c r="C484" s="9"/>
      <c r="D484" s="271" t="s">
        <v>8986</v>
      </c>
      <c r="E484" s="263">
        <v>0</v>
      </c>
      <c r="F484" s="263">
        <v>0</v>
      </c>
      <c r="G484" s="263">
        <v>0</v>
      </c>
      <c r="H484" s="263">
        <v>0</v>
      </c>
      <c r="I484" s="263">
        <v>0</v>
      </c>
      <c r="J484" s="263">
        <v>8</v>
      </c>
      <c r="K484" s="267">
        <v>8</v>
      </c>
    </row>
    <row r="485" spans="1:11">
      <c r="A485" s="9" t="s">
        <v>10951</v>
      </c>
      <c r="B485" s="16">
        <v>22</v>
      </c>
      <c r="C485" s="9"/>
      <c r="D485" s="271" t="s">
        <v>8987</v>
      </c>
      <c r="E485" s="263">
        <v>0</v>
      </c>
      <c r="F485" s="263">
        <v>0</v>
      </c>
      <c r="G485" s="263">
        <v>0</v>
      </c>
      <c r="H485" s="263">
        <v>8</v>
      </c>
      <c r="I485" s="263">
        <v>0</v>
      </c>
      <c r="J485" s="263">
        <v>0</v>
      </c>
      <c r="K485" s="267">
        <v>8</v>
      </c>
    </row>
    <row r="486" spans="1:11">
      <c r="A486" s="9" t="s">
        <v>10952</v>
      </c>
      <c r="B486" s="16">
        <v>22</v>
      </c>
      <c r="C486" s="9"/>
      <c r="D486" s="271" t="s">
        <v>8988</v>
      </c>
      <c r="E486" s="263">
        <v>0</v>
      </c>
      <c r="F486" s="263">
        <v>0</v>
      </c>
      <c r="G486" s="263">
        <v>0</v>
      </c>
      <c r="H486" s="263">
        <v>8</v>
      </c>
      <c r="I486" s="263">
        <v>0</v>
      </c>
      <c r="J486" s="263">
        <v>0</v>
      </c>
      <c r="K486" s="267">
        <v>8</v>
      </c>
    </row>
    <row r="487" spans="1:11">
      <c r="A487" s="9" t="s">
        <v>10953</v>
      </c>
      <c r="B487" s="16">
        <v>22</v>
      </c>
      <c r="C487" s="9"/>
      <c r="D487" s="271" t="s">
        <v>8989</v>
      </c>
      <c r="E487" s="263">
        <v>0</v>
      </c>
      <c r="F487" s="263">
        <v>0</v>
      </c>
      <c r="G487" s="263">
        <v>8</v>
      </c>
      <c r="H487" s="263">
        <v>0</v>
      </c>
      <c r="I487" s="263">
        <v>0</v>
      </c>
      <c r="J487" s="263">
        <v>0</v>
      </c>
      <c r="K487" s="267">
        <v>8</v>
      </c>
    </row>
    <row r="488" spans="1:11">
      <c r="A488" s="9" t="s">
        <v>10954</v>
      </c>
      <c r="B488" s="16">
        <v>22</v>
      </c>
      <c r="C488" s="9"/>
      <c r="D488" s="271" t="s">
        <v>8990</v>
      </c>
      <c r="E488" s="263">
        <v>0</v>
      </c>
      <c r="F488" s="263">
        <v>0</v>
      </c>
      <c r="G488" s="263">
        <v>8</v>
      </c>
      <c r="H488" s="263">
        <v>0</v>
      </c>
      <c r="I488" s="263">
        <v>0</v>
      </c>
      <c r="J488" s="263">
        <v>0</v>
      </c>
      <c r="K488" s="267">
        <v>8</v>
      </c>
    </row>
    <row r="489" spans="1:11">
      <c r="A489" s="9" t="s">
        <v>10955</v>
      </c>
      <c r="B489" s="16">
        <v>22</v>
      </c>
      <c r="C489" s="9"/>
      <c r="D489" s="271" t="s">
        <v>8991</v>
      </c>
      <c r="E489" s="263">
        <v>0</v>
      </c>
      <c r="F489" s="263">
        <v>5.6000000000000005</v>
      </c>
      <c r="G489" s="263">
        <v>0</v>
      </c>
      <c r="H489" s="263">
        <v>0</v>
      </c>
      <c r="I489" s="263">
        <v>0</v>
      </c>
      <c r="J489" s="263">
        <v>0</v>
      </c>
      <c r="K489" s="267">
        <v>5.6000000000000005</v>
      </c>
    </row>
    <row r="490" spans="1:11">
      <c r="A490" s="9" t="s">
        <v>10956</v>
      </c>
      <c r="B490" s="16">
        <v>22</v>
      </c>
      <c r="C490" s="9"/>
      <c r="D490" s="271" t="s">
        <v>8992</v>
      </c>
      <c r="E490" s="263">
        <v>0</v>
      </c>
      <c r="F490" s="263">
        <v>5.6000000000000005</v>
      </c>
      <c r="G490" s="263">
        <v>0</v>
      </c>
      <c r="H490" s="263">
        <v>0</v>
      </c>
      <c r="I490" s="263">
        <v>0</v>
      </c>
      <c r="J490" s="263">
        <v>0</v>
      </c>
      <c r="K490" s="267">
        <v>5.6000000000000005</v>
      </c>
    </row>
    <row r="491" spans="1:11">
      <c r="A491" s="9" t="s">
        <v>10957</v>
      </c>
      <c r="B491" s="16">
        <v>22</v>
      </c>
      <c r="C491" s="9"/>
      <c r="D491" s="271" t="s">
        <v>8993</v>
      </c>
      <c r="E491" s="263">
        <v>0</v>
      </c>
      <c r="F491" s="263">
        <v>5.6000000000000005</v>
      </c>
      <c r="G491" s="263">
        <v>0</v>
      </c>
      <c r="H491" s="263">
        <v>0</v>
      </c>
      <c r="I491" s="263">
        <v>0</v>
      </c>
      <c r="J491" s="263">
        <v>0</v>
      </c>
      <c r="K491" s="267">
        <v>5.6000000000000005</v>
      </c>
    </row>
    <row r="492" spans="1:11">
      <c r="A492" s="9" t="s">
        <v>10958</v>
      </c>
      <c r="B492" s="16">
        <v>22</v>
      </c>
      <c r="C492" s="9"/>
      <c r="D492" s="271" t="s">
        <v>8994</v>
      </c>
      <c r="E492" s="263">
        <v>0</v>
      </c>
      <c r="F492" s="263">
        <v>4</v>
      </c>
      <c r="G492" s="263">
        <v>0</v>
      </c>
      <c r="H492" s="263">
        <v>0</v>
      </c>
      <c r="I492" s="263">
        <v>0</v>
      </c>
      <c r="J492" s="263">
        <v>0</v>
      </c>
      <c r="K492" s="267">
        <v>4</v>
      </c>
    </row>
    <row r="493" spans="1:11">
      <c r="B493" s="16">
        <v>22</v>
      </c>
      <c r="C493" s="9"/>
      <c r="D493" s="271"/>
      <c r="E493" s="263"/>
      <c r="F493" s="263"/>
      <c r="G493" s="263"/>
      <c r="H493" s="263"/>
      <c r="I493" s="263"/>
      <c r="J493" s="263"/>
      <c r="K493" s="267">
        <v>0</v>
      </c>
    </row>
    <row r="494" spans="1:11" ht="15.75" customHeight="1">
      <c r="B494" s="16">
        <v>22</v>
      </c>
      <c r="C494" s="9"/>
      <c r="D494" s="272" t="s">
        <v>3674</v>
      </c>
      <c r="E494" s="273">
        <v>0</v>
      </c>
      <c r="F494" s="273">
        <v>20.8</v>
      </c>
      <c r="G494" s="273">
        <v>36.799999999999997</v>
      </c>
      <c r="H494" s="273">
        <v>36</v>
      </c>
      <c r="I494" s="273">
        <v>0</v>
      </c>
      <c r="J494" s="273">
        <v>26.4</v>
      </c>
      <c r="K494" s="273">
        <v>119.99999999999997</v>
      </c>
    </row>
    <row r="495" spans="1:11">
      <c r="C495" s="9"/>
      <c r="D495" s="271"/>
      <c r="E495" s="263"/>
      <c r="F495" s="263"/>
      <c r="G495" s="263"/>
      <c r="H495" s="263"/>
      <c r="I495" s="263"/>
      <c r="J495" s="263"/>
      <c r="K495" s="267">
        <v>0</v>
      </c>
    </row>
    <row r="496" spans="1:11">
      <c r="A496" s="9" t="s">
        <v>10959</v>
      </c>
      <c r="B496" s="16">
        <v>23</v>
      </c>
      <c r="C496" s="9"/>
      <c r="D496" s="271" t="s">
        <v>8995</v>
      </c>
      <c r="E496" s="263">
        <v>0</v>
      </c>
      <c r="F496" s="263">
        <v>0</v>
      </c>
      <c r="G496" s="263">
        <v>8</v>
      </c>
      <c r="H496" s="263">
        <v>0</v>
      </c>
      <c r="I496" s="263">
        <v>0</v>
      </c>
      <c r="J496" s="263">
        <v>0</v>
      </c>
      <c r="K496" s="267">
        <v>8</v>
      </c>
    </row>
    <row r="497" spans="1:11">
      <c r="A497" s="9" t="s">
        <v>10960</v>
      </c>
      <c r="B497" s="16">
        <v>23</v>
      </c>
      <c r="C497" s="9"/>
      <c r="D497" s="271" t="s">
        <v>9016</v>
      </c>
      <c r="E497" s="263">
        <v>0</v>
      </c>
      <c r="F497" s="263">
        <v>0</v>
      </c>
      <c r="G497" s="263">
        <v>0</v>
      </c>
      <c r="H497" s="263">
        <v>0</v>
      </c>
      <c r="I497" s="263">
        <v>0</v>
      </c>
      <c r="J497" s="263">
        <v>4</v>
      </c>
      <c r="K497" s="267">
        <v>4</v>
      </c>
    </row>
    <row r="498" spans="1:11">
      <c r="A498" s="9" t="s">
        <v>10961</v>
      </c>
      <c r="B498" s="16">
        <v>23</v>
      </c>
      <c r="C498" s="9"/>
      <c r="D498" s="271" t="s">
        <v>8996</v>
      </c>
      <c r="E498" s="263">
        <v>4.8000000000000007</v>
      </c>
      <c r="F498" s="263">
        <v>0</v>
      </c>
      <c r="G498" s="263">
        <v>0</v>
      </c>
      <c r="H498" s="263">
        <v>0</v>
      </c>
      <c r="I498" s="263">
        <v>0</v>
      </c>
      <c r="J498" s="263">
        <v>0</v>
      </c>
      <c r="K498" s="267">
        <v>4.8000000000000007</v>
      </c>
    </row>
    <row r="499" spans="1:11" ht="31.5">
      <c r="A499" s="9" t="s">
        <v>10962</v>
      </c>
      <c r="B499" s="16">
        <v>23</v>
      </c>
      <c r="C499" s="9"/>
      <c r="D499" s="271" t="s">
        <v>8997</v>
      </c>
      <c r="E499" s="263">
        <v>0</v>
      </c>
      <c r="F499" s="263">
        <v>0</v>
      </c>
      <c r="G499" s="263">
        <v>0</v>
      </c>
      <c r="H499" s="263">
        <v>4</v>
      </c>
      <c r="I499" s="263">
        <v>0</v>
      </c>
      <c r="J499" s="263">
        <v>0</v>
      </c>
      <c r="K499" s="267">
        <v>4</v>
      </c>
    </row>
    <row r="500" spans="1:11" ht="31.5">
      <c r="A500" s="9" t="s">
        <v>10963</v>
      </c>
      <c r="B500" s="16">
        <v>23</v>
      </c>
      <c r="C500" s="9"/>
      <c r="D500" s="271" t="s">
        <v>8998</v>
      </c>
      <c r="E500" s="263">
        <v>0</v>
      </c>
      <c r="F500" s="263">
        <v>0</v>
      </c>
      <c r="G500" s="263">
        <v>0</v>
      </c>
      <c r="H500" s="263">
        <v>0</v>
      </c>
      <c r="I500" s="263">
        <v>0</v>
      </c>
      <c r="J500" s="263">
        <v>4.8000000000000007</v>
      </c>
      <c r="K500" s="267">
        <v>4.8000000000000007</v>
      </c>
    </row>
    <row r="501" spans="1:11" ht="31.5">
      <c r="A501" s="9" t="s">
        <v>10964</v>
      </c>
      <c r="B501" s="16">
        <v>23</v>
      </c>
      <c r="C501" s="9"/>
      <c r="D501" s="271" t="s">
        <v>8999</v>
      </c>
      <c r="E501" s="263">
        <v>0</v>
      </c>
      <c r="F501" s="263">
        <v>0</v>
      </c>
      <c r="G501" s="263">
        <v>4</v>
      </c>
      <c r="H501" s="263">
        <v>0</v>
      </c>
      <c r="I501" s="263">
        <v>0</v>
      </c>
      <c r="J501" s="263">
        <v>0</v>
      </c>
      <c r="K501" s="267">
        <v>4</v>
      </c>
    </row>
    <row r="502" spans="1:11">
      <c r="A502" s="9" t="s">
        <v>10965</v>
      </c>
      <c r="B502" s="16">
        <v>23</v>
      </c>
      <c r="C502" s="9"/>
      <c r="D502" s="271" t="s">
        <v>9000</v>
      </c>
      <c r="E502" s="263">
        <v>0</v>
      </c>
      <c r="F502" s="263">
        <v>0</v>
      </c>
      <c r="G502" s="263">
        <v>4.8000000000000007</v>
      </c>
      <c r="H502" s="263">
        <v>0</v>
      </c>
      <c r="I502" s="263">
        <v>0</v>
      </c>
      <c r="J502" s="263">
        <v>0</v>
      </c>
      <c r="K502" s="267">
        <v>4.8000000000000007</v>
      </c>
    </row>
    <row r="503" spans="1:11" ht="31.5">
      <c r="A503" s="9" t="s">
        <v>10966</v>
      </c>
      <c r="B503" s="16">
        <v>23</v>
      </c>
      <c r="C503" s="9"/>
      <c r="D503" s="271" t="s">
        <v>9001</v>
      </c>
      <c r="E503" s="263">
        <v>0</v>
      </c>
      <c r="F503" s="263">
        <v>0</v>
      </c>
      <c r="G503" s="263">
        <v>0</v>
      </c>
      <c r="H503" s="263">
        <v>0</v>
      </c>
      <c r="I503" s="263">
        <v>0</v>
      </c>
      <c r="J503" s="263">
        <v>3.2</v>
      </c>
      <c r="K503" s="267">
        <v>3.2</v>
      </c>
    </row>
    <row r="504" spans="1:11">
      <c r="A504" s="9" t="s">
        <v>10967</v>
      </c>
      <c r="B504" s="16">
        <v>23</v>
      </c>
      <c r="C504" s="9"/>
      <c r="D504" s="271" t="s">
        <v>9002</v>
      </c>
      <c r="E504" s="263">
        <v>0</v>
      </c>
      <c r="F504" s="263">
        <v>4</v>
      </c>
      <c r="G504" s="263">
        <v>0</v>
      </c>
      <c r="H504" s="263">
        <v>0</v>
      </c>
      <c r="I504" s="263">
        <v>0</v>
      </c>
      <c r="J504" s="263">
        <v>0</v>
      </c>
      <c r="K504" s="267">
        <v>4</v>
      </c>
    </row>
    <row r="505" spans="1:11">
      <c r="A505" s="9" t="s">
        <v>10968</v>
      </c>
      <c r="B505" s="16">
        <v>23</v>
      </c>
      <c r="C505" s="9"/>
      <c r="D505" s="271" t="s">
        <v>9003</v>
      </c>
      <c r="E505" s="263">
        <v>0</v>
      </c>
      <c r="F505" s="263">
        <v>0</v>
      </c>
      <c r="G505" s="263">
        <v>0</v>
      </c>
      <c r="H505" s="263">
        <v>0</v>
      </c>
      <c r="I505" s="263">
        <v>0</v>
      </c>
      <c r="J505" s="263">
        <v>5.6000000000000005</v>
      </c>
      <c r="K505" s="267">
        <v>5.6000000000000005</v>
      </c>
    </row>
    <row r="506" spans="1:11">
      <c r="A506" s="9" t="s">
        <v>10969</v>
      </c>
      <c r="B506" s="16">
        <v>23</v>
      </c>
      <c r="C506" s="9"/>
      <c r="D506" s="271" t="s">
        <v>9004</v>
      </c>
      <c r="E506" s="263">
        <v>8.8000000000000007</v>
      </c>
      <c r="F506" s="263">
        <v>0</v>
      </c>
      <c r="G506" s="263">
        <v>0</v>
      </c>
      <c r="H506" s="263">
        <v>0</v>
      </c>
      <c r="I506" s="263">
        <v>0</v>
      </c>
      <c r="J506" s="263">
        <v>0</v>
      </c>
      <c r="K506" s="267">
        <v>8.8000000000000007</v>
      </c>
    </row>
    <row r="507" spans="1:11">
      <c r="A507" s="9" t="s">
        <v>10970</v>
      </c>
      <c r="B507" s="16">
        <v>23</v>
      </c>
      <c r="C507" s="9"/>
      <c r="D507" s="271" t="s">
        <v>9005</v>
      </c>
      <c r="E507" s="263">
        <v>0</v>
      </c>
      <c r="F507" s="263">
        <v>0</v>
      </c>
      <c r="G507" s="263">
        <v>0</v>
      </c>
      <c r="H507" s="263">
        <v>0</v>
      </c>
      <c r="I507" s="263">
        <v>0</v>
      </c>
      <c r="J507" s="263">
        <v>5.6000000000000005</v>
      </c>
      <c r="K507" s="267">
        <v>5.6000000000000005</v>
      </c>
    </row>
    <row r="508" spans="1:11">
      <c r="A508" s="9" t="s">
        <v>10971</v>
      </c>
      <c r="B508" s="16">
        <v>23</v>
      </c>
      <c r="C508" s="9"/>
      <c r="D508" s="271" t="s">
        <v>9006</v>
      </c>
      <c r="E508" s="263">
        <v>0</v>
      </c>
      <c r="F508" s="263">
        <v>0</v>
      </c>
      <c r="G508" s="263">
        <v>0</v>
      </c>
      <c r="H508" s="263">
        <v>4</v>
      </c>
      <c r="I508" s="263">
        <v>0</v>
      </c>
      <c r="J508" s="263">
        <v>0</v>
      </c>
      <c r="K508" s="267">
        <v>4</v>
      </c>
    </row>
    <row r="509" spans="1:11">
      <c r="A509" s="9" t="s">
        <v>10972</v>
      </c>
      <c r="B509" s="16">
        <v>23</v>
      </c>
      <c r="C509" s="9"/>
      <c r="D509" s="271" t="s">
        <v>9007</v>
      </c>
      <c r="E509" s="263">
        <v>0</v>
      </c>
      <c r="F509" s="263">
        <v>0</v>
      </c>
      <c r="G509" s="263">
        <v>0</v>
      </c>
      <c r="H509" s="263">
        <v>0</v>
      </c>
      <c r="I509" s="263">
        <v>0</v>
      </c>
      <c r="J509" s="263">
        <v>5.6000000000000005</v>
      </c>
      <c r="K509" s="267">
        <v>5.6000000000000005</v>
      </c>
    </row>
    <row r="510" spans="1:11">
      <c r="A510" s="9" t="s">
        <v>10973</v>
      </c>
      <c r="B510" s="16">
        <v>23</v>
      </c>
      <c r="C510" s="9"/>
      <c r="D510" s="271" t="s">
        <v>9008</v>
      </c>
      <c r="E510" s="263">
        <v>0</v>
      </c>
      <c r="F510" s="263">
        <v>4</v>
      </c>
      <c r="G510" s="263">
        <v>0</v>
      </c>
      <c r="H510" s="263">
        <v>0</v>
      </c>
      <c r="I510" s="263">
        <v>0</v>
      </c>
      <c r="J510" s="263">
        <v>0</v>
      </c>
      <c r="K510" s="267">
        <v>4</v>
      </c>
    </row>
    <row r="511" spans="1:11">
      <c r="A511" s="9" t="s">
        <v>10974</v>
      </c>
      <c r="B511" s="16">
        <v>23</v>
      </c>
      <c r="C511" s="9"/>
      <c r="D511" s="271" t="s">
        <v>9009</v>
      </c>
      <c r="E511" s="263">
        <v>0</v>
      </c>
      <c r="F511" s="263">
        <v>0</v>
      </c>
      <c r="G511" s="263">
        <v>0</v>
      </c>
      <c r="H511" s="263">
        <v>0</v>
      </c>
      <c r="I511" s="263">
        <v>0</v>
      </c>
      <c r="J511" s="263">
        <v>4</v>
      </c>
      <c r="K511" s="267">
        <v>4</v>
      </c>
    </row>
    <row r="512" spans="1:11">
      <c r="A512" s="9" t="s">
        <v>10975</v>
      </c>
      <c r="B512" s="16">
        <v>23</v>
      </c>
      <c r="C512" s="9"/>
      <c r="D512" s="271" t="s">
        <v>9010</v>
      </c>
      <c r="E512" s="263">
        <v>4</v>
      </c>
      <c r="F512" s="263">
        <v>0</v>
      </c>
      <c r="G512" s="263">
        <v>0</v>
      </c>
      <c r="H512" s="263">
        <v>0</v>
      </c>
      <c r="I512" s="263">
        <v>0</v>
      </c>
      <c r="J512" s="263">
        <v>0</v>
      </c>
      <c r="K512" s="267">
        <v>4</v>
      </c>
    </row>
    <row r="513" spans="1:11" ht="31.5">
      <c r="A513" s="9" t="s">
        <v>10976</v>
      </c>
      <c r="B513" s="16">
        <v>23</v>
      </c>
      <c r="C513" s="9"/>
      <c r="D513" s="271" t="s">
        <v>9011</v>
      </c>
      <c r="E513" s="263">
        <v>0</v>
      </c>
      <c r="F513" s="263">
        <v>0</v>
      </c>
      <c r="G513" s="263">
        <v>0</v>
      </c>
      <c r="H513" s="263">
        <v>0</v>
      </c>
      <c r="I513" s="263">
        <v>0</v>
      </c>
      <c r="J513" s="263">
        <v>9.6000000000000014</v>
      </c>
      <c r="K513" s="267">
        <v>9.6000000000000014</v>
      </c>
    </row>
    <row r="514" spans="1:11">
      <c r="A514" s="9" t="s">
        <v>10977</v>
      </c>
      <c r="B514" s="16">
        <v>23</v>
      </c>
      <c r="C514" s="9"/>
      <c r="D514" s="271" t="s">
        <v>9012</v>
      </c>
      <c r="E514" s="263">
        <v>0</v>
      </c>
      <c r="F514" s="263">
        <v>0</v>
      </c>
      <c r="G514" s="263">
        <v>0</v>
      </c>
      <c r="H514" s="263">
        <v>0</v>
      </c>
      <c r="I514" s="263">
        <v>0</v>
      </c>
      <c r="J514" s="263">
        <v>4</v>
      </c>
      <c r="K514" s="267">
        <v>4</v>
      </c>
    </row>
    <row r="515" spans="1:11">
      <c r="A515" s="9" t="s">
        <v>10978</v>
      </c>
      <c r="B515" s="16">
        <v>23</v>
      </c>
      <c r="C515" s="9"/>
      <c r="D515" s="271" t="s">
        <v>9013</v>
      </c>
      <c r="E515" s="263">
        <v>0</v>
      </c>
      <c r="F515" s="263">
        <v>4</v>
      </c>
      <c r="G515" s="263">
        <v>0</v>
      </c>
      <c r="H515" s="263">
        <v>0</v>
      </c>
      <c r="I515" s="263">
        <v>0</v>
      </c>
      <c r="J515" s="263">
        <v>0</v>
      </c>
      <c r="K515" s="267">
        <v>4</v>
      </c>
    </row>
    <row r="516" spans="1:11">
      <c r="A516" s="9" t="s">
        <v>10979</v>
      </c>
      <c r="B516" s="16">
        <v>23</v>
      </c>
      <c r="C516" s="9"/>
      <c r="D516" s="271" t="s">
        <v>9014</v>
      </c>
      <c r="E516" s="263">
        <v>0</v>
      </c>
      <c r="F516" s="263">
        <v>0</v>
      </c>
      <c r="G516" s="263">
        <v>9.6000000000000014</v>
      </c>
      <c r="H516" s="263">
        <v>0</v>
      </c>
      <c r="I516" s="263">
        <v>0</v>
      </c>
      <c r="J516" s="263">
        <v>0</v>
      </c>
      <c r="K516" s="267">
        <v>9.6000000000000014</v>
      </c>
    </row>
    <row r="517" spans="1:11">
      <c r="A517" s="9" t="s">
        <v>10980</v>
      </c>
      <c r="B517" s="16">
        <v>23</v>
      </c>
      <c r="C517" s="9"/>
      <c r="D517" s="271" t="s">
        <v>9015</v>
      </c>
      <c r="E517" s="263">
        <v>0</v>
      </c>
      <c r="F517" s="263">
        <v>0</v>
      </c>
      <c r="G517" s="263">
        <v>9.6000000000000014</v>
      </c>
      <c r="H517" s="263">
        <v>0</v>
      </c>
      <c r="I517" s="263">
        <v>0</v>
      </c>
      <c r="J517" s="263">
        <v>0</v>
      </c>
      <c r="K517" s="267">
        <v>9.6000000000000014</v>
      </c>
    </row>
    <row r="518" spans="1:11">
      <c r="B518" s="16">
        <v>23</v>
      </c>
      <c r="C518" s="9"/>
      <c r="D518" s="271"/>
      <c r="E518" s="263"/>
      <c r="F518" s="263"/>
      <c r="G518" s="263"/>
      <c r="H518" s="263"/>
      <c r="I518" s="263"/>
      <c r="J518" s="263"/>
      <c r="K518" s="267">
        <v>0</v>
      </c>
    </row>
    <row r="519" spans="1:11" ht="15.75" customHeight="1">
      <c r="B519" s="16">
        <v>23</v>
      </c>
      <c r="C519" s="9"/>
      <c r="D519" s="272" t="s">
        <v>3674</v>
      </c>
      <c r="E519" s="273">
        <v>17.600000000000001</v>
      </c>
      <c r="F519" s="273">
        <v>12</v>
      </c>
      <c r="G519" s="273">
        <v>36</v>
      </c>
      <c r="H519" s="273">
        <v>8</v>
      </c>
      <c r="I519" s="273">
        <v>0</v>
      </c>
      <c r="J519" s="273">
        <v>46.400000000000006</v>
      </c>
      <c r="K519" s="273">
        <v>120</v>
      </c>
    </row>
    <row r="520" spans="1:11">
      <c r="C520" s="9"/>
      <c r="D520" s="271"/>
      <c r="E520" s="263"/>
      <c r="F520" s="263"/>
      <c r="G520" s="263"/>
      <c r="H520" s="263"/>
      <c r="I520" s="263"/>
      <c r="J520" s="263"/>
      <c r="K520" s="267">
        <v>0</v>
      </c>
    </row>
    <row r="521" spans="1:11">
      <c r="A521" s="9" t="s">
        <v>10981</v>
      </c>
      <c r="B521" s="16">
        <v>40</v>
      </c>
      <c r="C521" s="9"/>
      <c r="D521" s="271" t="s">
        <v>9017</v>
      </c>
      <c r="E521" s="263">
        <v>0</v>
      </c>
      <c r="F521" s="263">
        <v>0</v>
      </c>
      <c r="G521" s="263">
        <v>0</v>
      </c>
      <c r="H521" s="263">
        <v>0</v>
      </c>
      <c r="I521" s="263">
        <v>0</v>
      </c>
      <c r="J521" s="263">
        <v>8</v>
      </c>
      <c r="K521" s="267">
        <v>8</v>
      </c>
    </row>
    <row r="522" spans="1:11">
      <c r="A522" s="9" t="s">
        <v>10982</v>
      </c>
      <c r="B522" s="16">
        <v>40</v>
      </c>
      <c r="C522" s="9"/>
      <c r="D522" s="271" t="s">
        <v>9018</v>
      </c>
      <c r="E522" s="263">
        <v>0</v>
      </c>
      <c r="F522" s="263">
        <v>0</v>
      </c>
      <c r="G522" s="263">
        <v>0</v>
      </c>
      <c r="H522" s="263">
        <v>0</v>
      </c>
      <c r="I522" s="263">
        <v>0</v>
      </c>
      <c r="J522" s="263">
        <v>8</v>
      </c>
      <c r="K522" s="267">
        <v>8</v>
      </c>
    </row>
    <row r="523" spans="1:11">
      <c r="A523" s="9" t="s">
        <v>10983</v>
      </c>
      <c r="B523" s="16">
        <v>40</v>
      </c>
      <c r="C523" s="9"/>
      <c r="D523" s="271" t="s">
        <v>9019</v>
      </c>
      <c r="E523" s="263">
        <v>8</v>
      </c>
      <c r="F523" s="263">
        <v>0</v>
      </c>
      <c r="G523" s="263">
        <v>0</v>
      </c>
      <c r="H523" s="263">
        <v>0</v>
      </c>
      <c r="I523" s="263">
        <v>0</v>
      </c>
      <c r="J523" s="263">
        <v>0</v>
      </c>
      <c r="K523" s="267">
        <v>8</v>
      </c>
    </row>
    <row r="524" spans="1:11">
      <c r="A524" s="9" t="s">
        <v>10984</v>
      </c>
      <c r="B524" s="16">
        <v>40</v>
      </c>
      <c r="C524" s="9"/>
      <c r="D524" s="271" t="s">
        <v>9020</v>
      </c>
      <c r="E524" s="263">
        <v>8</v>
      </c>
      <c r="F524" s="263">
        <v>0</v>
      </c>
      <c r="G524" s="263">
        <v>0</v>
      </c>
      <c r="H524" s="263">
        <v>0</v>
      </c>
      <c r="I524" s="263">
        <v>0</v>
      </c>
      <c r="J524" s="263">
        <v>0</v>
      </c>
      <c r="K524" s="267">
        <v>8</v>
      </c>
    </row>
    <row r="525" spans="1:11">
      <c r="A525" s="9" t="s">
        <v>10985</v>
      </c>
      <c r="B525" s="16">
        <v>40</v>
      </c>
      <c r="C525" s="9"/>
      <c r="D525" s="271" t="s">
        <v>9021</v>
      </c>
      <c r="E525" s="263">
        <v>16</v>
      </c>
      <c r="F525" s="263">
        <v>0</v>
      </c>
      <c r="G525" s="263">
        <v>0</v>
      </c>
      <c r="H525" s="263">
        <v>0</v>
      </c>
      <c r="I525" s="263">
        <v>0</v>
      </c>
      <c r="J525" s="263">
        <v>0</v>
      </c>
      <c r="K525" s="267">
        <v>16</v>
      </c>
    </row>
    <row r="526" spans="1:11">
      <c r="A526" s="9" t="s">
        <v>10986</v>
      </c>
      <c r="B526" s="16">
        <v>40</v>
      </c>
      <c r="C526" s="9"/>
      <c r="D526" s="271" t="s">
        <v>9022</v>
      </c>
      <c r="E526" s="263">
        <v>8</v>
      </c>
      <c r="F526" s="263">
        <v>0</v>
      </c>
      <c r="G526" s="263">
        <v>0</v>
      </c>
      <c r="H526" s="263">
        <v>0</v>
      </c>
      <c r="I526" s="263">
        <v>0</v>
      </c>
      <c r="J526" s="263">
        <v>0</v>
      </c>
      <c r="K526" s="267">
        <v>8</v>
      </c>
    </row>
    <row r="527" spans="1:11" ht="31.5">
      <c r="A527" s="9" t="s">
        <v>10987</v>
      </c>
      <c r="B527" s="16">
        <v>40</v>
      </c>
      <c r="C527" s="9"/>
      <c r="D527" s="271" t="s">
        <v>9023</v>
      </c>
      <c r="E527" s="263">
        <v>0</v>
      </c>
      <c r="F527" s="263">
        <v>0</v>
      </c>
      <c r="G527" s="263">
        <v>8</v>
      </c>
      <c r="H527" s="263">
        <v>0</v>
      </c>
      <c r="I527" s="263">
        <v>0</v>
      </c>
      <c r="J527" s="263">
        <v>0</v>
      </c>
      <c r="K527" s="267">
        <v>8</v>
      </c>
    </row>
    <row r="528" spans="1:11">
      <c r="A528" s="9" t="s">
        <v>10988</v>
      </c>
      <c r="B528" s="16">
        <v>40</v>
      </c>
      <c r="C528" s="9"/>
      <c r="D528" s="271" t="s">
        <v>9024</v>
      </c>
      <c r="E528" s="263">
        <v>0</v>
      </c>
      <c r="F528" s="263">
        <v>0</v>
      </c>
      <c r="G528" s="263">
        <v>8</v>
      </c>
      <c r="H528" s="263">
        <v>0</v>
      </c>
      <c r="I528" s="263">
        <v>0</v>
      </c>
      <c r="J528" s="263">
        <v>0</v>
      </c>
      <c r="K528" s="267">
        <v>8</v>
      </c>
    </row>
    <row r="529" spans="1:11">
      <c r="A529" s="9" t="s">
        <v>10989</v>
      </c>
      <c r="B529" s="16">
        <v>40</v>
      </c>
      <c r="C529" s="9"/>
      <c r="D529" s="271" t="s">
        <v>9025</v>
      </c>
      <c r="E529" s="263">
        <v>0</v>
      </c>
      <c r="F529" s="263">
        <v>0</v>
      </c>
      <c r="G529" s="263">
        <v>0</v>
      </c>
      <c r="H529" s="263">
        <v>8</v>
      </c>
      <c r="I529" s="263">
        <v>0</v>
      </c>
      <c r="J529" s="263">
        <v>0</v>
      </c>
      <c r="K529" s="267">
        <v>8</v>
      </c>
    </row>
    <row r="530" spans="1:11">
      <c r="A530" s="9" t="s">
        <v>10990</v>
      </c>
      <c r="B530" s="16">
        <v>40</v>
      </c>
      <c r="C530" s="9"/>
      <c r="D530" s="271" t="s">
        <v>9029</v>
      </c>
      <c r="E530" s="263">
        <v>0</v>
      </c>
      <c r="F530" s="263">
        <v>0</v>
      </c>
      <c r="G530" s="263">
        <v>0</v>
      </c>
      <c r="H530" s="263">
        <v>8</v>
      </c>
      <c r="I530" s="263">
        <v>0</v>
      </c>
      <c r="J530" s="263">
        <v>0</v>
      </c>
      <c r="K530" s="267">
        <v>8</v>
      </c>
    </row>
    <row r="531" spans="1:11">
      <c r="A531" s="9" t="s">
        <v>10991</v>
      </c>
      <c r="B531" s="16">
        <v>40</v>
      </c>
      <c r="C531" s="9"/>
      <c r="D531" s="271" t="s">
        <v>9026</v>
      </c>
      <c r="E531" s="263">
        <v>0</v>
      </c>
      <c r="F531" s="263">
        <v>0</v>
      </c>
      <c r="G531" s="263">
        <v>16</v>
      </c>
      <c r="H531" s="263">
        <v>0</v>
      </c>
      <c r="I531" s="263">
        <v>0</v>
      </c>
      <c r="J531" s="263">
        <v>0</v>
      </c>
      <c r="K531" s="267">
        <v>16</v>
      </c>
    </row>
    <row r="532" spans="1:11">
      <c r="A532" s="9" t="s">
        <v>10992</v>
      </c>
      <c r="B532" s="16">
        <v>40</v>
      </c>
      <c r="C532" s="9"/>
      <c r="D532" s="271" t="s">
        <v>9027</v>
      </c>
      <c r="E532" s="263">
        <v>0</v>
      </c>
      <c r="F532" s="263">
        <v>12</v>
      </c>
      <c r="G532" s="263">
        <v>0</v>
      </c>
      <c r="H532" s="263">
        <v>0</v>
      </c>
      <c r="I532" s="263">
        <v>0</v>
      </c>
      <c r="J532" s="263">
        <v>0</v>
      </c>
      <c r="K532" s="267">
        <v>12</v>
      </c>
    </row>
    <row r="533" spans="1:11">
      <c r="A533" s="9" t="s">
        <v>10993</v>
      </c>
      <c r="B533" s="16">
        <v>40</v>
      </c>
      <c r="C533" s="9"/>
      <c r="D533" s="271" t="s">
        <v>9028</v>
      </c>
      <c r="E533" s="263">
        <v>0</v>
      </c>
      <c r="F533" s="263">
        <v>0</v>
      </c>
      <c r="G533" s="263">
        <v>4</v>
      </c>
      <c r="H533" s="263">
        <v>0</v>
      </c>
      <c r="I533" s="263">
        <v>0</v>
      </c>
      <c r="J533" s="263">
        <v>0</v>
      </c>
      <c r="K533" s="267">
        <v>4</v>
      </c>
    </row>
    <row r="534" spans="1:11">
      <c r="B534" s="16">
        <v>40</v>
      </c>
      <c r="C534" s="9"/>
      <c r="D534" s="271"/>
      <c r="E534" s="263"/>
      <c r="F534" s="263"/>
      <c r="G534" s="263"/>
      <c r="H534" s="263"/>
      <c r="I534" s="263"/>
      <c r="J534" s="263"/>
      <c r="K534" s="267">
        <v>0</v>
      </c>
    </row>
    <row r="535" spans="1:11" ht="15.75" customHeight="1">
      <c r="B535" s="16">
        <v>40</v>
      </c>
      <c r="C535" s="9"/>
      <c r="D535" s="272" t="s">
        <v>3674</v>
      </c>
      <c r="E535" s="273">
        <v>40</v>
      </c>
      <c r="F535" s="273">
        <v>12</v>
      </c>
      <c r="G535" s="273">
        <v>36</v>
      </c>
      <c r="H535" s="273">
        <v>16</v>
      </c>
      <c r="I535" s="273">
        <v>0</v>
      </c>
      <c r="J535" s="273">
        <v>16</v>
      </c>
      <c r="K535" s="273">
        <v>120</v>
      </c>
    </row>
    <row r="536" spans="1:11">
      <c r="C536" s="9"/>
      <c r="D536" s="271"/>
      <c r="E536" s="263"/>
      <c r="F536" s="263"/>
      <c r="G536" s="263"/>
      <c r="H536" s="263"/>
      <c r="I536" s="263"/>
      <c r="J536" s="263"/>
      <c r="K536" s="267">
        <v>0</v>
      </c>
    </row>
    <row r="537" spans="1:11" ht="15.75" customHeight="1">
      <c r="B537" s="16">
        <v>0</v>
      </c>
      <c r="C537" s="9"/>
      <c r="D537" s="269" t="s">
        <v>13079</v>
      </c>
      <c r="E537" s="270">
        <v>137.6</v>
      </c>
      <c r="F537" s="270">
        <v>62.400000000000006</v>
      </c>
      <c r="G537" s="270">
        <v>164.8</v>
      </c>
      <c r="H537" s="270">
        <v>96</v>
      </c>
      <c r="I537" s="270">
        <v>0</v>
      </c>
      <c r="J537" s="270">
        <v>139.20000000000002</v>
      </c>
      <c r="K537" s="270">
        <v>600</v>
      </c>
    </row>
    <row r="538" spans="1:11">
      <c r="C538" s="9"/>
      <c r="D538" s="271"/>
      <c r="E538" s="263"/>
      <c r="F538" s="263"/>
      <c r="G538" s="263"/>
      <c r="H538" s="263"/>
      <c r="I538" s="263"/>
      <c r="J538" s="263"/>
      <c r="K538" s="267">
        <v>0</v>
      </c>
    </row>
    <row r="539" spans="1:11">
      <c r="C539" s="9"/>
      <c r="D539" s="271"/>
      <c r="E539" s="263"/>
      <c r="F539" s="263"/>
      <c r="G539" s="263"/>
      <c r="H539" s="263"/>
      <c r="I539" s="263"/>
      <c r="J539" s="263"/>
      <c r="K539" s="267">
        <v>0</v>
      </c>
    </row>
    <row r="540" spans="1:11">
      <c r="C540" s="9"/>
      <c r="D540" s="271" t="s">
        <v>4271</v>
      </c>
      <c r="E540" s="263"/>
      <c r="F540" s="263"/>
      <c r="G540" s="263"/>
      <c r="H540" s="263"/>
      <c r="I540" s="263"/>
      <c r="J540" s="263"/>
      <c r="K540" s="267">
        <v>0</v>
      </c>
    </row>
    <row r="541" spans="1:11">
      <c r="C541" s="9"/>
      <c r="D541" s="271"/>
      <c r="E541" s="263"/>
      <c r="F541" s="263"/>
      <c r="G541" s="263"/>
      <c r="H541" s="263"/>
      <c r="I541" s="263"/>
      <c r="J541" s="263"/>
      <c r="K541" s="267">
        <v>0</v>
      </c>
    </row>
    <row r="542" spans="1:11">
      <c r="A542" s="9" t="s">
        <v>10994</v>
      </c>
      <c r="B542" s="16">
        <v>2</v>
      </c>
      <c r="C542" s="9"/>
      <c r="D542" s="271" t="s">
        <v>9647</v>
      </c>
      <c r="E542" s="263">
        <v>0</v>
      </c>
      <c r="F542" s="263">
        <v>0</v>
      </c>
      <c r="G542" s="263">
        <v>0</v>
      </c>
      <c r="H542" s="263">
        <v>0</v>
      </c>
      <c r="I542" s="263">
        <v>0</v>
      </c>
      <c r="J542" s="263">
        <v>8</v>
      </c>
      <c r="K542" s="267">
        <v>8</v>
      </c>
    </row>
    <row r="543" spans="1:11">
      <c r="A543" s="9" t="s">
        <v>10995</v>
      </c>
      <c r="B543" s="16">
        <v>2</v>
      </c>
      <c r="C543" s="9"/>
      <c r="D543" s="271" t="s">
        <v>9648</v>
      </c>
      <c r="E543" s="263">
        <v>0</v>
      </c>
      <c r="F543" s="263">
        <v>0</v>
      </c>
      <c r="G543" s="263">
        <v>0</v>
      </c>
      <c r="H543" s="263">
        <v>0</v>
      </c>
      <c r="I543" s="263">
        <v>0</v>
      </c>
      <c r="J543" s="263">
        <v>8</v>
      </c>
      <c r="K543" s="267">
        <v>8</v>
      </c>
    </row>
    <row r="544" spans="1:11">
      <c r="A544" s="9" t="s">
        <v>10996</v>
      </c>
      <c r="B544" s="16">
        <v>2</v>
      </c>
      <c r="C544" s="9"/>
      <c r="D544" s="271" t="s">
        <v>9649</v>
      </c>
      <c r="E544" s="263">
        <v>0</v>
      </c>
      <c r="F544" s="263">
        <v>0</v>
      </c>
      <c r="G544" s="263">
        <v>0</v>
      </c>
      <c r="H544" s="263">
        <v>0</v>
      </c>
      <c r="I544" s="263">
        <v>0</v>
      </c>
      <c r="J544" s="263">
        <v>20</v>
      </c>
      <c r="K544" s="267">
        <v>20</v>
      </c>
    </row>
    <row r="545" spans="1:11">
      <c r="A545" s="9" t="s">
        <v>10997</v>
      </c>
      <c r="B545" s="16">
        <v>2</v>
      </c>
      <c r="C545" s="9"/>
      <c r="D545" s="271" t="s">
        <v>9650</v>
      </c>
      <c r="E545" s="263">
        <v>0</v>
      </c>
      <c r="F545" s="263">
        <v>0</v>
      </c>
      <c r="G545" s="263">
        <v>0</v>
      </c>
      <c r="H545" s="263">
        <v>0</v>
      </c>
      <c r="I545" s="263">
        <v>0</v>
      </c>
      <c r="J545" s="263">
        <v>20</v>
      </c>
      <c r="K545" s="267">
        <v>20</v>
      </c>
    </row>
    <row r="546" spans="1:11">
      <c r="A546" s="9" t="s">
        <v>10998</v>
      </c>
      <c r="B546" s="16">
        <v>2</v>
      </c>
      <c r="C546" s="9"/>
      <c r="D546" s="271" t="s">
        <v>9651</v>
      </c>
      <c r="E546" s="263">
        <v>0</v>
      </c>
      <c r="F546" s="263">
        <v>0</v>
      </c>
      <c r="G546" s="263">
        <v>0</v>
      </c>
      <c r="H546" s="263">
        <v>0</v>
      </c>
      <c r="I546" s="263">
        <v>0</v>
      </c>
      <c r="J546" s="263">
        <v>8</v>
      </c>
      <c r="K546" s="267">
        <v>8</v>
      </c>
    </row>
    <row r="547" spans="1:11">
      <c r="A547" s="9" t="s">
        <v>10999</v>
      </c>
      <c r="B547" s="16">
        <v>2</v>
      </c>
      <c r="C547" s="9"/>
      <c r="D547" s="271" t="s">
        <v>9652</v>
      </c>
      <c r="E547" s="263">
        <v>0</v>
      </c>
      <c r="F547" s="263">
        <v>0</v>
      </c>
      <c r="G547" s="263">
        <v>0</v>
      </c>
      <c r="H547" s="263">
        <v>0</v>
      </c>
      <c r="I547" s="263">
        <v>0</v>
      </c>
      <c r="J547" s="263">
        <v>8</v>
      </c>
      <c r="K547" s="267">
        <v>8</v>
      </c>
    </row>
    <row r="548" spans="1:11">
      <c r="A548" s="9" t="s">
        <v>11000</v>
      </c>
      <c r="B548" s="16">
        <v>2</v>
      </c>
      <c r="C548" s="9"/>
      <c r="D548" s="271" t="s">
        <v>9653</v>
      </c>
      <c r="E548" s="263">
        <v>0</v>
      </c>
      <c r="F548" s="263">
        <v>0</v>
      </c>
      <c r="G548" s="263">
        <v>8</v>
      </c>
      <c r="H548" s="263">
        <v>0</v>
      </c>
      <c r="I548" s="263">
        <v>0</v>
      </c>
      <c r="J548" s="263">
        <v>0</v>
      </c>
      <c r="K548" s="267">
        <v>8</v>
      </c>
    </row>
    <row r="549" spans="1:11">
      <c r="A549" s="9" t="s">
        <v>11001</v>
      </c>
      <c r="B549" s="16">
        <v>2</v>
      </c>
      <c r="C549" s="9"/>
      <c r="D549" s="271" t="s">
        <v>9654</v>
      </c>
      <c r="E549" s="263">
        <v>0</v>
      </c>
      <c r="F549" s="263">
        <v>0</v>
      </c>
      <c r="G549" s="263">
        <v>8</v>
      </c>
      <c r="H549" s="263">
        <v>0</v>
      </c>
      <c r="I549" s="263">
        <v>0</v>
      </c>
      <c r="J549" s="263">
        <v>0</v>
      </c>
      <c r="K549" s="267">
        <v>8</v>
      </c>
    </row>
    <row r="550" spans="1:11">
      <c r="A550" s="9" t="s">
        <v>11002</v>
      </c>
      <c r="B550" s="16">
        <v>2</v>
      </c>
      <c r="C550" s="9"/>
      <c r="D550" s="271" t="s">
        <v>9655</v>
      </c>
      <c r="E550" s="263">
        <v>8</v>
      </c>
      <c r="F550" s="263">
        <v>0</v>
      </c>
      <c r="G550" s="263">
        <v>0</v>
      </c>
      <c r="H550" s="263">
        <v>0</v>
      </c>
      <c r="I550" s="263">
        <v>0</v>
      </c>
      <c r="J550" s="263">
        <v>0</v>
      </c>
      <c r="K550" s="267">
        <v>8</v>
      </c>
    </row>
    <row r="551" spans="1:11">
      <c r="A551" s="9" t="s">
        <v>11003</v>
      </c>
      <c r="B551" s="16">
        <v>2</v>
      </c>
      <c r="C551" s="9"/>
      <c r="D551" s="271" t="s">
        <v>9656</v>
      </c>
      <c r="E551" s="263">
        <v>8</v>
      </c>
      <c r="F551" s="263">
        <v>0</v>
      </c>
      <c r="G551" s="263">
        <v>0</v>
      </c>
      <c r="H551" s="263">
        <v>0</v>
      </c>
      <c r="I551" s="263">
        <v>0</v>
      </c>
      <c r="J551" s="263">
        <v>0</v>
      </c>
      <c r="K551" s="267">
        <v>8</v>
      </c>
    </row>
    <row r="552" spans="1:11">
      <c r="A552" s="9" t="s">
        <v>11004</v>
      </c>
      <c r="B552" s="16">
        <v>2</v>
      </c>
      <c r="C552" s="9"/>
      <c r="D552" s="271" t="s">
        <v>9657</v>
      </c>
      <c r="E552" s="263">
        <v>8</v>
      </c>
      <c r="F552" s="263">
        <v>0</v>
      </c>
      <c r="G552" s="263">
        <v>0</v>
      </c>
      <c r="H552" s="263">
        <v>0</v>
      </c>
      <c r="I552" s="263">
        <v>0</v>
      </c>
      <c r="J552" s="263">
        <v>0</v>
      </c>
      <c r="K552" s="267">
        <v>8</v>
      </c>
    </row>
    <row r="553" spans="1:11">
      <c r="A553" s="9" t="s">
        <v>11005</v>
      </c>
      <c r="B553" s="16">
        <v>2</v>
      </c>
      <c r="C553" s="9"/>
      <c r="D553" s="271" t="s">
        <v>9658</v>
      </c>
      <c r="E553" s="263">
        <v>0</v>
      </c>
      <c r="F553" s="263">
        <v>8</v>
      </c>
      <c r="G553" s="263">
        <v>0</v>
      </c>
      <c r="H553" s="263">
        <v>0</v>
      </c>
      <c r="I553" s="263">
        <v>0</v>
      </c>
      <c r="J553" s="263">
        <v>0</v>
      </c>
      <c r="K553" s="267">
        <v>8</v>
      </c>
    </row>
    <row r="554" spans="1:11" ht="15.75" customHeight="1">
      <c r="B554" s="16">
        <v>2</v>
      </c>
      <c r="C554" s="9"/>
      <c r="D554" s="272" t="s">
        <v>3674</v>
      </c>
      <c r="E554" s="273">
        <v>24</v>
      </c>
      <c r="F554" s="273">
        <v>8</v>
      </c>
      <c r="G554" s="273">
        <v>16</v>
      </c>
      <c r="H554" s="273">
        <v>0</v>
      </c>
      <c r="I554" s="273">
        <v>0</v>
      </c>
      <c r="J554" s="273">
        <v>72</v>
      </c>
      <c r="K554" s="273">
        <v>120</v>
      </c>
    </row>
    <row r="555" spans="1:11">
      <c r="A555" s="9" t="s">
        <v>11006</v>
      </c>
      <c r="B555" s="16">
        <v>3</v>
      </c>
      <c r="C555" s="9"/>
      <c r="D555" s="271" t="s">
        <v>9659</v>
      </c>
      <c r="E555" s="263">
        <v>6.4</v>
      </c>
      <c r="F555" s="263">
        <v>0</v>
      </c>
      <c r="G555" s="263">
        <v>0</v>
      </c>
      <c r="H555" s="263">
        <v>0</v>
      </c>
      <c r="I555" s="263">
        <v>0</v>
      </c>
      <c r="J555" s="263">
        <v>0</v>
      </c>
      <c r="K555" s="267">
        <v>6.4</v>
      </c>
    </row>
    <row r="556" spans="1:11">
      <c r="A556" s="9" t="s">
        <v>11007</v>
      </c>
      <c r="B556" s="16">
        <v>3</v>
      </c>
      <c r="C556" s="9"/>
      <c r="D556" s="271" t="s">
        <v>9660</v>
      </c>
      <c r="E556" s="263">
        <v>0</v>
      </c>
      <c r="F556" s="263">
        <v>0</v>
      </c>
      <c r="G556" s="263">
        <v>0</v>
      </c>
      <c r="H556" s="263">
        <v>0</v>
      </c>
      <c r="I556" s="263">
        <v>0</v>
      </c>
      <c r="J556" s="263">
        <v>6.4</v>
      </c>
      <c r="K556" s="267">
        <v>6.4</v>
      </c>
    </row>
    <row r="557" spans="1:11">
      <c r="A557" s="9" t="s">
        <v>11008</v>
      </c>
      <c r="B557" s="16">
        <v>3</v>
      </c>
      <c r="C557" s="9"/>
      <c r="D557" s="271" t="s">
        <v>9661</v>
      </c>
      <c r="E557" s="263">
        <v>0</v>
      </c>
      <c r="F557" s="263">
        <v>0</v>
      </c>
      <c r="G557" s="263">
        <v>0</v>
      </c>
      <c r="H557" s="263">
        <v>6.4</v>
      </c>
      <c r="I557" s="263">
        <v>0</v>
      </c>
      <c r="J557" s="263">
        <v>0</v>
      </c>
      <c r="K557" s="267">
        <v>6.4</v>
      </c>
    </row>
    <row r="558" spans="1:11">
      <c r="A558" s="9" t="s">
        <v>11009</v>
      </c>
      <c r="B558" s="16">
        <v>3</v>
      </c>
      <c r="C558" s="9"/>
      <c r="D558" s="271" t="s">
        <v>9662</v>
      </c>
      <c r="E558" s="263">
        <v>8</v>
      </c>
      <c r="F558" s="263">
        <v>0</v>
      </c>
      <c r="G558" s="263">
        <v>0</v>
      </c>
      <c r="H558" s="263">
        <v>0</v>
      </c>
      <c r="I558" s="263">
        <v>0</v>
      </c>
      <c r="J558" s="263">
        <v>0</v>
      </c>
      <c r="K558" s="267">
        <v>8</v>
      </c>
    </row>
    <row r="559" spans="1:11">
      <c r="A559" s="9" t="s">
        <v>11010</v>
      </c>
      <c r="B559" s="16">
        <v>3</v>
      </c>
      <c r="C559" s="9"/>
      <c r="D559" s="271" t="s">
        <v>9663</v>
      </c>
      <c r="E559" s="263">
        <v>4</v>
      </c>
      <c r="F559" s="263">
        <v>0</v>
      </c>
      <c r="G559" s="263">
        <v>0</v>
      </c>
      <c r="H559" s="263">
        <v>0</v>
      </c>
      <c r="I559" s="263">
        <v>0</v>
      </c>
      <c r="J559" s="263">
        <v>0</v>
      </c>
      <c r="K559" s="267">
        <v>4</v>
      </c>
    </row>
    <row r="560" spans="1:11">
      <c r="A560" s="9" t="s">
        <v>11011</v>
      </c>
      <c r="B560" s="16">
        <v>3</v>
      </c>
      <c r="C560" s="9"/>
      <c r="D560" s="271" t="s">
        <v>9673</v>
      </c>
      <c r="E560" s="263">
        <v>4</v>
      </c>
      <c r="F560" s="263">
        <v>0</v>
      </c>
      <c r="G560" s="263">
        <v>0</v>
      </c>
      <c r="H560" s="263">
        <v>0</v>
      </c>
      <c r="I560" s="263">
        <v>0</v>
      </c>
      <c r="J560" s="263">
        <v>0</v>
      </c>
      <c r="K560" s="267">
        <v>4</v>
      </c>
    </row>
    <row r="561" spans="1:11">
      <c r="A561" s="9" t="s">
        <v>11012</v>
      </c>
      <c r="B561" s="16">
        <v>3</v>
      </c>
      <c r="C561" s="9"/>
      <c r="D561" s="271" t="s">
        <v>9664</v>
      </c>
      <c r="E561" s="263">
        <v>4.8000000000000007</v>
      </c>
      <c r="F561" s="263">
        <v>0</v>
      </c>
      <c r="G561" s="263">
        <v>0</v>
      </c>
      <c r="H561" s="263">
        <v>0</v>
      </c>
      <c r="I561" s="263">
        <v>0</v>
      </c>
      <c r="J561" s="263">
        <v>0</v>
      </c>
      <c r="K561" s="267">
        <v>4.8000000000000007</v>
      </c>
    </row>
    <row r="562" spans="1:11">
      <c r="A562" s="9" t="s">
        <v>11013</v>
      </c>
      <c r="B562" s="16">
        <v>3</v>
      </c>
      <c r="C562" s="9"/>
      <c r="D562" s="271" t="s">
        <v>9665</v>
      </c>
      <c r="E562" s="263">
        <v>0</v>
      </c>
      <c r="F562" s="263">
        <v>0</v>
      </c>
      <c r="G562" s="263">
        <v>4</v>
      </c>
      <c r="H562" s="263">
        <v>0</v>
      </c>
      <c r="I562" s="263">
        <v>0</v>
      </c>
      <c r="J562" s="263">
        <v>0</v>
      </c>
      <c r="K562" s="267">
        <v>4</v>
      </c>
    </row>
    <row r="563" spans="1:11">
      <c r="A563" s="9" t="s">
        <v>11014</v>
      </c>
      <c r="B563" s="16">
        <v>3</v>
      </c>
      <c r="C563" s="9"/>
      <c r="D563" s="271" t="s">
        <v>9666</v>
      </c>
      <c r="E563" s="263">
        <v>4</v>
      </c>
      <c r="F563" s="263">
        <v>0</v>
      </c>
      <c r="G563" s="263">
        <v>0</v>
      </c>
      <c r="H563" s="263">
        <v>0</v>
      </c>
      <c r="I563" s="263">
        <v>0</v>
      </c>
      <c r="J563" s="263">
        <v>0</v>
      </c>
      <c r="K563" s="267">
        <v>4</v>
      </c>
    </row>
    <row r="564" spans="1:11">
      <c r="A564" s="9" t="s">
        <v>11015</v>
      </c>
      <c r="B564" s="16">
        <v>3</v>
      </c>
      <c r="C564" s="9"/>
      <c r="D564" s="271" t="s">
        <v>9667</v>
      </c>
      <c r="E564" s="263">
        <v>0</v>
      </c>
      <c r="F564" s="263">
        <v>8</v>
      </c>
      <c r="G564" s="263">
        <v>0</v>
      </c>
      <c r="H564" s="263">
        <v>0</v>
      </c>
      <c r="I564" s="263">
        <v>0</v>
      </c>
      <c r="J564" s="263">
        <v>0</v>
      </c>
      <c r="K564" s="267">
        <v>8</v>
      </c>
    </row>
    <row r="565" spans="1:11">
      <c r="A565" s="9" t="s">
        <v>11016</v>
      </c>
      <c r="B565" s="16">
        <v>3</v>
      </c>
      <c r="C565" s="9"/>
      <c r="D565" s="271" t="s">
        <v>9668</v>
      </c>
      <c r="E565" s="263">
        <v>8</v>
      </c>
      <c r="F565" s="263">
        <v>0</v>
      </c>
      <c r="G565" s="263">
        <v>0</v>
      </c>
      <c r="H565" s="263">
        <v>0</v>
      </c>
      <c r="I565" s="263">
        <v>0</v>
      </c>
      <c r="J565" s="263">
        <v>0</v>
      </c>
      <c r="K565" s="267">
        <v>8</v>
      </c>
    </row>
    <row r="566" spans="1:11">
      <c r="A566" s="9" t="s">
        <v>11017</v>
      </c>
      <c r="B566" s="16">
        <v>3</v>
      </c>
      <c r="C566" s="9"/>
      <c r="D566" s="271" t="s">
        <v>9669</v>
      </c>
      <c r="E566" s="263">
        <v>20</v>
      </c>
      <c r="F566" s="263">
        <v>0</v>
      </c>
      <c r="G566" s="263">
        <v>0</v>
      </c>
      <c r="H566" s="263">
        <v>0</v>
      </c>
      <c r="I566" s="263">
        <v>0</v>
      </c>
      <c r="J566" s="263">
        <v>0</v>
      </c>
      <c r="K566" s="267">
        <v>20</v>
      </c>
    </row>
    <row r="567" spans="1:11">
      <c r="A567" s="9" t="s">
        <v>11018</v>
      </c>
      <c r="B567" s="16">
        <v>3</v>
      </c>
      <c r="C567" s="9"/>
      <c r="D567" s="271" t="s">
        <v>9670</v>
      </c>
      <c r="E567" s="263">
        <v>0</v>
      </c>
      <c r="F567" s="263">
        <v>0</v>
      </c>
      <c r="G567" s="263">
        <v>0</v>
      </c>
      <c r="H567" s="263">
        <v>0</v>
      </c>
      <c r="I567" s="263">
        <v>0</v>
      </c>
      <c r="J567" s="263">
        <v>12</v>
      </c>
      <c r="K567" s="267">
        <v>12</v>
      </c>
    </row>
    <row r="568" spans="1:11">
      <c r="A568" s="9" t="s">
        <v>11019</v>
      </c>
      <c r="B568" s="16">
        <v>3</v>
      </c>
      <c r="C568" s="9"/>
      <c r="D568" s="271" t="s">
        <v>9671</v>
      </c>
      <c r="E568" s="263">
        <v>12</v>
      </c>
      <c r="F568" s="263">
        <v>0</v>
      </c>
      <c r="G568" s="263">
        <v>0</v>
      </c>
      <c r="H568" s="263">
        <v>0</v>
      </c>
      <c r="I568" s="263">
        <v>0</v>
      </c>
      <c r="J568" s="263">
        <v>0</v>
      </c>
      <c r="K568" s="267">
        <v>12</v>
      </c>
    </row>
    <row r="569" spans="1:11" ht="31.5">
      <c r="A569" s="9" t="s">
        <v>11020</v>
      </c>
      <c r="B569" s="16">
        <v>3</v>
      </c>
      <c r="C569" s="9"/>
      <c r="D569" s="271" t="s">
        <v>9672</v>
      </c>
      <c r="E569" s="263">
        <v>0</v>
      </c>
      <c r="F569" s="263">
        <v>0</v>
      </c>
      <c r="G569" s="263">
        <v>0</v>
      </c>
      <c r="H569" s="263">
        <v>12</v>
      </c>
      <c r="I569" s="263">
        <v>0</v>
      </c>
      <c r="J569" s="263">
        <v>0</v>
      </c>
      <c r="K569" s="267">
        <v>12</v>
      </c>
    </row>
    <row r="570" spans="1:11" ht="15.75" customHeight="1">
      <c r="B570" s="16">
        <v>3</v>
      </c>
      <c r="C570" s="9"/>
      <c r="D570" s="272" t="s">
        <v>3674</v>
      </c>
      <c r="E570" s="273">
        <v>71.2</v>
      </c>
      <c r="F570" s="273">
        <v>8</v>
      </c>
      <c r="G570" s="273">
        <v>4</v>
      </c>
      <c r="H570" s="273">
        <v>18.399999999999999</v>
      </c>
      <c r="I570" s="273">
        <v>0</v>
      </c>
      <c r="J570" s="273">
        <v>18.399999999999999</v>
      </c>
      <c r="K570" s="273">
        <v>120</v>
      </c>
    </row>
    <row r="571" spans="1:11">
      <c r="A571" s="9" t="s">
        <v>11021</v>
      </c>
      <c r="B571" s="16">
        <v>4</v>
      </c>
      <c r="C571" s="9"/>
      <c r="D571" s="271" t="s">
        <v>9674</v>
      </c>
      <c r="E571" s="263">
        <v>8</v>
      </c>
      <c r="F571" s="263">
        <v>0</v>
      </c>
      <c r="G571" s="263">
        <v>0</v>
      </c>
      <c r="H571" s="263">
        <v>0</v>
      </c>
      <c r="I571" s="263">
        <v>0</v>
      </c>
      <c r="J571" s="263">
        <v>0</v>
      </c>
      <c r="K571" s="267">
        <v>8</v>
      </c>
    </row>
    <row r="572" spans="1:11">
      <c r="A572" s="9" t="s">
        <v>11022</v>
      </c>
      <c r="B572" s="16">
        <v>4</v>
      </c>
      <c r="C572" s="9"/>
      <c r="D572" s="271" t="s">
        <v>9675</v>
      </c>
      <c r="E572" s="263">
        <v>0</v>
      </c>
      <c r="F572" s="263">
        <v>0</v>
      </c>
      <c r="G572" s="263">
        <v>0</v>
      </c>
      <c r="H572" s="263">
        <v>0</v>
      </c>
      <c r="I572" s="263">
        <v>0</v>
      </c>
      <c r="J572" s="263">
        <v>8</v>
      </c>
      <c r="K572" s="267">
        <v>8</v>
      </c>
    </row>
    <row r="573" spans="1:11">
      <c r="A573" s="9" t="s">
        <v>11023</v>
      </c>
      <c r="B573" s="16">
        <v>4</v>
      </c>
      <c r="C573" s="9"/>
      <c r="D573" s="271" t="s">
        <v>9676</v>
      </c>
      <c r="E573" s="263">
        <v>0</v>
      </c>
      <c r="F573" s="263">
        <v>0</v>
      </c>
      <c r="G573" s="263">
        <v>0</v>
      </c>
      <c r="H573" s="263">
        <v>0</v>
      </c>
      <c r="I573" s="263">
        <v>0</v>
      </c>
      <c r="J573" s="263">
        <v>8</v>
      </c>
      <c r="K573" s="267">
        <v>8</v>
      </c>
    </row>
    <row r="574" spans="1:11">
      <c r="A574" s="9" t="s">
        <v>11024</v>
      </c>
      <c r="B574" s="16">
        <v>4</v>
      </c>
      <c r="C574" s="9"/>
      <c r="D574" s="271" t="s">
        <v>9677</v>
      </c>
      <c r="E574" s="263">
        <v>0</v>
      </c>
      <c r="F574" s="263">
        <v>0</v>
      </c>
      <c r="G574" s="263">
        <v>8</v>
      </c>
      <c r="H574" s="263">
        <v>0</v>
      </c>
      <c r="I574" s="263">
        <v>0</v>
      </c>
      <c r="J574" s="263">
        <v>0</v>
      </c>
      <c r="K574" s="267">
        <v>8</v>
      </c>
    </row>
    <row r="575" spans="1:11">
      <c r="A575" s="9" t="s">
        <v>11025</v>
      </c>
      <c r="B575" s="16">
        <v>4</v>
      </c>
      <c r="C575" s="9"/>
      <c r="D575" s="271" t="s">
        <v>9678</v>
      </c>
      <c r="E575" s="263">
        <v>8</v>
      </c>
      <c r="F575" s="263">
        <v>0</v>
      </c>
      <c r="G575" s="263">
        <v>0</v>
      </c>
      <c r="H575" s="263">
        <v>0</v>
      </c>
      <c r="I575" s="263">
        <v>0</v>
      </c>
      <c r="J575" s="263">
        <v>0</v>
      </c>
      <c r="K575" s="267">
        <v>8</v>
      </c>
    </row>
    <row r="576" spans="1:11">
      <c r="A576" s="9" t="s">
        <v>11026</v>
      </c>
      <c r="B576" s="16">
        <v>4</v>
      </c>
      <c r="C576" s="9"/>
      <c r="D576" s="271" t="s">
        <v>9679</v>
      </c>
      <c r="E576" s="263">
        <v>8</v>
      </c>
      <c r="F576" s="263">
        <v>0</v>
      </c>
      <c r="G576" s="263">
        <v>0</v>
      </c>
      <c r="H576" s="263">
        <v>0</v>
      </c>
      <c r="I576" s="263">
        <v>0</v>
      </c>
      <c r="J576" s="263">
        <v>0</v>
      </c>
      <c r="K576" s="267">
        <v>8</v>
      </c>
    </row>
    <row r="577" spans="1:11">
      <c r="A577" s="9" t="s">
        <v>11027</v>
      </c>
      <c r="B577" s="16">
        <v>4</v>
      </c>
      <c r="C577" s="9"/>
      <c r="D577" s="271" t="s">
        <v>9680</v>
      </c>
      <c r="E577" s="263">
        <v>4</v>
      </c>
      <c r="F577" s="263">
        <v>0</v>
      </c>
      <c r="G577" s="263">
        <v>0</v>
      </c>
      <c r="H577" s="263">
        <v>0</v>
      </c>
      <c r="I577" s="263">
        <v>0</v>
      </c>
      <c r="J577" s="263">
        <v>0</v>
      </c>
      <c r="K577" s="267">
        <v>4</v>
      </c>
    </row>
    <row r="578" spans="1:11">
      <c r="A578" s="9" t="s">
        <v>11028</v>
      </c>
      <c r="B578" s="16">
        <v>4</v>
      </c>
      <c r="C578" s="9"/>
      <c r="D578" s="271" t="s">
        <v>9681</v>
      </c>
      <c r="E578" s="263">
        <v>0</v>
      </c>
      <c r="F578" s="263">
        <v>0</v>
      </c>
      <c r="G578" s="263">
        <v>0</v>
      </c>
      <c r="H578" s="263">
        <v>0</v>
      </c>
      <c r="I578" s="263">
        <v>0</v>
      </c>
      <c r="J578" s="263">
        <v>4</v>
      </c>
      <c r="K578" s="267">
        <v>4</v>
      </c>
    </row>
    <row r="579" spans="1:11">
      <c r="A579" s="9" t="s">
        <v>11029</v>
      </c>
      <c r="B579" s="16">
        <v>4</v>
      </c>
      <c r="C579" s="9"/>
      <c r="D579" s="271" t="s">
        <v>9682</v>
      </c>
      <c r="E579" s="263">
        <v>0</v>
      </c>
      <c r="F579" s="263">
        <v>0</v>
      </c>
      <c r="G579" s="263">
        <v>0</v>
      </c>
      <c r="H579" s="263">
        <v>8</v>
      </c>
      <c r="I579" s="263">
        <v>0</v>
      </c>
      <c r="J579" s="263">
        <v>0</v>
      </c>
      <c r="K579" s="267">
        <v>8</v>
      </c>
    </row>
    <row r="580" spans="1:11">
      <c r="A580" s="9" t="s">
        <v>11030</v>
      </c>
      <c r="B580" s="16">
        <v>4</v>
      </c>
      <c r="C580" s="9"/>
      <c r="D580" s="271" t="s">
        <v>9683</v>
      </c>
      <c r="E580" s="263">
        <v>16</v>
      </c>
      <c r="F580" s="263">
        <v>0</v>
      </c>
      <c r="G580" s="263">
        <v>0</v>
      </c>
      <c r="H580" s="263">
        <v>0</v>
      </c>
      <c r="I580" s="263">
        <v>0</v>
      </c>
      <c r="J580" s="263">
        <v>0</v>
      </c>
      <c r="K580" s="267">
        <v>16</v>
      </c>
    </row>
    <row r="581" spans="1:11">
      <c r="A581" s="9" t="s">
        <v>11031</v>
      </c>
      <c r="B581" s="16">
        <v>4</v>
      </c>
      <c r="C581" s="9"/>
      <c r="D581" s="271" t="s">
        <v>9684</v>
      </c>
      <c r="E581" s="263">
        <v>16</v>
      </c>
      <c r="F581" s="263">
        <v>0</v>
      </c>
      <c r="G581" s="263">
        <v>0</v>
      </c>
      <c r="H581" s="263">
        <v>0</v>
      </c>
      <c r="I581" s="263">
        <v>0</v>
      </c>
      <c r="J581" s="263">
        <v>0</v>
      </c>
      <c r="K581" s="267">
        <v>16</v>
      </c>
    </row>
    <row r="582" spans="1:11">
      <c r="A582" s="9" t="s">
        <v>11032</v>
      </c>
      <c r="B582" s="16">
        <v>4</v>
      </c>
      <c r="C582" s="9"/>
      <c r="D582" s="271" t="s">
        <v>9685</v>
      </c>
      <c r="E582" s="263">
        <v>0</v>
      </c>
      <c r="F582" s="263">
        <v>0</v>
      </c>
      <c r="G582" s="263">
        <v>0</v>
      </c>
      <c r="H582" s="263">
        <v>0</v>
      </c>
      <c r="I582" s="263">
        <v>0</v>
      </c>
      <c r="J582" s="263">
        <v>16</v>
      </c>
      <c r="K582" s="267">
        <v>16</v>
      </c>
    </row>
    <row r="583" spans="1:11">
      <c r="A583" s="9" t="s">
        <v>11033</v>
      </c>
      <c r="B583" s="16">
        <v>4</v>
      </c>
      <c r="C583" s="9"/>
      <c r="D583" s="271" t="s">
        <v>9686</v>
      </c>
      <c r="E583" s="263">
        <v>0</v>
      </c>
      <c r="F583" s="263">
        <v>8</v>
      </c>
      <c r="G583" s="263">
        <v>0</v>
      </c>
      <c r="H583" s="263">
        <v>0</v>
      </c>
      <c r="I583" s="263">
        <v>0</v>
      </c>
      <c r="J583" s="263">
        <v>0</v>
      </c>
      <c r="K583" s="267">
        <v>8</v>
      </c>
    </row>
    <row r="584" spans="1:11">
      <c r="B584" s="16">
        <v>4</v>
      </c>
      <c r="C584" s="9"/>
      <c r="D584" s="271"/>
      <c r="E584" s="263"/>
      <c r="F584" s="263"/>
      <c r="G584" s="263"/>
      <c r="H584" s="263"/>
      <c r="I584" s="263"/>
      <c r="J584" s="263"/>
      <c r="K584" s="267">
        <v>0</v>
      </c>
    </row>
    <row r="585" spans="1:11" ht="15.75" customHeight="1">
      <c r="B585" s="16">
        <v>4</v>
      </c>
      <c r="C585" s="9"/>
      <c r="D585" s="272" t="s">
        <v>3674</v>
      </c>
      <c r="E585" s="273">
        <v>60</v>
      </c>
      <c r="F585" s="273">
        <v>8</v>
      </c>
      <c r="G585" s="273">
        <v>8</v>
      </c>
      <c r="H585" s="273">
        <v>8</v>
      </c>
      <c r="I585" s="273">
        <v>0</v>
      </c>
      <c r="J585" s="273">
        <v>36</v>
      </c>
      <c r="K585" s="273">
        <v>120</v>
      </c>
    </row>
    <row r="586" spans="1:11">
      <c r="C586" s="9"/>
      <c r="D586" s="271"/>
      <c r="E586" s="263"/>
      <c r="F586" s="263"/>
      <c r="G586" s="263"/>
      <c r="H586" s="263"/>
      <c r="I586" s="263"/>
      <c r="J586" s="263"/>
      <c r="K586" s="267">
        <v>0</v>
      </c>
    </row>
    <row r="587" spans="1:11">
      <c r="A587" s="9" t="s">
        <v>11034</v>
      </c>
      <c r="B587" s="16">
        <v>17</v>
      </c>
      <c r="C587" s="9"/>
      <c r="D587" s="271" t="s">
        <v>9687</v>
      </c>
      <c r="E587" s="263">
        <v>8</v>
      </c>
      <c r="F587" s="263">
        <v>0</v>
      </c>
      <c r="G587" s="263">
        <v>0</v>
      </c>
      <c r="H587" s="263">
        <v>0</v>
      </c>
      <c r="I587" s="263">
        <v>0</v>
      </c>
      <c r="J587" s="263">
        <v>0</v>
      </c>
      <c r="K587" s="267">
        <v>8</v>
      </c>
    </row>
    <row r="588" spans="1:11">
      <c r="A588" s="9" t="s">
        <v>11035</v>
      </c>
      <c r="B588" s="16">
        <v>17</v>
      </c>
      <c r="C588" s="9"/>
      <c r="D588" s="271" t="s">
        <v>9688</v>
      </c>
      <c r="E588" s="263">
        <v>0</v>
      </c>
      <c r="F588" s="263">
        <v>0</v>
      </c>
      <c r="G588" s="263">
        <v>0</v>
      </c>
      <c r="H588" s="263">
        <v>0</v>
      </c>
      <c r="I588" s="263">
        <v>0</v>
      </c>
      <c r="J588" s="263">
        <v>8</v>
      </c>
      <c r="K588" s="267">
        <v>8</v>
      </c>
    </row>
    <row r="589" spans="1:11">
      <c r="A589" s="9" t="s">
        <v>11036</v>
      </c>
      <c r="B589" s="16">
        <v>17</v>
      </c>
      <c r="C589" s="9"/>
      <c r="D589" s="271" t="s">
        <v>9689</v>
      </c>
      <c r="E589" s="263">
        <v>0</v>
      </c>
      <c r="F589" s="263">
        <v>0</v>
      </c>
      <c r="G589" s="263">
        <v>0</v>
      </c>
      <c r="H589" s="263">
        <v>0</v>
      </c>
      <c r="I589" s="263">
        <v>0</v>
      </c>
      <c r="J589" s="263">
        <v>8</v>
      </c>
      <c r="K589" s="267">
        <v>8</v>
      </c>
    </row>
    <row r="590" spans="1:11">
      <c r="A590" s="9" t="s">
        <v>11037</v>
      </c>
      <c r="B590" s="16">
        <v>17</v>
      </c>
      <c r="C590" s="9"/>
      <c r="D590" s="271" t="s">
        <v>9690</v>
      </c>
      <c r="E590" s="263">
        <v>0</v>
      </c>
      <c r="F590" s="263">
        <v>0</v>
      </c>
      <c r="G590" s="263">
        <v>8</v>
      </c>
      <c r="H590" s="263">
        <v>0</v>
      </c>
      <c r="I590" s="263">
        <v>0</v>
      </c>
      <c r="J590" s="263">
        <v>0</v>
      </c>
      <c r="K590" s="267">
        <v>8</v>
      </c>
    </row>
    <row r="591" spans="1:11">
      <c r="A591" s="9" t="s">
        <v>11038</v>
      </c>
      <c r="B591" s="16">
        <v>17</v>
      </c>
      <c r="C591" s="9"/>
      <c r="D591" s="271" t="s">
        <v>9691</v>
      </c>
      <c r="E591" s="263">
        <v>8</v>
      </c>
      <c r="F591" s="263">
        <v>0</v>
      </c>
      <c r="G591" s="263">
        <v>0</v>
      </c>
      <c r="H591" s="263">
        <v>0</v>
      </c>
      <c r="I591" s="263">
        <v>0</v>
      </c>
      <c r="J591" s="263">
        <v>0</v>
      </c>
      <c r="K591" s="267">
        <v>8</v>
      </c>
    </row>
    <row r="592" spans="1:11">
      <c r="A592" s="9" t="s">
        <v>11039</v>
      </c>
      <c r="B592" s="16">
        <v>17</v>
      </c>
      <c r="C592" s="9"/>
      <c r="D592" s="271" t="s">
        <v>9692</v>
      </c>
      <c r="E592" s="263">
        <v>8</v>
      </c>
      <c r="F592" s="263">
        <v>0</v>
      </c>
      <c r="G592" s="263">
        <v>0</v>
      </c>
      <c r="H592" s="263">
        <v>0</v>
      </c>
      <c r="I592" s="263">
        <v>0</v>
      </c>
      <c r="J592" s="263">
        <v>0</v>
      </c>
      <c r="K592" s="267">
        <v>8</v>
      </c>
    </row>
    <row r="593" spans="1:11">
      <c r="A593" s="9" t="s">
        <v>11040</v>
      </c>
      <c r="B593" s="16">
        <v>17</v>
      </c>
      <c r="C593" s="9"/>
      <c r="D593" s="271" t="s">
        <v>9693</v>
      </c>
      <c r="E593" s="263">
        <v>4</v>
      </c>
      <c r="F593" s="263">
        <v>0</v>
      </c>
      <c r="G593" s="263">
        <v>0</v>
      </c>
      <c r="H593" s="263">
        <v>0</v>
      </c>
      <c r="I593" s="263">
        <v>0</v>
      </c>
      <c r="J593" s="263">
        <v>0</v>
      </c>
      <c r="K593" s="267">
        <v>4</v>
      </c>
    </row>
    <row r="594" spans="1:11">
      <c r="A594" s="9" t="s">
        <v>11041</v>
      </c>
      <c r="B594" s="16">
        <v>17</v>
      </c>
      <c r="C594" s="9"/>
      <c r="D594" s="271" t="s">
        <v>9694</v>
      </c>
      <c r="E594" s="263">
        <v>0</v>
      </c>
      <c r="F594" s="263">
        <v>0</v>
      </c>
      <c r="G594" s="263">
        <v>0</v>
      </c>
      <c r="H594" s="263">
        <v>0</v>
      </c>
      <c r="I594" s="263">
        <v>0</v>
      </c>
      <c r="J594" s="263">
        <v>4</v>
      </c>
      <c r="K594" s="267">
        <v>4</v>
      </c>
    </row>
    <row r="595" spans="1:11">
      <c r="A595" s="9" t="s">
        <v>11042</v>
      </c>
      <c r="B595" s="16">
        <v>17</v>
      </c>
      <c r="C595" s="9"/>
      <c r="D595" s="271" t="s">
        <v>9695</v>
      </c>
      <c r="E595" s="263">
        <v>0</v>
      </c>
      <c r="F595" s="263">
        <v>0</v>
      </c>
      <c r="G595" s="263">
        <v>0</v>
      </c>
      <c r="H595" s="263">
        <v>0</v>
      </c>
      <c r="I595" s="263">
        <v>0</v>
      </c>
      <c r="J595" s="263">
        <v>8</v>
      </c>
      <c r="K595" s="267">
        <v>8</v>
      </c>
    </row>
    <row r="596" spans="1:11">
      <c r="A596" s="9" t="s">
        <v>11043</v>
      </c>
      <c r="B596" s="16">
        <v>17</v>
      </c>
      <c r="C596" s="9"/>
      <c r="D596" s="271" t="s">
        <v>9696</v>
      </c>
      <c r="E596" s="263">
        <v>16</v>
      </c>
      <c r="F596" s="263">
        <v>0</v>
      </c>
      <c r="G596" s="263">
        <v>0</v>
      </c>
      <c r="H596" s="263">
        <v>0</v>
      </c>
      <c r="I596" s="263">
        <v>0</v>
      </c>
      <c r="J596" s="263">
        <v>0</v>
      </c>
      <c r="K596" s="267">
        <v>16</v>
      </c>
    </row>
    <row r="597" spans="1:11">
      <c r="A597" s="9" t="s">
        <v>11044</v>
      </c>
      <c r="B597" s="16">
        <v>17</v>
      </c>
      <c r="C597" s="9"/>
      <c r="D597" s="271" t="s">
        <v>9697</v>
      </c>
      <c r="E597" s="263">
        <v>16</v>
      </c>
      <c r="F597" s="263">
        <v>0</v>
      </c>
      <c r="G597" s="263">
        <v>0</v>
      </c>
      <c r="H597" s="263">
        <v>0</v>
      </c>
      <c r="I597" s="263">
        <v>0</v>
      </c>
      <c r="J597" s="263">
        <v>0</v>
      </c>
      <c r="K597" s="267">
        <v>16</v>
      </c>
    </row>
    <row r="598" spans="1:11">
      <c r="A598" s="9" t="s">
        <v>11045</v>
      </c>
      <c r="B598" s="16">
        <v>17</v>
      </c>
      <c r="C598" s="9"/>
      <c r="D598" s="271" t="s">
        <v>9698</v>
      </c>
      <c r="E598" s="263">
        <v>0</v>
      </c>
      <c r="F598" s="263">
        <v>0</v>
      </c>
      <c r="G598" s="263">
        <v>0</v>
      </c>
      <c r="H598" s="263">
        <v>0</v>
      </c>
      <c r="I598" s="263">
        <v>0</v>
      </c>
      <c r="J598" s="263">
        <v>16</v>
      </c>
      <c r="K598" s="267">
        <v>16</v>
      </c>
    </row>
    <row r="599" spans="1:11">
      <c r="A599" s="9" t="s">
        <v>11046</v>
      </c>
      <c r="B599" s="16">
        <v>17</v>
      </c>
      <c r="C599" s="9"/>
      <c r="D599" s="271" t="s">
        <v>4719</v>
      </c>
      <c r="E599" s="263">
        <v>0</v>
      </c>
      <c r="F599" s="263">
        <v>8</v>
      </c>
      <c r="G599" s="263">
        <v>0</v>
      </c>
      <c r="H599" s="263">
        <v>0</v>
      </c>
      <c r="I599" s="263">
        <v>0</v>
      </c>
      <c r="J599" s="263">
        <v>0</v>
      </c>
      <c r="K599" s="267">
        <v>8</v>
      </c>
    </row>
    <row r="600" spans="1:11">
      <c r="B600" s="16">
        <v>17</v>
      </c>
      <c r="C600" s="9"/>
      <c r="D600" s="271"/>
      <c r="E600" s="263"/>
      <c r="F600" s="263"/>
      <c r="G600" s="263"/>
      <c r="H600" s="263"/>
      <c r="I600" s="263"/>
      <c r="J600" s="263"/>
      <c r="K600" s="267">
        <v>0</v>
      </c>
    </row>
    <row r="601" spans="1:11" ht="15.75" customHeight="1">
      <c r="B601" s="16">
        <v>17</v>
      </c>
      <c r="C601" s="9"/>
      <c r="D601" s="272" t="s">
        <v>3674</v>
      </c>
      <c r="E601" s="273">
        <v>60</v>
      </c>
      <c r="F601" s="273">
        <v>8</v>
      </c>
      <c r="G601" s="273">
        <v>8</v>
      </c>
      <c r="H601" s="273">
        <v>0</v>
      </c>
      <c r="I601" s="273">
        <v>0</v>
      </c>
      <c r="J601" s="273">
        <v>44</v>
      </c>
      <c r="K601" s="273">
        <v>120</v>
      </c>
    </row>
    <row r="602" spans="1:11">
      <c r="C602" s="9"/>
      <c r="D602" s="271"/>
      <c r="E602" s="263"/>
      <c r="F602" s="263"/>
      <c r="G602" s="263"/>
      <c r="H602" s="263"/>
      <c r="I602" s="263"/>
      <c r="J602" s="263"/>
      <c r="K602" s="267">
        <v>0</v>
      </c>
    </row>
    <row r="603" spans="1:11">
      <c r="A603" s="9" t="s">
        <v>11047</v>
      </c>
      <c r="B603" s="16">
        <v>18</v>
      </c>
      <c r="C603" s="9"/>
      <c r="D603" s="271" t="s">
        <v>9699</v>
      </c>
      <c r="E603" s="263">
        <v>0</v>
      </c>
      <c r="F603" s="263">
        <v>0</v>
      </c>
      <c r="G603" s="263">
        <v>0</v>
      </c>
      <c r="H603" s="263">
        <v>8</v>
      </c>
      <c r="I603" s="263">
        <v>0</v>
      </c>
      <c r="J603" s="263">
        <v>0</v>
      </c>
      <c r="K603" s="267">
        <v>8</v>
      </c>
    </row>
    <row r="604" spans="1:11">
      <c r="A604" s="9" t="s">
        <v>11048</v>
      </c>
      <c r="B604" s="16">
        <v>18</v>
      </c>
      <c r="C604" s="9"/>
      <c r="D604" s="271" t="s">
        <v>9700</v>
      </c>
      <c r="E604" s="263">
        <v>0</v>
      </c>
      <c r="F604" s="263">
        <v>0</v>
      </c>
      <c r="G604" s="263">
        <v>0</v>
      </c>
      <c r="H604" s="263">
        <v>20</v>
      </c>
      <c r="I604" s="263">
        <v>0</v>
      </c>
      <c r="J604" s="263">
        <v>0</v>
      </c>
      <c r="K604" s="267">
        <v>20</v>
      </c>
    </row>
    <row r="605" spans="1:11">
      <c r="A605" s="9" t="s">
        <v>11049</v>
      </c>
      <c r="B605" s="16">
        <v>18</v>
      </c>
      <c r="C605" s="9"/>
      <c r="D605" s="271" t="s">
        <v>9701</v>
      </c>
      <c r="E605" s="263">
        <v>8</v>
      </c>
      <c r="F605" s="263">
        <v>0</v>
      </c>
      <c r="G605" s="263">
        <v>0</v>
      </c>
      <c r="H605" s="263">
        <v>0</v>
      </c>
      <c r="I605" s="263">
        <v>0</v>
      </c>
      <c r="J605" s="263">
        <v>0</v>
      </c>
      <c r="K605" s="267">
        <v>8</v>
      </c>
    </row>
    <row r="606" spans="1:11">
      <c r="A606" s="9" t="s">
        <v>11050</v>
      </c>
      <c r="B606" s="16">
        <v>18</v>
      </c>
      <c r="C606" s="9"/>
      <c r="D606" s="271" t="s">
        <v>9702</v>
      </c>
      <c r="E606" s="263">
        <v>0</v>
      </c>
      <c r="F606" s="263">
        <v>0</v>
      </c>
      <c r="G606" s="263">
        <v>0</v>
      </c>
      <c r="H606" s="263">
        <v>0</v>
      </c>
      <c r="I606" s="263">
        <v>0</v>
      </c>
      <c r="J606" s="263">
        <v>8</v>
      </c>
      <c r="K606" s="267">
        <v>8</v>
      </c>
    </row>
    <row r="607" spans="1:11">
      <c r="A607" s="9" t="s">
        <v>11051</v>
      </c>
      <c r="B607" s="16">
        <v>18</v>
      </c>
      <c r="C607" s="9"/>
      <c r="D607" s="271" t="s">
        <v>9703</v>
      </c>
      <c r="E607" s="263">
        <v>0</v>
      </c>
      <c r="F607" s="263">
        <v>0</v>
      </c>
      <c r="G607" s="263">
        <v>0</v>
      </c>
      <c r="H607" s="263">
        <v>0</v>
      </c>
      <c r="I607" s="263">
        <v>0</v>
      </c>
      <c r="J607" s="263">
        <v>8</v>
      </c>
      <c r="K607" s="267">
        <v>8</v>
      </c>
    </row>
    <row r="608" spans="1:11">
      <c r="A608" s="9" t="s">
        <v>11052</v>
      </c>
      <c r="B608" s="16">
        <v>18</v>
      </c>
      <c r="C608" s="9"/>
      <c r="D608" s="271" t="s">
        <v>9704</v>
      </c>
      <c r="E608" s="263">
        <v>0</v>
      </c>
      <c r="F608" s="263">
        <v>0</v>
      </c>
      <c r="G608" s="263">
        <v>0</v>
      </c>
      <c r="H608" s="263">
        <v>0</v>
      </c>
      <c r="I608" s="263">
        <v>0</v>
      </c>
      <c r="J608" s="263">
        <v>20</v>
      </c>
      <c r="K608" s="267">
        <v>20</v>
      </c>
    </row>
    <row r="609" spans="1:11">
      <c r="A609" s="9" t="s">
        <v>11053</v>
      </c>
      <c r="B609" s="16">
        <v>18</v>
      </c>
      <c r="C609" s="9"/>
      <c r="D609" s="271" t="s">
        <v>9705</v>
      </c>
      <c r="E609" s="263">
        <v>8</v>
      </c>
      <c r="F609" s="263">
        <v>0</v>
      </c>
      <c r="G609" s="263">
        <v>0</v>
      </c>
      <c r="H609" s="263">
        <v>0</v>
      </c>
      <c r="I609" s="263">
        <v>0</v>
      </c>
      <c r="J609" s="263">
        <v>0</v>
      </c>
      <c r="K609" s="267">
        <v>8</v>
      </c>
    </row>
    <row r="610" spans="1:11">
      <c r="A610" s="9" t="s">
        <v>11054</v>
      </c>
      <c r="B610" s="16">
        <v>18</v>
      </c>
      <c r="C610" s="9"/>
      <c r="D610" s="271" t="s">
        <v>9706</v>
      </c>
      <c r="E610" s="263">
        <v>8</v>
      </c>
      <c r="F610" s="263">
        <v>0</v>
      </c>
      <c r="G610" s="263">
        <v>0</v>
      </c>
      <c r="H610" s="263">
        <v>0</v>
      </c>
      <c r="I610" s="263">
        <v>0</v>
      </c>
      <c r="J610" s="263">
        <v>0</v>
      </c>
      <c r="K610" s="267">
        <v>8</v>
      </c>
    </row>
    <row r="611" spans="1:11">
      <c r="A611" s="9" t="s">
        <v>11055</v>
      </c>
      <c r="B611" s="16">
        <v>18</v>
      </c>
      <c r="C611" s="9"/>
      <c r="D611" s="271" t="s">
        <v>9707</v>
      </c>
      <c r="E611" s="263">
        <v>0</v>
      </c>
      <c r="F611" s="263">
        <v>0</v>
      </c>
      <c r="G611" s="263">
        <v>8</v>
      </c>
      <c r="H611" s="263">
        <v>0</v>
      </c>
      <c r="I611" s="263">
        <v>0</v>
      </c>
      <c r="J611" s="263">
        <v>0</v>
      </c>
      <c r="K611" s="267">
        <v>8</v>
      </c>
    </row>
    <row r="612" spans="1:11">
      <c r="A612" s="9" t="s">
        <v>11056</v>
      </c>
      <c r="B612" s="16">
        <v>18</v>
      </c>
      <c r="C612" s="9"/>
      <c r="D612" s="271" t="s">
        <v>9708</v>
      </c>
      <c r="E612" s="263">
        <v>8</v>
      </c>
      <c r="F612" s="263">
        <v>0</v>
      </c>
      <c r="G612" s="263">
        <v>0</v>
      </c>
      <c r="H612" s="263">
        <v>0</v>
      </c>
      <c r="I612" s="263">
        <v>0</v>
      </c>
      <c r="J612" s="263">
        <v>0</v>
      </c>
      <c r="K612" s="267">
        <v>8</v>
      </c>
    </row>
    <row r="613" spans="1:11">
      <c r="A613" s="9" t="s">
        <v>11057</v>
      </c>
      <c r="B613" s="16">
        <v>18</v>
      </c>
      <c r="C613" s="9"/>
      <c r="D613" s="271" t="s">
        <v>9709</v>
      </c>
      <c r="E613" s="263">
        <v>0</v>
      </c>
      <c r="F613" s="263">
        <v>0</v>
      </c>
      <c r="G613" s="263">
        <v>8</v>
      </c>
      <c r="H613" s="263">
        <v>0</v>
      </c>
      <c r="I613" s="263">
        <v>0</v>
      </c>
      <c r="J613" s="263">
        <v>0</v>
      </c>
      <c r="K613" s="267">
        <v>8</v>
      </c>
    </row>
    <row r="614" spans="1:11">
      <c r="A614" s="9" t="s">
        <v>11058</v>
      </c>
      <c r="B614" s="16">
        <v>18</v>
      </c>
      <c r="C614" s="9"/>
      <c r="D614" s="271" t="s">
        <v>4720</v>
      </c>
      <c r="E614" s="263">
        <v>0</v>
      </c>
      <c r="F614" s="263">
        <v>8</v>
      </c>
      <c r="G614" s="263">
        <v>0</v>
      </c>
      <c r="H614" s="263">
        <v>0</v>
      </c>
      <c r="I614" s="263">
        <v>0</v>
      </c>
      <c r="J614" s="263">
        <v>0</v>
      </c>
      <c r="K614" s="267">
        <v>8</v>
      </c>
    </row>
    <row r="615" spans="1:11">
      <c r="B615" s="16">
        <v>18</v>
      </c>
      <c r="C615" s="9"/>
      <c r="D615" s="271"/>
      <c r="E615" s="263"/>
      <c r="F615" s="263"/>
      <c r="G615" s="263"/>
      <c r="H615" s="263"/>
      <c r="I615" s="263"/>
      <c r="J615" s="263"/>
      <c r="K615" s="267">
        <v>0</v>
      </c>
    </row>
    <row r="616" spans="1:11" ht="15.75" customHeight="1">
      <c r="B616" s="16">
        <v>18</v>
      </c>
      <c r="C616" s="9"/>
      <c r="D616" s="272" t="s">
        <v>3674</v>
      </c>
      <c r="E616" s="273">
        <v>32</v>
      </c>
      <c r="F616" s="273">
        <v>8</v>
      </c>
      <c r="G616" s="273">
        <v>16</v>
      </c>
      <c r="H616" s="273">
        <v>28</v>
      </c>
      <c r="I616" s="273">
        <v>0</v>
      </c>
      <c r="J616" s="273">
        <v>36</v>
      </c>
      <c r="K616" s="273">
        <v>120</v>
      </c>
    </row>
    <row r="617" spans="1:11">
      <c r="C617" s="9"/>
      <c r="D617" s="271"/>
      <c r="E617" s="263"/>
      <c r="F617" s="263"/>
      <c r="G617" s="263"/>
      <c r="H617" s="263"/>
      <c r="I617" s="263"/>
      <c r="J617" s="263"/>
      <c r="K617" s="267">
        <v>0</v>
      </c>
    </row>
    <row r="618" spans="1:11">
      <c r="A618" s="9" t="s">
        <v>11059</v>
      </c>
      <c r="B618" s="16">
        <v>19</v>
      </c>
      <c r="C618" s="9"/>
      <c r="D618" s="271" t="s">
        <v>9710</v>
      </c>
      <c r="E618" s="263">
        <v>8</v>
      </c>
      <c r="F618" s="263">
        <v>0</v>
      </c>
      <c r="G618" s="263">
        <v>0</v>
      </c>
      <c r="H618" s="263">
        <v>0</v>
      </c>
      <c r="I618" s="263">
        <v>0</v>
      </c>
      <c r="J618" s="263">
        <v>0</v>
      </c>
      <c r="K618" s="267">
        <v>8</v>
      </c>
    </row>
    <row r="619" spans="1:11">
      <c r="A619" s="9" t="s">
        <v>11060</v>
      </c>
      <c r="B619" s="16">
        <v>19</v>
      </c>
      <c r="C619" s="9"/>
      <c r="D619" s="271" t="s">
        <v>9711</v>
      </c>
      <c r="E619" s="263">
        <v>8</v>
      </c>
      <c r="F619" s="263">
        <v>0</v>
      </c>
      <c r="G619" s="263">
        <v>0</v>
      </c>
      <c r="H619" s="263">
        <v>0</v>
      </c>
      <c r="I619" s="263">
        <v>0</v>
      </c>
      <c r="J619" s="263">
        <v>0</v>
      </c>
      <c r="K619" s="267">
        <v>8</v>
      </c>
    </row>
    <row r="620" spans="1:11">
      <c r="A620" s="9" t="s">
        <v>11061</v>
      </c>
      <c r="B620" s="16">
        <v>19</v>
      </c>
      <c r="C620" s="9"/>
      <c r="D620" s="271" t="s">
        <v>9712</v>
      </c>
      <c r="E620" s="263">
        <v>8</v>
      </c>
      <c r="F620" s="263">
        <v>0</v>
      </c>
      <c r="G620" s="263">
        <v>0</v>
      </c>
      <c r="H620" s="263">
        <v>0</v>
      </c>
      <c r="I620" s="263">
        <v>0</v>
      </c>
      <c r="J620" s="263">
        <v>0</v>
      </c>
      <c r="K620" s="267">
        <v>8</v>
      </c>
    </row>
    <row r="621" spans="1:11">
      <c r="A621" s="9" t="s">
        <v>11062</v>
      </c>
      <c r="B621" s="16">
        <v>19</v>
      </c>
      <c r="C621" s="9"/>
      <c r="D621" s="271" t="s">
        <v>9713</v>
      </c>
      <c r="E621" s="263">
        <v>0</v>
      </c>
      <c r="F621" s="263">
        <v>0</v>
      </c>
      <c r="G621" s="263">
        <v>0</v>
      </c>
      <c r="H621" s="263">
        <v>0</v>
      </c>
      <c r="I621" s="263">
        <v>0</v>
      </c>
      <c r="J621" s="263">
        <v>8</v>
      </c>
      <c r="K621" s="267">
        <v>8</v>
      </c>
    </row>
    <row r="622" spans="1:11">
      <c r="A622" s="9" t="s">
        <v>11063</v>
      </c>
      <c r="B622" s="16">
        <v>19</v>
      </c>
      <c r="C622" s="9"/>
      <c r="D622" s="271" t="s">
        <v>9714</v>
      </c>
      <c r="E622" s="263">
        <v>0</v>
      </c>
      <c r="F622" s="263">
        <v>0</v>
      </c>
      <c r="G622" s="263">
        <v>0</v>
      </c>
      <c r="H622" s="263">
        <v>0</v>
      </c>
      <c r="I622" s="263">
        <v>0</v>
      </c>
      <c r="J622" s="263">
        <v>8</v>
      </c>
      <c r="K622" s="267">
        <v>8</v>
      </c>
    </row>
    <row r="623" spans="1:11">
      <c r="A623" s="9" t="s">
        <v>11064</v>
      </c>
      <c r="B623" s="16">
        <v>19</v>
      </c>
      <c r="C623" s="9"/>
      <c r="D623" s="271" t="s">
        <v>9715</v>
      </c>
      <c r="E623" s="263">
        <v>0</v>
      </c>
      <c r="F623" s="263">
        <v>0</v>
      </c>
      <c r="G623" s="263">
        <v>0</v>
      </c>
      <c r="H623" s="263">
        <v>0</v>
      </c>
      <c r="I623" s="263">
        <v>0</v>
      </c>
      <c r="J623" s="263">
        <v>8</v>
      </c>
      <c r="K623" s="267">
        <v>8</v>
      </c>
    </row>
    <row r="624" spans="1:11">
      <c r="A624" s="9" t="s">
        <v>11065</v>
      </c>
      <c r="B624" s="16">
        <v>19</v>
      </c>
      <c r="C624" s="9"/>
      <c r="D624" s="271" t="s">
        <v>9716</v>
      </c>
      <c r="E624" s="263">
        <v>0</v>
      </c>
      <c r="F624" s="263">
        <v>0</v>
      </c>
      <c r="G624" s="263">
        <v>0</v>
      </c>
      <c r="H624" s="263">
        <v>0</v>
      </c>
      <c r="I624" s="263">
        <v>0</v>
      </c>
      <c r="J624" s="263">
        <v>8</v>
      </c>
      <c r="K624" s="267">
        <v>8</v>
      </c>
    </row>
    <row r="625" spans="1:11">
      <c r="A625" s="9" t="s">
        <v>11066</v>
      </c>
      <c r="B625" s="16">
        <v>19</v>
      </c>
      <c r="C625" s="9"/>
      <c r="D625" s="271" t="s">
        <v>9717</v>
      </c>
      <c r="E625" s="263">
        <v>8</v>
      </c>
      <c r="F625" s="263">
        <v>0</v>
      </c>
      <c r="G625" s="263">
        <v>0</v>
      </c>
      <c r="H625" s="263">
        <v>0</v>
      </c>
      <c r="I625" s="263">
        <v>0</v>
      </c>
      <c r="J625" s="263">
        <v>0</v>
      </c>
      <c r="K625" s="267">
        <v>8</v>
      </c>
    </row>
    <row r="626" spans="1:11">
      <c r="A626" s="9" t="s">
        <v>11067</v>
      </c>
      <c r="B626" s="16">
        <v>19</v>
      </c>
      <c r="C626" s="9"/>
      <c r="D626" s="271" t="s">
        <v>4721</v>
      </c>
      <c r="E626" s="263">
        <v>0</v>
      </c>
      <c r="F626" s="263">
        <v>8</v>
      </c>
      <c r="G626" s="263">
        <v>0</v>
      </c>
      <c r="H626" s="263">
        <v>0</v>
      </c>
      <c r="I626" s="263">
        <v>0</v>
      </c>
      <c r="J626" s="263">
        <v>0</v>
      </c>
      <c r="K626" s="267">
        <v>8</v>
      </c>
    </row>
    <row r="627" spans="1:11">
      <c r="A627" s="9" t="s">
        <v>11068</v>
      </c>
      <c r="B627" s="16">
        <v>19</v>
      </c>
      <c r="C627" s="9"/>
      <c r="D627" s="271" t="s">
        <v>9718</v>
      </c>
      <c r="E627" s="263">
        <v>16</v>
      </c>
      <c r="F627" s="263">
        <v>0</v>
      </c>
      <c r="G627" s="263">
        <v>0</v>
      </c>
      <c r="H627" s="263">
        <v>0</v>
      </c>
      <c r="I627" s="263">
        <v>0</v>
      </c>
      <c r="J627" s="263">
        <v>0</v>
      </c>
      <c r="K627" s="267">
        <v>16</v>
      </c>
    </row>
    <row r="628" spans="1:11">
      <c r="A628" s="9" t="s">
        <v>11069</v>
      </c>
      <c r="B628" s="16">
        <v>19</v>
      </c>
      <c r="C628" s="9"/>
      <c r="D628" s="271" t="s">
        <v>9719</v>
      </c>
      <c r="E628" s="263">
        <v>16</v>
      </c>
      <c r="F628" s="263">
        <v>0</v>
      </c>
      <c r="G628" s="263">
        <v>0</v>
      </c>
      <c r="H628" s="263">
        <v>0</v>
      </c>
      <c r="I628" s="263">
        <v>0</v>
      </c>
      <c r="J628" s="263">
        <v>0</v>
      </c>
      <c r="K628" s="267">
        <v>16</v>
      </c>
    </row>
    <row r="629" spans="1:11">
      <c r="A629" s="9" t="s">
        <v>11070</v>
      </c>
      <c r="B629" s="16">
        <v>19</v>
      </c>
      <c r="C629" s="9"/>
      <c r="D629" s="271" t="s">
        <v>9720</v>
      </c>
      <c r="E629" s="263">
        <v>0</v>
      </c>
      <c r="F629" s="263">
        <v>0</v>
      </c>
      <c r="G629" s="263">
        <v>0</v>
      </c>
      <c r="H629" s="263">
        <v>0</v>
      </c>
      <c r="I629" s="263">
        <v>0</v>
      </c>
      <c r="J629" s="263">
        <v>16</v>
      </c>
      <c r="K629" s="267">
        <v>16</v>
      </c>
    </row>
    <row r="630" spans="1:11">
      <c r="B630" s="16">
        <v>19</v>
      </c>
      <c r="C630" s="9"/>
      <c r="D630" s="271"/>
      <c r="E630" s="263"/>
      <c r="F630" s="263"/>
      <c r="G630" s="263"/>
      <c r="H630" s="263"/>
      <c r="I630" s="263"/>
      <c r="J630" s="263"/>
      <c r="K630" s="267">
        <v>0</v>
      </c>
    </row>
    <row r="631" spans="1:11" ht="15.75" customHeight="1">
      <c r="B631" s="16">
        <v>19</v>
      </c>
      <c r="C631" s="9"/>
      <c r="D631" s="272" t="s">
        <v>3674</v>
      </c>
      <c r="E631" s="273">
        <v>64</v>
      </c>
      <c r="F631" s="273">
        <v>8</v>
      </c>
      <c r="G631" s="273">
        <v>0</v>
      </c>
      <c r="H631" s="273">
        <v>0</v>
      </c>
      <c r="I631" s="273">
        <v>0</v>
      </c>
      <c r="J631" s="273">
        <v>48</v>
      </c>
      <c r="K631" s="273">
        <v>120</v>
      </c>
    </row>
    <row r="632" spans="1:11">
      <c r="C632" s="9"/>
      <c r="D632" s="271"/>
      <c r="E632" s="263"/>
      <c r="F632" s="263"/>
      <c r="G632" s="263"/>
      <c r="H632" s="263"/>
      <c r="I632" s="263"/>
      <c r="J632" s="263"/>
      <c r="K632" s="267">
        <v>0</v>
      </c>
    </row>
    <row r="633" spans="1:11" ht="15.75" customHeight="1">
      <c r="B633" s="16">
        <v>0</v>
      </c>
      <c r="C633" s="9"/>
      <c r="D633" s="269" t="s">
        <v>13080</v>
      </c>
      <c r="E633" s="270">
        <v>311.2</v>
      </c>
      <c r="F633" s="270">
        <v>48</v>
      </c>
      <c r="G633" s="270">
        <v>52</v>
      </c>
      <c r="H633" s="270">
        <v>54.4</v>
      </c>
      <c r="I633" s="270">
        <v>0</v>
      </c>
      <c r="J633" s="270">
        <v>254.4</v>
      </c>
      <c r="K633" s="270">
        <v>720</v>
      </c>
    </row>
    <row r="634" spans="1:11">
      <c r="C634" s="9"/>
      <c r="D634" s="271"/>
      <c r="E634" s="263"/>
      <c r="F634" s="263"/>
      <c r="G634" s="263"/>
      <c r="H634" s="263"/>
      <c r="I634" s="263"/>
      <c r="J634" s="263"/>
      <c r="K634" s="267">
        <v>0</v>
      </c>
    </row>
    <row r="635" spans="1:11">
      <c r="C635" s="9"/>
      <c r="D635" s="271" t="s">
        <v>4272</v>
      </c>
      <c r="E635" s="263"/>
      <c r="F635" s="263"/>
      <c r="G635" s="263"/>
      <c r="H635" s="263"/>
      <c r="I635" s="263"/>
      <c r="J635" s="263"/>
      <c r="K635" s="267">
        <v>0</v>
      </c>
    </row>
    <row r="636" spans="1:11">
      <c r="C636" s="9"/>
      <c r="D636" s="271"/>
      <c r="E636" s="263"/>
      <c r="F636" s="263"/>
      <c r="G636" s="263"/>
      <c r="H636" s="263"/>
      <c r="I636" s="263"/>
      <c r="J636" s="263"/>
      <c r="K636" s="267">
        <v>0</v>
      </c>
    </row>
    <row r="637" spans="1:11">
      <c r="A637" s="9" t="s">
        <v>11071</v>
      </c>
      <c r="B637" s="16">
        <v>1</v>
      </c>
      <c r="C637" s="9"/>
      <c r="D637" s="271" t="s">
        <v>9782</v>
      </c>
      <c r="E637" s="263">
        <v>0</v>
      </c>
      <c r="F637" s="263">
        <v>0</v>
      </c>
      <c r="G637" s="263">
        <v>0</v>
      </c>
      <c r="H637" s="263">
        <v>0</v>
      </c>
      <c r="I637" s="263">
        <v>0</v>
      </c>
      <c r="J637" s="263">
        <v>8</v>
      </c>
      <c r="K637" s="267">
        <v>8</v>
      </c>
    </row>
    <row r="638" spans="1:11">
      <c r="A638" s="9" t="s">
        <v>11072</v>
      </c>
      <c r="B638" s="16">
        <v>1</v>
      </c>
      <c r="C638" s="9"/>
      <c r="D638" s="271" t="s">
        <v>9783</v>
      </c>
      <c r="E638" s="263">
        <v>0</v>
      </c>
      <c r="F638" s="263">
        <v>0</v>
      </c>
      <c r="G638" s="263">
        <v>0</v>
      </c>
      <c r="H638" s="263">
        <v>8</v>
      </c>
      <c r="I638" s="263">
        <v>0</v>
      </c>
      <c r="J638" s="263">
        <v>0</v>
      </c>
      <c r="K638" s="267">
        <v>8</v>
      </c>
    </row>
    <row r="639" spans="1:11">
      <c r="A639" s="9" t="s">
        <v>11073</v>
      </c>
      <c r="B639" s="16">
        <v>1</v>
      </c>
      <c r="C639" s="9"/>
      <c r="D639" s="271" t="s">
        <v>9784</v>
      </c>
      <c r="E639" s="263">
        <v>0</v>
      </c>
      <c r="F639" s="263">
        <v>4</v>
      </c>
      <c r="G639" s="263">
        <v>0</v>
      </c>
      <c r="H639" s="263">
        <v>0</v>
      </c>
      <c r="I639" s="263">
        <v>0</v>
      </c>
      <c r="J639" s="263">
        <v>0</v>
      </c>
      <c r="K639" s="267">
        <v>4</v>
      </c>
    </row>
    <row r="640" spans="1:11">
      <c r="A640" s="9" t="s">
        <v>11074</v>
      </c>
      <c r="B640" s="16">
        <v>1</v>
      </c>
      <c r="C640" s="9"/>
      <c r="D640" s="271" t="s">
        <v>9785</v>
      </c>
      <c r="E640" s="263">
        <v>0</v>
      </c>
      <c r="F640" s="263">
        <v>8</v>
      </c>
      <c r="G640" s="263">
        <v>0</v>
      </c>
      <c r="H640" s="263">
        <v>0</v>
      </c>
      <c r="I640" s="263">
        <v>0</v>
      </c>
      <c r="J640" s="263">
        <v>0</v>
      </c>
      <c r="K640" s="267">
        <v>8</v>
      </c>
    </row>
    <row r="641" spans="1:11">
      <c r="A641" s="9" t="s">
        <v>11075</v>
      </c>
      <c r="B641" s="16">
        <v>1</v>
      </c>
      <c r="C641" s="9"/>
      <c r="D641" s="271" t="s">
        <v>9786</v>
      </c>
      <c r="E641" s="263">
        <v>0</v>
      </c>
      <c r="F641" s="263">
        <v>1.6</v>
      </c>
      <c r="G641" s="263">
        <v>0</v>
      </c>
      <c r="H641" s="263">
        <v>0</v>
      </c>
      <c r="I641" s="263">
        <v>0</v>
      </c>
      <c r="J641" s="263">
        <v>0</v>
      </c>
      <c r="K641" s="267">
        <v>1.6</v>
      </c>
    </row>
    <row r="642" spans="1:11">
      <c r="A642" s="9" t="s">
        <v>11076</v>
      </c>
      <c r="B642" s="16">
        <v>1</v>
      </c>
      <c r="C642" s="9"/>
      <c r="D642" s="271" t="s">
        <v>9787</v>
      </c>
      <c r="E642" s="263">
        <v>0</v>
      </c>
      <c r="F642" s="263">
        <v>2.4000000000000004</v>
      </c>
      <c r="G642" s="263">
        <v>0</v>
      </c>
      <c r="H642" s="263">
        <v>0</v>
      </c>
      <c r="I642" s="263">
        <v>0</v>
      </c>
      <c r="J642" s="263">
        <v>0</v>
      </c>
      <c r="K642" s="267">
        <v>2.4000000000000004</v>
      </c>
    </row>
    <row r="643" spans="1:11">
      <c r="B643" s="16">
        <v>1</v>
      </c>
      <c r="C643" s="9"/>
      <c r="D643" s="271"/>
      <c r="E643" s="263"/>
      <c r="F643" s="263"/>
      <c r="G643" s="263"/>
      <c r="H643" s="263"/>
      <c r="I643" s="263"/>
      <c r="J643" s="263"/>
      <c r="K643" s="267">
        <v>0</v>
      </c>
    </row>
    <row r="644" spans="1:11" ht="15.75" customHeight="1">
      <c r="B644" s="16">
        <v>1</v>
      </c>
      <c r="C644" s="9"/>
      <c r="D644" s="272" t="s">
        <v>3674</v>
      </c>
      <c r="E644" s="273">
        <v>0</v>
      </c>
      <c r="F644" s="273">
        <v>16</v>
      </c>
      <c r="G644" s="273">
        <v>0</v>
      </c>
      <c r="H644" s="273">
        <v>8</v>
      </c>
      <c r="I644" s="273">
        <v>0</v>
      </c>
      <c r="J644" s="273">
        <v>8</v>
      </c>
      <c r="K644" s="273">
        <v>32</v>
      </c>
    </row>
    <row r="645" spans="1:11">
      <c r="C645" s="9"/>
      <c r="D645" s="271"/>
      <c r="E645" s="263"/>
      <c r="F645" s="263"/>
      <c r="G645" s="263"/>
      <c r="H645" s="263"/>
      <c r="I645" s="263"/>
      <c r="J645" s="263"/>
      <c r="K645" s="267">
        <v>0</v>
      </c>
    </row>
    <row r="646" spans="1:11">
      <c r="A646" s="9" t="s">
        <v>11077</v>
      </c>
      <c r="B646" s="16">
        <v>5</v>
      </c>
      <c r="C646" s="9"/>
      <c r="D646" s="271" t="s">
        <v>9788</v>
      </c>
      <c r="E646" s="263">
        <v>0</v>
      </c>
      <c r="F646" s="263">
        <v>0</v>
      </c>
      <c r="G646" s="263">
        <v>8</v>
      </c>
      <c r="H646" s="263">
        <v>0</v>
      </c>
      <c r="I646" s="263">
        <v>0</v>
      </c>
      <c r="J646" s="263">
        <v>0</v>
      </c>
      <c r="K646" s="267">
        <v>8</v>
      </c>
    </row>
    <row r="647" spans="1:11">
      <c r="A647" s="9" t="s">
        <v>11078</v>
      </c>
      <c r="B647" s="16">
        <v>5</v>
      </c>
      <c r="C647" s="9"/>
      <c r="D647" s="271" t="s">
        <v>9789</v>
      </c>
      <c r="E647" s="263">
        <v>0</v>
      </c>
      <c r="F647" s="263">
        <v>0</v>
      </c>
      <c r="G647" s="263">
        <v>5.6000000000000005</v>
      </c>
      <c r="H647" s="263">
        <v>0</v>
      </c>
      <c r="I647" s="263">
        <v>0</v>
      </c>
      <c r="J647" s="263">
        <v>0</v>
      </c>
      <c r="K647" s="267">
        <v>5.6000000000000005</v>
      </c>
    </row>
    <row r="648" spans="1:11">
      <c r="A648" s="9" t="s">
        <v>11079</v>
      </c>
      <c r="B648" s="16">
        <v>5</v>
      </c>
      <c r="C648" s="9"/>
      <c r="D648" s="271" t="s">
        <v>9790</v>
      </c>
      <c r="E648" s="263">
        <v>0</v>
      </c>
      <c r="F648" s="263">
        <v>0</v>
      </c>
      <c r="G648" s="263">
        <v>6.4</v>
      </c>
      <c r="H648" s="263">
        <v>0</v>
      </c>
      <c r="I648" s="263">
        <v>0</v>
      </c>
      <c r="J648" s="263">
        <v>0</v>
      </c>
      <c r="K648" s="267">
        <v>6.4</v>
      </c>
    </row>
    <row r="649" spans="1:11">
      <c r="A649" s="9" t="s">
        <v>11080</v>
      </c>
      <c r="B649" s="16">
        <v>5</v>
      </c>
      <c r="C649" s="9"/>
      <c r="D649" s="271" t="s">
        <v>9791</v>
      </c>
      <c r="E649" s="263">
        <v>0</v>
      </c>
      <c r="F649" s="263">
        <v>0</v>
      </c>
      <c r="G649" s="263">
        <v>8</v>
      </c>
      <c r="H649" s="263">
        <v>0</v>
      </c>
      <c r="I649" s="263">
        <v>0</v>
      </c>
      <c r="J649" s="263">
        <v>0</v>
      </c>
      <c r="K649" s="267">
        <v>8</v>
      </c>
    </row>
    <row r="650" spans="1:11">
      <c r="A650" s="9" t="s">
        <v>11081</v>
      </c>
      <c r="B650" s="16">
        <v>5</v>
      </c>
      <c r="C650" s="9"/>
      <c r="D650" s="271" t="s">
        <v>9792</v>
      </c>
      <c r="E650" s="263">
        <v>0</v>
      </c>
      <c r="F650" s="263">
        <v>0</v>
      </c>
      <c r="G650" s="263">
        <v>0</v>
      </c>
      <c r="H650" s="263">
        <v>0</v>
      </c>
      <c r="I650" s="263">
        <v>0</v>
      </c>
      <c r="J650" s="263">
        <v>9.6000000000000014</v>
      </c>
      <c r="K650" s="267">
        <v>9.6000000000000014</v>
      </c>
    </row>
    <row r="651" spans="1:11">
      <c r="A651" s="9" t="s">
        <v>11082</v>
      </c>
      <c r="B651" s="16">
        <v>5</v>
      </c>
      <c r="C651" s="9"/>
      <c r="D651" s="271" t="s">
        <v>9793</v>
      </c>
      <c r="E651" s="263">
        <v>4</v>
      </c>
      <c r="F651" s="263">
        <v>0</v>
      </c>
      <c r="G651" s="263">
        <v>0</v>
      </c>
      <c r="H651" s="263">
        <v>0</v>
      </c>
      <c r="I651" s="263">
        <v>0</v>
      </c>
      <c r="J651" s="263">
        <v>0</v>
      </c>
      <c r="K651" s="267">
        <v>4</v>
      </c>
    </row>
    <row r="652" spans="1:11">
      <c r="A652" s="9" t="s">
        <v>11083</v>
      </c>
      <c r="B652" s="16">
        <v>5</v>
      </c>
      <c r="C652" s="9"/>
      <c r="D652" s="271" t="s">
        <v>9794</v>
      </c>
      <c r="E652" s="263">
        <v>0</v>
      </c>
      <c r="F652" s="263">
        <v>0</v>
      </c>
      <c r="G652" s="263">
        <v>6.4</v>
      </c>
      <c r="H652" s="263">
        <v>0</v>
      </c>
      <c r="I652" s="263">
        <v>0</v>
      </c>
      <c r="J652" s="263">
        <v>0</v>
      </c>
      <c r="K652" s="267">
        <v>6.4</v>
      </c>
    </row>
    <row r="653" spans="1:11">
      <c r="A653" s="9" t="s">
        <v>11084</v>
      </c>
      <c r="B653" s="16">
        <v>5</v>
      </c>
      <c r="C653" s="9"/>
      <c r="D653" s="271" t="s">
        <v>9795</v>
      </c>
      <c r="E653" s="263">
        <v>0</v>
      </c>
      <c r="F653" s="263">
        <v>0</v>
      </c>
      <c r="G653" s="263">
        <v>0</v>
      </c>
      <c r="H653" s="263">
        <v>0</v>
      </c>
      <c r="I653" s="263">
        <v>0</v>
      </c>
      <c r="J653" s="263">
        <v>7.8</v>
      </c>
      <c r="K653" s="267">
        <v>7.8</v>
      </c>
    </row>
    <row r="654" spans="1:11">
      <c r="A654" s="9" t="s">
        <v>11085</v>
      </c>
      <c r="B654" s="16">
        <v>5</v>
      </c>
      <c r="C654" s="9"/>
      <c r="D654" s="271" t="s">
        <v>9796</v>
      </c>
      <c r="E654" s="263">
        <v>0</v>
      </c>
      <c r="F654" s="263">
        <v>4.8000000000000007</v>
      </c>
      <c r="G654" s="263">
        <v>0</v>
      </c>
      <c r="H654" s="263">
        <v>0</v>
      </c>
      <c r="I654" s="263">
        <v>0</v>
      </c>
      <c r="J654" s="263">
        <v>0</v>
      </c>
      <c r="K654" s="267">
        <v>4.8000000000000007</v>
      </c>
    </row>
    <row r="655" spans="1:11">
      <c r="A655" s="9" t="s">
        <v>11086</v>
      </c>
      <c r="B655" s="16">
        <v>5</v>
      </c>
      <c r="C655" s="9"/>
      <c r="D655" s="271" t="s">
        <v>9797</v>
      </c>
      <c r="E655" s="263">
        <v>0</v>
      </c>
      <c r="F655" s="263">
        <v>5.6000000000000005</v>
      </c>
      <c r="G655" s="263">
        <v>0</v>
      </c>
      <c r="H655" s="263">
        <v>0</v>
      </c>
      <c r="I655" s="263">
        <v>0</v>
      </c>
      <c r="J655" s="263">
        <v>0</v>
      </c>
      <c r="K655" s="267">
        <v>5.6000000000000005</v>
      </c>
    </row>
    <row r="656" spans="1:11">
      <c r="A656" s="9" t="s">
        <v>11087</v>
      </c>
      <c r="B656" s="16">
        <v>5</v>
      </c>
      <c r="C656" s="9"/>
      <c r="D656" s="271" t="s">
        <v>9798</v>
      </c>
      <c r="E656" s="263">
        <v>0</v>
      </c>
      <c r="F656" s="263">
        <v>2.4000000000000004</v>
      </c>
      <c r="G656" s="263">
        <v>0</v>
      </c>
      <c r="H656" s="263">
        <v>0</v>
      </c>
      <c r="I656" s="263">
        <v>0</v>
      </c>
      <c r="J656" s="263">
        <v>0</v>
      </c>
      <c r="K656" s="267">
        <v>2.4000000000000004</v>
      </c>
    </row>
    <row r="657" spans="1:11">
      <c r="A657" s="9" t="s">
        <v>11088</v>
      </c>
      <c r="B657" s="16">
        <v>5</v>
      </c>
      <c r="C657" s="9"/>
      <c r="D657" s="271" t="s">
        <v>9799</v>
      </c>
      <c r="E657" s="263">
        <v>0</v>
      </c>
      <c r="F657" s="263">
        <v>3.2</v>
      </c>
      <c r="G657" s="263">
        <v>0</v>
      </c>
      <c r="H657" s="263">
        <v>0</v>
      </c>
      <c r="I657" s="263">
        <v>0</v>
      </c>
      <c r="J657" s="263">
        <v>0</v>
      </c>
      <c r="K657" s="267">
        <v>3.2</v>
      </c>
    </row>
    <row r="658" spans="1:11">
      <c r="B658" s="16">
        <v>5</v>
      </c>
      <c r="C658" s="9"/>
      <c r="D658" s="271"/>
      <c r="E658" s="263"/>
      <c r="F658" s="263"/>
      <c r="G658" s="263"/>
      <c r="H658" s="263"/>
      <c r="I658" s="263"/>
      <c r="J658" s="263"/>
      <c r="K658" s="267">
        <v>0</v>
      </c>
    </row>
    <row r="659" spans="1:11" ht="15.75" customHeight="1">
      <c r="B659" s="16">
        <v>5</v>
      </c>
      <c r="C659" s="9"/>
      <c r="D659" s="272" t="s">
        <v>3674</v>
      </c>
      <c r="E659" s="273">
        <v>4</v>
      </c>
      <c r="F659" s="273">
        <v>16.000000000000004</v>
      </c>
      <c r="G659" s="273">
        <v>34.4</v>
      </c>
      <c r="H659" s="273">
        <v>0</v>
      </c>
      <c r="I659" s="273">
        <v>0</v>
      </c>
      <c r="J659" s="273">
        <v>17.400000000000002</v>
      </c>
      <c r="K659" s="273">
        <v>71.8</v>
      </c>
    </row>
    <row r="660" spans="1:11">
      <c r="C660" s="9"/>
      <c r="D660" s="271"/>
      <c r="E660" s="263"/>
      <c r="F660" s="263"/>
      <c r="G660" s="263"/>
      <c r="H660" s="263"/>
      <c r="I660" s="263"/>
      <c r="J660" s="263"/>
      <c r="K660" s="267">
        <v>0</v>
      </c>
    </row>
    <row r="661" spans="1:11">
      <c r="A661" s="9" t="s">
        <v>11089</v>
      </c>
      <c r="B661" s="16">
        <v>14</v>
      </c>
      <c r="C661" s="9"/>
      <c r="D661" s="271" t="s">
        <v>9800</v>
      </c>
      <c r="E661" s="263">
        <v>4.8000000000000007</v>
      </c>
      <c r="F661" s="263">
        <v>0</v>
      </c>
      <c r="G661" s="263">
        <v>0</v>
      </c>
      <c r="H661" s="263">
        <v>0</v>
      </c>
      <c r="I661" s="263">
        <v>0</v>
      </c>
      <c r="J661" s="263">
        <v>0</v>
      </c>
      <c r="K661" s="267">
        <v>4.8000000000000007</v>
      </c>
    </row>
    <row r="662" spans="1:11">
      <c r="A662" s="9" t="s">
        <v>11090</v>
      </c>
      <c r="B662" s="16">
        <v>14</v>
      </c>
      <c r="C662" s="9"/>
      <c r="D662" s="271" t="s">
        <v>9801</v>
      </c>
      <c r="E662" s="263">
        <v>0</v>
      </c>
      <c r="F662" s="263">
        <v>0</v>
      </c>
      <c r="G662" s="263">
        <v>0</v>
      </c>
      <c r="H662" s="263">
        <v>0</v>
      </c>
      <c r="I662" s="263">
        <v>0</v>
      </c>
      <c r="J662" s="263">
        <v>4</v>
      </c>
      <c r="K662" s="267">
        <v>4</v>
      </c>
    </row>
    <row r="663" spans="1:11">
      <c r="A663" s="9" t="s">
        <v>11091</v>
      </c>
      <c r="B663" s="16">
        <v>14</v>
      </c>
      <c r="C663" s="9"/>
      <c r="D663" s="271" t="s">
        <v>9802</v>
      </c>
      <c r="E663" s="263">
        <v>0</v>
      </c>
      <c r="F663" s="263">
        <v>0</v>
      </c>
      <c r="G663" s="263">
        <v>4.8000000000000007</v>
      </c>
      <c r="H663" s="263">
        <v>0</v>
      </c>
      <c r="I663" s="263">
        <v>0</v>
      </c>
      <c r="J663" s="263">
        <v>0</v>
      </c>
      <c r="K663" s="267">
        <v>4.8000000000000007</v>
      </c>
    </row>
    <row r="664" spans="1:11">
      <c r="A664" s="9" t="s">
        <v>11092</v>
      </c>
      <c r="B664" s="16">
        <v>14</v>
      </c>
      <c r="C664" s="9"/>
      <c r="D664" s="271" t="s">
        <v>9803</v>
      </c>
      <c r="E664" s="263">
        <v>0</v>
      </c>
      <c r="F664" s="263">
        <v>0</v>
      </c>
      <c r="G664" s="263">
        <v>0</v>
      </c>
      <c r="H664" s="263">
        <v>0</v>
      </c>
      <c r="I664" s="263">
        <v>0</v>
      </c>
      <c r="J664" s="263">
        <v>5.6000000000000005</v>
      </c>
      <c r="K664" s="267">
        <v>5.6000000000000005</v>
      </c>
    </row>
    <row r="665" spans="1:11">
      <c r="A665" s="9" t="s">
        <v>11093</v>
      </c>
      <c r="B665" s="16">
        <v>14</v>
      </c>
      <c r="C665" s="9"/>
      <c r="D665" s="271" t="s">
        <v>9804</v>
      </c>
      <c r="E665" s="263">
        <v>0</v>
      </c>
      <c r="F665" s="263">
        <v>0</v>
      </c>
      <c r="G665" s="263">
        <v>0</v>
      </c>
      <c r="H665" s="263">
        <v>4</v>
      </c>
      <c r="I665" s="263">
        <v>0</v>
      </c>
      <c r="J665" s="263">
        <v>0</v>
      </c>
      <c r="K665" s="267">
        <v>4</v>
      </c>
    </row>
    <row r="666" spans="1:11">
      <c r="A666" s="9" t="s">
        <v>11094</v>
      </c>
      <c r="B666" s="16">
        <v>14</v>
      </c>
      <c r="C666" s="9"/>
      <c r="D666" s="271" t="s">
        <v>9805</v>
      </c>
      <c r="E666" s="263">
        <v>0</v>
      </c>
      <c r="F666" s="263">
        <v>0</v>
      </c>
      <c r="G666" s="263">
        <v>0</v>
      </c>
      <c r="H666" s="263">
        <v>0</v>
      </c>
      <c r="I666" s="263">
        <v>0</v>
      </c>
      <c r="J666" s="263">
        <v>4</v>
      </c>
      <c r="K666" s="267">
        <v>4</v>
      </c>
    </row>
    <row r="667" spans="1:11">
      <c r="A667" s="9" t="s">
        <v>11095</v>
      </c>
      <c r="B667" s="16">
        <v>14</v>
      </c>
      <c r="C667" s="9"/>
      <c r="D667" s="271" t="s">
        <v>9806</v>
      </c>
      <c r="E667" s="263">
        <v>4</v>
      </c>
      <c r="F667" s="263">
        <v>0</v>
      </c>
      <c r="G667" s="263">
        <v>0</v>
      </c>
      <c r="H667" s="263">
        <v>0</v>
      </c>
      <c r="I667" s="263">
        <v>0</v>
      </c>
      <c r="J667" s="263">
        <v>0</v>
      </c>
      <c r="K667" s="267">
        <v>4</v>
      </c>
    </row>
    <row r="668" spans="1:11" ht="31.5">
      <c r="A668" s="9" t="s">
        <v>11096</v>
      </c>
      <c r="B668" s="16">
        <v>14</v>
      </c>
      <c r="C668" s="9"/>
      <c r="D668" s="271" t="s">
        <v>9807</v>
      </c>
      <c r="E668" s="263">
        <v>0</v>
      </c>
      <c r="F668" s="263">
        <v>0</v>
      </c>
      <c r="G668" s="263">
        <v>0</v>
      </c>
      <c r="H668" s="263">
        <v>0</v>
      </c>
      <c r="I668" s="263">
        <v>0</v>
      </c>
      <c r="J668" s="263">
        <v>4</v>
      </c>
      <c r="K668" s="267">
        <v>4</v>
      </c>
    </row>
    <row r="669" spans="1:11">
      <c r="A669" s="9" t="s">
        <v>11097</v>
      </c>
      <c r="B669" s="16">
        <v>14</v>
      </c>
      <c r="C669" s="9"/>
      <c r="D669" s="271" t="s">
        <v>9808</v>
      </c>
      <c r="E669" s="263">
        <v>8</v>
      </c>
      <c r="F669" s="263">
        <v>0</v>
      </c>
      <c r="G669" s="263">
        <v>0</v>
      </c>
      <c r="H669" s="263">
        <v>0</v>
      </c>
      <c r="I669" s="263">
        <v>0</v>
      </c>
      <c r="J669" s="263">
        <v>0</v>
      </c>
      <c r="K669" s="267">
        <v>8</v>
      </c>
    </row>
    <row r="670" spans="1:11">
      <c r="A670" s="9" t="s">
        <v>11098</v>
      </c>
      <c r="B670" s="16">
        <v>14</v>
      </c>
      <c r="C670" s="9"/>
      <c r="D670" s="271" t="s">
        <v>9809</v>
      </c>
      <c r="E670" s="263">
        <v>0</v>
      </c>
      <c r="F670" s="263">
        <v>4.8000000000000007</v>
      </c>
      <c r="G670" s="263">
        <v>0</v>
      </c>
      <c r="H670" s="263">
        <v>0</v>
      </c>
      <c r="I670" s="263">
        <v>0</v>
      </c>
      <c r="J670" s="263">
        <v>0</v>
      </c>
      <c r="K670" s="267">
        <v>4.8000000000000007</v>
      </c>
    </row>
    <row r="671" spans="1:11">
      <c r="A671" s="9" t="s">
        <v>11099</v>
      </c>
      <c r="B671" s="16">
        <v>14</v>
      </c>
      <c r="C671" s="9"/>
      <c r="D671" s="271" t="s">
        <v>9810</v>
      </c>
      <c r="E671" s="263">
        <v>0</v>
      </c>
      <c r="F671" s="263">
        <v>5.6000000000000005</v>
      </c>
      <c r="G671" s="263">
        <v>0</v>
      </c>
      <c r="H671" s="263">
        <v>0</v>
      </c>
      <c r="I671" s="263">
        <v>0</v>
      </c>
      <c r="J671" s="263">
        <v>0</v>
      </c>
      <c r="K671" s="267">
        <v>5.6000000000000005</v>
      </c>
    </row>
    <row r="672" spans="1:11">
      <c r="A672" s="9" t="s">
        <v>11100</v>
      </c>
      <c r="B672" s="16">
        <v>14</v>
      </c>
      <c r="C672" s="9"/>
      <c r="D672" s="271" t="s">
        <v>9811</v>
      </c>
      <c r="E672" s="263">
        <v>0</v>
      </c>
      <c r="F672" s="263">
        <v>2.4000000000000004</v>
      </c>
      <c r="G672" s="263">
        <v>0</v>
      </c>
      <c r="H672" s="263">
        <v>0</v>
      </c>
      <c r="I672" s="263">
        <v>0</v>
      </c>
      <c r="J672" s="263">
        <v>0</v>
      </c>
      <c r="K672" s="267">
        <v>2.4000000000000004</v>
      </c>
    </row>
    <row r="673" spans="1:11">
      <c r="A673" s="9" t="s">
        <v>11101</v>
      </c>
      <c r="B673" s="16">
        <v>14</v>
      </c>
      <c r="C673" s="9"/>
      <c r="D673" s="271" t="s">
        <v>9812</v>
      </c>
      <c r="E673" s="263">
        <v>0</v>
      </c>
      <c r="F673" s="263">
        <v>3.2</v>
      </c>
      <c r="G673" s="263">
        <v>0</v>
      </c>
      <c r="H673" s="263">
        <v>0</v>
      </c>
      <c r="I673" s="263">
        <v>0</v>
      </c>
      <c r="J673" s="263">
        <v>0</v>
      </c>
      <c r="K673" s="267">
        <v>3.2</v>
      </c>
    </row>
    <row r="674" spans="1:11">
      <c r="B674" s="16">
        <v>14</v>
      </c>
      <c r="C674" s="9"/>
      <c r="D674" s="271"/>
      <c r="E674" s="263"/>
      <c r="F674" s="263"/>
      <c r="G674" s="263"/>
      <c r="H674" s="263"/>
      <c r="I674" s="263"/>
      <c r="J674" s="263"/>
      <c r="K674" s="267">
        <v>0</v>
      </c>
    </row>
    <row r="675" spans="1:11" ht="15.75" customHeight="1">
      <c r="B675" s="16">
        <v>14</v>
      </c>
      <c r="C675" s="9"/>
      <c r="D675" s="272" t="s">
        <v>3674</v>
      </c>
      <c r="E675" s="273">
        <v>16.8</v>
      </c>
      <c r="F675" s="273">
        <v>16.000000000000004</v>
      </c>
      <c r="G675" s="273">
        <v>4.8000000000000007</v>
      </c>
      <c r="H675" s="273">
        <v>4</v>
      </c>
      <c r="I675" s="273">
        <v>0</v>
      </c>
      <c r="J675" s="273">
        <v>17.600000000000001</v>
      </c>
      <c r="K675" s="273">
        <v>59.2</v>
      </c>
    </row>
    <row r="676" spans="1:11">
      <c r="C676" s="9"/>
      <c r="D676" s="271"/>
      <c r="E676" s="263"/>
      <c r="F676" s="263"/>
      <c r="G676" s="263"/>
      <c r="H676" s="263"/>
      <c r="I676" s="263"/>
      <c r="J676" s="263"/>
      <c r="K676" s="267">
        <v>0</v>
      </c>
    </row>
    <row r="677" spans="1:11">
      <c r="A677" s="9" t="s">
        <v>11102</v>
      </c>
      <c r="B677" s="16">
        <v>15</v>
      </c>
      <c r="C677" s="9"/>
      <c r="D677" s="271" t="s">
        <v>9813</v>
      </c>
      <c r="E677" s="263">
        <v>0</v>
      </c>
      <c r="F677" s="263">
        <v>0</v>
      </c>
      <c r="G677" s="263">
        <v>0</v>
      </c>
      <c r="H677" s="263">
        <v>0</v>
      </c>
      <c r="I677" s="263">
        <v>0</v>
      </c>
      <c r="J677" s="263">
        <v>8</v>
      </c>
      <c r="K677" s="267">
        <v>8</v>
      </c>
    </row>
    <row r="678" spans="1:11">
      <c r="A678" s="9" t="s">
        <v>11103</v>
      </c>
      <c r="B678" s="16">
        <v>15</v>
      </c>
      <c r="C678" s="9"/>
      <c r="D678" s="271" t="s">
        <v>9814</v>
      </c>
      <c r="E678" s="263">
        <v>0</v>
      </c>
      <c r="F678" s="263">
        <v>0</v>
      </c>
      <c r="G678" s="263">
        <v>0</v>
      </c>
      <c r="H678" s="263">
        <v>0</v>
      </c>
      <c r="I678" s="263">
        <v>0</v>
      </c>
      <c r="J678" s="263">
        <v>8</v>
      </c>
      <c r="K678" s="267">
        <v>8</v>
      </c>
    </row>
    <row r="679" spans="1:11">
      <c r="A679" s="9" t="s">
        <v>11104</v>
      </c>
      <c r="B679" s="16">
        <v>15</v>
      </c>
      <c r="C679" s="9"/>
      <c r="D679" s="271" t="s">
        <v>9815</v>
      </c>
      <c r="E679" s="263">
        <v>8</v>
      </c>
      <c r="F679" s="263">
        <v>0</v>
      </c>
      <c r="G679" s="263">
        <v>0</v>
      </c>
      <c r="H679" s="263">
        <v>0</v>
      </c>
      <c r="I679" s="263">
        <v>0</v>
      </c>
      <c r="J679" s="263">
        <v>0</v>
      </c>
      <c r="K679" s="267">
        <v>8</v>
      </c>
    </row>
    <row r="680" spans="1:11">
      <c r="A680" s="9" t="s">
        <v>11105</v>
      </c>
      <c r="B680" s="16">
        <v>15</v>
      </c>
      <c r="C680" s="9"/>
      <c r="D680" s="271" t="s">
        <v>9816</v>
      </c>
      <c r="E680" s="263">
        <v>8</v>
      </c>
      <c r="F680" s="263">
        <v>0</v>
      </c>
      <c r="G680" s="263">
        <v>0</v>
      </c>
      <c r="H680" s="263">
        <v>0</v>
      </c>
      <c r="I680" s="263">
        <v>0</v>
      </c>
      <c r="J680" s="263">
        <v>0</v>
      </c>
      <c r="K680" s="267">
        <v>8</v>
      </c>
    </row>
    <row r="681" spans="1:11">
      <c r="A681" s="9" t="s">
        <v>11106</v>
      </c>
      <c r="B681" s="16">
        <v>15</v>
      </c>
      <c r="C681" s="9"/>
      <c r="D681" s="271" t="s">
        <v>9817</v>
      </c>
      <c r="E681" s="263">
        <v>20</v>
      </c>
      <c r="F681" s="263">
        <v>0</v>
      </c>
      <c r="G681" s="263">
        <v>0</v>
      </c>
      <c r="H681" s="263">
        <v>0</v>
      </c>
      <c r="I681" s="263">
        <v>0</v>
      </c>
      <c r="J681" s="263">
        <v>0</v>
      </c>
      <c r="K681" s="267">
        <v>20</v>
      </c>
    </row>
    <row r="682" spans="1:11">
      <c r="A682" s="9" t="s">
        <v>11107</v>
      </c>
      <c r="B682" s="16">
        <v>15</v>
      </c>
      <c r="C682" s="9"/>
      <c r="D682" s="271" t="s">
        <v>9818</v>
      </c>
      <c r="E682" s="263">
        <v>16</v>
      </c>
      <c r="F682" s="263">
        <v>0</v>
      </c>
      <c r="G682" s="263">
        <v>0</v>
      </c>
      <c r="H682" s="263">
        <v>0</v>
      </c>
      <c r="I682" s="263">
        <v>0</v>
      </c>
      <c r="J682" s="263">
        <v>0</v>
      </c>
      <c r="K682" s="267">
        <v>16</v>
      </c>
    </row>
    <row r="683" spans="1:11">
      <c r="A683" s="9" t="s">
        <v>11108</v>
      </c>
      <c r="B683" s="16">
        <v>15</v>
      </c>
      <c r="C683" s="9"/>
      <c r="D683" s="271" t="s">
        <v>9819</v>
      </c>
      <c r="E683" s="263">
        <v>0</v>
      </c>
      <c r="F683" s="263">
        <v>0</v>
      </c>
      <c r="G683" s="263">
        <v>8</v>
      </c>
      <c r="H683" s="263">
        <v>0</v>
      </c>
      <c r="I683" s="263">
        <v>0</v>
      </c>
      <c r="J683" s="263">
        <v>0</v>
      </c>
      <c r="K683" s="267">
        <v>8</v>
      </c>
    </row>
    <row r="684" spans="1:11">
      <c r="A684" s="9" t="s">
        <v>11109</v>
      </c>
      <c r="B684" s="16">
        <v>15</v>
      </c>
      <c r="C684" s="9"/>
      <c r="D684" s="271" t="s">
        <v>9820</v>
      </c>
      <c r="E684" s="263">
        <v>0</v>
      </c>
      <c r="F684" s="263">
        <v>4.8000000000000007</v>
      </c>
      <c r="G684" s="263">
        <v>0</v>
      </c>
      <c r="H684" s="263">
        <v>0</v>
      </c>
      <c r="I684" s="263">
        <v>0</v>
      </c>
      <c r="J684" s="263">
        <v>0</v>
      </c>
      <c r="K684" s="267">
        <v>4.8000000000000007</v>
      </c>
    </row>
    <row r="685" spans="1:11">
      <c r="A685" s="9" t="s">
        <v>11110</v>
      </c>
      <c r="B685" s="16">
        <v>15</v>
      </c>
      <c r="C685" s="9"/>
      <c r="D685" s="271" t="s">
        <v>9821</v>
      </c>
      <c r="E685" s="263">
        <v>0</v>
      </c>
      <c r="F685" s="263">
        <v>5.6000000000000005</v>
      </c>
      <c r="G685" s="263">
        <v>0</v>
      </c>
      <c r="H685" s="263">
        <v>0</v>
      </c>
      <c r="I685" s="263">
        <v>0</v>
      </c>
      <c r="J685" s="263">
        <v>0</v>
      </c>
      <c r="K685" s="267">
        <v>5.6000000000000005</v>
      </c>
    </row>
    <row r="686" spans="1:11">
      <c r="A686" s="9" t="s">
        <v>11111</v>
      </c>
      <c r="B686" s="16">
        <v>15</v>
      </c>
      <c r="C686" s="9"/>
      <c r="D686" s="271" t="s">
        <v>9822</v>
      </c>
      <c r="E686" s="263">
        <v>0</v>
      </c>
      <c r="F686" s="263">
        <v>2.4000000000000004</v>
      </c>
      <c r="G686" s="263">
        <v>0</v>
      </c>
      <c r="H686" s="263">
        <v>0</v>
      </c>
      <c r="I686" s="263">
        <v>0</v>
      </c>
      <c r="J686" s="263">
        <v>0</v>
      </c>
      <c r="K686" s="267">
        <v>2.4000000000000004</v>
      </c>
    </row>
    <row r="687" spans="1:11">
      <c r="A687" s="9" t="s">
        <v>11112</v>
      </c>
      <c r="B687" s="16">
        <v>15</v>
      </c>
      <c r="C687" s="9"/>
      <c r="D687" s="271" t="s">
        <v>9823</v>
      </c>
      <c r="E687" s="263">
        <v>0</v>
      </c>
      <c r="F687" s="263">
        <v>3.2</v>
      </c>
      <c r="G687" s="263">
        <v>0</v>
      </c>
      <c r="H687" s="263">
        <v>0</v>
      </c>
      <c r="I687" s="263">
        <v>0</v>
      </c>
      <c r="J687" s="263">
        <v>0</v>
      </c>
      <c r="K687" s="267">
        <v>3.2</v>
      </c>
    </row>
    <row r="688" spans="1:11">
      <c r="B688" s="16">
        <v>15</v>
      </c>
      <c r="C688" s="9"/>
      <c r="D688" s="271"/>
      <c r="E688" s="263"/>
      <c r="F688" s="263"/>
      <c r="G688" s="263"/>
      <c r="H688" s="263"/>
      <c r="I688" s="263"/>
      <c r="J688" s="263"/>
      <c r="K688" s="267">
        <v>0</v>
      </c>
    </row>
    <row r="689" spans="1:11" ht="15.75" customHeight="1">
      <c r="B689" s="16">
        <v>15</v>
      </c>
      <c r="C689" s="9"/>
      <c r="D689" s="272" t="s">
        <v>3674</v>
      </c>
      <c r="E689" s="273">
        <v>52</v>
      </c>
      <c r="F689" s="273">
        <v>16.000000000000004</v>
      </c>
      <c r="G689" s="273">
        <v>8</v>
      </c>
      <c r="H689" s="273">
        <v>0</v>
      </c>
      <c r="I689" s="273">
        <v>0</v>
      </c>
      <c r="J689" s="273">
        <v>16</v>
      </c>
      <c r="K689" s="273">
        <v>92</v>
      </c>
    </row>
    <row r="690" spans="1:11">
      <c r="C690" s="9"/>
      <c r="D690" s="271"/>
      <c r="E690" s="263"/>
      <c r="F690" s="263"/>
      <c r="G690" s="263"/>
      <c r="H690" s="263"/>
      <c r="I690" s="263"/>
      <c r="J690" s="263"/>
      <c r="K690" s="267">
        <v>0</v>
      </c>
    </row>
    <row r="691" spans="1:11">
      <c r="A691" s="9" t="s">
        <v>11113</v>
      </c>
      <c r="B691" s="16">
        <v>16</v>
      </c>
      <c r="C691" s="9"/>
      <c r="D691" s="271" t="s">
        <v>9824</v>
      </c>
      <c r="E691" s="263">
        <v>8</v>
      </c>
      <c r="F691" s="263">
        <v>0</v>
      </c>
      <c r="G691" s="263">
        <v>0</v>
      </c>
      <c r="H691" s="263">
        <v>0</v>
      </c>
      <c r="I691" s="263">
        <v>0</v>
      </c>
      <c r="J691" s="263">
        <v>0</v>
      </c>
      <c r="K691" s="267">
        <v>8</v>
      </c>
    </row>
    <row r="692" spans="1:11">
      <c r="A692" s="9" t="s">
        <v>11114</v>
      </c>
      <c r="B692" s="16">
        <v>16</v>
      </c>
      <c r="C692" s="9"/>
      <c r="D692" s="271" t="s">
        <v>9825</v>
      </c>
      <c r="E692" s="263">
        <v>0</v>
      </c>
      <c r="F692" s="263">
        <v>0</v>
      </c>
      <c r="G692" s="263">
        <v>0</v>
      </c>
      <c r="H692" s="263">
        <v>8</v>
      </c>
      <c r="I692" s="263">
        <v>0</v>
      </c>
      <c r="J692" s="263">
        <v>0</v>
      </c>
      <c r="K692" s="267">
        <v>8</v>
      </c>
    </row>
    <row r="693" spans="1:11">
      <c r="A693" s="9" t="s">
        <v>11115</v>
      </c>
      <c r="B693" s="16">
        <v>16</v>
      </c>
      <c r="C693" s="9"/>
      <c r="D693" s="271" t="s">
        <v>9826</v>
      </c>
      <c r="E693" s="263">
        <v>0</v>
      </c>
      <c r="F693" s="263">
        <v>0</v>
      </c>
      <c r="G693" s="263">
        <v>0</v>
      </c>
      <c r="H693" s="263">
        <v>8</v>
      </c>
      <c r="I693" s="263">
        <v>0</v>
      </c>
      <c r="J693" s="263">
        <v>0</v>
      </c>
      <c r="K693" s="267">
        <v>8</v>
      </c>
    </row>
    <row r="694" spans="1:11">
      <c r="A694" s="9" t="s">
        <v>11116</v>
      </c>
      <c r="B694" s="16">
        <v>16</v>
      </c>
      <c r="C694" s="9"/>
      <c r="D694" s="271" t="s">
        <v>9827</v>
      </c>
      <c r="E694" s="263">
        <v>0</v>
      </c>
      <c r="F694" s="263">
        <v>0</v>
      </c>
      <c r="G694" s="263">
        <v>0</v>
      </c>
      <c r="H694" s="263">
        <v>0</v>
      </c>
      <c r="I694" s="263">
        <v>0</v>
      </c>
      <c r="J694" s="263">
        <v>8</v>
      </c>
      <c r="K694" s="267">
        <v>8</v>
      </c>
    </row>
    <row r="695" spans="1:11">
      <c r="A695" s="9" t="s">
        <v>11117</v>
      </c>
      <c r="B695" s="16">
        <v>16</v>
      </c>
      <c r="C695" s="9"/>
      <c r="D695" s="271" t="s">
        <v>9828</v>
      </c>
      <c r="E695" s="263">
        <v>0</v>
      </c>
      <c r="F695" s="263">
        <v>0</v>
      </c>
      <c r="G695" s="263">
        <v>0</v>
      </c>
      <c r="H695" s="263">
        <v>0</v>
      </c>
      <c r="I695" s="263">
        <v>0</v>
      </c>
      <c r="J695" s="263">
        <v>8</v>
      </c>
      <c r="K695" s="267">
        <v>8</v>
      </c>
    </row>
    <row r="696" spans="1:11">
      <c r="A696" s="9" t="s">
        <v>11118</v>
      </c>
      <c r="B696" s="16">
        <v>16</v>
      </c>
      <c r="C696" s="9"/>
      <c r="D696" s="271" t="s">
        <v>9829</v>
      </c>
      <c r="E696" s="263">
        <v>0</v>
      </c>
      <c r="F696" s="263">
        <v>0</v>
      </c>
      <c r="G696" s="263">
        <v>0</v>
      </c>
      <c r="H696" s="263">
        <v>0</v>
      </c>
      <c r="I696" s="263">
        <v>0</v>
      </c>
      <c r="J696" s="263">
        <v>8</v>
      </c>
      <c r="K696" s="267">
        <v>8</v>
      </c>
    </row>
    <row r="697" spans="1:11">
      <c r="A697" s="9" t="s">
        <v>11119</v>
      </c>
      <c r="B697" s="16">
        <v>16</v>
      </c>
      <c r="C697" s="9"/>
      <c r="D697" s="271" t="s">
        <v>9830</v>
      </c>
      <c r="E697" s="263">
        <v>0</v>
      </c>
      <c r="F697" s="263">
        <v>0</v>
      </c>
      <c r="G697" s="263">
        <v>0</v>
      </c>
      <c r="H697" s="263">
        <v>0</v>
      </c>
      <c r="I697" s="263">
        <v>0</v>
      </c>
      <c r="J697" s="263">
        <v>8</v>
      </c>
      <c r="K697" s="267">
        <v>8</v>
      </c>
    </row>
    <row r="698" spans="1:11">
      <c r="A698" s="9" t="s">
        <v>11120</v>
      </c>
      <c r="B698" s="16">
        <v>16</v>
      </c>
      <c r="C698" s="9"/>
      <c r="D698" s="271" t="s">
        <v>9831</v>
      </c>
      <c r="E698" s="263">
        <v>0</v>
      </c>
      <c r="F698" s="263">
        <v>0</v>
      </c>
      <c r="G698" s="263">
        <v>0</v>
      </c>
      <c r="H698" s="263">
        <v>0</v>
      </c>
      <c r="I698" s="263">
        <v>0</v>
      </c>
      <c r="J698" s="263">
        <v>8</v>
      </c>
      <c r="K698" s="267">
        <v>8</v>
      </c>
    </row>
    <row r="699" spans="1:11">
      <c r="A699" s="9" t="s">
        <v>11121</v>
      </c>
      <c r="B699" s="16">
        <v>16</v>
      </c>
      <c r="C699" s="9"/>
      <c r="D699" s="271" t="s">
        <v>9832</v>
      </c>
      <c r="E699" s="263">
        <v>0</v>
      </c>
      <c r="F699" s="263">
        <v>0</v>
      </c>
      <c r="G699" s="263">
        <v>8</v>
      </c>
      <c r="H699" s="263">
        <v>0</v>
      </c>
      <c r="I699" s="263">
        <v>0</v>
      </c>
      <c r="J699" s="263">
        <v>0</v>
      </c>
      <c r="K699" s="267">
        <v>8</v>
      </c>
    </row>
    <row r="700" spans="1:11">
      <c r="A700" s="9" t="s">
        <v>11122</v>
      </c>
      <c r="B700" s="16">
        <v>16</v>
      </c>
      <c r="C700" s="9"/>
      <c r="D700" s="271" t="s">
        <v>9833</v>
      </c>
      <c r="E700" s="263">
        <v>0</v>
      </c>
      <c r="F700" s="263">
        <v>0</v>
      </c>
      <c r="G700" s="263">
        <v>0</v>
      </c>
      <c r="H700" s="263">
        <v>0</v>
      </c>
      <c r="I700" s="263">
        <v>0</v>
      </c>
      <c r="J700" s="263">
        <v>8</v>
      </c>
      <c r="K700" s="267">
        <v>8</v>
      </c>
    </row>
    <row r="701" spans="1:11">
      <c r="A701" s="9" t="s">
        <v>11123</v>
      </c>
      <c r="B701" s="16">
        <v>16</v>
      </c>
      <c r="C701" s="9"/>
      <c r="D701" s="271" t="s">
        <v>9834</v>
      </c>
      <c r="E701" s="263">
        <v>0</v>
      </c>
      <c r="F701" s="263">
        <v>4.8000000000000007</v>
      </c>
      <c r="G701" s="263">
        <v>0</v>
      </c>
      <c r="H701" s="263">
        <v>0</v>
      </c>
      <c r="I701" s="263">
        <v>0</v>
      </c>
      <c r="J701" s="263">
        <v>0</v>
      </c>
      <c r="K701" s="267">
        <v>4.8000000000000007</v>
      </c>
    </row>
    <row r="702" spans="1:11">
      <c r="A702" s="9" t="s">
        <v>11124</v>
      </c>
      <c r="B702" s="16">
        <v>16</v>
      </c>
      <c r="C702" s="9"/>
      <c r="D702" s="271" t="s">
        <v>9835</v>
      </c>
      <c r="E702" s="263">
        <v>0</v>
      </c>
      <c r="F702" s="263">
        <v>5.6000000000000005</v>
      </c>
      <c r="G702" s="263">
        <v>0</v>
      </c>
      <c r="H702" s="263">
        <v>0</v>
      </c>
      <c r="I702" s="263">
        <v>0</v>
      </c>
      <c r="J702" s="263">
        <v>0</v>
      </c>
      <c r="K702" s="267">
        <v>5.6000000000000005</v>
      </c>
    </row>
    <row r="703" spans="1:11">
      <c r="A703" s="9" t="s">
        <v>11125</v>
      </c>
      <c r="B703" s="16">
        <v>16</v>
      </c>
      <c r="C703" s="9"/>
      <c r="D703" s="271" t="s">
        <v>9836</v>
      </c>
      <c r="E703" s="263">
        <v>0</v>
      </c>
      <c r="F703" s="263">
        <v>2.4000000000000004</v>
      </c>
      <c r="G703" s="263">
        <v>0</v>
      </c>
      <c r="H703" s="263">
        <v>0</v>
      </c>
      <c r="I703" s="263">
        <v>0</v>
      </c>
      <c r="J703" s="263">
        <v>0</v>
      </c>
      <c r="K703" s="267">
        <v>2.4000000000000004</v>
      </c>
    </row>
    <row r="704" spans="1:11">
      <c r="A704" s="9" t="s">
        <v>11126</v>
      </c>
      <c r="B704" s="16">
        <v>16</v>
      </c>
      <c r="C704" s="9"/>
      <c r="D704" s="271" t="s">
        <v>9837</v>
      </c>
      <c r="E704" s="263">
        <v>0</v>
      </c>
      <c r="F704" s="263">
        <v>3.2</v>
      </c>
      <c r="G704" s="263">
        <v>0</v>
      </c>
      <c r="H704" s="263">
        <v>0</v>
      </c>
      <c r="I704" s="263">
        <v>0</v>
      </c>
      <c r="J704" s="263">
        <v>0</v>
      </c>
      <c r="K704" s="267">
        <v>3.2</v>
      </c>
    </row>
    <row r="705" spans="1:11">
      <c r="B705" s="16">
        <v>16</v>
      </c>
      <c r="C705" s="9"/>
      <c r="D705" s="271"/>
      <c r="E705" s="263"/>
      <c r="F705" s="263"/>
      <c r="G705" s="263"/>
      <c r="H705" s="263"/>
      <c r="I705" s="263"/>
      <c r="J705" s="263"/>
      <c r="K705" s="267">
        <v>0</v>
      </c>
    </row>
    <row r="706" spans="1:11" ht="15.75" customHeight="1">
      <c r="B706" s="16">
        <v>16</v>
      </c>
      <c r="C706" s="9"/>
      <c r="D706" s="272" t="s">
        <v>3674</v>
      </c>
      <c r="E706" s="273">
        <v>8</v>
      </c>
      <c r="F706" s="273">
        <v>16.000000000000004</v>
      </c>
      <c r="G706" s="273">
        <v>8</v>
      </c>
      <c r="H706" s="273">
        <v>16</v>
      </c>
      <c r="I706" s="273">
        <v>0</v>
      </c>
      <c r="J706" s="273">
        <v>48</v>
      </c>
      <c r="K706" s="273">
        <v>96</v>
      </c>
    </row>
    <row r="707" spans="1:11">
      <c r="C707" s="9"/>
      <c r="D707" s="271"/>
      <c r="E707" s="263"/>
      <c r="F707" s="263"/>
      <c r="G707" s="263"/>
      <c r="H707" s="263"/>
      <c r="I707" s="263"/>
      <c r="J707" s="263"/>
      <c r="K707" s="267">
        <v>0</v>
      </c>
    </row>
    <row r="708" spans="1:11" ht="15.75" customHeight="1">
      <c r="B708" s="16">
        <v>0</v>
      </c>
      <c r="C708" s="9"/>
      <c r="D708" s="269" t="s">
        <v>13081</v>
      </c>
      <c r="E708" s="270">
        <v>80.8</v>
      </c>
      <c r="F708" s="270">
        <v>80</v>
      </c>
      <c r="G708" s="270">
        <v>55.2</v>
      </c>
      <c r="H708" s="270">
        <v>28</v>
      </c>
      <c r="I708" s="270">
        <v>0</v>
      </c>
      <c r="J708" s="270">
        <v>107</v>
      </c>
      <c r="K708" s="270">
        <v>351</v>
      </c>
    </row>
    <row r="709" spans="1:11">
      <c r="C709" s="9"/>
      <c r="D709" s="271"/>
      <c r="E709" s="263"/>
      <c r="F709" s="263"/>
      <c r="G709" s="263"/>
      <c r="H709" s="263"/>
      <c r="I709" s="263"/>
      <c r="J709" s="263"/>
      <c r="K709" s="267">
        <v>0</v>
      </c>
    </row>
    <row r="710" spans="1:11">
      <c r="C710" s="9"/>
      <c r="D710" s="271"/>
      <c r="E710" s="263"/>
      <c r="F710" s="263"/>
      <c r="G710" s="263"/>
      <c r="H710" s="263"/>
      <c r="I710" s="263"/>
      <c r="J710" s="263"/>
      <c r="K710" s="267">
        <v>0</v>
      </c>
    </row>
    <row r="711" spans="1:11">
      <c r="C711" s="9"/>
      <c r="D711" s="271" t="s">
        <v>4273</v>
      </c>
      <c r="E711" s="263"/>
      <c r="F711" s="263"/>
      <c r="G711" s="263"/>
      <c r="H711" s="263"/>
      <c r="I711" s="263"/>
      <c r="J711" s="263"/>
      <c r="K711" s="267">
        <v>0</v>
      </c>
    </row>
    <row r="712" spans="1:11">
      <c r="C712" s="9"/>
      <c r="D712" s="271"/>
      <c r="E712" s="263"/>
      <c r="F712" s="263"/>
      <c r="G712" s="263"/>
      <c r="H712" s="263"/>
      <c r="I712" s="263"/>
      <c r="J712" s="263"/>
      <c r="K712" s="267">
        <v>0</v>
      </c>
    </row>
    <row r="713" spans="1:11" ht="31.5">
      <c r="A713" s="9" t="s">
        <v>11127</v>
      </c>
      <c r="B713" s="16">
        <v>39</v>
      </c>
      <c r="C713" s="9"/>
      <c r="D713" s="271" t="s">
        <v>9381</v>
      </c>
      <c r="E713" s="263">
        <v>12</v>
      </c>
      <c r="F713" s="263">
        <v>0</v>
      </c>
      <c r="G713" s="263">
        <v>0</v>
      </c>
      <c r="H713" s="263">
        <v>0</v>
      </c>
      <c r="I713" s="263">
        <v>0</v>
      </c>
      <c r="J713" s="263">
        <v>0</v>
      </c>
      <c r="K713" s="267">
        <v>12</v>
      </c>
    </row>
    <row r="714" spans="1:11" ht="31.5">
      <c r="A714" s="9" t="s">
        <v>11128</v>
      </c>
      <c r="B714" s="16">
        <v>39</v>
      </c>
      <c r="C714" s="9"/>
      <c r="D714" s="271" t="s">
        <v>9382</v>
      </c>
      <c r="E714" s="263">
        <v>16</v>
      </c>
      <c r="F714" s="263">
        <v>0</v>
      </c>
      <c r="G714" s="263">
        <v>0</v>
      </c>
      <c r="H714" s="263">
        <v>0</v>
      </c>
      <c r="I714" s="263">
        <v>0</v>
      </c>
      <c r="J714" s="263">
        <v>0</v>
      </c>
      <c r="K714" s="267">
        <v>16</v>
      </c>
    </row>
    <row r="715" spans="1:11" ht="31.5">
      <c r="A715" s="9" t="s">
        <v>11129</v>
      </c>
      <c r="B715" s="16">
        <v>39</v>
      </c>
      <c r="C715" s="9"/>
      <c r="D715" s="271" t="s">
        <v>9383</v>
      </c>
      <c r="E715" s="263">
        <v>16</v>
      </c>
      <c r="F715" s="263">
        <v>0</v>
      </c>
      <c r="G715" s="263">
        <v>0</v>
      </c>
      <c r="H715" s="263">
        <v>0</v>
      </c>
      <c r="I715" s="263">
        <v>0</v>
      </c>
      <c r="J715" s="263">
        <v>0</v>
      </c>
      <c r="K715" s="267">
        <v>16</v>
      </c>
    </row>
    <row r="716" spans="1:11">
      <c r="A716" s="9" t="s">
        <v>11130</v>
      </c>
      <c r="B716" s="16">
        <v>39</v>
      </c>
      <c r="C716" s="9"/>
      <c r="D716" s="271" t="s">
        <v>9384</v>
      </c>
      <c r="E716" s="263">
        <v>16</v>
      </c>
      <c r="F716" s="263">
        <v>0</v>
      </c>
      <c r="G716" s="263">
        <v>0</v>
      </c>
      <c r="H716" s="263">
        <v>0</v>
      </c>
      <c r="I716" s="263">
        <v>0</v>
      </c>
      <c r="J716" s="263">
        <v>0</v>
      </c>
      <c r="K716" s="267">
        <v>16</v>
      </c>
    </row>
    <row r="717" spans="1:11">
      <c r="A717" s="9" t="s">
        <v>11131</v>
      </c>
      <c r="B717" s="16">
        <v>39</v>
      </c>
      <c r="C717" s="9"/>
      <c r="D717" s="271" t="s">
        <v>9385</v>
      </c>
      <c r="E717" s="263">
        <v>12</v>
      </c>
      <c r="F717" s="263">
        <v>0</v>
      </c>
      <c r="G717" s="263">
        <v>0</v>
      </c>
      <c r="H717" s="263">
        <v>0</v>
      </c>
      <c r="I717" s="263">
        <v>0</v>
      </c>
      <c r="J717" s="263">
        <v>0</v>
      </c>
      <c r="K717" s="267">
        <v>12</v>
      </c>
    </row>
    <row r="718" spans="1:11" ht="47.25">
      <c r="A718" s="9" t="s">
        <v>11132</v>
      </c>
      <c r="B718" s="16">
        <v>39</v>
      </c>
      <c r="C718" s="9"/>
      <c r="D718" s="271" t="s">
        <v>9386</v>
      </c>
      <c r="E718" s="263">
        <v>12</v>
      </c>
      <c r="F718" s="263">
        <v>0</v>
      </c>
      <c r="G718" s="263">
        <v>0</v>
      </c>
      <c r="H718" s="263">
        <v>0</v>
      </c>
      <c r="I718" s="263">
        <v>0</v>
      </c>
      <c r="J718" s="263">
        <v>0</v>
      </c>
      <c r="K718" s="267">
        <v>12</v>
      </c>
    </row>
    <row r="719" spans="1:11" ht="31.5">
      <c r="A719" s="9" t="s">
        <v>11133</v>
      </c>
      <c r="B719" s="16">
        <v>39</v>
      </c>
      <c r="C719" s="9"/>
      <c r="D719" s="271" t="s">
        <v>9387</v>
      </c>
      <c r="E719" s="263">
        <v>0</v>
      </c>
      <c r="F719" s="263">
        <v>0</v>
      </c>
      <c r="G719" s="263">
        <v>0</v>
      </c>
      <c r="H719" s="263">
        <v>0</v>
      </c>
      <c r="I719" s="263">
        <v>0</v>
      </c>
      <c r="J719" s="263">
        <v>12</v>
      </c>
      <c r="K719" s="267">
        <v>12</v>
      </c>
    </row>
    <row r="720" spans="1:11" ht="31.5">
      <c r="A720" s="9" t="s">
        <v>11134</v>
      </c>
      <c r="B720" s="16">
        <v>39</v>
      </c>
      <c r="C720" s="9"/>
      <c r="D720" s="271" t="s">
        <v>9388</v>
      </c>
      <c r="E720" s="263">
        <v>0</v>
      </c>
      <c r="F720" s="263">
        <v>0</v>
      </c>
      <c r="G720" s="263">
        <v>0</v>
      </c>
      <c r="H720" s="263">
        <v>0</v>
      </c>
      <c r="I720" s="263">
        <v>0</v>
      </c>
      <c r="J720" s="263">
        <v>12</v>
      </c>
      <c r="K720" s="267">
        <v>12</v>
      </c>
    </row>
    <row r="721" spans="1:11">
      <c r="A721" s="9" t="s">
        <v>11135</v>
      </c>
      <c r="B721" s="16">
        <v>39</v>
      </c>
      <c r="C721" s="9"/>
      <c r="D721" s="271" t="s">
        <v>9389</v>
      </c>
      <c r="E721" s="263">
        <v>0</v>
      </c>
      <c r="F721" s="263">
        <v>4</v>
      </c>
      <c r="G721" s="263">
        <v>0</v>
      </c>
      <c r="H721" s="263">
        <v>0</v>
      </c>
      <c r="I721" s="263">
        <v>0</v>
      </c>
      <c r="J721" s="263">
        <v>0</v>
      </c>
      <c r="K721" s="267">
        <v>4</v>
      </c>
    </row>
    <row r="722" spans="1:11">
      <c r="A722" s="9" t="s">
        <v>11136</v>
      </c>
      <c r="B722" s="16">
        <v>39</v>
      </c>
      <c r="C722" s="9"/>
      <c r="D722" s="271" t="s">
        <v>9390</v>
      </c>
      <c r="E722" s="263">
        <v>0</v>
      </c>
      <c r="F722" s="263">
        <v>8</v>
      </c>
      <c r="G722" s="263">
        <v>0</v>
      </c>
      <c r="H722" s="263">
        <v>0</v>
      </c>
      <c r="I722" s="263">
        <v>0</v>
      </c>
      <c r="J722" s="263">
        <v>0</v>
      </c>
      <c r="K722" s="267">
        <v>8</v>
      </c>
    </row>
    <row r="723" spans="1:11">
      <c r="B723" s="16">
        <v>39</v>
      </c>
      <c r="C723" s="9"/>
      <c r="D723" s="271"/>
      <c r="E723" s="263"/>
      <c r="F723" s="263"/>
      <c r="G723" s="263"/>
      <c r="H723" s="263"/>
      <c r="I723" s="263"/>
      <c r="J723" s="263"/>
      <c r="K723" s="267">
        <v>0</v>
      </c>
    </row>
    <row r="724" spans="1:11" ht="15.75" customHeight="1">
      <c r="B724" s="16">
        <v>39</v>
      </c>
      <c r="C724" s="9"/>
      <c r="D724" s="272" t="s">
        <v>3674</v>
      </c>
      <c r="E724" s="273">
        <v>84</v>
      </c>
      <c r="F724" s="273">
        <v>12</v>
      </c>
      <c r="G724" s="273">
        <v>0</v>
      </c>
      <c r="H724" s="273">
        <v>0</v>
      </c>
      <c r="I724" s="273">
        <v>0</v>
      </c>
      <c r="J724" s="273">
        <v>24</v>
      </c>
      <c r="K724" s="273">
        <v>120</v>
      </c>
    </row>
    <row r="725" spans="1:11">
      <c r="C725" s="9"/>
      <c r="D725" s="271"/>
      <c r="E725" s="263"/>
      <c r="F725" s="263"/>
      <c r="G725" s="263"/>
      <c r="H725" s="263"/>
      <c r="I725" s="263"/>
      <c r="J725" s="263"/>
      <c r="K725" s="267">
        <v>0</v>
      </c>
    </row>
    <row r="726" spans="1:11">
      <c r="A726" s="9" t="s">
        <v>11137</v>
      </c>
      <c r="B726" s="16">
        <v>47</v>
      </c>
      <c r="C726" s="9"/>
      <c r="D726" s="271" t="s">
        <v>9391</v>
      </c>
      <c r="E726" s="263">
        <v>8</v>
      </c>
      <c r="F726" s="263">
        <v>0</v>
      </c>
      <c r="G726" s="263">
        <v>0</v>
      </c>
      <c r="H726" s="263">
        <v>0</v>
      </c>
      <c r="I726" s="263">
        <v>0</v>
      </c>
      <c r="J726" s="263">
        <v>0</v>
      </c>
      <c r="K726" s="267">
        <v>8</v>
      </c>
    </row>
    <row r="727" spans="1:11">
      <c r="A727" s="9" t="s">
        <v>11138</v>
      </c>
      <c r="B727" s="16">
        <v>47</v>
      </c>
      <c r="C727" s="9"/>
      <c r="D727" s="271" t="s">
        <v>9392</v>
      </c>
      <c r="E727" s="263">
        <v>8</v>
      </c>
      <c r="F727" s="263">
        <v>0</v>
      </c>
      <c r="G727" s="263">
        <v>0</v>
      </c>
      <c r="H727" s="263">
        <v>0</v>
      </c>
      <c r="I727" s="263">
        <v>0</v>
      </c>
      <c r="J727" s="263">
        <v>0</v>
      </c>
      <c r="K727" s="267">
        <v>8</v>
      </c>
    </row>
    <row r="728" spans="1:11">
      <c r="A728" s="9" t="s">
        <v>11139</v>
      </c>
      <c r="B728" s="16">
        <v>47</v>
      </c>
      <c r="C728" s="9"/>
      <c r="D728" s="271" t="s">
        <v>9393</v>
      </c>
      <c r="E728" s="263">
        <v>4</v>
      </c>
      <c r="F728" s="263">
        <v>0</v>
      </c>
      <c r="G728" s="263">
        <v>0</v>
      </c>
      <c r="H728" s="263">
        <v>0</v>
      </c>
      <c r="I728" s="263">
        <v>0</v>
      </c>
      <c r="J728" s="263">
        <v>0</v>
      </c>
      <c r="K728" s="267">
        <v>4</v>
      </c>
    </row>
    <row r="729" spans="1:11">
      <c r="A729" s="9" t="s">
        <v>11140</v>
      </c>
      <c r="B729" s="16">
        <v>47</v>
      </c>
      <c r="C729" s="9"/>
      <c r="D729" s="271" t="s">
        <v>9394</v>
      </c>
      <c r="E729" s="263">
        <v>4</v>
      </c>
      <c r="F729" s="263">
        <v>0</v>
      </c>
      <c r="G729" s="263">
        <v>0</v>
      </c>
      <c r="H729" s="263">
        <v>0</v>
      </c>
      <c r="I729" s="263">
        <v>0</v>
      </c>
      <c r="J729" s="263">
        <v>0</v>
      </c>
      <c r="K729" s="267">
        <v>4</v>
      </c>
    </row>
    <row r="730" spans="1:11">
      <c r="A730" s="9" t="s">
        <v>11141</v>
      </c>
      <c r="B730" s="16">
        <v>47</v>
      </c>
      <c r="C730" s="9"/>
      <c r="D730" s="271" t="s">
        <v>9395</v>
      </c>
      <c r="E730" s="263">
        <v>12</v>
      </c>
      <c r="F730" s="263">
        <v>0</v>
      </c>
      <c r="G730" s="263">
        <v>0</v>
      </c>
      <c r="H730" s="263">
        <v>0</v>
      </c>
      <c r="I730" s="263">
        <v>0</v>
      </c>
      <c r="J730" s="263">
        <v>0</v>
      </c>
      <c r="K730" s="267">
        <v>12</v>
      </c>
    </row>
    <row r="731" spans="1:11">
      <c r="A731" s="9" t="s">
        <v>11142</v>
      </c>
      <c r="B731" s="16">
        <v>47</v>
      </c>
      <c r="C731" s="9"/>
      <c r="D731" s="271" t="s">
        <v>9396</v>
      </c>
      <c r="E731" s="263">
        <v>12</v>
      </c>
      <c r="F731" s="263">
        <v>0</v>
      </c>
      <c r="G731" s="263">
        <v>0</v>
      </c>
      <c r="H731" s="263">
        <v>0</v>
      </c>
      <c r="I731" s="263">
        <v>0</v>
      </c>
      <c r="J731" s="263">
        <v>0</v>
      </c>
      <c r="K731" s="267">
        <v>12</v>
      </c>
    </row>
    <row r="732" spans="1:11">
      <c r="A732" s="9" t="s">
        <v>11143</v>
      </c>
      <c r="B732" s="16">
        <v>47</v>
      </c>
      <c r="C732" s="9"/>
      <c r="D732" s="271" t="s">
        <v>9397</v>
      </c>
      <c r="E732" s="263">
        <v>0</v>
      </c>
      <c r="F732" s="263">
        <v>0</v>
      </c>
      <c r="G732" s="263">
        <v>12</v>
      </c>
      <c r="H732" s="263">
        <v>0</v>
      </c>
      <c r="I732" s="263">
        <v>0</v>
      </c>
      <c r="J732" s="263">
        <v>0</v>
      </c>
      <c r="K732" s="267">
        <v>12</v>
      </c>
    </row>
    <row r="733" spans="1:11">
      <c r="A733" s="9" t="s">
        <v>11144</v>
      </c>
      <c r="B733" s="16">
        <v>47</v>
      </c>
      <c r="C733" s="9"/>
      <c r="D733" s="271" t="s">
        <v>9398</v>
      </c>
      <c r="E733" s="263">
        <v>0</v>
      </c>
      <c r="F733" s="263">
        <v>0</v>
      </c>
      <c r="G733" s="263">
        <v>0</v>
      </c>
      <c r="H733" s="263">
        <v>0</v>
      </c>
      <c r="I733" s="263">
        <v>0</v>
      </c>
      <c r="J733" s="263">
        <v>8</v>
      </c>
      <c r="K733" s="267">
        <v>8</v>
      </c>
    </row>
    <row r="734" spans="1:11">
      <c r="A734" s="9" t="s">
        <v>11145</v>
      </c>
      <c r="B734" s="16">
        <v>47</v>
      </c>
      <c r="C734" s="9"/>
      <c r="D734" s="271" t="s">
        <v>9399</v>
      </c>
      <c r="E734" s="263">
        <v>0</v>
      </c>
      <c r="F734" s="263">
        <v>0</v>
      </c>
      <c r="G734" s="263">
        <v>0</v>
      </c>
      <c r="H734" s="263">
        <v>0</v>
      </c>
      <c r="I734" s="263">
        <v>0</v>
      </c>
      <c r="J734" s="263">
        <v>8</v>
      </c>
      <c r="K734" s="267">
        <v>8</v>
      </c>
    </row>
    <row r="735" spans="1:11">
      <c r="A735" s="9" t="s">
        <v>11146</v>
      </c>
      <c r="B735" s="16">
        <v>47</v>
      </c>
      <c r="C735" s="9"/>
      <c r="D735" s="271" t="s">
        <v>9400</v>
      </c>
      <c r="E735" s="263">
        <v>0</v>
      </c>
      <c r="F735" s="263">
        <v>0</v>
      </c>
      <c r="G735" s="263">
        <v>0</v>
      </c>
      <c r="H735" s="263">
        <v>0</v>
      </c>
      <c r="I735" s="263">
        <v>0</v>
      </c>
      <c r="J735" s="263">
        <v>8</v>
      </c>
      <c r="K735" s="267">
        <v>8</v>
      </c>
    </row>
    <row r="736" spans="1:11">
      <c r="A736" s="9" t="s">
        <v>11147</v>
      </c>
      <c r="B736" s="16">
        <v>47</v>
      </c>
      <c r="C736" s="9"/>
      <c r="D736" s="271" t="s">
        <v>9401</v>
      </c>
      <c r="E736" s="263">
        <v>0</v>
      </c>
      <c r="F736" s="263">
        <v>0</v>
      </c>
      <c r="G736" s="263">
        <v>0</v>
      </c>
      <c r="H736" s="263">
        <v>0</v>
      </c>
      <c r="I736" s="263">
        <v>0</v>
      </c>
      <c r="J736" s="263">
        <v>8</v>
      </c>
      <c r="K736" s="267">
        <v>8</v>
      </c>
    </row>
    <row r="737" spans="1:11">
      <c r="A737" s="9" t="s">
        <v>11148</v>
      </c>
      <c r="B737" s="16">
        <v>47</v>
      </c>
      <c r="C737" s="9"/>
      <c r="D737" s="271" t="s">
        <v>9402</v>
      </c>
      <c r="E737" s="263">
        <v>0</v>
      </c>
      <c r="F737" s="263">
        <v>0</v>
      </c>
      <c r="G737" s="263">
        <v>0</v>
      </c>
      <c r="H737" s="263">
        <v>4</v>
      </c>
      <c r="I737" s="263">
        <v>0</v>
      </c>
      <c r="J737" s="263">
        <v>0</v>
      </c>
      <c r="K737" s="267">
        <v>4</v>
      </c>
    </row>
    <row r="738" spans="1:11">
      <c r="A738" s="9" t="s">
        <v>11149</v>
      </c>
      <c r="B738" s="16">
        <v>47</v>
      </c>
      <c r="C738" s="9"/>
      <c r="D738" s="271" t="s">
        <v>9403</v>
      </c>
      <c r="E738" s="263">
        <v>0</v>
      </c>
      <c r="F738" s="263">
        <v>0</v>
      </c>
      <c r="G738" s="263">
        <v>0</v>
      </c>
      <c r="H738" s="263">
        <v>4</v>
      </c>
      <c r="I738" s="263">
        <v>0</v>
      </c>
      <c r="J738" s="263">
        <v>0</v>
      </c>
      <c r="K738" s="267">
        <v>4</v>
      </c>
    </row>
    <row r="739" spans="1:11">
      <c r="A739" s="9" t="s">
        <v>11150</v>
      </c>
      <c r="B739" s="16">
        <v>47</v>
      </c>
      <c r="C739" s="9"/>
      <c r="D739" s="271" t="s">
        <v>9404</v>
      </c>
      <c r="E739" s="263">
        <v>0</v>
      </c>
      <c r="F739" s="263">
        <v>0</v>
      </c>
      <c r="G739" s="263">
        <v>0</v>
      </c>
      <c r="H739" s="263">
        <v>4</v>
      </c>
      <c r="I739" s="263">
        <v>0</v>
      </c>
      <c r="J739" s="263">
        <v>0</v>
      </c>
      <c r="K739" s="267">
        <v>4</v>
      </c>
    </row>
    <row r="740" spans="1:11">
      <c r="A740" s="9" t="s">
        <v>11151</v>
      </c>
      <c r="B740" s="16">
        <v>47</v>
      </c>
      <c r="C740" s="9"/>
      <c r="D740" s="271" t="s">
        <v>9405</v>
      </c>
      <c r="E740" s="263">
        <v>0</v>
      </c>
      <c r="F740" s="263">
        <v>8</v>
      </c>
      <c r="G740" s="263">
        <v>0</v>
      </c>
      <c r="H740" s="263">
        <v>0</v>
      </c>
      <c r="I740" s="263">
        <v>0</v>
      </c>
      <c r="J740" s="263">
        <v>0</v>
      </c>
      <c r="K740" s="267">
        <v>8</v>
      </c>
    </row>
    <row r="741" spans="1:11">
      <c r="A741" s="9" t="s">
        <v>11152</v>
      </c>
      <c r="B741" s="16">
        <v>47</v>
      </c>
      <c r="C741" s="9"/>
      <c r="D741" s="271" t="s">
        <v>9406</v>
      </c>
      <c r="E741" s="263">
        <v>0</v>
      </c>
      <c r="F741" s="263">
        <v>8</v>
      </c>
      <c r="G741" s="263">
        <v>0</v>
      </c>
      <c r="H741" s="263">
        <v>0</v>
      </c>
      <c r="I741" s="263">
        <v>0</v>
      </c>
      <c r="J741" s="263">
        <v>0</v>
      </c>
      <c r="K741" s="267">
        <v>8</v>
      </c>
    </row>
    <row r="742" spans="1:11">
      <c r="B742" s="16">
        <v>47</v>
      </c>
      <c r="C742" s="9"/>
      <c r="D742" s="271"/>
      <c r="E742" s="263"/>
      <c r="F742" s="263"/>
      <c r="G742" s="263"/>
      <c r="H742" s="263"/>
      <c r="I742" s="263"/>
      <c r="J742" s="263"/>
      <c r="K742" s="267">
        <v>0</v>
      </c>
    </row>
    <row r="743" spans="1:11" ht="15.75" customHeight="1">
      <c r="B743" s="16">
        <v>47</v>
      </c>
      <c r="C743" s="9"/>
      <c r="D743" s="272" t="s">
        <v>3674</v>
      </c>
      <c r="E743" s="273">
        <v>48</v>
      </c>
      <c r="F743" s="273">
        <v>16</v>
      </c>
      <c r="G743" s="273">
        <v>12</v>
      </c>
      <c r="H743" s="273">
        <v>12</v>
      </c>
      <c r="I743" s="273">
        <v>0</v>
      </c>
      <c r="J743" s="273">
        <v>32</v>
      </c>
      <c r="K743" s="273">
        <v>120</v>
      </c>
    </row>
    <row r="744" spans="1:11">
      <c r="C744" s="9"/>
      <c r="D744" s="271"/>
      <c r="E744" s="263"/>
      <c r="F744" s="263"/>
      <c r="G744" s="263"/>
      <c r="H744" s="263"/>
      <c r="I744" s="263"/>
      <c r="J744" s="263"/>
      <c r="K744" s="267">
        <v>0</v>
      </c>
    </row>
    <row r="745" spans="1:11">
      <c r="A745" s="9" t="s">
        <v>11153</v>
      </c>
      <c r="B745" s="16">
        <v>48</v>
      </c>
      <c r="C745" s="9"/>
      <c r="D745" s="271" t="s">
        <v>9407</v>
      </c>
      <c r="E745" s="263">
        <v>12</v>
      </c>
      <c r="F745" s="263">
        <v>0</v>
      </c>
      <c r="G745" s="263">
        <v>0</v>
      </c>
      <c r="H745" s="263">
        <v>0</v>
      </c>
      <c r="I745" s="263">
        <v>0</v>
      </c>
      <c r="J745" s="263">
        <v>0</v>
      </c>
      <c r="K745" s="267">
        <v>12</v>
      </c>
    </row>
    <row r="746" spans="1:11">
      <c r="A746" s="9" t="s">
        <v>11154</v>
      </c>
      <c r="B746" s="16">
        <v>48</v>
      </c>
      <c r="C746" s="9"/>
      <c r="D746" s="271" t="s">
        <v>9408</v>
      </c>
      <c r="E746" s="263">
        <v>12</v>
      </c>
      <c r="F746" s="263">
        <v>0</v>
      </c>
      <c r="G746" s="263">
        <v>0</v>
      </c>
      <c r="H746" s="263">
        <v>0</v>
      </c>
      <c r="I746" s="263">
        <v>0</v>
      </c>
      <c r="J746" s="263">
        <v>0</v>
      </c>
      <c r="K746" s="267">
        <v>12</v>
      </c>
    </row>
    <row r="747" spans="1:11">
      <c r="A747" s="9" t="s">
        <v>11155</v>
      </c>
      <c r="B747" s="16">
        <v>48</v>
      </c>
      <c r="C747" s="9"/>
      <c r="D747" s="271" t="s">
        <v>9409</v>
      </c>
      <c r="E747" s="263">
        <v>12</v>
      </c>
      <c r="F747" s="263">
        <v>0</v>
      </c>
      <c r="G747" s="263">
        <v>0</v>
      </c>
      <c r="H747" s="263">
        <v>0</v>
      </c>
      <c r="I747" s="263">
        <v>0</v>
      </c>
      <c r="J747" s="263">
        <v>0</v>
      </c>
      <c r="K747" s="267">
        <v>12</v>
      </c>
    </row>
    <row r="748" spans="1:11">
      <c r="A748" s="9" t="s">
        <v>11156</v>
      </c>
      <c r="B748" s="16">
        <v>48</v>
      </c>
      <c r="C748" s="9"/>
      <c r="D748" s="271" t="s">
        <v>9410</v>
      </c>
      <c r="E748" s="263">
        <v>0</v>
      </c>
      <c r="F748" s="263">
        <v>0</v>
      </c>
      <c r="G748" s="263">
        <v>12</v>
      </c>
      <c r="H748" s="263">
        <v>0</v>
      </c>
      <c r="I748" s="263">
        <v>0</v>
      </c>
      <c r="J748" s="263">
        <v>0</v>
      </c>
      <c r="K748" s="267">
        <v>12</v>
      </c>
    </row>
    <row r="749" spans="1:11">
      <c r="A749" s="9" t="s">
        <v>11157</v>
      </c>
      <c r="B749" s="16">
        <v>48</v>
      </c>
      <c r="C749" s="9"/>
      <c r="D749" s="271" t="s">
        <v>9411</v>
      </c>
      <c r="E749" s="263">
        <v>0</v>
      </c>
      <c r="F749" s="263">
        <v>0</v>
      </c>
      <c r="G749" s="263">
        <v>0</v>
      </c>
      <c r="H749" s="263">
        <v>0</v>
      </c>
      <c r="I749" s="263">
        <v>0</v>
      </c>
      <c r="J749" s="263">
        <v>12</v>
      </c>
      <c r="K749" s="267">
        <v>12</v>
      </c>
    </row>
    <row r="750" spans="1:11">
      <c r="A750" s="9" t="s">
        <v>11158</v>
      </c>
      <c r="B750" s="16">
        <v>48</v>
      </c>
      <c r="C750" s="9"/>
      <c r="D750" s="271" t="s">
        <v>9412</v>
      </c>
      <c r="E750" s="263">
        <v>0</v>
      </c>
      <c r="F750" s="263">
        <v>0</v>
      </c>
      <c r="G750" s="263">
        <v>0</v>
      </c>
      <c r="H750" s="263">
        <v>0</v>
      </c>
      <c r="I750" s="263">
        <v>0</v>
      </c>
      <c r="J750" s="263">
        <v>8</v>
      </c>
      <c r="K750" s="267">
        <v>8</v>
      </c>
    </row>
    <row r="751" spans="1:11" ht="31.5">
      <c r="A751" s="9" t="s">
        <v>11159</v>
      </c>
      <c r="B751" s="16">
        <v>48</v>
      </c>
      <c r="C751" s="9"/>
      <c r="D751" s="271" t="s">
        <v>9413</v>
      </c>
      <c r="E751" s="263">
        <v>0</v>
      </c>
      <c r="F751" s="263">
        <v>0</v>
      </c>
      <c r="G751" s="263">
        <v>0</v>
      </c>
      <c r="H751" s="263">
        <v>0</v>
      </c>
      <c r="I751" s="263">
        <v>0</v>
      </c>
      <c r="J751" s="263">
        <v>8</v>
      </c>
      <c r="K751" s="267">
        <v>8</v>
      </c>
    </row>
    <row r="752" spans="1:11">
      <c r="A752" s="9" t="s">
        <v>11160</v>
      </c>
      <c r="B752" s="16">
        <v>48</v>
      </c>
      <c r="C752" s="9"/>
      <c r="D752" s="271" t="s">
        <v>9414</v>
      </c>
      <c r="E752" s="263">
        <v>0</v>
      </c>
      <c r="F752" s="263">
        <v>0</v>
      </c>
      <c r="G752" s="263">
        <v>0</v>
      </c>
      <c r="H752" s="263">
        <v>8</v>
      </c>
      <c r="I752" s="263">
        <v>0</v>
      </c>
      <c r="J752" s="263">
        <v>0</v>
      </c>
      <c r="K752" s="267">
        <v>8</v>
      </c>
    </row>
    <row r="753" spans="1:11">
      <c r="A753" s="9" t="s">
        <v>11161</v>
      </c>
      <c r="B753" s="16">
        <v>48</v>
      </c>
      <c r="C753" s="9"/>
      <c r="D753" s="271" t="s">
        <v>9415</v>
      </c>
      <c r="E753" s="263">
        <v>0</v>
      </c>
      <c r="F753" s="263">
        <v>0</v>
      </c>
      <c r="G753" s="263">
        <v>0</v>
      </c>
      <c r="H753" s="263">
        <v>8</v>
      </c>
      <c r="I753" s="263">
        <v>0</v>
      </c>
      <c r="J753" s="263">
        <v>0</v>
      </c>
      <c r="K753" s="267">
        <v>8</v>
      </c>
    </row>
    <row r="754" spans="1:11">
      <c r="A754" s="9" t="s">
        <v>11162</v>
      </c>
      <c r="B754" s="16">
        <v>48</v>
      </c>
      <c r="C754" s="9"/>
      <c r="D754" s="271" t="s">
        <v>9416</v>
      </c>
      <c r="E754" s="263">
        <v>0</v>
      </c>
      <c r="F754" s="263">
        <v>4</v>
      </c>
      <c r="G754" s="263">
        <v>0</v>
      </c>
      <c r="H754" s="263">
        <v>0</v>
      </c>
      <c r="I754" s="263">
        <v>0</v>
      </c>
      <c r="J754" s="263">
        <v>0</v>
      </c>
      <c r="K754" s="267">
        <v>4</v>
      </c>
    </row>
    <row r="755" spans="1:11">
      <c r="A755" s="9" t="s">
        <v>11163</v>
      </c>
      <c r="B755" s="16">
        <v>48</v>
      </c>
      <c r="C755" s="9"/>
      <c r="D755" s="271" t="s">
        <v>9417</v>
      </c>
      <c r="E755" s="263">
        <v>0</v>
      </c>
      <c r="F755" s="263">
        <v>8</v>
      </c>
      <c r="G755" s="263">
        <v>0</v>
      </c>
      <c r="H755" s="263">
        <v>0</v>
      </c>
      <c r="I755" s="263">
        <v>0</v>
      </c>
      <c r="J755" s="263">
        <v>0</v>
      </c>
      <c r="K755" s="267">
        <v>8</v>
      </c>
    </row>
    <row r="756" spans="1:11">
      <c r="A756" s="9" t="s">
        <v>11164</v>
      </c>
      <c r="B756" s="16">
        <v>48</v>
      </c>
      <c r="C756" s="9"/>
      <c r="D756" s="271" t="s">
        <v>9418</v>
      </c>
      <c r="E756" s="263">
        <v>0</v>
      </c>
      <c r="F756" s="263">
        <v>8</v>
      </c>
      <c r="G756" s="263">
        <v>0</v>
      </c>
      <c r="H756" s="263">
        <v>0</v>
      </c>
      <c r="I756" s="263">
        <v>0</v>
      </c>
      <c r="J756" s="263">
        <v>0</v>
      </c>
      <c r="K756" s="267">
        <v>8</v>
      </c>
    </row>
    <row r="757" spans="1:11">
      <c r="A757" s="9" t="s">
        <v>11165</v>
      </c>
      <c r="B757" s="16">
        <v>48</v>
      </c>
      <c r="C757" s="9"/>
      <c r="D757" s="271" t="s">
        <v>9419</v>
      </c>
      <c r="E757" s="263">
        <v>0</v>
      </c>
      <c r="F757" s="263">
        <v>0</v>
      </c>
      <c r="G757" s="263">
        <v>0</v>
      </c>
      <c r="H757" s="263">
        <v>0</v>
      </c>
      <c r="I757" s="263">
        <v>8</v>
      </c>
      <c r="J757" s="263">
        <v>0</v>
      </c>
      <c r="K757" s="267">
        <v>8</v>
      </c>
    </row>
    <row r="758" spans="1:11">
      <c r="B758" s="16">
        <v>48</v>
      </c>
      <c r="C758" s="9"/>
      <c r="D758" s="271"/>
      <c r="E758" s="263"/>
      <c r="F758" s="263"/>
      <c r="G758" s="263"/>
      <c r="H758" s="263"/>
      <c r="I758" s="263"/>
      <c r="J758" s="263"/>
      <c r="K758" s="267">
        <v>0</v>
      </c>
    </row>
    <row r="759" spans="1:11" ht="15.75" customHeight="1">
      <c r="B759" s="16">
        <v>48</v>
      </c>
      <c r="C759" s="9"/>
      <c r="D759" s="272" t="s">
        <v>3674</v>
      </c>
      <c r="E759" s="273">
        <v>36</v>
      </c>
      <c r="F759" s="273">
        <v>20</v>
      </c>
      <c r="G759" s="273">
        <v>12</v>
      </c>
      <c r="H759" s="273">
        <v>16</v>
      </c>
      <c r="I759" s="273">
        <v>8</v>
      </c>
      <c r="J759" s="273">
        <v>28</v>
      </c>
      <c r="K759" s="273">
        <v>120</v>
      </c>
    </row>
    <row r="760" spans="1:11">
      <c r="C760" s="9"/>
      <c r="D760" s="271"/>
      <c r="E760" s="263"/>
      <c r="F760" s="263"/>
      <c r="G760" s="263"/>
      <c r="H760" s="263"/>
      <c r="I760" s="263"/>
      <c r="J760" s="263"/>
      <c r="K760" s="267">
        <v>0</v>
      </c>
    </row>
    <row r="761" spans="1:11">
      <c r="A761" s="9" t="s">
        <v>11166</v>
      </c>
      <c r="B761" s="16">
        <v>59</v>
      </c>
      <c r="C761" s="9"/>
      <c r="D761" s="271" t="s">
        <v>9420</v>
      </c>
      <c r="E761" s="263">
        <v>8</v>
      </c>
      <c r="F761" s="263">
        <v>0</v>
      </c>
      <c r="G761" s="263">
        <v>0</v>
      </c>
      <c r="H761" s="263">
        <v>0</v>
      </c>
      <c r="I761" s="263">
        <v>0</v>
      </c>
      <c r="J761" s="263">
        <v>0</v>
      </c>
      <c r="K761" s="267">
        <v>8</v>
      </c>
    </row>
    <row r="762" spans="1:11">
      <c r="A762" s="9" t="s">
        <v>11167</v>
      </c>
      <c r="B762" s="16">
        <v>59</v>
      </c>
      <c r="C762" s="9"/>
      <c r="D762" s="271" t="s">
        <v>9421</v>
      </c>
      <c r="E762" s="263">
        <v>8</v>
      </c>
      <c r="F762" s="263">
        <v>0</v>
      </c>
      <c r="G762" s="263">
        <v>0</v>
      </c>
      <c r="H762" s="263">
        <v>0</v>
      </c>
      <c r="I762" s="263">
        <v>0</v>
      </c>
      <c r="J762" s="263">
        <v>0</v>
      </c>
      <c r="K762" s="267">
        <v>8</v>
      </c>
    </row>
    <row r="763" spans="1:11">
      <c r="A763" s="9" t="s">
        <v>11168</v>
      </c>
      <c r="B763" s="16">
        <v>59</v>
      </c>
      <c r="C763" s="9"/>
      <c r="D763" s="271" t="s">
        <v>9422</v>
      </c>
      <c r="E763" s="263">
        <v>8</v>
      </c>
      <c r="F763" s="263">
        <v>0</v>
      </c>
      <c r="G763" s="263">
        <v>0</v>
      </c>
      <c r="H763" s="263">
        <v>0</v>
      </c>
      <c r="I763" s="263">
        <v>0</v>
      </c>
      <c r="J763" s="263">
        <v>0</v>
      </c>
      <c r="K763" s="267">
        <v>8</v>
      </c>
    </row>
    <row r="764" spans="1:11">
      <c r="A764" s="9" t="s">
        <v>11169</v>
      </c>
      <c r="B764" s="16">
        <v>59</v>
      </c>
      <c r="C764" s="9"/>
      <c r="D764" s="271" t="s">
        <v>9423</v>
      </c>
      <c r="E764" s="263">
        <v>4</v>
      </c>
      <c r="F764" s="263">
        <v>0</v>
      </c>
      <c r="G764" s="263">
        <v>0</v>
      </c>
      <c r="H764" s="263">
        <v>0</v>
      </c>
      <c r="I764" s="263">
        <v>0</v>
      </c>
      <c r="J764" s="263">
        <v>0</v>
      </c>
      <c r="K764" s="267">
        <v>4</v>
      </c>
    </row>
    <row r="765" spans="1:11">
      <c r="A765" s="9" t="s">
        <v>11170</v>
      </c>
      <c r="B765" s="16">
        <v>59</v>
      </c>
      <c r="C765" s="9"/>
      <c r="D765" s="271" t="s">
        <v>9424</v>
      </c>
      <c r="E765" s="263">
        <v>4</v>
      </c>
      <c r="F765" s="263">
        <v>0</v>
      </c>
      <c r="G765" s="263">
        <v>0</v>
      </c>
      <c r="H765" s="263">
        <v>0</v>
      </c>
      <c r="I765" s="263">
        <v>0</v>
      </c>
      <c r="J765" s="263">
        <v>0</v>
      </c>
      <c r="K765" s="267">
        <v>4</v>
      </c>
    </row>
    <row r="766" spans="1:11">
      <c r="A766" s="9" t="s">
        <v>11171</v>
      </c>
      <c r="B766" s="16">
        <v>59</v>
      </c>
      <c r="C766" s="9"/>
      <c r="D766" s="271" t="s">
        <v>9425</v>
      </c>
      <c r="E766" s="263">
        <v>8</v>
      </c>
      <c r="F766" s="263">
        <v>0</v>
      </c>
      <c r="G766" s="263">
        <v>0</v>
      </c>
      <c r="H766" s="263">
        <v>0</v>
      </c>
      <c r="I766" s="263">
        <v>0</v>
      </c>
      <c r="J766" s="263">
        <v>0</v>
      </c>
      <c r="K766" s="267">
        <v>8</v>
      </c>
    </row>
    <row r="767" spans="1:11">
      <c r="A767" s="9" t="s">
        <v>11172</v>
      </c>
      <c r="B767" s="16">
        <v>59</v>
      </c>
      <c r="C767" s="9"/>
      <c r="D767" s="271" t="s">
        <v>9426</v>
      </c>
      <c r="E767" s="263">
        <v>8</v>
      </c>
      <c r="F767" s="263">
        <v>0</v>
      </c>
      <c r="G767" s="263">
        <v>0</v>
      </c>
      <c r="H767" s="263">
        <v>0</v>
      </c>
      <c r="I767" s="263">
        <v>0</v>
      </c>
      <c r="J767" s="263">
        <v>0</v>
      </c>
      <c r="K767" s="267">
        <v>8</v>
      </c>
    </row>
    <row r="768" spans="1:11">
      <c r="A768" s="9" t="s">
        <v>11173</v>
      </c>
      <c r="B768" s="16">
        <v>59</v>
      </c>
      <c r="C768" s="9"/>
      <c r="D768" s="271" t="s">
        <v>9427</v>
      </c>
      <c r="E768" s="263">
        <v>0</v>
      </c>
      <c r="F768" s="263">
        <v>0</v>
      </c>
      <c r="G768" s="263">
        <v>8</v>
      </c>
      <c r="H768" s="263">
        <v>0</v>
      </c>
      <c r="I768" s="263">
        <v>0</v>
      </c>
      <c r="J768" s="263">
        <v>0</v>
      </c>
      <c r="K768" s="267">
        <v>8</v>
      </c>
    </row>
    <row r="769" spans="1:11">
      <c r="A769" s="9" t="s">
        <v>11174</v>
      </c>
      <c r="B769" s="16">
        <v>59</v>
      </c>
      <c r="C769" s="9"/>
      <c r="D769" s="271" t="s">
        <v>9428</v>
      </c>
      <c r="E769" s="263">
        <v>0</v>
      </c>
      <c r="F769" s="263">
        <v>0</v>
      </c>
      <c r="G769" s="263">
        <v>8</v>
      </c>
      <c r="H769" s="263">
        <v>0</v>
      </c>
      <c r="I769" s="263">
        <v>0</v>
      </c>
      <c r="J769" s="263">
        <v>0</v>
      </c>
      <c r="K769" s="267">
        <v>8</v>
      </c>
    </row>
    <row r="770" spans="1:11">
      <c r="A770" s="9" t="s">
        <v>11175</v>
      </c>
      <c r="B770" s="16">
        <v>59</v>
      </c>
      <c r="C770" s="9"/>
      <c r="D770" s="271" t="s">
        <v>9429</v>
      </c>
      <c r="E770" s="263">
        <v>0</v>
      </c>
      <c r="F770" s="263">
        <v>0</v>
      </c>
      <c r="G770" s="263">
        <v>0</v>
      </c>
      <c r="H770" s="263">
        <v>0</v>
      </c>
      <c r="I770" s="263">
        <v>0</v>
      </c>
      <c r="J770" s="263">
        <v>8</v>
      </c>
      <c r="K770" s="267">
        <v>8</v>
      </c>
    </row>
    <row r="771" spans="1:11">
      <c r="A771" s="9" t="s">
        <v>11176</v>
      </c>
      <c r="B771" s="16">
        <v>59</v>
      </c>
      <c r="C771" s="9"/>
      <c r="D771" s="271" t="s">
        <v>9430</v>
      </c>
      <c r="E771" s="263">
        <v>0</v>
      </c>
      <c r="F771" s="263">
        <v>0</v>
      </c>
      <c r="G771" s="263">
        <v>0</v>
      </c>
      <c r="H771" s="263">
        <v>0</v>
      </c>
      <c r="I771" s="263">
        <v>0</v>
      </c>
      <c r="J771" s="263">
        <v>8</v>
      </c>
      <c r="K771" s="267">
        <v>8</v>
      </c>
    </row>
    <row r="772" spans="1:11">
      <c r="A772" s="9" t="s">
        <v>11177</v>
      </c>
      <c r="B772" s="16">
        <v>59</v>
      </c>
      <c r="C772" s="9"/>
      <c r="D772" s="271" t="s">
        <v>9431</v>
      </c>
      <c r="E772" s="263">
        <v>0</v>
      </c>
      <c r="F772" s="263">
        <v>0</v>
      </c>
      <c r="G772" s="263">
        <v>0</v>
      </c>
      <c r="H772" s="263">
        <v>0</v>
      </c>
      <c r="I772" s="263">
        <v>0</v>
      </c>
      <c r="J772" s="263">
        <v>4</v>
      </c>
      <c r="K772" s="267">
        <v>4</v>
      </c>
    </row>
    <row r="773" spans="1:11">
      <c r="A773" s="9" t="s">
        <v>11178</v>
      </c>
      <c r="B773" s="16">
        <v>59</v>
      </c>
      <c r="C773" s="9"/>
      <c r="D773" s="271" t="s">
        <v>9432</v>
      </c>
      <c r="E773" s="263">
        <v>0</v>
      </c>
      <c r="F773" s="263">
        <v>0</v>
      </c>
      <c r="G773" s="263">
        <v>0</v>
      </c>
      <c r="H773" s="263">
        <v>0</v>
      </c>
      <c r="I773" s="263">
        <v>0</v>
      </c>
      <c r="J773" s="263">
        <v>8</v>
      </c>
      <c r="K773" s="267">
        <v>8</v>
      </c>
    </row>
    <row r="774" spans="1:11">
      <c r="A774" s="9" t="s">
        <v>11179</v>
      </c>
      <c r="B774" s="16">
        <v>59</v>
      </c>
      <c r="C774" s="9"/>
      <c r="D774" s="271" t="s">
        <v>9433</v>
      </c>
      <c r="E774" s="263">
        <v>0</v>
      </c>
      <c r="F774" s="263">
        <v>0</v>
      </c>
      <c r="G774" s="263">
        <v>0</v>
      </c>
      <c r="H774" s="263">
        <v>4</v>
      </c>
      <c r="I774" s="263">
        <v>0</v>
      </c>
      <c r="J774" s="263">
        <v>0</v>
      </c>
      <c r="K774" s="267">
        <v>4</v>
      </c>
    </row>
    <row r="775" spans="1:11">
      <c r="A775" s="9" t="s">
        <v>11180</v>
      </c>
      <c r="B775" s="16">
        <v>59</v>
      </c>
      <c r="C775" s="9"/>
      <c r="D775" s="271" t="s">
        <v>9434</v>
      </c>
      <c r="E775" s="263">
        <v>0</v>
      </c>
      <c r="F775" s="263">
        <v>0</v>
      </c>
      <c r="G775" s="263">
        <v>0</v>
      </c>
      <c r="H775" s="263">
        <v>4</v>
      </c>
      <c r="I775" s="263">
        <v>0</v>
      </c>
      <c r="J775" s="263">
        <v>0</v>
      </c>
      <c r="K775" s="267">
        <v>4</v>
      </c>
    </row>
    <row r="776" spans="1:11">
      <c r="A776" s="9" t="s">
        <v>11181</v>
      </c>
      <c r="B776" s="16">
        <v>59</v>
      </c>
      <c r="C776" s="9"/>
      <c r="D776" s="271" t="s">
        <v>9435</v>
      </c>
      <c r="E776" s="263">
        <v>0</v>
      </c>
      <c r="F776" s="263">
        <v>0</v>
      </c>
      <c r="G776" s="263">
        <v>0</v>
      </c>
      <c r="H776" s="263">
        <v>4</v>
      </c>
      <c r="I776" s="263">
        <v>0</v>
      </c>
      <c r="J776" s="263">
        <v>0</v>
      </c>
      <c r="K776" s="267">
        <v>4</v>
      </c>
    </row>
    <row r="777" spans="1:11">
      <c r="A777" s="9" t="s">
        <v>11182</v>
      </c>
      <c r="B777" s="16">
        <v>59</v>
      </c>
      <c r="C777" s="9"/>
      <c r="D777" s="271" t="s">
        <v>9436</v>
      </c>
      <c r="E777" s="263">
        <v>0</v>
      </c>
      <c r="F777" s="263">
        <v>0</v>
      </c>
      <c r="G777" s="263">
        <v>0</v>
      </c>
      <c r="H777" s="263">
        <v>4</v>
      </c>
      <c r="I777" s="263">
        <v>0</v>
      </c>
      <c r="J777" s="263">
        <v>0</v>
      </c>
      <c r="K777" s="267">
        <v>4</v>
      </c>
    </row>
    <row r="778" spans="1:11">
      <c r="A778" s="9" t="s">
        <v>11183</v>
      </c>
      <c r="B778" s="16">
        <v>59</v>
      </c>
      <c r="C778" s="9"/>
      <c r="D778" s="271" t="s">
        <v>9437</v>
      </c>
      <c r="E778" s="263">
        <v>0</v>
      </c>
      <c r="F778" s="263">
        <v>8</v>
      </c>
      <c r="G778" s="263">
        <v>0</v>
      </c>
      <c r="H778" s="263">
        <v>0</v>
      </c>
      <c r="I778" s="263">
        <v>0</v>
      </c>
      <c r="J778" s="263">
        <v>0</v>
      </c>
      <c r="K778" s="267">
        <v>8</v>
      </c>
    </row>
    <row r="779" spans="1:11">
      <c r="A779" s="9" t="s">
        <v>11184</v>
      </c>
      <c r="B779" s="16">
        <v>59</v>
      </c>
      <c r="C779" s="9"/>
      <c r="D779" s="271" t="s">
        <v>9438</v>
      </c>
      <c r="E779" s="263">
        <v>0</v>
      </c>
      <c r="F779" s="263">
        <v>4</v>
      </c>
      <c r="G779" s="263">
        <v>0</v>
      </c>
      <c r="H779" s="263">
        <v>0</v>
      </c>
      <c r="I779" s="263">
        <v>0</v>
      </c>
      <c r="J779" s="263">
        <v>0</v>
      </c>
      <c r="K779" s="267">
        <v>4</v>
      </c>
    </row>
    <row r="780" spans="1:11">
      <c r="B780" s="16">
        <v>59</v>
      </c>
      <c r="C780" s="9"/>
      <c r="D780" s="271"/>
      <c r="E780" s="263"/>
      <c r="F780" s="263"/>
      <c r="G780" s="263"/>
      <c r="H780" s="263"/>
      <c r="I780" s="263"/>
      <c r="J780" s="263"/>
      <c r="K780" s="267">
        <v>0</v>
      </c>
    </row>
    <row r="781" spans="1:11" ht="15.75" customHeight="1">
      <c r="B781" s="16">
        <v>59</v>
      </c>
      <c r="C781" s="9"/>
      <c r="D781" s="272" t="s">
        <v>3674</v>
      </c>
      <c r="E781" s="273">
        <v>48</v>
      </c>
      <c r="F781" s="273">
        <v>12</v>
      </c>
      <c r="G781" s="273">
        <v>16</v>
      </c>
      <c r="H781" s="273">
        <v>16</v>
      </c>
      <c r="I781" s="273">
        <v>0</v>
      </c>
      <c r="J781" s="273">
        <v>28</v>
      </c>
      <c r="K781" s="273">
        <v>120</v>
      </c>
    </row>
    <row r="782" spans="1:11">
      <c r="C782" s="9"/>
      <c r="D782" s="271"/>
      <c r="E782" s="263"/>
      <c r="F782" s="263"/>
      <c r="G782" s="263"/>
      <c r="H782" s="263"/>
      <c r="I782" s="263"/>
      <c r="J782" s="263"/>
      <c r="K782" s="267">
        <v>0</v>
      </c>
    </row>
    <row r="783" spans="1:11">
      <c r="A783" s="9" t="s">
        <v>11185</v>
      </c>
      <c r="B783" s="16">
        <v>60</v>
      </c>
      <c r="C783" s="9"/>
      <c r="D783" s="271" t="s">
        <v>9439</v>
      </c>
      <c r="E783" s="263">
        <v>12</v>
      </c>
      <c r="F783" s="263">
        <v>0</v>
      </c>
      <c r="G783" s="263">
        <v>0</v>
      </c>
      <c r="H783" s="263">
        <v>0</v>
      </c>
      <c r="I783" s="263">
        <v>0</v>
      </c>
      <c r="J783" s="263">
        <v>0</v>
      </c>
      <c r="K783" s="267">
        <v>12</v>
      </c>
    </row>
    <row r="784" spans="1:11">
      <c r="A784" s="9" t="s">
        <v>11186</v>
      </c>
      <c r="B784" s="16">
        <v>60</v>
      </c>
      <c r="C784" s="9"/>
      <c r="D784" s="271" t="s">
        <v>9440</v>
      </c>
      <c r="E784" s="263">
        <v>8</v>
      </c>
      <c r="F784" s="263">
        <v>0</v>
      </c>
      <c r="G784" s="263">
        <v>0</v>
      </c>
      <c r="H784" s="263">
        <v>0</v>
      </c>
      <c r="I784" s="263">
        <v>0</v>
      </c>
      <c r="J784" s="263">
        <v>0</v>
      </c>
      <c r="K784" s="267">
        <v>8</v>
      </c>
    </row>
    <row r="785" spans="1:11">
      <c r="A785" s="9" t="s">
        <v>11187</v>
      </c>
      <c r="B785" s="16">
        <v>60</v>
      </c>
      <c r="C785" s="9"/>
      <c r="D785" s="271" t="s">
        <v>9441</v>
      </c>
      <c r="E785" s="263">
        <v>8</v>
      </c>
      <c r="F785" s="263">
        <v>0</v>
      </c>
      <c r="G785" s="263">
        <v>0</v>
      </c>
      <c r="H785" s="263">
        <v>0</v>
      </c>
      <c r="I785" s="263">
        <v>0</v>
      </c>
      <c r="J785" s="263">
        <v>0</v>
      </c>
      <c r="K785" s="267">
        <v>8</v>
      </c>
    </row>
    <row r="786" spans="1:11">
      <c r="A786" s="9" t="s">
        <v>11188</v>
      </c>
      <c r="B786" s="16">
        <v>60</v>
      </c>
      <c r="C786" s="9"/>
      <c r="D786" s="271" t="s">
        <v>9442</v>
      </c>
      <c r="E786" s="263">
        <v>0</v>
      </c>
      <c r="F786" s="263">
        <v>0</v>
      </c>
      <c r="G786" s="263">
        <v>8</v>
      </c>
      <c r="H786" s="263">
        <v>0</v>
      </c>
      <c r="I786" s="263">
        <v>0</v>
      </c>
      <c r="J786" s="263">
        <v>0</v>
      </c>
      <c r="K786" s="267">
        <v>8</v>
      </c>
    </row>
    <row r="787" spans="1:11">
      <c r="A787" s="9" t="s">
        <v>11189</v>
      </c>
      <c r="B787" s="16">
        <v>60</v>
      </c>
      <c r="C787" s="9"/>
      <c r="D787" s="271" t="s">
        <v>9443</v>
      </c>
      <c r="E787" s="263">
        <v>0</v>
      </c>
      <c r="F787" s="263">
        <v>0</v>
      </c>
      <c r="G787" s="263">
        <v>12</v>
      </c>
      <c r="H787" s="263">
        <v>0</v>
      </c>
      <c r="I787" s="263">
        <v>0</v>
      </c>
      <c r="J787" s="263">
        <v>0</v>
      </c>
      <c r="K787" s="267">
        <v>12</v>
      </c>
    </row>
    <row r="788" spans="1:11">
      <c r="A788" s="9" t="s">
        <v>11190</v>
      </c>
      <c r="B788" s="16">
        <v>60</v>
      </c>
      <c r="C788" s="9"/>
      <c r="D788" s="271" t="s">
        <v>9444</v>
      </c>
      <c r="E788" s="263">
        <v>0</v>
      </c>
      <c r="F788" s="263">
        <v>0</v>
      </c>
      <c r="G788" s="263">
        <v>0</v>
      </c>
      <c r="H788" s="263">
        <v>0</v>
      </c>
      <c r="I788" s="263">
        <v>0</v>
      </c>
      <c r="J788" s="263">
        <v>8</v>
      </c>
      <c r="K788" s="267">
        <v>8</v>
      </c>
    </row>
    <row r="789" spans="1:11">
      <c r="A789" s="9" t="s">
        <v>11191</v>
      </c>
      <c r="B789" s="16">
        <v>60</v>
      </c>
      <c r="C789" s="9"/>
      <c r="D789" s="271" t="s">
        <v>9445</v>
      </c>
      <c r="E789" s="263">
        <v>0</v>
      </c>
      <c r="F789" s="263">
        <v>0</v>
      </c>
      <c r="G789" s="263">
        <v>0</v>
      </c>
      <c r="H789" s="263">
        <v>0</v>
      </c>
      <c r="I789" s="263">
        <v>0</v>
      </c>
      <c r="J789" s="263">
        <v>12</v>
      </c>
      <c r="K789" s="267">
        <v>12</v>
      </c>
    </row>
    <row r="790" spans="1:11">
      <c r="A790" s="9" t="s">
        <v>11192</v>
      </c>
      <c r="B790" s="16">
        <v>60</v>
      </c>
      <c r="C790" s="9"/>
      <c r="D790" s="271" t="s">
        <v>9446</v>
      </c>
      <c r="E790" s="263">
        <v>0</v>
      </c>
      <c r="F790" s="263">
        <v>0</v>
      </c>
      <c r="G790" s="263">
        <v>0</v>
      </c>
      <c r="H790" s="263">
        <v>0</v>
      </c>
      <c r="I790" s="263">
        <v>0</v>
      </c>
      <c r="J790" s="263">
        <v>12</v>
      </c>
      <c r="K790" s="267">
        <v>12</v>
      </c>
    </row>
    <row r="791" spans="1:11">
      <c r="A791" s="9" t="s">
        <v>11193</v>
      </c>
      <c r="B791" s="16">
        <v>60</v>
      </c>
      <c r="C791" s="9"/>
      <c r="D791" s="271" t="s">
        <v>9447</v>
      </c>
      <c r="E791" s="263">
        <v>0</v>
      </c>
      <c r="F791" s="263">
        <v>0</v>
      </c>
      <c r="G791" s="263">
        <v>0</v>
      </c>
      <c r="H791" s="263">
        <v>0</v>
      </c>
      <c r="I791" s="263">
        <v>0</v>
      </c>
      <c r="J791" s="263">
        <v>8</v>
      </c>
      <c r="K791" s="267">
        <v>8</v>
      </c>
    </row>
    <row r="792" spans="1:11">
      <c r="A792" s="9" t="s">
        <v>11194</v>
      </c>
      <c r="B792" s="16">
        <v>60</v>
      </c>
      <c r="C792" s="9"/>
      <c r="D792" s="271" t="s">
        <v>9448</v>
      </c>
      <c r="E792" s="263">
        <v>0</v>
      </c>
      <c r="F792" s="263">
        <v>0</v>
      </c>
      <c r="G792" s="263">
        <v>0</v>
      </c>
      <c r="H792" s="263">
        <v>0</v>
      </c>
      <c r="I792" s="263">
        <v>0</v>
      </c>
      <c r="J792" s="263">
        <v>8</v>
      </c>
      <c r="K792" s="267">
        <v>8</v>
      </c>
    </row>
    <row r="793" spans="1:11">
      <c r="A793" s="9" t="s">
        <v>11195</v>
      </c>
      <c r="B793" s="16">
        <v>60</v>
      </c>
      <c r="C793" s="9"/>
      <c r="D793" s="271" t="s">
        <v>9449</v>
      </c>
      <c r="E793" s="263">
        <v>0</v>
      </c>
      <c r="F793" s="263">
        <v>0</v>
      </c>
      <c r="G793" s="263">
        <v>0</v>
      </c>
      <c r="H793" s="263">
        <v>8</v>
      </c>
      <c r="I793" s="263">
        <v>0</v>
      </c>
      <c r="J793" s="263">
        <v>0</v>
      </c>
      <c r="K793" s="267">
        <v>8</v>
      </c>
    </row>
    <row r="794" spans="1:11">
      <c r="A794" s="9" t="s">
        <v>11196</v>
      </c>
      <c r="B794" s="16">
        <v>60</v>
      </c>
      <c r="C794" s="9"/>
      <c r="D794" s="271" t="s">
        <v>9450</v>
      </c>
      <c r="E794" s="263">
        <v>0</v>
      </c>
      <c r="F794" s="263">
        <v>8</v>
      </c>
      <c r="G794" s="263">
        <v>0</v>
      </c>
      <c r="H794" s="263">
        <v>0</v>
      </c>
      <c r="I794" s="263">
        <v>0</v>
      </c>
      <c r="J794" s="263">
        <v>0</v>
      </c>
      <c r="K794" s="267">
        <v>8</v>
      </c>
    </row>
    <row r="795" spans="1:11">
      <c r="A795" s="9" t="s">
        <v>11197</v>
      </c>
      <c r="B795" s="16">
        <v>60</v>
      </c>
      <c r="C795" s="9"/>
      <c r="D795" s="271" t="s">
        <v>9451</v>
      </c>
      <c r="E795" s="263">
        <v>0</v>
      </c>
      <c r="F795" s="263">
        <v>8</v>
      </c>
      <c r="G795" s="263">
        <v>0</v>
      </c>
      <c r="H795" s="263">
        <v>0</v>
      </c>
      <c r="I795" s="263">
        <v>0</v>
      </c>
      <c r="J795" s="263">
        <v>0</v>
      </c>
      <c r="K795" s="267">
        <v>8</v>
      </c>
    </row>
    <row r="796" spans="1:11">
      <c r="B796" s="16">
        <v>60</v>
      </c>
      <c r="C796" s="9"/>
      <c r="D796" s="271"/>
      <c r="E796" s="263"/>
      <c r="F796" s="263"/>
      <c r="G796" s="263"/>
      <c r="H796" s="263"/>
      <c r="I796" s="263"/>
      <c r="J796" s="263"/>
      <c r="K796" s="267">
        <v>0</v>
      </c>
    </row>
    <row r="797" spans="1:11" ht="15.75" customHeight="1">
      <c r="B797" s="16">
        <v>60</v>
      </c>
      <c r="C797" s="9"/>
      <c r="D797" s="272" t="s">
        <v>3674</v>
      </c>
      <c r="E797" s="273">
        <v>28</v>
      </c>
      <c r="F797" s="273">
        <v>16</v>
      </c>
      <c r="G797" s="273">
        <v>20</v>
      </c>
      <c r="H797" s="273">
        <v>8</v>
      </c>
      <c r="I797" s="273">
        <v>0</v>
      </c>
      <c r="J797" s="273">
        <v>48</v>
      </c>
      <c r="K797" s="273">
        <v>120</v>
      </c>
    </row>
    <row r="798" spans="1:11">
      <c r="C798" s="9"/>
      <c r="D798" s="271"/>
      <c r="E798" s="263"/>
      <c r="F798" s="263"/>
      <c r="G798" s="263"/>
      <c r="H798" s="263"/>
      <c r="I798" s="263"/>
      <c r="J798" s="263"/>
      <c r="K798" s="267">
        <v>0</v>
      </c>
    </row>
    <row r="799" spans="1:11">
      <c r="A799" s="9" t="s">
        <v>11198</v>
      </c>
      <c r="B799" s="16">
        <v>65</v>
      </c>
      <c r="C799" s="9"/>
      <c r="D799" s="271" t="s">
        <v>9452</v>
      </c>
      <c r="E799" s="263">
        <v>8</v>
      </c>
      <c r="F799" s="263">
        <v>0</v>
      </c>
      <c r="G799" s="263">
        <v>0</v>
      </c>
      <c r="H799" s="263">
        <v>0</v>
      </c>
      <c r="I799" s="263">
        <v>0</v>
      </c>
      <c r="J799" s="263">
        <v>0</v>
      </c>
      <c r="K799" s="267">
        <v>8</v>
      </c>
    </row>
    <row r="800" spans="1:11">
      <c r="A800" s="9" t="s">
        <v>11199</v>
      </c>
      <c r="B800" s="16">
        <v>65</v>
      </c>
      <c r="C800" s="9"/>
      <c r="D800" s="271" t="s">
        <v>9453</v>
      </c>
      <c r="E800" s="263">
        <v>8</v>
      </c>
      <c r="F800" s="263">
        <v>0</v>
      </c>
      <c r="G800" s="263">
        <v>0</v>
      </c>
      <c r="H800" s="263">
        <v>0</v>
      </c>
      <c r="I800" s="263">
        <v>0</v>
      </c>
      <c r="J800" s="263">
        <v>0</v>
      </c>
      <c r="K800" s="267">
        <v>8</v>
      </c>
    </row>
    <row r="801" spans="1:11">
      <c r="A801" s="9" t="s">
        <v>11200</v>
      </c>
      <c r="B801" s="16">
        <v>65</v>
      </c>
      <c r="C801" s="9"/>
      <c r="D801" s="271" t="s">
        <v>9454</v>
      </c>
      <c r="E801" s="263">
        <v>8</v>
      </c>
      <c r="F801" s="263">
        <v>0</v>
      </c>
      <c r="G801" s="263">
        <v>0</v>
      </c>
      <c r="H801" s="263">
        <v>0</v>
      </c>
      <c r="I801" s="263">
        <v>0</v>
      </c>
      <c r="J801" s="263">
        <v>0</v>
      </c>
      <c r="K801" s="267">
        <v>8</v>
      </c>
    </row>
    <row r="802" spans="1:11">
      <c r="A802" s="9" t="s">
        <v>11201</v>
      </c>
      <c r="B802" s="16">
        <v>65</v>
      </c>
      <c r="C802" s="9"/>
      <c r="D802" s="271" t="s">
        <v>9455</v>
      </c>
      <c r="E802" s="263">
        <v>8</v>
      </c>
      <c r="F802" s="263">
        <v>0</v>
      </c>
      <c r="G802" s="263">
        <v>0</v>
      </c>
      <c r="H802" s="263">
        <v>0</v>
      </c>
      <c r="I802" s="263">
        <v>0</v>
      </c>
      <c r="J802" s="263">
        <v>0</v>
      </c>
      <c r="K802" s="267">
        <v>8</v>
      </c>
    </row>
    <row r="803" spans="1:11">
      <c r="A803" s="9" t="s">
        <v>11202</v>
      </c>
      <c r="B803" s="16">
        <v>65</v>
      </c>
      <c r="C803" s="9"/>
      <c r="D803" s="271" t="s">
        <v>9456</v>
      </c>
      <c r="E803" s="263">
        <v>12</v>
      </c>
      <c r="F803" s="263">
        <v>0</v>
      </c>
      <c r="G803" s="263">
        <v>0</v>
      </c>
      <c r="H803" s="263">
        <v>0</v>
      </c>
      <c r="I803" s="263">
        <v>0</v>
      </c>
      <c r="J803" s="263">
        <v>0</v>
      </c>
      <c r="K803" s="267">
        <v>12</v>
      </c>
    </row>
    <row r="804" spans="1:11">
      <c r="A804" s="9" t="s">
        <v>11203</v>
      </c>
      <c r="B804" s="16">
        <v>65</v>
      </c>
      <c r="C804" s="9"/>
      <c r="D804" s="271" t="s">
        <v>9457</v>
      </c>
      <c r="E804" s="263">
        <v>0</v>
      </c>
      <c r="F804" s="263">
        <v>0</v>
      </c>
      <c r="G804" s="263">
        <v>8</v>
      </c>
      <c r="H804" s="263">
        <v>0</v>
      </c>
      <c r="I804" s="263">
        <v>0</v>
      </c>
      <c r="J804" s="263">
        <v>0</v>
      </c>
      <c r="K804" s="267">
        <v>8</v>
      </c>
    </row>
    <row r="805" spans="1:11">
      <c r="A805" s="9" t="s">
        <v>11204</v>
      </c>
      <c r="B805" s="16">
        <v>65</v>
      </c>
      <c r="C805" s="9"/>
      <c r="D805" s="271" t="s">
        <v>9458</v>
      </c>
      <c r="E805" s="263">
        <v>0</v>
      </c>
      <c r="F805" s="263">
        <v>0</v>
      </c>
      <c r="G805" s="263">
        <v>8</v>
      </c>
      <c r="H805" s="263">
        <v>0</v>
      </c>
      <c r="I805" s="263">
        <v>0</v>
      </c>
      <c r="J805" s="263">
        <v>0</v>
      </c>
      <c r="K805" s="267">
        <v>8</v>
      </c>
    </row>
    <row r="806" spans="1:11">
      <c r="A806" s="9" t="s">
        <v>11205</v>
      </c>
      <c r="B806" s="16">
        <v>65</v>
      </c>
      <c r="C806" s="9"/>
      <c r="D806" s="271" t="s">
        <v>9459</v>
      </c>
      <c r="E806" s="263">
        <v>0</v>
      </c>
      <c r="F806" s="263">
        <v>0</v>
      </c>
      <c r="G806" s="263">
        <v>0</v>
      </c>
      <c r="H806" s="263">
        <v>0</v>
      </c>
      <c r="I806" s="263">
        <v>0</v>
      </c>
      <c r="J806" s="263">
        <v>8</v>
      </c>
      <c r="K806" s="267">
        <v>8</v>
      </c>
    </row>
    <row r="807" spans="1:11">
      <c r="A807" s="9" t="s">
        <v>11206</v>
      </c>
      <c r="B807" s="16">
        <v>65</v>
      </c>
      <c r="C807" s="9"/>
      <c r="D807" s="271" t="s">
        <v>9460</v>
      </c>
      <c r="E807" s="263">
        <v>0</v>
      </c>
      <c r="F807" s="263">
        <v>0</v>
      </c>
      <c r="G807" s="263">
        <v>0</v>
      </c>
      <c r="H807" s="263">
        <v>0</v>
      </c>
      <c r="I807" s="263">
        <v>0</v>
      </c>
      <c r="J807" s="263">
        <v>8</v>
      </c>
      <c r="K807" s="267">
        <v>8</v>
      </c>
    </row>
    <row r="808" spans="1:11">
      <c r="A808" s="9" t="s">
        <v>11207</v>
      </c>
      <c r="B808" s="16">
        <v>65</v>
      </c>
      <c r="C808" s="9"/>
      <c r="D808" s="271" t="s">
        <v>9461</v>
      </c>
      <c r="E808" s="263">
        <v>0</v>
      </c>
      <c r="F808" s="263">
        <v>0</v>
      </c>
      <c r="G808" s="263">
        <v>0</v>
      </c>
      <c r="H808" s="263">
        <v>0</v>
      </c>
      <c r="I808" s="263">
        <v>0</v>
      </c>
      <c r="J808" s="263">
        <v>8</v>
      </c>
      <c r="K808" s="267">
        <v>8</v>
      </c>
    </row>
    <row r="809" spans="1:11">
      <c r="A809" s="9" t="s">
        <v>11208</v>
      </c>
      <c r="B809" s="16">
        <v>65</v>
      </c>
      <c r="C809" s="9"/>
      <c r="D809" s="271" t="s">
        <v>9462</v>
      </c>
      <c r="E809" s="263">
        <v>0</v>
      </c>
      <c r="F809" s="263">
        <v>0</v>
      </c>
      <c r="G809" s="263">
        <v>0</v>
      </c>
      <c r="H809" s="263">
        <v>0</v>
      </c>
      <c r="I809" s="263">
        <v>0</v>
      </c>
      <c r="J809" s="263">
        <v>8</v>
      </c>
      <c r="K809" s="267">
        <v>8</v>
      </c>
    </row>
    <row r="810" spans="1:11">
      <c r="A810" s="9" t="s">
        <v>11209</v>
      </c>
      <c r="B810" s="16">
        <v>65</v>
      </c>
      <c r="C810" s="9"/>
      <c r="D810" s="271" t="s">
        <v>9463</v>
      </c>
      <c r="E810" s="263">
        <v>0</v>
      </c>
      <c r="F810" s="263">
        <v>0</v>
      </c>
      <c r="G810" s="263">
        <v>0</v>
      </c>
      <c r="H810" s="263">
        <v>8</v>
      </c>
      <c r="I810" s="263">
        <v>0</v>
      </c>
      <c r="J810" s="263">
        <v>0</v>
      </c>
      <c r="K810" s="267">
        <v>8</v>
      </c>
    </row>
    <row r="811" spans="1:11">
      <c r="A811" s="9" t="s">
        <v>11210</v>
      </c>
      <c r="B811" s="16">
        <v>65</v>
      </c>
      <c r="C811" s="9"/>
      <c r="D811" s="271" t="s">
        <v>9464</v>
      </c>
      <c r="E811" s="263">
        <v>0</v>
      </c>
      <c r="F811" s="263">
        <v>0</v>
      </c>
      <c r="G811" s="263">
        <v>0</v>
      </c>
      <c r="H811" s="263">
        <v>8</v>
      </c>
      <c r="I811" s="263">
        <v>0</v>
      </c>
      <c r="J811" s="263">
        <v>0</v>
      </c>
      <c r="K811" s="267">
        <v>8</v>
      </c>
    </row>
    <row r="812" spans="1:11">
      <c r="A812" s="9" t="s">
        <v>11211</v>
      </c>
      <c r="B812" s="16">
        <v>65</v>
      </c>
      <c r="C812" s="9"/>
      <c r="D812" s="271" t="s">
        <v>9465</v>
      </c>
      <c r="E812" s="263">
        <v>0</v>
      </c>
      <c r="F812" s="263">
        <v>4</v>
      </c>
      <c r="G812" s="263">
        <v>0</v>
      </c>
      <c r="H812" s="263">
        <v>0</v>
      </c>
      <c r="I812" s="263">
        <v>0</v>
      </c>
      <c r="J812" s="263">
        <v>0</v>
      </c>
      <c r="K812" s="267">
        <v>4</v>
      </c>
    </row>
    <row r="813" spans="1:11">
      <c r="A813" s="9" t="s">
        <v>11212</v>
      </c>
      <c r="B813" s="16">
        <v>65</v>
      </c>
      <c r="C813" s="9"/>
      <c r="D813" s="271" t="s">
        <v>9466</v>
      </c>
      <c r="E813" s="263">
        <v>0</v>
      </c>
      <c r="F813" s="263">
        <v>0</v>
      </c>
      <c r="G813" s="263">
        <v>0</v>
      </c>
      <c r="H813" s="263">
        <v>0</v>
      </c>
      <c r="I813" s="263">
        <v>8</v>
      </c>
      <c r="J813" s="263">
        <v>0</v>
      </c>
      <c r="K813" s="267">
        <v>8</v>
      </c>
    </row>
    <row r="814" spans="1:11">
      <c r="B814" s="16">
        <v>65</v>
      </c>
      <c r="C814" s="9"/>
      <c r="D814" s="271"/>
      <c r="E814" s="263"/>
      <c r="F814" s="263"/>
      <c r="G814" s="263"/>
      <c r="H814" s="263"/>
      <c r="I814" s="263"/>
      <c r="J814" s="263"/>
      <c r="K814" s="267">
        <v>0</v>
      </c>
    </row>
    <row r="815" spans="1:11" ht="15.75" customHeight="1">
      <c r="B815" s="16">
        <v>65</v>
      </c>
      <c r="C815" s="9"/>
      <c r="D815" s="272" t="s">
        <v>3674</v>
      </c>
      <c r="E815" s="273">
        <v>44</v>
      </c>
      <c r="F815" s="273">
        <v>4</v>
      </c>
      <c r="G815" s="273">
        <v>16</v>
      </c>
      <c r="H815" s="273">
        <v>16</v>
      </c>
      <c r="I815" s="273">
        <v>8</v>
      </c>
      <c r="J815" s="273">
        <v>32</v>
      </c>
      <c r="K815" s="273">
        <v>120</v>
      </c>
    </row>
    <row r="816" spans="1:11">
      <c r="C816" s="9"/>
      <c r="D816" s="271"/>
      <c r="E816" s="263"/>
      <c r="F816" s="263"/>
      <c r="G816" s="263"/>
      <c r="H816" s="263"/>
      <c r="I816" s="263"/>
      <c r="J816" s="263"/>
      <c r="K816" s="267">
        <v>0</v>
      </c>
    </row>
    <row r="817" spans="1:11" ht="15.75" customHeight="1">
      <c r="B817" s="16">
        <v>0</v>
      </c>
      <c r="C817" s="9"/>
      <c r="D817" s="269" t="s">
        <v>13082</v>
      </c>
      <c r="E817" s="270">
        <v>288</v>
      </c>
      <c r="F817" s="270">
        <v>80</v>
      </c>
      <c r="G817" s="270">
        <v>76</v>
      </c>
      <c r="H817" s="270">
        <v>68</v>
      </c>
      <c r="I817" s="270">
        <v>16</v>
      </c>
      <c r="J817" s="270">
        <v>192</v>
      </c>
      <c r="K817" s="270">
        <v>720</v>
      </c>
    </row>
    <row r="818" spans="1:11" ht="15.75" customHeight="1">
      <c r="C818" s="9"/>
      <c r="D818" s="271"/>
      <c r="E818" s="263"/>
      <c r="F818" s="263"/>
      <c r="G818" s="263"/>
      <c r="H818" s="263"/>
      <c r="I818" s="263"/>
      <c r="J818" s="263"/>
      <c r="K818" s="267">
        <v>0</v>
      </c>
    </row>
    <row r="819" spans="1:11" ht="15.75" customHeight="1">
      <c r="C819" s="9"/>
      <c r="D819" s="271"/>
      <c r="E819" s="263"/>
      <c r="F819" s="263"/>
      <c r="G819" s="263"/>
      <c r="H819" s="263"/>
      <c r="I819" s="263"/>
      <c r="J819" s="263"/>
      <c r="K819" s="267">
        <v>0</v>
      </c>
    </row>
    <row r="820" spans="1:11">
      <c r="C820" s="9"/>
      <c r="D820" s="271" t="s">
        <v>4274</v>
      </c>
      <c r="E820" s="263"/>
      <c r="F820" s="263"/>
      <c r="G820" s="263"/>
      <c r="H820" s="263"/>
      <c r="I820" s="263"/>
      <c r="J820" s="263"/>
      <c r="K820" s="267">
        <v>0</v>
      </c>
    </row>
    <row r="821" spans="1:11">
      <c r="C821" s="9"/>
      <c r="D821" s="271"/>
      <c r="E821" s="263"/>
      <c r="F821" s="263"/>
      <c r="G821" s="263"/>
      <c r="H821" s="263"/>
      <c r="I821" s="263"/>
      <c r="J821" s="263"/>
      <c r="K821" s="267">
        <v>0</v>
      </c>
    </row>
    <row r="822" spans="1:11">
      <c r="A822" s="9" t="s">
        <v>11213</v>
      </c>
      <c r="B822" s="16">
        <v>37</v>
      </c>
      <c r="C822" s="9"/>
      <c r="D822" s="271" t="s">
        <v>8435</v>
      </c>
      <c r="E822" s="263">
        <v>8</v>
      </c>
      <c r="F822" s="263">
        <v>0</v>
      </c>
      <c r="G822" s="263">
        <v>0</v>
      </c>
      <c r="H822" s="263">
        <v>0</v>
      </c>
      <c r="I822" s="263">
        <v>0</v>
      </c>
      <c r="J822" s="263">
        <v>0</v>
      </c>
      <c r="K822" s="267">
        <v>8</v>
      </c>
    </row>
    <row r="823" spans="1:11">
      <c r="A823" s="9" t="s">
        <v>11214</v>
      </c>
      <c r="B823" s="16">
        <v>37</v>
      </c>
      <c r="C823" s="9"/>
      <c r="D823" s="271" t="s">
        <v>8436</v>
      </c>
      <c r="E823" s="263">
        <v>8</v>
      </c>
      <c r="F823" s="263">
        <v>0</v>
      </c>
      <c r="G823" s="263">
        <v>0</v>
      </c>
      <c r="H823" s="263">
        <v>0</v>
      </c>
      <c r="I823" s="263">
        <v>0</v>
      </c>
      <c r="J823" s="263">
        <v>0</v>
      </c>
      <c r="K823" s="267">
        <v>8</v>
      </c>
    </row>
    <row r="824" spans="1:11">
      <c r="A824" s="9" t="s">
        <v>11215</v>
      </c>
      <c r="B824" s="16">
        <v>37</v>
      </c>
      <c r="C824" s="9"/>
      <c r="D824" s="271" t="s">
        <v>8437</v>
      </c>
      <c r="E824" s="263">
        <v>8</v>
      </c>
      <c r="F824" s="263">
        <v>0</v>
      </c>
      <c r="G824" s="263">
        <v>0</v>
      </c>
      <c r="H824" s="263">
        <v>0</v>
      </c>
      <c r="I824" s="263">
        <v>0</v>
      </c>
      <c r="J824" s="263">
        <v>0</v>
      </c>
      <c r="K824" s="267">
        <v>8</v>
      </c>
    </row>
    <row r="825" spans="1:11">
      <c r="A825" s="9" t="s">
        <v>11216</v>
      </c>
      <c r="B825" s="16">
        <v>37</v>
      </c>
      <c r="C825" s="9"/>
      <c r="D825" s="271" t="s">
        <v>8438</v>
      </c>
      <c r="E825" s="263">
        <v>8</v>
      </c>
      <c r="F825" s="263">
        <v>0</v>
      </c>
      <c r="G825" s="263">
        <v>0</v>
      </c>
      <c r="H825" s="263">
        <v>0</v>
      </c>
      <c r="I825" s="263">
        <v>0</v>
      </c>
      <c r="J825" s="263">
        <v>0</v>
      </c>
      <c r="K825" s="267">
        <v>8</v>
      </c>
    </row>
    <row r="826" spans="1:11">
      <c r="A826" s="9" t="s">
        <v>11217</v>
      </c>
      <c r="B826" s="16">
        <v>37</v>
      </c>
      <c r="C826" s="9"/>
      <c r="D826" s="271" t="s">
        <v>8439</v>
      </c>
      <c r="E826" s="263">
        <v>0</v>
      </c>
      <c r="F826" s="263">
        <v>0</v>
      </c>
      <c r="G826" s="263">
        <v>0</v>
      </c>
      <c r="H826" s="263">
        <v>0</v>
      </c>
      <c r="I826" s="263">
        <v>0</v>
      </c>
      <c r="J826" s="263">
        <v>8</v>
      </c>
      <c r="K826" s="267">
        <v>8</v>
      </c>
    </row>
    <row r="827" spans="1:11">
      <c r="A827" s="9" t="s">
        <v>11218</v>
      </c>
      <c r="B827" s="16">
        <v>37</v>
      </c>
      <c r="C827" s="9"/>
      <c r="D827" s="271" t="s">
        <v>8440</v>
      </c>
      <c r="E827" s="263">
        <v>0</v>
      </c>
      <c r="F827" s="263">
        <v>0</v>
      </c>
      <c r="G827" s="263">
        <v>0</v>
      </c>
      <c r="H827" s="263">
        <v>0</v>
      </c>
      <c r="I827" s="263">
        <v>0</v>
      </c>
      <c r="J827" s="263">
        <v>8</v>
      </c>
      <c r="K827" s="267">
        <v>8</v>
      </c>
    </row>
    <row r="828" spans="1:11">
      <c r="A828" s="9" t="s">
        <v>11219</v>
      </c>
      <c r="B828" s="16">
        <v>37</v>
      </c>
      <c r="C828" s="9"/>
      <c r="D828" s="271" t="s">
        <v>8441</v>
      </c>
      <c r="E828" s="263">
        <v>8</v>
      </c>
      <c r="F828" s="263">
        <v>0</v>
      </c>
      <c r="G828" s="263">
        <v>0</v>
      </c>
      <c r="H828" s="263">
        <v>0</v>
      </c>
      <c r="I828" s="263">
        <v>0</v>
      </c>
      <c r="J828" s="263">
        <v>0</v>
      </c>
      <c r="K828" s="267">
        <v>8</v>
      </c>
    </row>
    <row r="829" spans="1:11">
      <c r="A829" s="9" t="s">
        <v>11220</v>
      </c>
      <c r="B829" s="16">
        <v>37</v>
      </c>
      <c r="C829" s="9"/>
      <c r="D829" s="271" t="s">
        <v>8442</v>
      </c>
      <c r="E829" s="263">
        <v>0</v>
      </c>
      <c r="F829" s="263">
        <v>0</v>
      </c>
      <c r="G829" s="263">
        <v>0</v>
      </c>
      <c r="H829" s="263">
        <v>8</v>
      </c>
      <c r="I829" s="263">
        <v>0</v>
      </c>
      <c r="J829" s="263">
        <v>0</v>
      </c>
      <c r="K829" s="267">
        <v>8</v>
      </c>
    </row>
    <row r="830" spans="1:11">
      <c r="A830" s="9" t="s">
        <v>11221</v>
      </c>
      <c r="B830" s="16">
        <v>37</v>
      </c>
      <c r="C830" s="9"/>
      <c r="D830" s="271" t="s">
        <v>8443</v>
      </c>
      <c r="E830" s="263">
        <v>8</v>
      </c>
      <c r="F830" s="263">
        <v>0</v>
      </c>
      <c r="G830" s="263">
        <v>0</v>
      </c>
      <c r="H830" s="263">
        <v>0</v>
      </c>
      <c r="I830" s="263">
        <v>0</v>
      </c>
      <c r="J830" s="263">
        <v>0</v>
      </c>
      <c r="K830" s="267">
        <v>8</v>
      </c>
    </row>
    <row r="831" spans="1:11">
      <c r="A831" s="9" t="s">
        <v>11222</v>
      </c>
      <c r="B831" s="16">
        <v>37</v>
      </c>
      <c r="C831" s="9"/>
      <c r="D831" s="271" t="s">
        <v>8444</v>
      </c>
      <c r="E831" s="263">
        <v>8</v>
      </c>
      <c r="F831" s="263">
        <v>0</v>
      </c>
      <c r="G831" s="263">
        <v>0</v>
      </c>
      <c r="H831" s="263">
        <v>0</v>
      </c>
      <c r="I831" s="263">
        <v>0</v>
      </c>
      <c r="J831" s="263">
        <v>0</v>
      </c>
      <c r="K831" s="267">
        <v>8</v>
      </c>
    </row>
    <row r="832" spans="1:11">
      <c r="A832" s="9" t="s">
        <v>11223</v>
      </c>
      <c r="B832" s="16">
        <v>37</v>
      </c>
      <c r="C832" s="9"/>
      <c r="D832" s="271" t="s">
        <v>8445</v>
      </c>
      <c r="E832" s="263">
        <v>8</v>
      </c>
      <c r="F832" s="263">
        <v>0</v>
      </c>
      <c r="G832" s="263">
        <v>0</v>
      </c>
      <c r="H832" s="263">
        <v>0</v>
      </c>
      <c r="I832" s="263">
        <v>0</v>
      </c>
      <c r="J832" s="263">
        <v>0</v>
      </c>
      <c r="K832" s="267">
        <v>8</v>
      </c>
    </row>
    <row r="833" spans="1:11">
      <c r="A833" s="9" t="s">
        <v>11224</v>
      </c>
      <c r="B833" s="16">
        <v>37</v>
      </c>
      <c r="C833" s="9"/>
      <c r="D833" s="271" t="s">
        <v>8446</v>
      </c>
      <c r="E833" s="263">
        <v>8</v>
      </c>
      <c r="F833" s="263">
        <v>0</v>
      </c>
      <c r="G833" s="263">
        <v>0</v>
      </c>
      <c r="H833" s="263">
        <v>0</v>
      </c>
      <c r="I833" s="263">
        <v>0</v>
      </c>
      <c r="J833" s="263">
        <v>0</v>
      </c>
      <c r="K833" s="267">
        <v>8</v>
      </c>
    </row>
    <row r="834" spans="1:11">
      <c r="A834" s="9" t="s">
        <v>11225</v>
      </c>
      <c r="B834" s="16">
        <v>37</v>
      </c>
      <c r="C834" s="9"/>
      <c r="D834" s="271" t="s">
        <v>8447</v>
      </c>
      <c r="E834" s="263">
        <v>8</v>
      </c>
      <c r="F834" s="263">
        <v>0</v>
      </c>
      <c r="G834" s="263">
        <v>0</v>
      </c>
      <c r="H834" s="263">
        <v>0</v>
      </c>
      <c r="I834" s="263">
        <v>0</v>
      </c>
      <c r="J834" s="263">
        <v>0</v>
      </c>
      <c r="K834" s="267">
        <v>8</v>
      </c>
    </row>
    <row r="835" spans="1:11">
      <c r="A835" s="9" t="s">
        <v>11226</v>
      </c>
      <c r="B835" s="16">
        <v>37</v>
      </c>
      <c r="C835" s="9"/>
      <c r="D835" s="271" t="s">
        <v>8448</v>
      </c>
      <c r="E835" s="263">
        <v>0</v>
      </c>
      <c r="F835" s="263">
        <v>0</v>
      </c>
      <c r="G835" s="263">
        <v>0</v>
      </c>
      <c r="H835" s="263">
        <v>0</v>
      </c>
      <c r="I835" s="263">
        <v>0</v>
      </c>
      <c r="J835" s="263">
        <v>8</v>
      </c>
      <c r="K835" s="267">
        <v>8</v>
      </c>
    </row>
    <row r="836" spans="1:11">
      <c r="A836" s="9" t="s">
        <v>11227</v>
      </c>
      <c r="B836" s="16">
        <v>37</v>
      </c>
      <c r="C836" s="9"/>
      <c r="D836" s="271" t="s">
        <v>8449</v>
      </c>
      <c r="E836" s="263">
        <v>8</v>
      </c>
      <c r="F836" s="263">
        <v>0</v>
      </c>
      <c r="G836" s="263">
        <v>0</v>
      </c>
      <c r="H836" s="263">
        <v>0</v>
      </c>
      <c r="I836" s="263">
        <v>0</v>
      </c>
      <c r="J836" s="263">
        <v>0</v>
      </c>
      <c r="K836" s="267">
        <v>8</v>
      </c>
    </row>
    <row r="837" spans="1:11">
      <c r="B837" s="16">
        <v>37</v>
      </c>
      <c r="C837" s="9"/>
      <c r="D837" s="271"/>
      <c r="E837" s="263"/>
      <c r="F837" s="263"/>
      <c r="G837" s="263"/>
      <c r="H837" s="263"/>
      <c r="I837" s="263"/>
      <c r="J837" s="263"/>
      <c r="K837" s="267">
        <v>0</v>
      </c>
    </row>
    <row r="838" spans="1:11" ht="15.75" customHeight="1">
      <c r="B838" s="16">
        <v>37</v>
      </c>
      <c r="C838" s="9"/>
      <c r="D838" s="272" t="s">
        <v>3674</v>
      </c>
      <c r="E838" s="273">
        <v>88</v>
      </c>
      <c r="F838" s="273">
        <v>0</v>
      </c>
      <c r="G838" s="273">
        <v>0</v>
      </c>
      <c r="H838" s="273">
        <v>8</v>
      </c>
      <c r="I838" s="273">
        <v>0</v>
      </c>
      <c r="J838" s="273">
        <v>24</v>
      </c>
      <c r="K838" s="273">
        <v>120</v>
      </c>
    </row>
    <row r="839" spans="1:11">
      <c r="C839" s="9"/>
      <c r="D839" s="271"/>
      <c r="E839" s="263"/>
      <c r="F839" s="263"/>
      <c r="G839" s="263"/>
      <c r="H839" s="263"/>
      <c r="I839" s="263"/>
      <c r="J839" s="263"/>
      <c r="K839" s="267">
        <v>0</v>
      </c>
    </row>
    <row r="840" spans="1:11">
      <c r="A840" s="9" t="s">
        <v>11228</v>
      </c>
      <c r="B840" s="16">
        <v>38</v>
      </c>
      <c r="C840" s="9"/>
      <c r="D840" s="271" t="s">
        <v>8477</v>
      </c>
      <c r="E840" s="263">
        <v>0</v>
      </c>
      <c r="F840" s="263">
        <v>0</v>
      </c>
      <c r="G840" s="263">
        <v>0</v>
      </c>
      <c r="H840" s="263">
        <v>0</v>
      </c>
      <c r="I840" s="263">
        <v>0</v>
      </c>
      <c r="J840" s="263">
        <v>20</v>
      </c>
      <c r="K840" s="267">
        <v>20</v>
      </c>
    </row>
    <row r="841" spans="1:11">
      <c r="A841" s="9" t="s">
        <v>11229</v>
      </c>
      <c r="B841" s="16">
        <v>38</v>
      </c>
      <c r="C841" s="9"/>
      <c r="D841" s="271" t="s">
        <v>8478</v>
      </c>
      <c r="E841" s="263">
        <v>0</v>
      </c>
      <c r="F841" s="263">
        <v>0</v>
      </c>
      <c r="G841" s="263">
        <v>0</v>
      </c>
      <c r="H841" s="263">
        <v>0</v>
      </c>
      <c r="I841" s="263">
        <v>0</v>
      </c>
      <c r="J841" s="263">
        <v>20</v>
      </c>
      <c r="K841" s="267">
        <v>20</v>
      </c>
    </row>
    <row r="842" spans="1:11">
      <c r="A842" s="9" t="s">
        <v>11230</v>
      </c>
      <c r="B842" s="16">
        <v>38</v>
      </c>
      <c r="C842" s="9"/>
      <c r="D842" s="271" t="s">
        <v>8479</v>
      </c>
      <c r="E842" s="263">
        <v>0</v>
      </c>
      <c r="F842" s="263">
        <v>0</v>
      </c>
      <c r="G842" s="263">
        <v>0</v>
      </c>
      <c r="H842" s="263">
        <v>0</v>
      </c>
      <c r="I842" s="263">
        <v>0</v>
      </c>
      <c r="J842" s="263">
        <v>20</v>
      </c>
      <c r="K842" s="267">
        <v>20</v>
      </c>
    </row>
    <row r="843" spans="1:11">
      <c r="A843" s="9" t="s">
        <v>11231</v>
      </c>
      <c r="B843" s="16">
        <v>38</v>
      </c>
      <c r="C843" s="9"/>
      <c r="D843" s="271" t="s">
        <v>8480</v>
      </c>
      <c r="E843" s="263">
        <v>0</v>
      </c>
      <c r="F843" s="263">
        <v>0</v>
      </c>
      <c r="G843" s="263">
        <v>0</v>
      </c>
      <c r="H843" s="263">
        <v>0</v>
      </c>
      <c r="I843" s="263">
        <v>0</v>
      </c>
      <c r="J843" s="263">
        <v>20</v>
      </c>
      <c r="K843" s="267">
        <v>20</v>
      </c>
    </row>
    <row r="844" spans="1:11">
      <c r="A844" s="9" t="s">
        <v>11232</v>
      </c>
      <c r="B844" s="16">
        <v>38</v>
      </c>
      <c r="C844" s="9"/>
      <c r="D844" s="271" t="s">
        <v>8481</v>
      </c>
      <c r="E844" s="263">
        <v>20</v>
      </c>
      <c r="F844" s="263">
        <v>0</v>
      </c>
      <c r="G844" s="263">
        <v>0</v>
      </c>
      <c r="H844" s="263">
        <v>0</v>
      </c>
      <c r="I844" s="263">
        <v>0</v>
      </c>
      <c r="J844" s="263">
        <v>0</v>
      </c>
      <c r="K844" s="267">
        <v>20</v>
      </c>
    </row>
    <row r="845" spans="1:11">
      <c r="A845" s="9" t="s">
        <v>11233</v>
      </c>
      <c r="B845" s="16">
        <v>38</v>
      </c>
      <c r="C845" s="9"/>
      <c r="D845" s="271" t="s">
        <v>8482</v>
      </c>
      <c r="E845" s="263">
        <v>20</v>
      </c>
      <c r="F845" s="263">
        <v>0</v>
      </c>
      <c r="G845" s="263">
        <v>0</v>
      </c>
      <c r="H845" s="263">
        <v>0</v>
      </c>
      <c r="I845" s="263">
        <v>0</v>
      </c>
      <c r="J845" s="263">
        <v>0</v>
      </c>
      <c r="K845" s="267">
        <v>20</v>
      </c>
    </row>
    <row r="846" spans="1:11">
      <c r="B846" s="16">
        <v>38</v>
      </c>
      <c r="C846" s="9"/>
      <c r="D846" s="271"/>
      <c r="E846" s="263"/>
      <c r="F846" s="263"/>
      <c r="G846" s="263"/>
      <c r="H846" s="263"/>
      <c r="I846" s="263"/>
      <c r="J846" s="263"/>
      <c r="K846" s="267">
        <v>0</v>
      </c>
    </row>
    <row r="847" spans="1:11" ht="15.75" customHeight="1">
      <c r="B847" s="16">
        <v>38</v>
      </c>
      <c r="C847" s="9"/>
      <c r="D847" s="272" t="s">
        <v>3674</v>
      </c>
      <c r="E847" s="273">
        <v>40</v>
      </c>
      <c r="F847" s="273">
        <v>0</v>
      </c>
      <c r="G847" s="273">
        <v>0</v>
      </c>
      <c r="H847" s="273">
        <v>0</v>
      </c>
      <c r="I847" s="273">
        <v>0</v>
      </c>
      <c r="J847" s="273">
        <v>80</v>
      </c>
      <c r="K847" s="273">
        <v>120</v>
      </c>
    </row>
    <row r="848" spans="1:11">
      <c r="C848" s="9"/>
      <c r="D848" s="271"/>
      <c r="E848" s="263"/>
      <c r="F848" s="263"/>
      <c r="G848" s="263"/>
      <c r="H848" s="263"/>
      <c r="I848" s="263"/>
      <c r="J848" s="263"/>
      <c r="K848" s="267">
        <v>0</v>
      </c>
    </row>
    <row r="849" spans="1:11">
      <c r="A849" s="9" t="s">
        <v>11234</v>
      </c>
      <c r="B849" s="16">
        <v>49</v>
      </c>
      <c r="C849" s="9"/>
      <c r="D849" s="271" t="s">
        <v>8450</v>
      </c>
      <c r="E849" s="263">
        <v>0</v>
      </c>
      <c r="F849" s="263">
        <v>0</v>
      </c>
      <c r="G849" s="263">
        <v>8</v>
      </c>
      <c r="H849" s="263">
        <v>0</v>
      </c>
      <c r="I849" s="263">
        <v>0</v>
      </c>
      <c r="J849" s="263">
        <v>0</v>
      </c>
      <c r="K849" s="267">
        <v>8</v>
      </c>
    </row>
    <row r="850" spans="1:11">
      <c r="A850" s="9" t="s">
        <v>11235</v>
      </c>
      <c r="B850" s="16">
        <v>49</v>
      </c>
      <c r="C850" s="9"/>
      <c r="D850" s="271" t="s">
        <v>8451</v>
      </c>
      <c r="E850" s="263">
        <v>0</v>
      </c>
      <c r="F850" s="263">
        <v>0</v>
      </c>
      <c r="G850" s="263">
        <v>4</v>
      </c>
      <c r="H850" s="263">
        <v>0</v>
      </c>
      <c r="I850" s="263">
        <v>0</v>
      </c>
      <c r="J850" s="263">
        <v>0</v>
      </c>
      <c r="K850" s="267">
        <v>4</v>
      </c>
    </row>
    <row r="851" spans="1:11">
      <c r="A851" s="9" t="s">
        <v>11236</v>
      </c>
      <c r="B851" s="16">
        <v>49</v>
      </c>
      <c r="C851" s="9"/>
      <c r="D851" s="271" t="s">
        <v>8452</v>
      </c>
      <c r="E851" s="263">
        <v>0</v>
      </c>
      <c r="F851" s="263">
        <v>0</v>
      </c>
      <c r="G851" s="263">
        <v>4</v>
      </c>
      <c r="H851" s="263">
        <v>0</v>
      </c>
      <c r="I851" s="263">
        <v>0</v>
      </c>
      <c r="J851" s="263">
        <v>0</v>
      </c>
      <c r="K851" s="267">
        <v>4</v>
      </c>
    </row>
    <row r="852" spans="1:11">
      <c r="A852" s="9" t="s">
        <v>11237</v>
      </c>
      <c r="B852" s="16">
        <v>49</v>
      </c>
      <c r="C852" s="9"/>
      <c r="D852" s="271" t="s">
        <v>8453</v>
      </c>
      <c r="E852" s="263">
        <v>0</v>
      </c>
      <c r="F852" s="263">
        <v>0</v>
      </c>
      <c r="G852" s="263">
        <v>0</v>
      </c>
      <c r="H852" s="263">
        <v>0</v>
      </c>
      <c r="I852" s="263">
        <v>0</v>
      </c>
      <c r="J852" s="263">
        <v>8</v>
      </c>
      <c r="K852" s="267">
        <v>8</v>
      </c>
    </row>
    <row r="853" spans="1:11">
      <c r="A853" s="9" t="s">
        <v>11238</v>
      </c>
      <c r="B853" s="16">
        <v>49</v>
      </c>
      <c r="C853" s="9"/>
      <c r="D853" s="271" t="s">
        <v>8490</v>
      </c>
      <c r="E853" s="263">
        <v>0</v>
      </c>
      <c r="F853" s="263">
        <v>0</v>
      </c>
      <c r="G853" s="263">
        <v>12</v>
      </c>
      <c r="H853" s="263">
        <v>0</v>
      </c>
      <c r="I853" s="263">
        <v>0</v>
      </c>
      <c r="J853" s="263">
        <v>0</v>
      </c>
      <c r="K853" s="267">
        <v>12</v>
      </c>
    </row>
    <row r="854" spans="1:11">
      <c r="A854" s="9" t="s">
        <v>11239</v>
      </c>
      <c r="B854" s="16">
        <v>49</v>
      </c>
      <c r="C854" s="9"/>
      <c r="D854" s="271" t="s">
        <v>8483</v>
      </c>
      <c r="E854" s="263">
        <v>0</v>
      </c>
      <c r="F854" s="263">
        <v>0</v>
      </c>
      <c r="G854" s="263">
        <v>12</v>
      </c>
      <c r="H854" s="263">
        <v>0</v>
      </c>
      <c r="I854" s="263">
        <v>0</v>
      </c>
      <c r="J854" s="263">
        <v>0</v>
      </c>
      <c r="K854" s="267">
        <v>12</v>
      </c>
    </row>
    <row r="855" spans="1:11">
      <c r="A855" s="9" t="s">
        <v>11240</v>
      </c>
      <c r="B855" s="16">
        <v>49</v>
      </c>
      <c r="C855" s="9"/>
      <c r="D855" s="271" t="s">
        <v>8484</v>
      </c>
      <c r="E855" s="263">
        <v>0</v>
      </c>
      <c r="F855" s="263">
        <v>0</v>
      </c>
      <c r="G855" s="263">
        <v>12</v>
      </c>
      <c r="H855" s="263">
        <v>0</v>
      </c>
      <c r="I855" s="263">
        <v>0</v>
      </c>
      <c r="J855" s="263">
        <v>0</v>
      </c>
      <c r="K855" s="267">
        <v>12</v>
      </c>
    </row>
    <row r="856" spans="1:11">
      <c r="A856" s="9" t="s">
        <v>11241</v>
      </c>
      <c r="B856" s="16">
        <v>49</v>
      </c>
      <c r="C856" s="9"/>
      <c r="D856" s="271" t="s">
        <v>8485</v>
      </c>
      <c r="E856" s="263">
        <v>0</v>
      </c>
      <c r="F856" s="263">
        <v>0</v>
      </c>
      <c r="G856" s="263">
        <v>12</v>
      </c>
      <c r="H856" s="263">
        <v>0</v>
      </c>
      <c r="I856" s="263">
        <v>0</v>
      </c>
      <c r="J856" s="263">
        <v>0</v>
      </c>
      <c r="K856" s="267">
        <v>12</v>
      </c>
    </row>
    <row r="857" spans="1:11">
      <c r="A857" s="9" t="s">
        <v>11242</v>
      </c>
      <c r="B857" s="16">
        <v>49</v>
      </c>
      <c r="C857" s="9"/>
      <c r="D857" s="271" t="s">
        <v>8486</v>
      </c>
      <c r="E857" s="263">
        <v>12</v>
      </c>
      <c r="F857" s="263">
        <v>0</v>
      </c>
      <c r="G857" s="263">
        <v>0</v>
      </c>
      <c r="H857" s="263">
        <v>0</v>
      </c>
      <c r="I857" s="263">
        <v>0</v>
      </c>
      <c r="J857" s="263">
        <v>0</v>
      </c>
      <c r="K857" s="267">
        <v>12</v>
      </c>
    </row>
    <row r="858" spans="1:11">
      <c r="A858" s="9" t="s">
        <v>11243</v>
      </c>
      <c r="B858" s="16">
        <v>49</v>
      </c>
      <c r="C858" s="9"/>
      <c r="D858" s="271" t="s">
        <v>8487</v>
      </c>
      <c r="E858" s="263">
        <v>12</v>
      </c>
      <c r="F858" s="263">
        <v>0</v>
      </c>
      <c r="G858" s="263">
        <v>0</v>
      </c>
      <c r="H858" s="263">
        <v>0</v>
      </c>
      <c r="I858" s="263">
        <v>0</v>
      </c>
      <c r="J858" s="263">
        <v>0</v>
      </c>
      <c r="K858" s="267">
        <v>12</v>
      </c>
    </row>
    <row r="859" spans="1:11">
      <c r="A859" s="9" t="s">
        <v>11244</v>
      </c>
      <c r="B859" s="16">
        <v>49</v>
      </c>
      <c r="C859" s="9"/>
      <c r="D859" s="271" t="s">
        <v>8488</v>
      </c>
      <c r="E859" s="263">
        <v>0</v>
      </c>
      <c r="F859" s="263">
        <v>0</v>
      </c>
      <c r="G859" s="263">
        <v>0</v>
      </c>
      <c r="H859" s="263">
        <v>0</v>
      </c>
      <c r="I859" s="263">
        <v>0</v>
      </c>
      <c r="J859" s="263">
        <v>12</v>
      </c>
      <c r="K859" s="267">
        <v>12</v>
      </c>
    </row>
    <row r="860" spans="1:11">
      <c r="A860" s="9" t="s">
        <v>11245</v>
      </c>
      <c r="B860" s="16">
        <v>49</v>
      </c>
      <c r="C860" s="9"/>
      <c r="D860" s="271" t="s">
        <v>8489</v>
      </c>
      <c r="E860" s="263">
        <v>0</v>
      </c>
      <c r="F860" s="263">
        <v>0</v>
      </c>
      <c r="G860" s="263">
        <v>0</v>
      </c>
      <c r="H860" s="263">
        <v>0</v>
      </c>
      <c r="I860" s="263">
        <v>0</v>
      </c>
      <c r="J860" s="263">
        <v>12</v>
      </c>
      <c r="K860" s="267">
        <v>12</v>
      </c>
    </row>
    <row r="861" spans="1:11">
      <c r="B861" s="16">
        <v>49</v>
      </c>
      <c r="C861" s="9"/>
      <c r="D861" s="271"/>
      <c r="E861" s="263"/>
      <c r="F861" s="263"/>
      <c r="G861" s="263"/>
      <c r="H861" s="263"/>
      <c r="I861" s="263"/>
      <c r="J861" s="263"/>
      <c r="K861" s="267">
        <v>0</v>
      </c>
    </row>
    <row r="862" spans="1:11" ht="15.75" customHeight="1">
      <c r="B862" s="16">
        <v>49</v>
      </c>
      <c r="C862" s="9"/>
      <c r="D862" s="272" t="s">
        <v>3674</v>
      </c>
      <c r="E862" s="273">
        <v>24</v>
      </c>
      <c r="F862" s="273">
        <v>0</v>
      </c>
      <c r="G862" s="273">
        <v>64</v>
      </c>
      <c r="H862" s="273">
        <v>0</v>
      </c>
      <c r="I862" s="273">
        <v>0</v>
      </c>
      <c r="J862" s="273">
        <v>32</v>
      </c>
      <c r="K862" s="273">
        <v>120</v>
      </c>
    </row>
    <row r="863" spans="1:11">
      <c r="C863" s="9"/>
      <c r="D863" s="271"/>
      <c r="E863" s="263"/>
      <c r="F863" s="263"/>
      <c r="G863" s="263"/>
      <c r="H863" s="263"/>
      <c r="I863" s="263"/>
      <c r="J863" s="263"/>
      <c r="K863" s="267">
        <v>0</v>
      </c>
    </row>
    <row r="864" spans="1:11">
      <c r="A864" s="9" t="s">
        <v>11246</v>
      </c>
      <c r="B864" s="16">
        <v>50</v>
      </c>
      <c r="C864" s="9"/>
      <c r="D864" s="271" t="s">
        <v>8454</v>
      </c>
      <c r="E864" s="263">
        <v>0</v>
      </c>
      <c r="F864" s="263">
        <v>0</v>
      </c>
      <c r="G864" s="263">
        <v>8</v>
      </c>
      <c r="H864" s="263">
        <v>0</v>
      </c>
      <c r="I864" s="263">
        <v>0</v>
      </c>
      <c r="J864" s="263">
        <v>0</v>
      </c>
      <c r="K864" s="267">
        <v>8</v>
      </c>
    </row>
    <row r="865" spans="1:11">
      <c r="A865" s="9" t="s">
        <v>11247</v>
      </c>
      <c r="B865" s="16">
        <v>50</v>
      </c>
      <c r="C865" s="9"/>
      <c r="D865" s="271" t="s">
        <v>8455</v>
      </c>
      <c r="E865" s="263">
        <v>0</v>
      </c>
      <c r="F865" s="263">
        <v>0</v>
      </c>
      <c r="G865" s="263">
        <v>8</v>
      </c>
      <c r="H865" s="263">
        <v>0</v>
      </c>
      <c r="I865" s="263">
        <v>0</v>
      </c>
      <c r="J865" s="263">
        <v>0</v>
      </c>
      <c r="K865" s="267">
        <v>8</v>
      </c>
    </row>
    <row r="866" spans="1:11">
      <c r="A866" s="9" t="s">
        <v>11248</v>
      </c>
      <c r="B866" s="16">
        <v>50</v>
      </c>
      <c r="C866" s="9"/>
      <c r="D866" s="271" t="s">
        <v>8456</v>
      </c>
      <c r="E866" s="263">
        <v>4</v>
      </c>
      <c r="F866" s="263">
        <v>0</v>
      </c>
      <c r="G866" s="263">
        <v>0</v>
      </c>
      <c r="H866" s="263">
        <v>0</v>
      </c>
      <c r="I866" s="263">
        <v>0</v>
      </c>
      <c r="J866" s="263">
        <v>0</v>
      </c>
      <c r="K866" s="267">
        <v>4</v>
      </c>
    </row>
    <row r="867" spans="1:11">
      <c r="A867" s="9" t="s">
        <v>11249</v>
      </c>
      <c r="B867" s="16">
        <v>50</v>
      </c>
      <c r="C867" s="9"/>
      <c r="D867" s="271" t="s">
        <v>8457</v>
      </c>
      <c r="E867" s="263">
        <v>4</v>
      </c>
      <c r="F867" s="263">
        <v>0</v>
      </c>
      <c r="G867" s="263">
        <v>0</v>
      </c>
      <c r="H867" s="263">
        <v>0</v>
      </c>
      <c r="I867" s="263">
        <v>0</v>
      </c>
      <c r="J867" s="263">
        <v>0</v>
      </c>
      <c r="K867" s="267">
        <v>4</v>
      </c>
    </row>
    <row r="868" spans="1:11">
      <c r="A868" s="9" t="s">
        <v>11250</v>
      </c>
      <c r="B868" s="16">
        <v>50</v>
      </c>
      <c r="C868" s="9"/>
      <c r="D868" s="271" t="s">
        <v>8458</v>
      </c>
      <c r="E868" s="263">
        <v>8</v>
      </c>
      <c r="F868" s="263">
        <v>0</v>
      </c>
      <c r="G868" s="263">
        <v>0</v>
      </c>
      <c r="H868" s="263">
        <v>0</v>
      </c>
      <c r="I868" s="263">
        <v>0</v>
      </c>
      <c r="J868" s="263">
        <v>0</v>
      </c>
      <c r="K868" s="267">
        <v>8</v>
      </c>
    </row>
    <row r="869" spans="1:11">
      <c r="A869" s="9" t="s">
        <v>11251</v>
      </c>
      <c r="B869" s="16">
        <v>50</v>
      </c>
      <c r="C869" s="9"/>
      <c r="D869" s="271" t="s">
        <v>8459</v>
      </c>
      <c r="E869" s="263">
        <v>0</v>
      </c>
      <c r="F869" s="263">
        <v>0</v>
      </c>
      <c r="G869" s="263">
        <v>0</v>
      </c>
      <c r="H869" s="263">
        <v>0</v>
      </c>
      <c r="I869" s="263">
        <v>0</v>
      </c>
      <c r="J869" s="263">
        <v>8</v>
      </c>
      <c r="K869" s="267">
        <v>8</v>
      </c>
    </row>
    <row r="870" spans="1:11">
      <c r="A870" s="9" t="s">
        <v>11252</v>
      </c>
      <c r="B870" s="16">
        <v>50</v>
      </c>
      <c r="C870" s="9"/>
      <c r="D870" s="271" t="s">
        <v>8460</v>
      </c>
      <c r="E870" s="263">
        <v>0</v>
      </c>
      <c r="F870" s="263">
        <v>0</v>
      </c>
      <c r="G870" s="263">
        <v>0</v>
      </c>
      <c r="H870" s="263">
        <v>0</v>
      </c>
      <c r="I870" s="263">
        <v>0</v>
      </c>
      <c r="J870" s="263">
        <v>8</v>
      </c>
      <c r="K870" s="267">
        <v>8</v>
      </c>
    </row>
    <row r="871" spans="1:11">
      <c r="A871" s="9" t="s">
        <v>11253</v>
      </c>
      <c r="B871" s="16">
        <v>50</v>
      </c>
      <c r="C871" s="9"/>
      <c r="D871" s="271" t="s">
        <v>8461</v>
      </c>
      <c r="E871" s="263">
        <v>8</v>
      </c>
      <c r="F871" s="263">
        <v>0</v>
      </c>
      <c r="G871" s="263">
        <v>0</v>
      </c>
      <c r="H871" s="263">
        <v>0</v>
      </c>
      <c r="I871" s="263">
        <v>0</v>
      </c>
      <c r="J871" s="263">
        <v>0</v>
      </c>
      <c r="K871" s="267">
        <v>8</v>
      </c>
    </row>
    <row r="872" spans="1:11">
      <c r="A872" s="9" t="s">
        <v>11254</v>
      </c>
      <c r="B872" s="16">
        <v>50</v>
      </c>
      <c r="C872" s="9"/>
      <c r="D872" s="271" t="s">
        <v>8462</v>
      </c>
      <c r="E872" s="263">
        <v>8</v>
      </c>
      <c r="F872" s="263">
        <v>0</v>
      </c>
      <c r="G872" s="263">
        <v>0</v>
      </c>
      <c r="H872" s="263">
        <v>0</v>
      </c>
      <c r="I872" s="263">
        <v>0</v>
      </c>
      <c r="J872" s="263">
        <v>0</v>
      </c>
      <c r="K872" s="267">
        <v>8</v>
      </c>
    </row>
    <row r="873" spans="1:11">
      <c r="A873" s="9" t="s">
        <v>11255</v>
      </c>
      <c r="B873" s="16">
        <v>50</v>
      </c>
      <c r="C873" s="9"/>
      <c r="D873" s="271" t="s">
        <v>8463</v>
      </c>
      <c r="E873" s="263">
        <v>0</v>
      </c>
      <c r="F873" s="263">
        <v>8</v>
      </c>
      <c r="G873" s="263">
        <v>0</v>
      </c>
      <c r="H873" s="263">
        <v>0</v>
      </c>
      <c r="I873" s="263">
        <v>0</v>
      </c>
      <c r="J873" s="263">
        <v>0</v>
      </c>
      <c r="K873" s="267">
        <v>8</v>
      </c>
    </row>
    <row r="874" spans="1:11">
      <c r="A874" s="9" t="s">
        <v>11256</v>
      </c>
      <c r="B874" s="16">
        <v>50</v>
      </c>
      <c r="C874" s="9"/>
      <c r="D874" s="271" t="s">
        <v>8464</v>
      </c>
      <c r="E874" s="263">
        <v>8</v>
      </c>
      <c r="F874" s="263">
        <v>0</v>
      </c>
      <c r="G874" s="263">
        <v>0</v>
      </c>
      <c r="H874" s="263">
        <v>0</v>
      </c>
      <c r="I874" s="263">
        <v>0</v>
      </c>
      <c r="J874" s="263">
        <v>0</v>
      </c>
      <c r="K874" s="267">
        <v>8</v>
      </c>
    </row>
    <row r="875" spans="1:11">
      <c r="A875" s="9" t="s">
        <v>11257</v>
      </c>
      <c r="B875" s="16">
        <v>50</v>
      </c>
      <c r="C875" s="9"/>
      <c r="D875" s="271" t="s">
        <v>8491</v>
      </c>
      <c r="E875" s="263">
        <v>20</v>
      </c>
      <c r="F875" s="263">
        <v>0</v>
      </c>
      <c r="G875" s="263">
        <v>0</v>
      </c>
      <c r="H875" s="263">
        <v>0</v>
      </c>
      <c r="I875" s="263">
        <v>0</v>
      </c>
      <c r="J875" s="263">
        <v>0</v>
      </c>
      <c r="K875" s="267">
        <v>20</v>
      </c>
    </row>
    <row r="876" spans="1:11">
      <c r="A876" s="9" t="s">
        <v>11258</v>
      </c>
      <c r="B876" s="16">
        <v>50</v>
      </c>
      <c r="C876" s="9"/>
      <c r="D876" s="271" t="s">
        <v>8492</v>
      </c>
      <c r="E876" s="263">
        <v>20</v>
      </c>
      <c r="F876" s="263">
        <v>0</v>
      </c>
      <c r="G876" s="263">
        <v>0</v>
      </c>
      <c r="H876" s="263">
        <v>0</v>
      </c>
      <c r="I876" s="263">
        <v>0</v>
      </c>
      <c r="J876" s="263">
        <v>0</v>
      </c>
      <c r="K876" s="267">
        <v>20</v>
      </c>
    </row>
    <row r="877" spans="1:11">
      <c r="B877" s="16">
        <v>50</v>
      </c>
      <c r="C877" s="9"/>
      <c r="D877" s="271"/>
      <c r="E877" s="263"/>
      <c r="F877" s="263"/>
      <c r="G877" s="263"/>
      <c r="H877" s="263"/>
      <c r="I877" s="263"/>
      <c r="J877" s="263"/>
      <c r="K877" s="267">
        <v>0</v>
      </c>
    </row>
    <row r="878" spans="1:11" ht="15.75" customHeight="1">
      <c r="B878" s="16">
        <v>50</v>
      </c>
      <c r="C878" s="9"/>
      <c r="D878" s="272" t="s">
        <v>3674</v>
      </c>
      <c r="E878" s="273">
        <v>80</v>
      </c>
      <c r="F878" s="273">
        <v>8</v>
      </c>
      <c r="G878" s="273">
        <v>16</v>
      </c>
      <c r="H878" s="273">
        <v>0</v>
      </c>
      <c r="I878" s="273">
        <v>0</v>
      </c>
      <c r="J878" s="273">
        <v>16</v>
      </c>
      <c r="K878" s="273">
        <v>120</v>
      </c>
    </row>
    <row r="879" spans="1:11">
      <c r="C879" s="9"/>
      <c r="D879" s="271"/>
      <c r="E879" s="263"/>
      <c r="F879" s="263"/>
      <c r="G879" s="263"/>
      <c r="H879" s="263"/>
      <c r="I879" s="263"/>
      <c r="J879" s="263"/>
      <c r="K879" s="267">
        <v>0</v>
      </c>
    </row>
    <row r="880" spans="1:11">
      <c r="A880" s="9" t="s">
        <v>11259</v>
      </c>
      <c r="B880" s="16">
        <v>51</v>
      </c>
      <c r="C880" s="9"/>
      <c r="D880" s="271" t="s">
        <v>8465</v>
      </c>
      <c r="E880" s="263">
        <v>4</v>
      </c>
      <c r="F880" s="263">
        <v>0</v>
      </c>
      <c r="G880" s="263">
        <v>0</v>
      </c>
      <c r="H880" s="263">
        <v>0</v>
      </c>
      <c r="I880" s="263">
        <v>0</v>
      </c>
      <c r="J880" s="263">
        <v>0</v>
      </c>
      <c r="K880" s="267">
        <v>4</v>
      </c>
    </row>
    <row r="881" spans="1:11">
      <c r="A881" s="9" t="s">
        <v>11260</v>
      </c>
      <c r="B881" s="16">
        <v>51</v>
      </c>
      <c r="C881" s="9"/>
      <c r="D881" s="271" t="s">
        <v>8466</v>
      </c>
      <c r="E881" s="263">
        <v>0</v>
      </c>
      <c r="F881" s="263">
        <v>0</v>
      </c>
      <c r="G881" s="263">
        <v>0</v>
      </c>
      <c r="H881" s="263">
        <v>0</v>
      </c>
      <c r="I881" s="263">
        <v>0</v>
      </c>
      <c r="J881" s="263">
        <v>8</v>
      </c>
      <c r="K881" s="267">
        <v>8</v>
      </c>
    </row>
    <row r="882" spans="1:11">
      <c r="A882" s="9" t="s">
        <v>11261</v>
      </c>
      <c r="B882" s="16">
        <v>51</v>
      </c>
      <c r="C882" s="9"/>
      <c r="D882" s="271" t="s">
        <v>8467</v>
      </c>
      <c r="E882" s="263">
        <v>0</v>
      </c>
      <c r="F882" s="263">
        <v>0</v>
      </c>
      <c r="G882" s="263">
        <v>0</v>
      </c>
      <c r="H882" s="263">
        <v>0</v>
      </c>
      <c r="I882" s="263">
        <v>0</v>
      </c>
      <c r="J882" s="263">
        <v>8</v>
      </c>
      <c r="K882" s="267">
        <v>8</v>
      </c>
    </row>
    <row r="883" spans="1:11">
      <c r="A883" s="9" t="s">
        <v>11262</v>
      </c>
      <c r="B883" s="16">
        <v>51</v>
      </c>
      <c r="C883" s="9"/>
      <c r="D883" s="271" t="s">
        <v>8468</v>
      </c>
      <c r="E883" s="263">
        <v>8</v>
      </c>
      <c r="F883" s="263">
        <v>0</v>
      </c>
      <c r="G883" s="263">
        <v>0</v>
      </c>
      <c r="H883" s="263">
        <v>0</v>
      </c>
      <c r="I883" s="263">
        <v>0</v>
      </c>
      <c r="J883" s="263">
        <v>0</v>
      </c>
      <c r="K883" s="267">
        <v>8</v>
      </c>
    </row>
    <row r="884" spans="1:11">
      <c r="A884" s="9" t="s">
        <v>11263</v>
      </c>
      <c r="B884" s="16">
        <v>51</v>
      </c>
      <c r="C884" s="9"/>
      <c r="D884" s="271" t="s">
        <v>8469</v>
      </c>
      <c r="E884" s="263">
        <v>0</v>
      </c>
      <c r="F884" s="263">
        <v>0</v>
      </c>
      <c r="G884" s="263">
        <v>0</v>
      </c>
      <c r="H884" s="263">
        <v>8</v>
      </c>
      <c r="I884" s="263">
        <v>0</v>
      </c>
      <c r="J884" s="263">
        <v>0</v>
      </c>
      <c r="K884" s="267">
        <v>8</v>
      </c>
    </row>
    <row r="885" spans="1:11">
      <c r="A885" s="9" t="s">
        <v>11264</v>
      </c>
      <c r="B885" s="16">
        <v>51</v>
      </c>
      <c r="C885" s="9"/>
      <c r="D885" s="271" t="s">
        <v>8470</v>
      </c>
      <c r="E885" s="263">
        <v>8</v>
      </c>
      <c r="F885" s="263">
        <v>0</v>
      </c>
      <c r="G885" s="263">
        <v>0</v>
      </c>
      <c r="H885" s="263">
        <v>0</v>
      </c>
      <c r="I885" s="263">
        <v>0</v>
      </c>
      <c r="J885" s="263">
        <v>0</v>
      </c>
      <c r="K885" s="267">
        <v>8</v>
      </c>
    </row>
    <row r="886" spans="1:11">
      <c r="A886" s="9" t="s">
        <v>11265</v>
      </c>
      <c r="B886" s="16">
        <v>51</v>
      </c>
      <c r="C886" s="9"/>
      <c r="D886" s="271" t="s">
        <v>8493</v>
      </c>
      <c r="E886" s="263">
        <v>20</v>
      </c>
      <c r="F886" s="263">
        <v>0</v>
      </c>
      <c r="G886" s="263">
        <v>0</v>
      </c>
      <c r="H886" s="263">
        <v>0</v>
      </c>
      <c r="I886" s="263">
        <v>0</v>
      </c>
      <c r="J886" s="263">
        <v>0</v>
      </c>
      <c r="K886" s="267">
        <v>20</v>
      </c>
    </row>
    <row r="887" spans="1:11">
      <c r="A887" s="9" t="s">
        <v>11266</v>
      </c>
      <c r="B887" s="16">
        <v>51</v>
      </c>
      <c r="C887" s="9"/>
      <c r="D887" s="271" t="s">
        <v>8494</v>
      </c>
      <c r="E887" s="263">
        <v>20</v>
      </c>
      <c r="F887" s="263">
        <v>0</v>
      </c>
      <c r="G887" s="263">
        <v>0</v>
      </c>
      <c r="H887" s="263">
        <v>0</v>
      </c>
      <c r="I887" s="263">
        <v>0</v>
      </c>
      <c r="J887" s="263">
        <v>0</v>
      </c>
      <c r="K887" s="267">
        <v>20</v>
      </c>
    </row>
    <row r="888" spans="1:11">
      <c r="A888" s="9" t="s">
        <v>11267</v>
      </c>
      <c r="B888" s="16">
        <v>51</v>
      </c>
      <c r="C888" s="9"/>
      <c r="D888" s="271" t="s">
        <v>8495</v>
      </c>
      <c r="E888" s="263">
        <v>20</v>
      </c>
      <c r="F888" s="263">
        <v>0</v>
      </c>
      <c r="G888" s="263">
        <v>0</v>
      </c>
      <c r="H888" s="263">
        <v>0</v>
      </c>
      <c r="I888" s="263">
        <v>0</v>
      </c>
      <c r="J888" s="263">
        <v>0</v>
      </c>
      <c r="K888" s="267">
        <v>20</v>
      </c>
    </row>
    <row r="889" spans="1:11">
      <c r="A889" s="9" t="s">
        <v>11268</v>
      </c>
      <c r="B889" s="16">
        <v>51</v>
      </c>
      <c r="C889" s="9"/>
      <c r="D889" s="271" t="s">
        <v>8496</v>
      </c>
      <c r="E889" s="263">
        <v>16</v>
      </c>
      <c r="F889" s="263">
        <v>0</v>
      </c>
      <c r="G889" s="263">
        <v>0</v>
      </c>
      <c r="H889" s="263">
        <v>0</v>
      </c>
      <c r="I889" s="263">
        <v>0</v>
      </c>
      <c r="J889" s="263">
        <v>0</v>
      </c>
      <c r="K889" s="267">
        <v>16</v>
      </c>
    </row>
    <row r="890" spans="1:11">
      <c r="B890" s="16">
        <v>51</v>
      </c>
      <c r="C890" s="9"/>
      <c r="D890" s="271"/>
      <c r="E890" s="263"/>
      <c r="F890" s="263"/>
      <c r="G890" s="263"/>
      <c r="H890" s="263"/>
      <c r="I890" s="263"/>
      <c r="J890" s="263"/>
      <c r="K890" s="267">
        <v>0</v>
      </c>
    </row>
    <row r="891" spans="1:11" ht="15.75" customHeight="1">
      <c r="B891" s="16">
        <v>51</v>
      </c>
      <c r="C891" s="9"/>
      <c r="D891" s="272" t="s">
        <v>3674</v>
      </c>
      <c r="E891" s="273">
        <v>96</v>
      </c>
      <c r="F891" s="273">
        <v>0</v>
      </c>
      <c r="G891" s="273">
        <v>0</v>
      </c>
      <c r="H891" s="273">
        <v>8</v>
      </c>
      <c r="I891" s="273">
        <v>0</v>
      </c>
      <c r="J891" s="273">
        <v>16</v>
      </c>
      <c r="K891" s="273">
        <v>120</v>
      </c>
    </row>
    <row r="892" spans="1:11">
      <c r="C892" s="9"/>
      <c r="D892" s="271"/>
      <c r="E892" s="263"/>
      <c r="F892" s="263"/>
      <c r="G892" s="263"/>
      <c r="H892" s="263"/>
      <c r="I892" s="263"/>
      <c r="J892" s="263"/>
      <c r="K892" s="267">
        <v>0</v>
      </c>
    </row>
    <row r="893" spans="1:11">
      <c r="A893" s="9" t="s">
        <v>11269</v>
      </c>
      <c r="B893" s="16">
        <v>58</v>
      </c>
      <c r="C893" s="9"/>
      <c r="D893" s="271" t="s">
        <v>8471</v>
      </c>
      <c r="E893" s="263">
        <v>0</v>
      </c>
      <c r="F893" s="263">
        <v>0</v>
      </c>
      <c r="G893" s="263">
        <v>0</v>
      </c>
      <c r="H893" s="263">
        <v>0</v>
      </c>
      <c r="I893" s="263">
        <v>0</v>
      </c>
      <c r="J893" s="263">
        <v>8</v>
      </c>
      <c r="K893" s="267">
        <v>8</v>
      </c>
    </row>
    <row r="894" spans="1:11">
      <c r="A894" s="9" t="s">
        <v>11270</v>
      </c>
      <c r="B894" s="16">
        <v>58</v>
      </c>
      <c r="C894" s="9"/>
      <c r="D894" s="271" t="s">
        <v>8472</v>
      </c>
      <c r="E894" s="263">
        <v>0</v>
      </c>
      <c r="F894" s="263">
        <v>0</v>
      </c>
      <c r="G894" s="263">
        <v>0</v>
      </c>
      <c r="H894" s="263">
        <v>0</v>
      </c>
      <c r="I894" s="263">
        <v>0</v>
      </c>
      <c r="J894" s="263">
        <v>8</v>
      </c>
      <c r="K894" s="267">
        <v>8</v>
      </c>
    </row>
    <row r="895" spans="1:11">
      <c r="A895" s="9" t="s">
        <v>11271</v>
      </c>
      <c r="B895" s="16">
        <v>58</v>
      </c>
      <c r="C895" s="9"/>
      <c r="D895" s="271" t="s">
        <v>8473</v>
      </c>
      <c r="E895" s="263">
        <v>8</v>
      </c>
      <c r="F895" s="263">
        <v>0</v>
      </c>
      <c r="G895" s="263">
        <v>0</v>
      </c>
      <c r="H895" s="263">
        <v>0</v>
      </c>
      <c r="I895" s="263">
        <v>0</v>
      </c>
      <c r="J895" s="263">
        <v>0</v>
      </c>
      <c r="K895" s="267">
        <v>8</v>
      </c>
    </row>
    <row r="896" spans="1:11">
      <c r="A896" s="9" t="s">
        <v>11272</v>
      </c>
      <c r="B896" s="16">
        <v>58</v>
      </c>
      <c r="C896" s="9"/>
      <c r="D896" s="271" t="s">
        <v>8474</v>
      </c>
      <c r="E896" s="263">
        <v>8</v>
      </c>
      <c r="F896" s="263">
        <v>0</v>
      </c>
      <c r="G896" s="263">
        <v>0</v>
      </c>
      <c r="H896" s="263">
        <v>0</v>
      </c>
      <c r="I896" s="263">
        <v>0</v>
      </c>
      <c r="J896" s="263">
        <v>0</v>
      </c>
      <c r="K896" s="267">
        <v>8</v>
      </c>
    </row>
    <row r="897" spans="1:11">
      <c r="A897" s="9" t="s">
        <v>11273</v>
      </c>
      <c r="B897" s="16">
        <v>58</v>
      </c>
      <c r="C897" s="9"/>
      <c r="D897" s="271" t="s">
        <v>8475</v>
      </c>
      <c r="E897" s="263">
        <v>0</v>
      </c>
      <c r="F897" s="263">
        <v>0</v>
      </c>
      <c r="G897" s="263">
        <v>8</v>
      </c>
      <c r="H897" s="263">
        <v>0</v>
      </c>
      <c r="I897" s="263">
        <v>0</v>
      </c>
      <c r="J897" s="263">
        <v>0</v>
      </c>
      <c r="K897" s="267">
        <v>8</v>
      </c>
    </row>
    <row r="898" spans="1:11">
      <c r="A898" s="9" t="s">
        <v>11274</v>
      </c>
      <c r="B898" s="16">
        <v>58</v>
      </c>
      <c r="C898" s="9"/>
      <c r="D898" s="271" t="s">
        <v>8476</v>
      </c>
      <c r="E898" s="263">
        <v>0</v>
      </c>
      <c r="F898" s="263">
        <v>8</v>
      </c>
      <c r="G898" s="263">
        <v>0</v>
      </c>
      <c r="H898" s="263">
        <v>0</v>
      </c>
      <c r="I898" s="263">
        <v>0</v>
      </c>
      <c r="J898" s="263">
        <v>0</v>
      </c>
      <c r="K898" s="267">
        <v>8</v>
      </c>
    </row>
    <row r="899" spans="1:11">
      <c r="A899" s="9" t="s">
        <v>11275</v>
      </c>
      <c r="B899" s="16">
        <v>58</v>
      </c>
      <c r="C899" s="9"/>
      <c r="D899" s="271" t="s">
        <v>8497</v>
      </c>
      <c r="E899" s="263">
        <v>20</v>
      </c>
      <c r="F899" s="263">
        <v>0</v>
      </c>
      <c r="G899" s="263">
        <v>0</v>
      </c>
      <c r="H899" s="263">
        <v>0</v>
      </c>
      <c r="I899" s="263">
        <v>0</v>
      </c>
      <c r="J899" s="263">
        <v>0</v>
      </c>
      <c r="K899" s="267">
        <v>20</v>
      </c>
    </row>
    <row r="900" spans="1:11">
      <c r="A900" s="9" t="s">
        <v>11276</v>
      </c>
      <c r="B900" s="16">
        <v>58</v>
      </c>
      <c r="C900" s="9"/>
      <c r="D900" s="271" t="s">
        <v>8498</v>
      </c>
      <c r="E900" s="263">
        <v>12</v>
      </c>
      <c r="F900" s="263">
        <v>0</v>
      </c>
      <c r="G900" s="263">
        <v>0</v>
      </c>
      <c r="H900" s="263">
        <v>0</v>
      </c>
      <c r="I900" s="263">
        <v>0</v>
      </c>
      <c r="J900" s="263">
        <v>0</v>
      </c>
      <c r="K900" s="267">
        <v>12</v>
      </c>
    </row>
    <row r="901" spans="1:11">
      <c r="A901" s="9" t="s">
        <v>11277</v>
      </c>
      <c r="B901" s="16">
        <v>58</v>
      </c>
      <c r="C901" s="9"/>
      <c r="D901" s="271" t="s">
        <v>8499</v>
      </c>
      <c r="E901" s="263">
        <v>20</v>
      </c>
      <c r="F901" s="263">
        <v>0</v>
      </c>
      <c r="G901" s="263">
        <v>0</v>
      </c>
      <c r="H901" s="263">
        <v>0</v>
      </c>
      <c r="I901" s="263">
        <v>0</v>
      </c>
      <c r="J901" s="263">
        <v>0</v>
      </c>
      <c r="K901" s="267">
        <v>20</v>
      </c>
    </row>
    <row r="902" spans="1:11">
      <c r="A902" s="9" t="s">
        <v>11278</v>
      </c>
      <c r="B902" s="16">
        <v>58</v>
      </c>
      <c r="C902" s="9"/>
      <c r="D902" s="271" t="s">
        <v>8500</v>
      </c>
      <c r="E902" s="263">
        <v>20</v>
      </c>
      <c r="F902" s="263">
        <v>0</v>
      </c>
      <c r="G902" s="263">
        <v>0</v>
      </c>
      <c r="H902" s="263">
        <v>0</v>
      </c>
      <c r="I902" s="263">
        <v>0</v>
      </c>
      <c r="J902" s="263">
        <v>0</v>
      </c>
      <c r="K902" s="267">
        <v>20</v>
      </c>
    </row>
    <row r="903" spans="1:11">
      <c r="B903" s="16">
        <v>58</v>
      </c>
      <c r="C903" s="9"/>
      <c r="D903" s="271"/>
      <c r="E903" s="263"/>
      <c r="F903" s="263"/>
      <c r="G903" s="263"/>
      <c r="H903" s="263"/>
      <c r="I903" s="263"/>
      <c r="J903" s="263"/>
      <c r="K903" s="267">
        <v>0</v>
      </c>
    </row>
    <row r="904" spans="1:11" ht="15.75" customHeight="1">
      <c r="B904" s="16">
        <v>58</v>
      </c>
      <c r="C904" s="9"/>
      <c r="D904" s="272" t="s">
        <v>3674</v>
      </c>
      <c r="E904" s="273">
        <v>88</v>
      </c>
      <c r="F904" s="273">
        <v>8</v>
      </c>
      <c r="G904" s="273">
        <v>8</v>
      </c>
      <c r="H904" s="273">
        <v>0</v>
      </c>
      <c r="I904" s="273">
        <v>0</v>
      </c>
      <c r="J904" s="273">
        <v>16</v>
      </c>
      <c r="K904" s="273">
        <v>120</v>
      </c>
    </row>
    <row r="905" spans="1:11">
      <c r="C905" s="9"/>
      <c r="D905" s="271"/>
      <c r="E905" s="263"/>
      <c r="F905" s="263"/>
      <c r="G905" s="263"/>
      <c r="H905" s="263"/>
      <c r="I905" s="263"/>
      <c r="J905" s="263"/>
      <c r="K905" s="267">
        <v>0</v>
      </c>
    </row>
    <row r="906" spans="1:11" ht="15.75" customHeight="1">
      <c r="B906" s="16">
        <v>0</v>
      </c>
      <c r="C906" s="9"/>
      <c r="D906" s="269" t="s">
        <v>13083</v>
      </c>
      <c r="E906" s="270">
        <v>416</v>
      </c>
      <c r="F906" s="270">
        <v>16</v>
      </c>
      <c r="G906" s="270">
        <v>88</v>
      </c>
      <c r="H906" s="270">
        <v>16</v>
      </c>
      <c r="I906" s="270">
        <v>0</v>
      </c>
      <c r="J906" s="270">
        <v>184</v>
      </c>
      <c r="K906" s="270">
        <v>720</v>
      </c>
    </row>
    <row r="907" spans="1:11">
      <c r="C907" s="9"/>
      <c r="D907" s="271"/>
      <c r="E907" s="263"/>
      <c r="F907" s="263"/>
      <c r="G907" s="263"/>
      <c r="H907" s="263"/>
      <c r="I907" s="263"/>
      <c r="J907" s="263"/>
      <c r="K907" s="267">
        <v>0</v>
      </c>
    </row>
    <row r="908" spans="1:11">
      <c r="C908" s="9"/>
      <c r="D908" s="271"/>
      <c r="E908" s="263"/>
      <c r="F908" s="263"/>
      <c r="G908" s="263"/>
      <c r="H908" s="263"/>
      <c r="I908" s="263"/>
      <c r="J908" s="263"/>
      <c r="K908" s="267">
        <v>0</v>
      </c>
    </row>
    <row r="909" spans="1:11">
      <c r="C909" s="9"/>
      <c r="D909" s="271" t="s">
        <v>4275</v>
      </c>
      <c r="E909" s="263"/>
      <c r="F909" s="263"/>
      <c r="G909" s="263"/>
      <c r="H909" s="263"/>
      <c r="I909" s="263"/>
      <c r="J909" s="263"/>
      <c r="K909" s="267">
        <v>0</v>
      </c>
    </row>
    <row r="910" spans="1:11">
      <c r="C910" s="9"/>
      <c r="D910" s="271"/>
      <c r="E910" s="263"/>
      <c r="F910" s="263"/>
      <c r="G910" s="263"/>
      <c r="H910" s="263"/>
      <c r="I910" s="263"/>
      <c r="J910" s="263"/>
      <c r="K910" s="267">
        <v>0</v>
      </c>
    </row>
    <row r="911" spans="1:11">
      <c r="A911" s="9" t="s">
        <v>11279</v>
      </c>
      <c r="B911" s="16">
        <v>52</v>
      </c>
      <c r="C911" s="9"/>
      <c r="D911" s="271" t="s">
        <v>9319</v>
      </c>
      <c r="E911" s="263">
        <v>0</v>
      </c>
      <c r="F911" s="263">
        <v>8</v>
      </c>
      <c r="G911" s="263">
        <v>0</v>
      </c>
      <c r="H911" s="263">
        <v>0</v>
      </c>
      <c r="I911" s="263">
        <v>0</v>
      </c>
      <c r="J911" s="263">
        <v>0</v>
      </c>
      <c r="K911" s="267">
        <v>8</v>
      </c>
    </row>
    <row r="912" spans="1:11">
      <c r="A912" s="9" t="s">
        <v>11280</v>
      </c>
      <c r="B912" s="16">
        <v>52</v>
      </c>
      <c r="C912" s="9"/>
      <c r="D912" s="271" t="s">
        <v>9320</v>
      </c>
      <c r="E912" s="263">
        <v>0</v>
      </c>
      <c r="F912" s="263">
        <v>8</v>
      </c>
      <c r="G912" s="263">
        <v>0</v>
      </c>
      <c r="H912" s="263">
        <v>0</v>
      </c>
      <c r="I912" s="263">
        <v>0</v>
      </c>
      <c r="J912" s="263">
        <v>0</v>
      </c>
      <c r="K912" s="267">
        <v>8</v>
      </c>
    </row>
    <row r="913" spans="1:11">
      <c r="A913" s="9" t="s">
        <v>11281</v>
      </c>
      <c r="B913" s="16">
        <v>52</v>
      </c>
      <c r="C913" s="9"/>
      <c r="D913" s="271" t="s">
        <v>9321</v>
      </c>
      <c r="E913" s="263">
        <v>0</v>
      </c>
      <c r="F913" s="263">
        <v>8</v>
      </c>
      <c r="G913" s="263">
        <v>0</v>
      </c>
      <c r="H913" s="263">
        <v>0</v>
      </c>
      <c r="I913" s="263">
        <v>0</v>
      </c>
      <c r="J913" s="263">
        <v>0</v>
      </c>
      <c r="K913" s="267">
        <v>8</v>
      </c>
    </row>
    <row r="914" spans="1:11">
      <c r="B914" s="16">
        <v>52</v>
      </c>
      <c r="C914" s="9"/>
      <c r="D914" s="271"/>
      <c r="E914" s="263"/>
      <c r="F914" s="263"/>
      <c r="G914" s="263"/>
      <c r="H914" s="263"/>
      <c r="I914" s="263"/>
      <c r="J914" s="263"/>
      <c r="K914" s="267">
        <v>0</v>
      </c>
    </row>
    <row r="915" spans="1:11" ht="15.75" customHeight="1">
      <c r="B915" s="16">
        <v>52</v>
      </c>
      <c r="C915" s="9"/>
      <c r="D915" s="272" t="s">
        <v>3674</v>
      </c>
      <c r="E915" s="273">
        <v>0</v>
      </c>
      <c r="F915" s="273">
        <v>24</v>
      </c>
      <c r="G915" s="273">
        <v>0</v>
      </c>
      <c r="H915" s="273">
        <v>0</v>
      </c>
      <c r="I915" s="273">
        <v>0</v>
      </c>
      <c r="J915" s="273">
        <v>0</v>
      </c>
      <c r="K915" s="273">
        <v>24</v>
      </c>
    </row>
    <row r="916" spans="1:11">
      <c r="C916" s="9"/>
      <c r="D916" s="271"/>
      <c r="E916" s="263"/>
      <c r="F916" s="263"/>
      <c r="G916" s="263"/>
      <c r="H916" s="263"/>
      <c r="I916" s="263"/>
      <c r="J916" s="263"/>
      <c r="K916" s="267">
        <v>0</v>
      </c>
    </row>
    <row r="917" spans="1:11">
      <c r="A917" s="9" t="s">
        <v>11282</v>
      </c>
      <c r="B917" s="16">
        <v>53</v>
      </c>
      <c r="C917" s="9"/>
      <c r="D917" s="271" t="s">
        <v>4764</v>
      </c>
      <c r="E917" s="263">
        <v>0</v>
      </c>
      <c r="F917" s="263">
        <v>0</v>
      </c>
      <c r="G917" s="263">
        <v>4</v>
      </c>
      <c r="H917" s="263">
        <v>0</v>
      </c>
      <c r="I917" s="263">
        <v>0</v>
      </c>
      <c r="J917" s="263">
        <v>0</v>
      </c>
      <c r="K917" s="267">
        <v>4</v>
      </c>
    </row>
    <row r="918" spans="1:11">
      <c r="A918" s="9" t="s">
        <v>11283</v>
      </c>
      <c r="B918" s="16">
        <v>53</v>
      </c>
      <c r="C918" s="9"/>
      <c r="D918" s="271" t="s">
        <v>4765</v>
      </c>
      <c r="E918" s="263">
        <v>0</v>
      </c>
      <c r="F918" s="263">
        <v>0</v>
      </c>
      <c r="G918" s="263">
        <v>0</v>
      </c>
      <c r="H918" s="263">
        <v>4</v>
      </c>
      <c r="I918" s="263">
        <v>0</v>
      </c>
      <c r="J918" s="263">
        <v>0</v>
      </c>
      <c r="K918" s="267">
        <v>4</v>
      </c>
    </row>
    <row r="919" spans="1:11">
      <c r="A919" s="9" t="s">
        <v>11284</v>
      </c>
      <c r="B919" s="16">
        <v>53</v>
      </c>
      <c r="C919" s="9"/>
      <c r="D919" s="271" t="s">
        <v>9322</v>
      </c>
      <c r="E919" s="263">
        <v>0</v>
      </c>
      <c r="F919" s="263">
        <v>0</v>
      </c>
      <c r="G919" s="263">
        <v>0</v>
      </c>
      <c r="H919" s="263">
        <v>0</v>
      </c>
      <c r="I919" s="263">
        <v>0</v>
      </c>
      <c r="J919" s="263">
        <v>8</v>
      </c>
      <c r="K919" s="267">
        <v>8</v>
      </c>
    </row>
    <row r="920" spans="1:11">
      <c r="A920" s="9" t="s">
        <v>11285</v>
      </c>
      <c r="B920" s="16">
        <v>53</v>
      </c>
      <c r="C920" s="9"/>
      <c r="D920" s="271" t="s">
        <v>4766</v>
      </c>
      <c r="E920" s="263">
        <v>0</v>
      </c>
      <c r="F920" s="263">
        <v>0</v>
      </c>
      <c r="G920" s="263">
        <v>0</v>
      </c>
      <c r="H920" s="263">
        <v>0</v>
      </c>
      <c r="I920" s="263">
        <v>0</v>
      </c>
      <c r="J920" s="263">
        <v>8</v>
      </c>
      <c r="K920" s="267">
        <v>8</v>
      </c>
    </row>
    <row r="921" spans="1:11">
      <c r="A921" s="9" t="s">
        <v>11286</v>
      </c>
      <c r="B921" s="16">
        <v>53</v>
      </c>
      <c r="C921" s="9"/>
      <c r="D921" s="271" t="s">
        <v>9323</v>
      </c>
      <c r="E921" s="263">
        <v>8</v>
      </c>
      <c r="F921" s="263">
        <v>0</v>
      </c>
      <c r="G921" s="263">
        <v>0</v>
      </c>
      <c r="H921" s="263">
        <v>0</v>
      </c>
      <c r="I921" s="263">
        <v>0</v>
      </c>
      <c r="J921" s="263">
        <v>0</v>
      </c>
      <c r="K921" s="267">
        <v>8</v>
      </c>
    </row>
    <row r="922" spans="1:11">
      <c r="A922" s="9" t="s">
        <v>11287</v>
      </c>
      <c r="B922" s="16">
        <v>53</v>
      </c>
      <c r="C922" s="9"/>
      <c r="D922" s="271" t="s">
        <v>4767</v>
      </c>
      <c r="E922" s="263">
        <v>0</v>
      </c>
      <c r="F922" s="263">
        <v>0</v>
      </c>
      <c r="G922" s="263">
        <v>2.4000000000000004</v>
      </c>
      <c r="H922" s="263">
        <v>0</v>
      </c>
      <c r="I922" s="263">
        <v>0</v>
      </c>
      <c r="J922" s="263">
        <v>0</v>
      </c>
      <c r="K922" s="267">
        <v>2.4000000000000004</v>
      </c>
    </row>
    <row r="923" spans="1:11">
      <c r="A923" s="9" t="s">
        <v>11288</v>
      </c>
      <c r="B923" s="16">
        <v>53</v>
      </c>
      <c r="C923" s="9"/>
      <c r="D923" s="271" t="s">
        <v>9324</v>
      </c>
      <c r="E923" s="263">
        <v>8</v>
      </c>
      <c r="F923" s="263">
        <v>0</v>
      </c>
      <c r="G923" s="263">
        <v>0</v>
      </c>
      <c r="H923" s="263">
        <v>0</v>
      </c>
      <c r="I923" s="263">
        <v>0</v>
      </c>
      <c r="J923" s="263">
        <v>0</v>
      </c>
      <c r="K923" s="267">
        <v>8</v>
      </c>
    </row>
    <row r="924" spans="1:11">
      <c r="A924" s="9" t="s">
        <v>11289</v>
      </c>
      <c r="B924" s="16">
        <v>53</v>
      </c>
      <c r="C924" s="9"/>
      <c r="D924" s="271" t="s">
        <v>9325</v>
      </c>
      <c r="E924" s="263">
        <v>16</v>
      </c>
      <c r="F924" s="263">
        <v>0</v>
      </c>
      <c r="G924" s="263">
        <v>0</v>
      </c>
      <c r="H924" s="263">
        <v>0</v>
      </c>
      <c r="I924" s="263">
        <v>0</v>
      </c>
      <c r="J924" s="263">
        <v>0</v>
      </c>
      <c r="K924" s="267">
        <v>16</v>
      </c>
    </row>
    <row r="925" spans="1:11">
      <c r="A925" s="9" t="s">
        <v>11290</v>
      </c>
      <c r="B925" s="16">
        <v>53</v>
      </c>
      <c r="C925" s="9"/>
      <c r="D925" s="271" t="s">
        <v>9326</v>
      </c>
      <c r="E925" s="263">
        <v>12</v>
      </c>
      <c r="F925" s="263">
        <v>0</v>
      </c>
      <c r="G925" s="263">
        <v>0</v>
      </c>
      <c r="H925" s="263">
        <v>0</v>
      </c>
      <c r="I925" s="263">
        <v>0</v>
      </c>
      <c r="J925" s="263">
        <v>0</v>
      </c>
      <c r="K925" s="267">
        <v>12</v>
      </c>
    </row>
    <row r="926" spans="1:11">
      <c r="A926" s="9" t="s">
        <v>11291</v>
      </c>
      <c r="B926" s="16">
        <v>53</v>
      </c>
      <c r="C926" s="9"/>
      <c r="D926" s="271" t="s">
        <v>9327</v>
      </c>
      <c r="E926" s="263">
        <v>16</v>
      </c>
      <c r="F926" s="263">
        <v>0</v>
      </c>
      <c r="G926" s="263">
        <v>0</v>
      </c>
      <c r="H926" s="263">
        <v>0</v>
      </c>
      <c r="I926" s="263">
        <v>0</v>
      </c>
      <c r="J926" s="263">
        <v>0</v>
      </c>
      <c r="K926" s="267">
        <v>16</v>
      </c>
    </row>
    <row r="927" spans="1:11">
      <c r="A927" s="9" t="s">
        <v>11292</v>
      </c>
      <c r="B927" s="16">
        <v>53</v>
      </c>
      <c r="C927" s="9"/>
      <c r="D927" s="271" t="s">
        <v>9328</v>
      </c>
      <c r="E927" s="263">
        <v>12</v>
      </c>
      <c r="F927" s="263">
        <v>0</v>
      </c>
      <c r="G927" s="263">
        <v>0</v>
      </c>
      <c r="H927" s="263">
        <v>0</v>
      </c>
      <c r="I927" s="263">
        <v>0</v>
      </c>
      <c r="J927" s="263">
        <v>0</v>
      </c>
      <c r="K927" s="267">
        <v>12</v>
      </c>
    </row>
    <row r="928" spans="1:11">
      <c r="A928" s="9" t="s">
        <v>11293</v>
      </c>
      <c r="B928" s="16">
        <v>53</v>
      </c>
      <c r="C928" s="9"/>
      <c r="D928" s="271" t="s">
        <v>9329</v>
      </c>
      <c r="E928" s="263">
        <v>0</v>
      </c>
      <c r="F928" s="263">
        <v>8</v>
      </c>
      <c r="G928" s="263">
        <v>0</v>
      </c>
      <c r="H928" s="263">
        <v>0</v>
      </c>
      <c r="I928" s="263">
        <v>0</v>
      </c>
      <c r="J928" s="263">
        <v>0</v>
      </c>
      <c r="K928" s="267">
        <v>8</v>
      </c>
    </row>
    <row r="929" spans="1:11">
      <c r="A929" s="9" t="s">
        <v>11294</v>
      </c>
      <c r="B929" s="16">
        <v>53</v>
      </c>
      <c r="C929" s="9"/>
      <c r="D929" s="271" t="s">
        <v>9330</v>
      </c>
      <c r="E929" s="263">
        <v>0</v>
      </c>
      <c r="F929" s="263">
        <v>8</v>
      </c>
      <c r="G929" s="263">
        <v>0</v>
      </c>
      <c r="H929" s="263">
        <v>0</v>
      </c>
      <c r="I929" s="263">
        <v>0</v>
      </c>
      <c r="J929" s="263">
        <v>0</v>
      </c>
      <c r="K929" s="267">
        <v>8</v>
      </c>
    </row>
    <row r="930" spans="1:11">
      <c r="A930" s="9" t="s">
        <v>11295</v>
      </c>
      <c r="B930" s="16">
        <v>53</v>
      </c>
      <c r="C930" s="9"/>
      <c r="D930" s="271" t="s">
        <v>9331</v>
      </c>
      <c r="E930" s="263">
        <v>0</v>
      </c>
      <c r="F930" s="263">
        <v>5.6000000000000005</v>
      </c>
      <c r="G930" s="263">
        <v>0</v>
      </c>
      <c r="H930" s="263">
        <v>0</v>
      </c>
      <c r="I930" s="263">
        <v>0</v>
      </c>
      <c r="J930" s="263">
        <v>0</v>
      </c>
      <c r="K930" s="267">
        <v>5.6000000000000005</v>
      </c>
    </row>
    <row r="931" spans="1:11">
      <c r="B931" s="16">
        <v>53</v>
      </c>
      <c r="C931" s="9"/>
      <c r="D931" s="271"/>
      <c r="E931" s="263"/>
      <c r="F931" s="263"/>
      <c r="G931" s="263"/>
      <c r="H931" s="263"/>
      <c r="I931" s="263"/>
      <c r="J931" s="263"/>
      <c r="K931" s="267">
        <v>0</v>
      </c>
    </row>
    <row r="932" spans="1:11" ht="15.75" customHeight="1">
      <c r="B932" s="16">
        <v>53</v>
      </c>
      <c r="C932" s="9"/>
      <c r="D932" s="272" t="s">
        <v>3674</v>
      </c>
      <c r="E932" s="273">
        <v>72</v>
      </c>
      <c r="F932" s="273">
        <v>21.6</v>
      </c>
      <c r="G932" s="273">
        <v>6.4</v>
      </c>
      <c r="H932" s="273">
        <v>4</v>
      </c>
      <c r="I932" s="273">
        <v>0</v>
      </c>
      <c r="J932" s="273">
        <v>16</v>
      </c>
      <c r="K932" s="273">
        <v>120</v>
      </c>
    </row>
    <row r="933" spans="1:11">
      <c r="C933" s="9"/>
      <c r="D933" s="271"/>
      <c r="E933" s="263"/>
      <c r="F933" s="263"/>
      <c r="G933" s="263"/>
      <c r="H933" s="263"/>
      <c r="I933" s="263"/>
      <c r="J933" s="263"/>
      <c r="K933" s="267">
        <v>0</v>
      </c>
    </row>
    <row r="934" spans="1:11">
      <c r="A934" s="9" t="s">
        <v>11296</v>
      </c>
      <c r="B934" s="16">
        <v>54</v>
      </c>
      <c r="C934" s="9"/>
      <c r="D934" s="271" t="s">
        <v>9332</v>
      </c>
      <c r="E934" s="263">
        <v>8</v>
      </c>
      <c r="F934" s="263">
        <v>0</v>
      </c>
      <c r="G934" s="263">
        <v>0</v>
      </c>
      <c r="H934" s="263">
        <v>0</v>
      </c>
      <c r="I934" s="263">
        <v>0</v>
      </c>
      <c r="J934" s="263">
        <v>0</v>
      </c>
      <c r="K934" s="267">
        <v>8</v>
      </c>
    </row>
    <row r="935" spans="1:11">
      <c r="A935" s="9" t="s">
        <v>11297</v>
      </c>
      <c r="B935" s="16">
        <v>54</v>
      </c>
      <c r="C935" s="9"/>
      <c r="D935" s="271" t="s">
        <v>9333</v>
      </c>
      <c r="E935" s="263">
        <v>8</v>
      </c>
      <c r="F935" s="263">
        <v>0</v>
      </c>
      <c r="G935" s="263">
        <v>0</v>
      </c>
      <c r="H935" s="263">
        <v>0</v>
      </c>
      <c r="I935" s="263">
        <v>0</v>
      </c>
      <c r="J935" s="263">
        <v>0</v>
      </c>
      <c r="K935" s="267">
        <v>8</v>
      </c>
    </row>
    <row r="936" spans="1:11">
      <c r="A936" s="9" t="s">
        <v>11298</v>
      </c>
      <c r="B936" s="16">
        <v>54</v>
      </c>
      <c r="C936" s="9"/>
      <c r="D936" s="271" t="s">
        <v>9334</v>
      </c>
      <c r="E936" s="263">
        <v>8</v>
      </c>
      <c r="F936" s="263">
        <v>0</v>
      </c>
      <c r="G936" s="263">
        <v>0</v>
      </c>
      <c r="H936" s="263">
        <v>0</v>
      </c>
      <c r="I936" s="263">
        <v>0</v>
      </c>
      <c r="J936" s="263">
        <v>0</v>
      </c>
      <c r="K936" s="267">
        <v>8</v>
      </c>
    </row>
    <row r="937" spans="1:11">
      <c r="A937" s="9" t="s">
        <v>11299</v>
      </c>
      <c r="B937" s="16">
        <v>54</v>
      </c>
      <c r="C937" s="9"/>
      <c r="D937" s="271" t="s">
        <v>9335</v>
      </c>
      <c r="E937" s="263">
        <v>8</v>
      </c>
      <c r="F937" s="263">
        <v>0</v>
      </c>
      <c r="G937" s="263">
        <v>0</v>
      </c>
      <c r="H937" s="263">
        <v>0</v>
      </c>
      <c r="I937" s="263">
        <v>0</v>
      </c>
      <c r="J937" s="263">
        <v>0</v>
      </c>
      <c r="K937" s="267">
        <v>8</v>
      </c>
    </row>
    <row r="938" spans="1:11">
      <c r="A938" s="9" t="s">
        <v>11300</v>
      </c>
      <c r="B938" s="16">
        <v>54</v>
      </c>
      <c r="C938" s="9"/>
      <c r="D938" s="271" t="s">
        <v>4768</v>
      </c>
      <c r="E938" s="263">
        <v>0</v>
      </c>
      <c r="F938" s="263">
        <v>0</v>
      </c>
      <c r="G938" s="263">
        <v>8</v>
      </c>
      <c r="H938" s="263">
        <v>0</v>
      </c>
      <c r="I938" s="263">
        <v>0</v>
      </c>
      <c r="J938" s="263">
        <v>0</v>
      </c>
      <c r="K938" s="267">
        <v>8</v>
      </c>
    </row>
    <row r="939" spans="1:11">
      <c r="A939" s="9" t="s">
        <v>11301</v>
      </c>
      <c r="B939" s="16">
        <v>54</v>
      </c>
      <c r="C939" s="9"/>
      <c r="D939" s="271" t="s">
        <v>9336</v>
      </c>
      <c r="E939" s="263">
        <v>0</v>
      </c>
      <c r="F939" s="263">
        <v>0</v>
      </c>
      <c r="G939" s="263">
        <v>8</v>
      </c>
      <c r="H939" s="263">
        <v>0</v>
      </c>
      <c r="I939" s="263">
        <v>0</v>
      </c>
      <c r="J939" s="263">
        <v>0</v>
      </c>
      <c r="K939" s="267">
        <v>8</v>
      </c>
    </row>
    <row r="940" spans="1:11">
      <c r="A940" s="9" t="s">
        <v>11302</v>
      </c>
      <c r="B940" s="16">
        <v>54</v>
      </c>
      <c r="C940" s="9"/>
      <c r="D940" s="271" t="s">
        <v>9337</v>
      </c>
      <c r="E940" s="263">
        <v>0</v>
      </c>
      <c r="F940" s="263">
        <v>0</v>
      </c>
      <c r="G940" s="263">
        <v>0</v>
      </c>
      <c r="H940" s="263">
        <v>8</v>
      </c>
      <c r="I940" s="263">
        <v>0</v>
      </c>
      <c r="J940" s="263">
        <v>0</v>
      </c>
      <c r="K940" s="267">
        <v>8</v>
      </c>
    </row>
    <row r="941" spans="1:11">
      <c r="A941" s="9" t="s">
        <v>11303</v>
      </c>
      <c r="B941" s="16">
        <v>54</v>
      </c>
      <c r="C941" s="9"/>
      <c r="D941" s="271" t="s">
        <v>9338</v>
      </c>
      <c r="E941" s="263">
        <v>0</v>
      </c>
      <c r="F941" s="263">
        <v>0</v>
      </c>
      <c r="G941" s="263">
        <v>0</v>
      </c>
      <c r="H941" s="263">
        <v>8</v>
      </c>
      <c r="I941" s="263">
        <v>0</v>
      </c>
      <c r="J941" s="263">
        <v>0</v>
      </c>
      <c r="K941" s="267">
        <v>8</v>
      </c>
    </row>
    <row r="942" spans="1:11">
      <c r="A942" s="9" t="s">
        <v>11304</v>
      </c>
      <c r="B942" s="16">
        <v>54</v>
      </c>
      <c r="C942" s="9"/>
      <c r="D942" s="271" t="s">
        <v>9339</v>
      </c>
      <c r="E942" s="263">
        <v>0</v>
      </c>
      <c r="F942" s="263">
        <v>0</v>
      </c>
      <c r="G942" s="263">
        <v>0</v>
      </c>
      <c r="H942" s="263">
        <v>0</v>
      </c>
      <c r="I942" s="263">
        <v>0</v>
      </c>
      <c r="J942" s="263">
        <v>8</v>
      </c>
      <c r="K942" s="267">
        <v>8</v>
      </c>
    </row>
    <row r="943" spans="1:11">
      <c r="A943" s="9" t="s">
        <v>11305</v>
      </c>
      <c r="B943" s="16">
        <v>54</v>
      </c>
      <c r="C943" s="9"/>
      <c r="D943" s="271" t="s">
        <v>9340</v>
      </c>
      <c r="E943" s="263">
        <v>0</v>
      </c>
      <c r="F943" s="263">
        <v>0</v>
      </c>
      <c r="G943" s="263">
        <v>0</v>
      </c>
      <c r="H943" s="263">
        <v>0</v>
      </c>
      <c r="I943" s="263">
        <v>0</v>
      </c>
      <c r="J943" s="263">
        <v>8</v>
      </c>
      <c r="K943" s="267">
        <v>8</v>
      </c>
    </row>
    <row r="944" spans="1:11">
      <c r="A944" s="9" t="s">
        <v>11306</v>
      </c>
      <c r="B944" s="16">
        <v>54</v>
      </c>
      <c r="C944" s="9"/>
      <c r="D944" s="271" t="s">
        <v>9341</v>
      </c>
      <c r="E944" s="263">
        <v>0</v>
      </c>
      <c r="F944" s="263">
        <v>0</v>
      </c>
      <c r="G944" s="263">
        <v>0</v>
      </c>
      <c r="H944" s="263">
        <v>0</v>
      </c>
      <c r="I944" s="263">
        <v>0</v>
      </c>
      <c r="J944" s="263">
        <v>8</v>
      </c>
      <c r="K944" s="267">
        <v>8</v>
      </c>
    </row>
    <row r="945" spans="1:11">
      <c r="A945" s="9" t="s">
        <v>11307</v>
      </c>
      <c r="B945" s="16">
        <v>54</v>
      </c>
      <c r="C945" s="9"/>
      <c r="D945" s="271" t="s">
        <v>9342</v>
      </c>
      <c r="E945" s="263">
        <v>0</v>
      </c>
      <c r="F945" s="263">
        <v>0</v>
      </c>
      <c r="G945" s="263">
        <v>0</v>
      </c>
      <c r="H945" s="263">
        <v>0</v>
      </c>
      <c r="I945" s="263">
        <v>0</v>
      </c>
      <c r="J945" s="263">
        <v>8</v>
      </c>
      <c r="K945" s="267">
        <v>8</v>
      </c>
    </row>
    <row r="946" spans="1:11">
      <c r="A946" s="9" t="s">
        <v>11308</v>
      </c>
      <c r="B946" s="16">
        <v>54</v>
      </c>
      <c r="C946" s="9"/>
      <c r="D946" s="271" t="s">
        <v>9343</v>
      </c>
      <c r="E946" s="263">
        <v>0</v>
      </c>
      <c r="F946" s="263">
        <v>8</v>
      </c>
      <c r="G946" s="263">
        <v>0</v>
      </c>
      <c r="H946" s="263">
        <v>0</v>
      </c>
      <c r="I946" s="263">
        <v>0</v>
      </c>
      <c r="J946" s="263">
        <v>0</v>
      </c>
      <c r="K946" s="267">
        <v>8</v>
      </c>
    </row>
    <row r="947" spans="1:11">
      <c r="A947" s="9" t="s">
        <v>11309</v>
      </c>
      <c r="B947" s="16">
        <v>54</v>
      </c>
      <c r="C947" s="9"/>
      <c r="D947" s="271" t="s">
        <v>9344</v>
      </c>
      <c r="E947" s="263">
        <v>0</v>
      </c>
      <c r="F947" s="263">
        <v>8</v>
      </c>
      <c r="G947" s="263">
        <v>0</v>
      </c>
      <c r="H947" s="263">
        <v>0</v>
      </c>
      <c r="I947" s="263">
        <v>0</v>
      </c>
      <c r="J947" s="263">
        <v>0</v>
      </c>
      <c r="K947" s="267">
        <v>8</v>
      </c>
    </row>
    <row r="948" spans="1:11">
      <c r="A948" s="9" t="s">
        <v>11310</v>
      </c>
      <c r="B948" s="16">
        <v>54</v>
      </c>
      <c r="C948" s="9"/>
      <c r="D948" s="271" t="s">
        <v>9345</v>
      </c>
      <c r="E948" s="263">
        <v>0</v>
      </c>
      <c r="F948" s="263">
        <v>8</v>
      </c>
      <c r="G948" s="263">
        <v>0</v>
      </c>
      <c r="H948" s="263">
        <v>0</v>
      </c>
      <c r="I948" s="263">
        <v>0</v>
      </c>
      <c r="J948" s="263">
        <v>0</v>
      </c>
      <c r="K948" s="267">
        <v>8</v>
      </c>
    </row>
    <row r="949" spans="1:11">
      <c r="B949" s="16">
        <v>54</v>
      </c>
      <c r="C949" s="9"/>
      <c r="D949" s="271"/>
      <c r="E949" s="263"/>
      <c r="F949" s="263"/>
      <c r="G949" s="263"/>
      <c r="H949" s="263"/>
      <c r="I949" s="263"/>
      <c r="J949" s="263"/>
      <c r="K949" s="267">
        <v>0</v>
      </c>
    </row>
    <row r="950" spans="1:11" ht="15.75" customHeight="1">
      <c r="B950" s="16">
        <v>54</v>
      </c>
      <c r="C950" s="9"/>
      <c r="D950" s="272" t="s">
        <v>3674</v>
      </c>
      <c r="E950" s="273">
        <v>32</v>
      </c>
      <c r="F950" s="273">
        <v>24</v>
      </c>
      <c r="G950" s="273">
        <v>16</v>
      </c>
      <c r="H950" s="273">
        <v>16</v>
      </c>
      <c r="I950" s="273">
        <v>0</v>
      </c>
      <c r="J950" s="273">
        <v>32</v>
      </c>
      <c r="K950" s="273">
        <v>120</v>
      </c>
    </row>
    <row r="951" spans="1:11">
      <c r="C951" s="9"/>
      <c r="D951" s="271"/>
      <c r="E951" s="263"/>
      <c r="F951" s="263"/>
      <c r="G951" s="263"/>
      <c r="H951" s="263"/>
      <c r="I951" s="263"/>
      <c r="J951" s="263"/>
      <c r="K951" s="267">
        <v>0</v>
      </c>
    </row>
    <row r="952" spans="1:11">
      <c r="A952" s="9" t="s">
        <v>11311</v>
      </c>
      <c r="B952" s="16">
        <v>55</v>
      </c>
      <c r="C952" s="9"/>
      <c r="D952" s="271" t="s">
        <v>9346</v>
      </c>
      <c r="E952" s="263">
        <v>0</v>
      </c>
      <c r="F952" s="263">
        <v>0</v>
      </c>
      <c r="G952" s="263">
        <v>20</v>
      </c>
      <c r="H952" s="263">
        <v>0</v>
      </c>
      <c r="I952" s="263">
        <v>0</v>
      </c>
      <c r="J952" s="263">
        <v>0</v>
      </c>
      <c r="K952" s="267">
        <v>20</v>
      </c>
    </row>
    <row r="953" spans="1:11">
      <c r="A953" s="9" t="s">
        <v>11312</v>
      </c>
      <c r="B953" s="16">
        <v>55</v>
      </c>
      <c r="C953" s="9"/>
      <c r="D953" s="271" t="s">
        <v>9347</v>
      </c>
      <c r="E953" s="263">
        <v>0</v>
      </c>
      <c r="F953" s="263">
        <v>0</v>
      </c>
      <c r="G953" s="263">
        <v>20</v>
      </c>
      <c r="H953" s="263">
        <v>0</v>
      </c>
      <c r="I953" s="263">
        <v>0</v>
      </c>
      <c r="J953" s="263">
        <v>0</v>
      </c>
      <c r="K953" s="267">
        <v>20</v>
      </c>
    </row>
    <row r="954" spans="1:11" ht="31.5">
      <c r="A954" s="9" t="s">
        <v>11313</v>
      </c>
      <c r="B954" s="16">
        <v>55</v>
      </c>
      <c r="C954" s="9"/>
      <c r="D954" s="271" t="s">
        <v>9348</v>
      </c>
      <c r="E954" s="263">
        <v>0</v>
      </c>
      <c r="F954" s="263">
        <v>0</v>
      </c>
      <c r="G954" s="263">
        <v>16</v>
      </c>
      <c r="H954" s="263">
        <v>0</v>
      </c>
      <c r="I954" s="263">
        <v>0</v>
      </c>
      <c r="J954" s="263">
        <v>0</v>
      </c>
      <c r="K954" s="267">
        <v>16</v>
      </c>
    </row>
    <row r="955" spans="1:11">
      <c r="A955" s="9" t="s">
        <v>11314</v>
      </c>
      <c r="B955" s="16">
        <v>55</v>
      </c>
      <c r="C955" s="9"/>
      <c r="D955" s="271" t="s">
        <v>9352</v>
      </c>
      <c r="E955" s="263">
        <v>16</v>
      </c>
      <c r="F955" s="263">
        <v>0</v>
      </c>
      <c r="G955" s="263">
        <v>0</v>
      </c>
      <c r="H955" s="263">
        <v>0</v>
      </c>
      <c r="I955" s="263">
        <v>0</v>
      </c>
      <c r="J955" s="263">
        <v>0</v>
      </c>
      <c r="K955" s="267">
        <v>16</v>
      </c>
    </row>
    <row r="956" spans="1:11">
      <c r="A956" s="9" t="s">
        <v>11315</v>
      </c>
      <c r="B956" s="16">
        <v>55</v>
      </c>
      <c r="C956" s="9"/>
      <c r="D956" s="271" t="s">
        <v>9349</v>
      </c>
      <c r="E956" s="263">
        <v>8</v>
      </c>
      <c r="F956" s="263">
        <v>0</v>
      </c>
      <c r="G956" s="263">
        <v>0</v>
      </c>
      <c r="H956" s="263">
        <v>0</v>
      </c>
      <c r="I956" s="263">
        <v>0</v>
      </c>
      <c r="J956" s="263">
        <v>0</v>
      </c>
      <c r="K956" s="267">
        <v>8</v>
      </c>
    </row>
    <row r="957" spans="1:11">
      <c r="A957" s="9" t="s">
        <v>11316</v>
      </c>
      <c r="B957" s="16">
        <v>55</v>
      </c>
      <c r="C957" s="9"/>
      <c r="D957" s="271" t="s">
        <v>9353</v>
      </c>
      <c r="E957" s="263">
        <v>8</v>
      </c>
      <c r="F957" s="263">
        <v>0</v>
      </c>
      <c r="G957" s="263">
        <v>0</v>
      </c>
      <c r="H957" s="263">
        <v>0</v>
      </c>
      <c r="I957" s="263">
        <v>0</v>
      </c>
      <c r="J957" s="263">
        <v>0</v>
      </c>
      <c r="K957" s="267">
        <v>8</v>
      </c>
    </row>
    <row r="958" spans="1:11">
      <c r="A958" s="9" t="s">
        <v>11317</v>
      </c>
      <c r="B958" s="16">
        <v>55</v>
      </c>
      <c r="C958" s="9"/>
      <c r="D958" s="271" t="s">
        <v>9355</v>
      </c>
      <c r="E958" s="263">
        <v>0</v>
      </c>
      <c r="F958" s="263">
        <v>0</v>
      </c>
      <c r="G958" s="263">
        <v>0</v>
      </c>
      <c r="H958" s="263">
        <v>0</v>
      </c>
      <c r="I958" s="263">
        <v>0</v>
      </c>
      <c r="J958" s="263">
        <v>12</v>
      </c>
      <c r="K958" s="267">
        <v>12</v>
      </c>
    </row>
    <row r="959" spans="1:11" ht="31.5">
      <c r="A959" s="9" t="s">
        <v>11318</v>
      </c>
      <c r="B959" s="16">
        <v>55</v>
      </c>
      <c r="C959" s="9"/>
      <c r="D959" s="271" t="s">
        <v>9351</v>
      </c>
      <c r="E959" s="263">
        <v>4</v>
      </c>
      <c r="F959" s="263">
        <v>0</v>
      </c>
      <c r="G959" s="263">
        <v>0</v>
      </c>
      <c r="H959" s="263">
        <v>0</v>
      </c>
      <c r="I959" s="263">
        <v>0</v>
      </c>
      <c r="J959" s="263">
        <v>0</v>
      </c>
      <c r="K959" s="267">
        <v>4</v>
      </c>
    </row>
    <row r="960" spans="1:11" ht="31.5">
      <c r="A960" s="9" t="s">
        <v>11319</v>
      </c>
      <c r="B960" s="16">
        <v>55</v>
      </c>
      <c r="C960" s="9"/>
      <c r="D960" s="271" t="s">
        <v>9354</v>
      </c>
      <c r="E960" s="263">
        <v>0</v>
      </c>
      <c r="F960" s="263">
        <v>0</v>
      </c>
      <c r="G960" s="263">
        <v>0</v>
      </c>
      <c r="H960" s="263">
        <v>0</v>
      </c>
      <c r="I960" s="263">
        <v>8</v>
      </c>
      <c r="J960" s="263">
        <v>0</v>
      </c>
      <c r="K960" s="267">
        <v>8</v>
      </c>
    </row>
    <row r="961" spans="1:11">
      <c r="A961" s="9" t="s">
        <v>11320</v>
      </c>
      <c r="B961" s="16">
        <v>55</v>
      </c>
      <c r="C961" s="9"/>
      <c r="D961" s="271" t="s">
        <v>9350</v>
      </c>
      <c r="E961" s="263">
        <v>8</v>
      </c>
      <c r="F961" s="263">
        <v>0</v>
      </c>
      <c r="G961" s="263">
        <v>0</v>
      </c>
      <c r="H961" s="263">
        <v>0</v>
      </c>
      <c r="I961" s="263">
        <v>0</v>
      </c>
      <c r="J961" s="263">
        <v>0</v>
      </c>
      <c r="K961" s="267">
        <v>8</v>
      </c>
    </row>
    <row r="962" spans="1:11">
      <c r="B962" s="16">
        <v>55</v>
      </c>
      <c r="C962" s="9"/>
      <c r="D962" s="271"/>
      <c r="E962" s="263"/>
      <c r="F962" s="263"/>
      <c r="G962" s="263"/>
      <c r="H962" s="263"/>
      <c r="I962" s="263"/>
      <c r="J962" s="263"/>
      <c r="K962" s="267">
        <v>0</v>
      </c>
    </row>
    <row r="963" spans="1:11" ht="15.75" customHeight="1">
      <c r="B963" s="16">
        <v>55</v>
      </c>
      <c r="C963" s="9"/>
      <c r="D963" s="272" t="s">
        <v>3674</v>
      </c>
      <c r="E963" s="273">
        <v>44</v>
      </c>
      <c r="F963" s="273">
        <v>0</v>
      </c>
      <c r="G963" s="273">
        <v>56</v>
      </c>
      <c r="H963" s="273">
        <v>0</v>
      </c>
      <c r="I963" s="273">
        <v>8</v>
      </c>
      <c r="J963" s="273">
        <v>12</v>
      </c>
      <c r="K963" s="273">
        <v>120</v>
      </c>
    </row>
    <row r="964" spans="1:11">
      <c r="C964" s="9"/>
      <c r="D964" s="271"/>
      <c r="E964" s="263"/>
      <c r="F964" s="263"/>
      <c r="G964" s="263"/>
      <c r="H964" s="263"/>
      <c r="I964" s="263"/>
      <c r="J964" s="263"/>
      <c r="K964" s="267">
        <v>0</v>
      </c>
    </row>
    <row r="965" spans="1:11">
      <c r="A965" s="9" t="s">
        <v>11321</v>
      </c>
      <c r="B965" s="16">
        <v>56</v>
      </c>
      <c r="C965" s="9"/>
      <c r="D965" s="271" t="s">
        <v>9356</v>
      </c>
      <c r="E965" s="263">
        <v>0</v>
      </c>
      <c r="F965" s="263">
        <v>0</v>
      </c>
      <c r="G965" s="263">
        <v>8</v>
      </c>
      <c r="H965" s="263">
        <v>0</v>
      </c>
      <c r="I965" s="263">
        <v>0</v>
      </c>
      <c r="J965" s="263">
        <v>0</v>
      </c>
      <c r="K965" s="267">
        <v>8</v>
      </c>
    </row>
    <row r="966" spans="1:11">
      <c r="A966" s="9" t="s">
        <v>11322</v>
      </c>
      <c r="B966" s="16">
        <v>56</v>
      </c>
      <c r="C966" s="9"/>
      <c r="D966" s="271" t="s">
        <v>9357</v>
      </c>
      <c r="E966" s="263">
        <v>0</v>
      </c>
      <c r="F966" s="263">
        <v>0</v>
      </c>
      <c r="G966" s="263">
        <v>0</v>
      </c>
      <c r="H966" s="263">
        <v>16</v>
      </c>
      <c r="I966" s="263">
        <v>0</v>
      </c>
      <c r="J966" s="263">
        <v>0</v>
      </c>
      <c r="K966" s="267">
        <v>16</v>
      </c>
    </row>
    <row r="967" spans="1:11">
      <c r="A967" s="9" t="s">
        <v>11323</v>
      </c>
      <c r="B967" s="16">
        <v>56</v>
      </c>
      <c r="C967" s="9"/>
      <c r="D967" s="271" t="s">
        <v>9358</v>
      </c>
      <c r="E967" s="263">
        <v>0</v>
      </c>
      <c r="F967" s="263">
        <v>0</v>
      </c>
      <c r="G967" s="263">
        <v>0</v>
      </c>
      <c r="H967" s="263">
        <v>0</v>
      </c>
      <c r="I967" s="263">
        <v>0</v>
      </c>
      <c r="J967" s="263">
        <v>8</v>
      </c>
      <c r="K967" s="267">
        <v>8</v>
      </c>
    </row>
    <row r="968" spans="1:11">
      <c r="A968" s="9" t="s">
        <v>11324</v>
      </c>
      <c r="B968" s="16">
        <v>56</v>
      </c>
      <c r="C968" s="9"/>
      <c r="D968" s="271" t="s">
        <v>9359</v>
      </c>
      <c r="E968" s="263">
        <v>0</v>
      </c>
      <c r="F968" s="263">
        <v>0</v>
      </c>
      <c r="G968" s="263">
        <v>0</v>
      </c>
      <c r="H968" s="263">
        <v>0</v>
      </c>
      <c r="I968" s="263">
        <v>0</v>
      </c>
      <c r="J968" s="263">
        <v>8</v>
      </c>
      <c r="K968" s="267">
        <v>8</v>
      </c>
    </row>
    <row r="969" spans="1:11">
      <c r="A969" s="9" t="s">
        <v>11325</v>
      </c>
      <c r="B969" s="16">
        <v>56</v>
      </c>
      <c r="C969" s="9"/>
      <c r="D969" s="271" t="s">
        <v>9360</v>
      </c>
      <c r="E969" s="263">
        <v>0</v>
      </c>
      <c r="F969" s="263">
        <v>0</v>
      </c>
      <c r="G969" s="263">
        <v>0</v>
      </c>
      <c r="H969" s="263">
        <v>0</v>
      </c>
      <c r="I969" s="263">
        <v>0</v>
      </c>
      <c r="J969" s="263">
        <v>8</v>
      </c>
      <c r="K969" s="267">
        <v>8</v>
      </c>
    </row>
    <row r="970" spans="1:11">
      <c r="A970" s="9" t="s">
        <v>11326</v>
      </c>
      <c r="B970" s="16">
        <v>56</v>
      </c>
      <c r="C970" s="9"/>
      <c r="D970" s="271" t="s">
        <v>9361</v>
      </c>
      <c r="E970" s="263">
        <v>0</v>
      </c>
      <c r="F970" s="263">
        <v>0</v>
      </c>
      <c r="G970" s="263">
        <v>0</v>
      </c>
      <c r="H970" s="263">
        <v>0</v>
      </c>
      <c r="I970" s="263">
        <v>0</v>
      </c>
      <c r="J970" s="263">
        <v>8</v>
      </c>
      <c r="K970" s="267">
        <v>8</v>
      </c>
    </row>
    <row r="971" spans="1:11">
      <c r="A971" s="9" t="s">
        <v>11327</v>
      </c>
      <c r="B971" s="16">
        <v>56</v>
      </c>
      <c r="C971" s="9"/>
      <c r="D971" s="271" t="s">
        <v>9366</v>
      </c>
      <c r="E971" s="263">
        <v>0</v>
      </c>
      <c r="F971" s="263">
        <v>0</v>
      </c>
      <c r="G971" s="263">
        <v>0</v>
      </c>
      <c r="H971" s="263">
        <v>8</v>
      </c>
      <c r="I971" s="263">
        <v>0</v>
      </c>
      <c r="J971" s="263">
        <v>0</v>
      </c>
      <c r="K971" s="267">
        <v>8</v>
      </c>
    </row>
    <row r="972" spans="1:11">
      <c r="A972" s="9" t="s">
        <v>11328</v>
      </c>
      <c r="B972" s="16">
        <v>56</v>
      </c>
      <c r="C972" s="9"/>
      <c r="D972" s="271" t="s">
        <v>9362</v>
      </c>
      <c r="E972" s="263">
        <v>8</v>
      </c>
      <c r="F972" s="263">
        <v>0</v>
      </c>
      <c r="G972" s="263">
        <v>0</v>
      </c>
      <c r="H972" s="263">
        <v>0</v>
      </c>
      <c r="I972" s="263">
        <v>0</v>
      </c>
      <c r="J972" s="263">
        <v>0</v>
      </c>
      <c r="K972" s="267">
        <v>8</v>
      </c>
    </row>
    <row r="973" spans="1:11">
      <c r="A973" s="9" t="s">
        <v>11329</v>
      </c>
      <c r="B973" s="16">
        <v>56</v>
      </c>
      <c r="C973" s="9"/>
      <c r="D973" s="271" t="s">
        <v>9363</v>
      </c>
      <c r="E973" s="263">
        <v>0</v>
      </c>
      <c r="F973" s="263">
        <v>8</v>
      </c>
      <c r="G973" s="263">
        <v>0</v>
      </c>
      <c r="H973" s="263">
        <v>0</v>
      </c>
      <c r="I973" s="263">
        <v>0</v>
      </c>
      <c r="J973" s="263">
        <v>0</v>
      </c>
      <c r="K973" s="267">
        <v>8</v>
      </c>
    </row>
    <row r="974" spans="1:11">
      <c r="A974" s="9" t="s">
        <v>11330</v>
      </c>
      <c r="B974" s="16">
        <v>56</v>
      </c>
      <c r="C974" s="9"/>
      <c r="D974" s="271" t="s">
        <v>9364</v>
      </c>
      <c r="E974" s="263">
        <v>0</v>
      </c>
      <c r="F974" s="263">
        <v>8</v>
      </c>
      <c r="G974" s="263">
        <v>0</v>
      </c>
      <c r="H974" s="263">
        <v>0</v>
      </c>
      <c r="I974" s="263">
        <v>0</v>
      </c>
      <c r="J974" s="263">
        <v>0</v>
      </c>
      <c r="K974" s="267">
        <v>8</v>
      </c>
    </row>
    <row r="975" spans="1:11">
      <c r="A975" s="9" t="s">
        <v>11331</v>
      </c>
      <c r="B975" s="16">
        <v>56</v>
      </c>
      <c r="C975" s="9"/>
      <c r="D975" s="271" t="s">
        <v>9365</v>
      </c>
      <c r="E975" s="263">
        <v>0</v>
      </c>
      <c r="F975" s="263">
        <v>8</v>
      </c>
      <c r="G975" s="263">
        <v>0</v>
      </c>
      <c r="H975" s="263">
        <v>0</v>
      </c>
      <c r="I975" s="263">
        <v>0</v>
      </c>
      <c r="J975" s="263">
        <v>0</v>
      </c>
      <c r="K975" s="267">
        <v>8</v>
      </c>
    </row>
    <row r="976" spans="1:11">
      <c r="B976" s="16">
        <v>56</v>
      </c>
      <c r="C976" s="9"/>
      <c r="D976" s="271"/>
      <c r="E976" s="263"/>
      <c r="F976" s="263"/>
      <c r="G976" s="263"/>
      <c r="H976" s="263"/>
      <c r="I976" s="263"/>
      <c r="J976" s="263"/>
      <c r="K976" s="267">
        <v>0</v>
      </c>
    </row>
    <row r="977" spans="1:11" ht="15.75" customHeight="1">
      <c r="B977" s="16">
        <v>56</v>
      </c>
      <c r="C977" s="9"/>
      <c r="D977" s="272" t="s">
        <v>3674</v>
      </c>
      <c r="E977" s="273">
        <v>8</v>
      </c>
      <c r="F977" s="273">
        <v>24</v>
      </c>
      <c r="G977" s="273">
        <v>8</v>
      </c>
      <c r="H977" s="273">
        <v>24</v>
      </c>
      <c r="I977" s="273">
        <v>0</v>
      </c>
      <c r="J977" s="273">
        <v>32</v>
      </c>
      <c r="K977" s="273">
        <v>96</v>
      </c>
    </row>
    <row r="978" spans="1:11">
      <c r="C978" s="9"/>
      <c r="D978" s="271"/>
      <c r="E978" s="263"/>
      <c r="F978" s="263"/>
      <c r="G978" s="263"/>
      <c r="H978" s="263"/>
      <c r="I978" s="263"/>
      <c r="J978" s="263"/>
      <c r="K978" s="267">
        <v>0</v>
      </c>
    </row>
    <row r="979" spans="1:11" ht="15.75" customHeight="1">
      <c r="B979" s="16">
        <v>0</v>
      </c>
      <c r="C979" s="9"/>
      <c r="D979" s="269" t="s">
        <v>13084</v>
      </c>
      <c r="E979" s="270">
        <v>156</v>
      </c>
      <c r="F979" s="270">
        <v>93.6</v>
      </c>
      <c r="G979" s="270">
        <v>86.4</v>
      </c>
      <c r="H979" s="270">
        <v>44</v>
      </c>
      <c r="I979" s="270">
        <v>8</v>
      </c>
      <c r="J979" s="270">
        <v>92</v>
      </c>
      <c r="K979" s="270">
        <v>480</v>
      </c>
    </row>
    <row r="980" spans="1:11">
      <c r="C980" s="9"/>
      <c r="D980" s="271"/>
      <c r="E980" s="263"/>
      <c r="F980" s="263"/>
      <c r="G980" s="263"/>
      <c r="H980" s="263"/>
      <c r="I980" s="263"/>
      <c r="J980" s="263"/>
      <c r="K980" s="267">
        <v>0</v>
      </c>
    </row>
    <row r="981" spans="1:11">
      <c r="C981" s="9"/>
      <c r="D981" s="271"/>
      <c r="E981" s="263"/>
      <c r="F981" s="263"/>
      <c r="G981" s="263"/>
      <c r="H981" s="263"/>
      <c r="I981" s="263"/>
      <c r="J981" s="263"/>
      <c r="K981" s="267">
        <v>0</v>
      </c>
    </row>
    <row r="982" spans="1:11">
      <c r="C982" s="9"/>
      <c r="D982" s="271" t="s">
        <v>4276</v>
      </c>
      <c r="E982" s="263"/>
      <c r="F982" s="263"/>
      <c r="G982" s="263"/>
      <c r="H982" s="263"/>
      <c r="I982" s="263"/>
      <c r="J982" s="263"/>
      <c r="K982" s="267">
        <v>0</v>
      </c>
    </row>
    <row r="983" spans="1:11">
      <c r="C983" s="9"/>
      <c r="D983" s="271"/>
      <c r="E983" s="263"/>
      <c r="F983" s="263"/>
      <c r="G983" s="263"/>
      <c r="H983" s="263"/>
      <c r="I983" s="263"/>
      <c r="J983" s="263"/>
      <c r="K983" s="267">
        <v>0</v>
      </c>
    </row>
    <row r="984" spans="1:11" ht="31.5">
      <c r="A984" s="9" t="s">
        <v>11332</v>
      </c>
      <c r="B984" s="16">
        <v>57</v>
      </c>
      <c r="C984" s="9"/>
      <c r="D984" s="271" t="s">
        <v>9915</v>
      </c>
      <c r="E984" s="263">
        <v>0</v>
      </c>
      <c r="F984" s="263">
        <v>0</v>
      </c>
      <c r="G984" s="263">
        <v>0</v>
      </c>
      <c r="H984" s="263">
        <v>0</v>
      </c>
      <c r="I984" s="263">
        <v>0</v>
      </c>
      <c r="J984" s="263">
        <v>4</v>
      </c>
      <c r="K984" s="267">
        <v>4</v>
      </c>
    </row>
    <row r="985" spans="1:11">
      <c r="A985" s="9" t="s">
        <v>11333</v>
      </c>
      <c r="B985" s="16">
        <v>57</v>
      </c>
      <c r="C985" s="9"/>
      <c r="D985" s="271" t="s">
        <v>9916</v>
      </c>
      <c r="E985" s="263">
        <v>0</v>
      </c>
      <c r="F985" s="263">
        <v>0</v>
      </c>
      <c r="G985" s="263">
        <v>0</v>
      </c>
      <c r="H985" s="263">
        <v>0</v>
      </c>
      <c r="I985" s="263">
        <v>0</v>
      </c>
      <c r="J985" s="263">
        <v>4</v>
      </c>
      <c r="K985" s="267">
        <v>4</v>
      </c>
    </row>
    <row r="986" spans="1:11">
      <c r="A986" s="9" t="s">
        <v>11334</v>
      </c>
      <c r="B986" s="16">
        <v>57</v>
      </c>
      <c r="C986" s="9"/>
      <c r="D986" s="271" t="s">
        <v>9917</v>
      </c>
      <c r="E986" s="263">
        <v>0</v>
      </c>
      <c r="F986" s="263">
        <v>0</v>
      </c>
      <c r="G986" s="263">
        <v>0</v>
      </c>
      <c r="H986" s="263">
        <v>4</v>
      </c>
      <c r="I986" s="263">
        <v>0</v>
      </c>
      <c r="J986" s="263">
        <v>0</v>
      </c>
      <c r="K986" s="267">
        <v>4</v>
      </c>
    </row>
    <row r="987" spans="1:11">
      <c r="A987" s="9" t="s">
        <v>11335</v>
      </c>
      <c r="B987" s="16">
        <v>57</v>
      </c>
      <c r="C987" s="9"/>
      <c r="D987" s="271" t="s">
        <v>9918</v>
      </c>
      <c r="E987" s="263">
        <v>0</v>
      </c>
      <c r="F987" s="263">
        <v>4</v>
      </c>
      <c r="G987" s="263">
        <v>0</v>
      </c>
      <c r="H987" s="263">
        <v>0</v>
      </c>
      <c r="I987" s="263">
        <v>0</v>
      </c>
      <c r="J987" s="263">
        <v>0</v>
      </c>
      <c r="K987" s="267">
        <v>4</v>
      </c>
    </row>
    <row r="988" spans="1:11">
      <c r="A988" s="9" t="s">
        <v>11336</v>
      </c>
      <c r="B988" s="16">
        <v>57</v>
      </c>
      <c r="C988" s="9"/>
      <c r="D988" s="271" t="s">
        <v>9919</v>
      </c>
      <c r="E988" s="263">
        <v>0</v>
      </c>
      <c r="F988" s="263">
        <v>4</v>
      </c>
      <c r="G988" s="263">
        <v>0</v>
      </c>
      <c r="H988" s="263">
        <v>0</v>
      </c>
      <c r="I988" s="263">
        <v>0</v>
      </c>
      <c r="J988" s="263">
        <v>0</v>
      </c>
      <c r="K988" s="267">
        <v>4</v>
      </c>
    </row>
    <row r="989" spans="1:11">
      <c r="A989" s="9" t="s">
        <v>11337</v>
      </c>
      <c r="B989" s="16">
        <v>57</v>
      </c>
      <c r="C989" s="9"/>
      <c r="D989" s="271" t="s">
        <v>9920</v>
      </c>
      <c r="E989" s="263">
        <v>0</v>
      </c>
      <c r="F989" s="263">
        <v>4</v>
      </c>
      <c r="G989" s="263">
        <v>0</v>
      </c>
      <c r="H989" s="263">
        <v>0</v>
      </c>
      <c r="I989" s="263">
        <v>0</v>
      </c>
      <c r="J989" s="263">
        <v>0</v>
      </c>
      <c r="K989" s="267">
        <v>4</v>
      </c>
    </row>
    <row r="990" spans="1:11">
      <c r="B990" s="16">
        <v>57</v>
      </c>
      <c r="C990" s="9"/>
      <c r="D990" s="271"/>
      <c r="E990" s="263"/>
      <c r="F990" s="263"/>
      <c r="G990" s="263"/>
      <c r="H990" s="263"/>
      <c r="I990" s="263"/>
      <c r="J990" s="263"/>
      <c r="K990" s="267">
        <v>0</v>
      </c>
    </row>
    <row r="991" spans="1:11" ht="15.75" customHeight="1">
      <c r="B991" s="16">
        <v>57</v>
      </c>
      <c r="C991" s="9"/>
      <c r="D991" s="272" t="s">
        <v>3674</v>
      </c>
      <c r="E991" s="273">
        <v>0</v>
      </c>
      <c r="F991" s="273">
        <v>12</v>
      </c>
      <c r="G991" s="273">
        <v>0</v>
      </c>
      <c r="H991" s="273">
        <v>4</v>
      </c>
      <c r="I991" s="273">
        <v>0</v>
      </c>
      <c r="J991" s="273">
        <v>8</v>
      </c>
      <c r="K991" s="273">
        <v>24</v>
      </c>
    </row>
    <row r="992" spans="1:11">
      <c r="C992" s="9"/>
      <c r="D992" s="271"/>
      <c r="E992" s="263"/>
      <c r="F992" s="263"/>
      <c r="G992" s="263"/>
      <c r="H992" s="263"/>
      <c r="I992" s="263"/>
      <c r="J992" s="263"/>
      <c r="K992" s="267">
        <v>0</v>
      </c>
    </row>
    <row r="993" spans="1:11">
      <c r="A993" s="9" t="s">
        <v>11338</v>
      </c>
      <c r="B993" s="16">
        <v>66</v>
      </c>
      <c r="C993" s="9"/>
      <c r="D993" s="271" t="s">
        <v>9921</v>
      </c>
      <c r="E993" s="263">
        <v>0</v>
      </c>
      <c r="F993" s="263">
        <v>3.2</v>
      </c>
      <c r="G993" s="263">
        <v>0</v>
      </c>
      <c r="H993" s="263">
        <v>0</v>
      </c>
      <c r="I993" s="263">
        <v>0</v>
      </c>
      <c r="J993" s="263">
        <v>0</v>
      </c>
      <c r="K993" s="267">
        <v>3.2</v>
      </c>
    </row>
    <row r="994" spans="1:11">
      <c r="A994" s="9" t="s">
        <v>11339</v>
      </c>
      <c r="B994" s="16">
        <v>66</v>
      </c>
      <c r="C994" s="9"/>
      <c r="D994" s="271" t="s">
        <v>9922</v>
      </c>
      <c r="E994" s="263">
        <v>0</v>
      </c>
      <c r="F994" s="263">
        <v>2.4000000000000004</v>
      </c>
      <c r="G994" s="263">
        <v>0</v>
      </c>
      <c r="H994" s="263">
        <v>0</v>
      </c>
      <c r="I994" s="263">
        <v>0</v>
      </c>
      <c r="J994" s="263">
        <v>0</v>
      </c>
      <c r="K994" s="267">
        <v>2.4000000000000004</v>
      </c>
    </row>
    <row r="995" spans="1:11">
      <c r="A995" s="9" t="s">
        <v>11340</v>
      </c>
      <c r="B995" s="16">
        <v>66</v>
      </c>
      <c r="C995" s="9"/>
      <c r="D995" s="271" t="s">
        <v>9923</v>
      </c>
      <c r="E995" s="263">
        <v>0</v>
      </c>
      <c r="F995" s="263">
        <v>2.4000000000000004</v>
      </c>
      <c r="G995" s="263">
        <v>0</v>
      </c>
      <c r="H995" s="263">
        <v>0</v>
      </c>
      <c r="I995" s="263">
        <v>0</v>
      </c>
      <c r="J995" s="263">
        <v>0</v>
      </c>
      <c r="K995" s="267">
        <v>2.4000000000000004</v>
      </c>
    </row>
    <row r="996" spans="1:11">
      <c r="B996" s="16">
        <v>66</v>
      </c>
      <c r="C996" s="9"/>
      <c r="D996" s="271"/>
      <c r="E996" s="263"/>
      <c r="F996" s="263"/>
      <c r="G996" s="263"/>
      <c r="H996" s="263"/>
      <c r="I996" s="263"/>
      <c r="J996" s="263"/>
      <c r="K996" s="267">
        <v>0</v>
      </c>
    </row>
    <row r="997" spans="1:11" ht="15.75" customHeight="1">
      <c r="B997" s="16">
        <v>66</v>
      </c>
      <c r="C997" s="9"/>
      <c r="D997" s="272" t="s">
        <v>3674</v>
      </c>
      <c r="E997" s="273">
        <v>0</v>
      </c>
      <c r="F997" s="273">
        <v>8</v>
      </c>
      <c r="G997" s="273">
        <v>0</v>
      </c>
      <c r="H997" s="273">
        <v>0</v>
      </c>
      <c r="I997" s="273">
        <v>0</v>
      </c>
      <c r="J997" s="273">
        <v>0</v>
      </c>
      <c r="K997" s="273">
        <v>8</v>
      </c>
    </row>
    <row r="998" spans="1:11">
      <c r="C998" s="9"/>
      <c r="D998" s="271"/>
      <c r="E998" s="263"/>
      <c r="F998" s="263"/>
      <c r="G998" s="263"/>
      <c r="H998" s="263"/>
      <c r="I998" s="263"/>
      <c r="J998" s="263"/>
      <c r="K998" s="267">
        <v>0</v>
      </c>
    </row>
    <row r="999" spans="1:11">
      <c r="A999" s="9" t="s">
        <v>11341</v>
      </c>
      <c r="B999" s="16">
        <v>67</v>
      </c>
      <c r="C999" s="9"/>
      <c r="D999" s="271" t="s">
        <v>9924</v>
      </c>
      <c r="E999" s="263">
        <v>4</v>
      </c>
      <c r="F999" s="263">
        <v>0</v>
      </c>
      <c r="G999" s="263">
        <v>0</v>
      </c>
      <c r="H999" s="263">
        <v>0</v>
      </c>
      <c r="I999" s="263">
        <v>0</v>
      </c>
      <c r="J999" s="263">
        <v>0</v>
      </c>
      <c r="K999" s="267">
        <v>4</v>
      </c>
    </row>
    <row r="1000" spans="1:11">
      <c r="A1000" s="9" t="s">
        <v>11342</v>
      </c>
      <c r="B1000" s="16">
        <v>67</v>
      </c>
      <c r="C1000" s="9"/>
      <c r="D1000" s="271" t="s">
        <v>9925</v>
      </c>
      <c r="E1000" s="263">
        <v>4</v>
      </c>
      <c r="F1000" s="263">
        <v>0</v>
      </c>
      <c r="G1000" s="263">
        <v>0</v>
      </c>
      <c r="H1000" s="263">
        <v>0</v>
      </c>
      <c r="I1000" s="263">
        <v>0</v>
      </c>
      <c r="J1000" s="263">
        <v>0</v>
      </c>
      <c r="K1000" s="267">
        <v>4</v>
      </c>
    </row>
    <row r="1001" spans="1:11">
      <c r="A1001" s="9" t="s">
        <v>11343</v>
      </c>
      <c r="B1001" s="16">
        <v>67</v>
      </c>
      <c r="C1001" s="9"/>
      <c r="D1001" s="271" t="s">
        <v>9926</v>
      </c>
      <c r="E1001" s="263">
        <v>0</v>
      </c>
      <c r="F1001" s="263">
        <v>0</v>
      </c>
      <c r="G1001" s="263">
        <v>0</v>
      </c>
      <c r="H1001" s="263">
        <v>4</v>
      </c>
      <c r="I1001" s="263">
        <v>0</v>
      </c>
      <c r="J1001" s="263">
        <v>0</v>
      </c>
      <c r="K1001" s="267">
        <v>4</v>
      </c>
    </row>
    <row r="1002" spans="1:11" ht="31.5">
      <c r="A1002" s="9" t="s">
        <v>11344</v>
      </c>
      <c r="B1002" s="16">
        <v>67</v>
      </c>
      <c r="C1002" s="9"/>
      <c r="D1002" s="271" t="s">
        <v>9927</v>
      </c>
      <c r="E1002" s="263">
        <v>0</v>
      </c>
      <c r="F1002" s="263">
        <v>0</v>
      </c>
      <c r="G1002" s="263">
        <v>0</v>
      </c>
      <c r="H1002" s="263">
        <v>4</v>
      </c>
      <c r="I1002" s="263">
        <v>0</v>
      </c>
      <c r="J1002" s="263">
        <v>0</v>
      </c>
      <c r="K1002" s="267">
        <v>4</v>
      </c>
    </row>
    <row r="1003" spans="1:11" ht="31.5">
      <c r="A1003" s="9" t="s">
        <v>11345</v>
      </c>
      <c r="B1003" s="16">
        <v>67</v>
      </c>
      <c r="C1003" s="9"/>
      <c r="D1003" s="271" t="s">
        <v>9928</v>
      </c>
      <c r="E1003" s="263">
        <v>0</v>
      </c>
      <c r="F1003" s="263">
        <v>0</v>
      </c>
      <c r="G1003" s="263">
        <v>0</v>
      </c>
      <c r="H1003" s="263">
        <v>0</v>
      </c>
      <c r="I1003" s="263">
        <v>0</v>
      </c>
      <c r="J1003" s="263">
        <v>4</v>
      </c>
      <c r="K1003" s="267">
        <v>4</v>
      </c>
    </row>
    <row r="1004" spans="1:11">
      <c r="A1004" s="9" t="s">
        <v>11346</v>
      </c>
      <c r="B1004" s="16">
        <v>67</v>
      </c>
      <c r="C1004" s="9"/>
      <c r="D1004" s="271" t="s">
        <v>9929</v>
      </c>
      <c r="E1004" s="263">
        <v>0</v>
      </c>
      <c r="F1004" s="263">
        <v>0</v>
      </c>
      <c r="G1004" s="263">
        <v>0</v>
      </c>
      <c r="H1004" s="263">
        <v>0</v>
      </c>
      <c r="I1004" s="263">
        <v>0</v>
      </c>
      <c r="J1004" s="263">
        <v>4</v>
      </c>
      <c r="K1004" s="267">
        <v>4</v>
      </c>
    </row>
    <row r="1005" spans="1:11">
      <c r="A1005" s="9" t="s">
        <v>11347</v>
      </c>
      <c r="B1005" s="16">
        <v>67</v>
      </c>
      <c r="C1005" s="9"/>
      <c r="D1005" s="271" t="s">
        <v>9930</v>
      </c>
      <c r="E1005" s="263">
        <v>0</v>
      </c>
      <c r="F1005" s="263">
        <v>0</v>
      </c>
      <c r="G1005" s="263">
        <v>0</v>
      </c>
      <c r="H1005" s="263">
        <v>0</v>
      </c>
      <c r="I1005" s="263">
        <v>0</v>
      </c>
      <c r="J1005" s="263">
        <v>4</v>
      </c>
      <c r="K1005" s="267">
        <v>4</v>
      </c>
    </row>
    <row r="1006" spans="1:11">
      <c r="A1006" s="9" t="s">
        <v>11348</v>
      </c>
      <c r="B1006" s="16">
        <v>67</v>
      </c>
      <c r="C1006" s="9"/>
      <c r="D1006" s="271" t="s">
        <v>9931</v>
      </c>
      <c r="E1006" s="263">
        <v>0</v>
      </c>
      <c r="F1006" s="263">
        <v>4</v>
      </c>
      <c r="G1006" s="263">
        <v>0</v>
      </c>
      <c r="H1006" s="263">
        <v>0</v>
      </c>
      <c r="I1006" s="263">
        <v>0</v>
      </c>
      <c r="J1006" s="263">
        <v>0</v>
      </c>
      <c r="K1006" s="267">
        <v>4</v>
      </c>
    </row>
    <row r="1007" spans="1:11">
      <c r="A1007" s="9" t="s">
        <v>11349</v>
      </c>
      <c r="B1007" s="16">
        <v>67</v>
      </c>
      <c r="C1007" s="9"/>
      <c r="D1007" s="271" t="s">
        <v>9932</v>
      </c>
      <c r="E1007" s="263">
        <v>0</v>
      </c>
      <c r="F1007" s="263">
        <v>4</v>
      </c>
      <c r="G1007" s="263">
        <v>0</v>
      </c>
      <c r="H1007" s="263">
        <v>0</v>
      </c>
      <c r="I1007" s="263">
        <v>0</v>
      </c>
      <c r="J1007" s="263">
        <v>0</v>
      </c>
      <c r="K1007" s="267">
        <v>4</v>
      </c>
    </row>
    <row r="1008" spans="1:11">
      <c r="B1008" s="16">
        <v>67</v>
      </c>
      <c r="C1008" s="9"/>
      <c r="D1008" s="271"/>
      <c r="E1008" s="263"/>
      <c r="F1008" s="263"/>
      <c r="G1008" s="263"/>
      <c r="H1008" s="263"/>
      <c r="I1008" s="263"/>
      <c r="J1008" s="263"/>
      <c r="K1008" s="267">
        <v>0</v>
      </c>
    </row>
    <row r="1009" spans="1:11" ht="15.75" customHeight="1">
      <c r="B1009" s="16">
        <v>67</v>
      </c>
      <c r="C1009" s="9"/>
      <c r="D1009" s="272" t="s">
        <v>3674</v>
      </c>
      <c r="E1009" s="273">
        <v>8</v>
      </c>
      <c r="F1009" s="273">
        <v>8</v>
      </c>
      <c r="G1009" s="273">
        <v>0</v>
      </c>
      <c r="H1009" s="273">
        <v>8</v>
      </c>
      <c r="I1009" s="273">
        <v>0</v>
      </c>
      <c r="J1009" s="273">
        <v>12</v>
      </c>
      <c r="K1009" s="273">
        <v>36</v>
      </c>
    </row>
    <row r="1010" spans="1:11">
      <c r="C1010" s="9"/>
      <c r="D1010" s="271"/>
      <c r="E1010" s="263"/>
      <c r="F1010" s="263"/>
      <c r="G1010" s="263"/>
      <c r="H1010" s="263"/>
      <c r="I1010" s="263"/>
      <c r="J1010" s="263"/>
      <c r="K1010" s="267">
        <v>0</v>
      </c>
    </row>
    <row r="1011" spans="1:11">
      <c r="A1011" s="9" t="s">
        <v>11350</v>
      </c>
      <c r="B1011" s="16">
        <v>68</v>
      </c>
      <c r="C1011" s="9"/>
      <c r="D1011" s="271" t="s">
        <v>9933</v>
      </c>
      <c r="E1011" s="263">
        <v>4</v>
      </c>
      <c r="F1011" s="263">
        <v>0</v>
      </c>
      <c r="G1011" s="263">
        <v>0</v>
      </c>
      <c r="H1011" s="263">
        <v>0</v>
      </c>
      <c r="I1011" s="263">
        <v>0</v>
      </c>
      <c r="J1011" s="263">
        <v>0</v>
      </c>
      <c r="K1011" s="267">
        <v>4</v>
      </c>
    </row>
    <row r="1012" spans="1:11">
      <c r="A1012" s="9" t="s">
        <v>11351</v>
      </c>
      <c r="B1012" s="16">
        <v>68</v>
      </c>
      <c r="C1012" s="9"/>
      <c r="D1012" s="271" t="s">
        <v>9934</v>
      </c>
      <c r="E1012" s="263">
        <v>4</v>
      </c>
      <c r="F1012" s="263">
        <v>0</v>
      </c>
      <c r="G1012" s="263">
        <v>0</v>
      </c>
      <c r="H1012" s="263">
        <v>0</v>
      </c>
      <c r="I1012" s="263">
        <v>0</v>
      </c>
      <c r="J1012" s="263">
        <v>0</v>
      </c>
      <c r="K1012" s="267">
        <v>4</v>
      </c>
    </row>
    <row r="1013" spans="1:11">
      <c r="A1013" s="9" t="s">
        <v>11352</v>
      </c>
      <c r="B1013" s="16">
        <v>68</v>
      </c>
      <c r="C1013" s="9"/>
      <c r="D1013" s="271" t="s">
        <v>9935</v>
      </c>
      <c r="E1013" s="263">
        <v>0</v>
      </c>
      <c r="F1013" s="263">
        <v>0</v>
      </c>
      <c r="G1013" s="263">
        <v>0</v>
      </c>
      <c r="H1013" s="263">
        <v>4</v>
      </c>
      <c r="I1013" s="263">
        <v>0</v>
      </c>
      <c r="J1013" s="263">
        <v>0</v>
      </c>
      <c r="K1013" s="267">
        <v>4</v>
      </c>
    </row>
    <row r="1014" spans="1:11">
      <c r="A1014" s="9" t="s">
        <v>11353</v>
      </c>
      <c r="B1014" s="16">
        <v>68</v>
      </c>
      <c r="C1014" s="9"/>
      <c r="D1014" s="271" t="s">
        <v>9936</v>
      </c>
      <c r="E1014" s="263">
        <v>0</v>
      </c>
      <c r="F1014" s="263">
        <v>0</v>
      </c>
      <c r="G1014" s="263">
        <v>0</v>
      </c>
      <c r="H1014" s="263">
        <v>4</v>
      </c>
      <c r="I1014" s="263">
        <v>0</v>
      </c>
      <c r="J1014" s="263">
        <v>0</v>
      </c>
      <c r="K1014" s="267">
        <v>4</v>
      </c>
    </row>
    <row r="1015" spans="1:11">
      <c r="A1015" s="9" t="s">
        <v>11354</v>
      </c>
      <c r="B1015" s="16">
        <v>68</v>
      </c>
      <c r="C1015" s="9"/>
      <c r="D1015" s="271" t="s">
        <v>9937</v>
      </c>
      <c r="E1015" s="263">
        <v>0</v>
      </c>
      <c r="F1015" s="263">
        <v>0</v>
      </c>
      <c r="G1015" s="263">
        <v>0</v>
      </c>
      <c r="H1015" s="263">
        <v>4</v>
      </c>
      <c r="I1015" s="263">
        <v>0</v>
      </c>
      <c r="J1015" s="263">
        <v>0</v>
      </c>
      <c r="K1015" s="267">
        <v>4</v>
      </c>
    </row>
    <row r="1016" spans="1:11">
      <c r="A1016" s="9" t="s">
        <v>11355</v>
      </c>
      <c r="B1016" s="16">
        <v>68</v>
      </c>
      <c r="C1016" s="9"/>
      <c r="D1016" s="271" t="s">
        <v>9938</v>
      </c>
      <c r="E1016" s="263">
        <v>0</v>
      </c>
      <c r="F1016" s="263">
        <v>0</v>
      </c>
      <c r="G1016" s="263">
        <v>4</v>
      </c>
      <c r="H1016" s="263">
        <v>0</v>
      </c>
      <c r="I1016" s="263">
        <v>0</v>
      </c>
      <c r="J1016" s="263">
        <v>0</v>
      </c>
      <c r="K1016" s="267">
        <v>4</v>
      </c>
    </row>
    <row r="1017" spans="1:11">
      <c r="A1017" s="9" t="s">
        <v>11356</v>
      </c>
      <c r="B1017" s="16">
        <v>68</v>
      </c>
      <c r="C1017" s="9"/>
      <c r="D1017" s="271" t="s">
        <v>9939</v>
      </c>
      <c r="E1017" s="263">
        <v>0</v>
      </c>
      <c r="F1017" s="263">
        <v>0</v>
      </c>
      <c r="G1017" s="263">
        <v>4</v>
      </c>
      <c r="H1017" s="263">
        <v>0</v>
      </c>
      <c r="I1017" s="263">
        <v>0</v>
      </c>
      <c r="J1017" s="263">
        <v>0</v>
      </c>
      <c r="K1017" s="267">
        <v>4</v>
      </c>
    </row>
    <row r="1018" spans="1:11">
      <c r="A1018" s="9" t="s">
        <v>11357</v>
      </c>
      <c r="B1018" s="16">
        <v>68</v>
      </c>
      <c r="C1018" s="9"/>
      <c r="D1018" s="271" t="s">
        <v>9940</v>
      </c>
      <c r="E1018" s="263">
        <v>0</v>
      </c>
      <c r="F1018" s="263">
        <v>0</v>
      </c>
      <c r="G1018" s="263">
        <v>0</v>
      </c>
      <c r="H1018" s="263">
        <v>0</v>
      </c>
      <c r="I1018" s="263">
        <v>0</v>
      </c>
      <c r="J1018" s="263">
        <v>4</v>
      </c>
      <c r="K1018" s="267">
        <v>4</v>
      </c>
    </row>
    <row r="1019" spans="1:11">
      <c r="A1019" s="9" t="s">
        <v>11358</v>
      </c>
      <c r="B1019" s="16">
        <v>68</v>
      </c>
      <c r="C1019" s="9"/>
      <c r="D1019" s="271" t="s">
        <v>9941</v>
      </c>
      <c r="E1019" s="263">
        <v>0</v>
      </c>
      <c r="F1019" s="263">
        <v>0</v>
      </c>
      <c r="G1019" s="263">
        <v>0</v>
      </c>
      <c r="H1019" s="263">
        <v>0</v>
      </c>
      <c r="I1019" s="263">
        <v>0</v>
      </c>
      <c r="J1019" s="263">
        <v>4</v>
      </c>
      <c r="K1019" s="267">
        <v>4</v>
      </c>
    </row>
    <row r="1020" spans="1:11">
      <c r="A1020" s="9" t="s">
        <v>11359</v>
      </c>
      <c r="B1020" s="16">
        <v>68</v>
      </c>
      <c r="C1020" s="9"/>
      <c r="D1020" s="271" t="s">
        <v>9942</v>
      </c>
      <c r="E1020" s="263">
        <v>0</v>
      </c>
      <c r="F1020" s="263">
        <v>0</v>
      </c>
      <c r="G1020" s="263">
        <v>0</v>
      </c>
      <c r="H1020" s="263">
        <v>0</v>
      </c>
      <c r="I1020" s="263">
        <v>0</v>
      </c>
      <c r="J1020" s="263">
        <v>4</v>
      </c>
      <c r="K1020" s="267">
        <v>4</v>
      </c>
    </row>
    <row r="1021" spans="1:11">
      <c r="A1021" s="9" t="s">
        <v>11360</v>
      </c>
      <c r="B1021" s="16">
        <v>68</v>
      </c>
      <c r="C1021" s="9"/>
      <c r="D1021" s="271" t="s">
        <v>9943</v>
      </c>
      <c r="E1021" s="263">
        <v>0</v>
      </c>
      <c r="F1021" s="263">
        <v>0</v>
      </c>
      <c r="G1021" s="263">
        <v>0</v>
      </c>
      <c r="H1021" s="263">
        <v>4</v>
      </c>
      <c r="I1021" s="263">
        <v>0</v>
      </c>
      <c r="J1021" s="263">
        <v>0</v>
      </c>
      <c r="K1021" s="267">
        <v>4</v>
      </c>
    </row>
    <row r="1022" spans="1:11">
      <c r="A1022" s="9" t="s">
        <v>11361</v>
      </c>
      <c r="B1022" s="16">
        <v>68</v>
      </c>
      <c r="C1022" s="9"/>
      <c r="D1022" s="271" t="s">
        <v>9944</v>
      </c>
      <c r="E1022" s="263">
        <v>0</v>
      </c>
      <c r="F1022" s="263">
        <v>4</v>
      </c>
      <c r="G1022" s="263">
        <v>0</v>
      </c>
      <c r="H1022" s="263">
        <v>0</v>
      </c>
      <c r="I1022" s="263">
        <v>0</v>
      </c>
      <c r="J1022" s="263">
        <v>0</v>
      </c>
      <c r="K1022" s="267">
        <v>4</v>
      </c>
    </row>
    <row r="1023" spans="1:11">
      <c r="A1023" s="9" t="s">
        <v>11362</v>
      </c>
      <c r="B1023" s="16">
        <v>68</v>
      </c>
      <c r="C1023" s="9"/>
      <c r="D1023" s="271" t="s">
        <v>9945</v>
      </c>
      <c r="E1023" s="263">
        <v>0</v>
      </c>
      <c r="F1023" s="263">
        <v>4</v>
      </c>
      <c r="G1023" s="263">
        <v>0</v>
      </c>
      <c r="H1023" s="263">
        <v>0</v>
      </c>
      <c r="I1023" s="263">
        <v>0</v>
      </c>
      <c r="J1023" s="263">
        <v>0</v>
      </c>
      <c r="K1023" s="267">
        <v>4</v>
      </c>
    </row>
    <row r="1024" spans="1:11">
      <c r="A1024" s="9" t="s">
        <v>11363</v>
      </c>
      <c r="B1024" s="16">
        <v>68</v>
      </c>
      <c r="C1024" s="9"/>
      <c r="D1024" s="271" t="s">
        <v>9946</v>
      </c>
      <c r="E1024" s="263">
        <v>0</v>
      </c>
      <c r="F1024" s="263">
        <v>4</v>
      </c>
      <c r="G1024" s="263">
        <v>0</v>
      </c>
      <c r="H1024" s="263">
        <v>0</v>
      </c>
      <c r="I1024" s="263">
        <v>0</v>
      </c>
      <c r="J1024" s="263">
        <v>0</v>
      </c>
      <c r="K1024" s="267">
        <v>4</v>
      </c>
    </row>
    <row r="1025" spans="1:11">
      <c r="B1025" s="16">
        <v>68</v>
      </c>
      <c r="C1025" s="9"/>
      <c r="D1025" s="271"/>
      <c r="E1025" s="263"/>
      <c r="F1025" s="263"/>
      <c r="G1025" s="263"/>
      <c r="H1025" s="263"/>
      <c r="I1025" s="263"/>
      <c r="J1025" s="263"/>
      <c r="K1025" s="267">
        <v>0</v>
      </c>
    </row>
    <row r="1026" spans="1:11" ht="15.75" customHeight="1">
      <c r="B1026" s="16">
        <v>68</v>
      </c>
      <c r="C1026" s="9"/>
      <c r="D1026" s="272" t="s">
        <v>3674</v>
      </c>
      <c r="E1026" s="273">
        <v>8</v>
      </c>
      <c r="F1026" s="273">
        <v>12</v>
      </c>
      <c r="G1026" s="273">
        <v>8</v>
      </c>
      <c r="H1026" s="273">
        <v>16</v>
      </c>
      <c r="I1026" s="273">
        <v>0</v>
      </c>
      <c r="J1026" s="273">
        <v>12</v>
      </c>
      <c r="K1026" s="273">
        <v>56</v>
      </c>
    </row>
    <row r="1027" spans="1:11">
      <c r="C1027" s="9"/>
      <c r="D1027" s="271"/>
      <c r="E1027" s="263"/>
      <c r="F1027" s="263"/>
      <c r="G1027" s="263"/>
      <c r="H1027" s="263"/>
      <c r="I1027" s="263"/>
      <c r="J1027" s="263"/>
      <c r="K1027" s="267">
        <v>0</v>
      </c>
    </row>
    <row r="1028" spans="1:11" ht="15.75" customHeight="1">
      <c r="B1028" s="16">
        <v>0</v>
      </c>
      <c r="C1028" s="9"/>
      <c r="D1028" s="269" t="s">
        <v>13085</v>
      </c>
      <c r="E1028" s="270">
        <v>16</v>
      </c>
      <c r="F1028" s="270">
        <v>40</v>
      </c>
      <c r="G1028" s="270">
        <v>8</v>
      </c>
      <c r="H1028" s="270">
        <v>28</v>
      </c>
      <c r="I1028" s="270">
        <v>0</v>
      </c>
      <c r="J1028" s="270">
        <v>32</v>
      </c>
      <c r="K1028" s="270">
        <v>124</v>
      </c>
    </row>
    <row r="1029" spans="1:11">
      <c r="C1029" s="9"/>
      <c r="D1029" s="271"/>
      <c r="E1029" s="263"/>
      <c r="F1029" s="263"/>
      <c r="G1029" s="263"/>
      <c r="H1029" s="263"/>
      <c r="I1029" s="263"/>
      <c r="J1029" s="263"/>
      <c r="K1029" s="267">
        <v>0</v>
      </c>
    </row>
    <row r="1030" spans="1:11">
      <c r="C1030" s="9"/>
      <c r="D1030" s="271"/>
      <c r="E1030" s="263"/>
      <c r="F1030" s="263"/>
      <c r="G1030" s="263"/>
      <c r="H1030" s="263"/>
      <c r="I1030" s="263"/>
      <c r="J1030" s="263"/>
      <c r="K1030" s="267">
        <v>0</v>
      </c>
    </row>
    <row r="1031" spans="1:11">
      <c r="C1031" s="9"/>
      <c r="D1031" s="271" t="s">
        <v>4277</v>
      </c>
      <c r="E1031" s="263"/>
      <c r="F1031" s="263"/>
      <c r="G1031" s="263"/>
      <c r="H1031" s="263"/>
      <c r="I1031" s="263"/>
      <c r="J1031" s="263"/>
      <c r="K1031" s="267">
        <v>0</v>
      </c>
    </row>
    <row r="1032" spans="1:11">
      <c r="C1032" s="9"/>
      <c r="D1032" s="271"/>
      <c r="E1032" s="263"/>
      <c r="F1032" s="263"/>
      <c r="G1032" s="263"/>
      <c r="H1032" s="263"/>
      <c r="I1032" s="263"/>
      <c r="J1032" s="263"/>
      <c r="K1032" s="267">
        <v>0</v>
      </c>
    </row>
    <row r="1033" spans="1:11">
      <c r="A1033" s="9" t="s">
        <v>11364</v>
      </c>
      <c r="B1033" s="16">
        <v>42</v>
      </c>
      <c r="C1033" s="9"/>
      <c r="D1033" s="271" t="s">
        <v>7824</v>
      </c>
      <c r="E1033" s="263">
        <v>0</v>
      </c>
      <c r="F1033" s="263">
        <v>0</v>
      </c>
      <c r="G1033" s="263">
        <v>8</v>
      </c>
      <c r="H1033" s="263">
        <v>0</v>
      </c>
      <c r="I1033" s="263">
        <v>0</v>
      </c>
      <c r="J1033" s="263">
        <v>0</v>
      </c>
      <c r="K1033" s="267">
        <v>8</v>
      </c>
    </row>
    <row r="1034" spans="1:11">
      <c r="A1034" s="9" t="s">
        <v>11365</v>
      </c>
      <c r="B1034" s="16">
        <v>42</v>
      </c>
      <c r="C1034" s="9"/>
      <c r="D1034" s="271" t="s">
        <v>7825</v>
      </c>
      <c r="E1034" s="263">
        <v>0</v>
      </c>
      <c r="F1034" s="263">
        <v>0</v>
      </c>
      <c r="G1034" s="263">
        <v>8</v>
      </c>
      <c r="H1034" s="263">
        <v>0</v>
      </c>
      <c r="I1034" s="263">
        <v>0</v>
      </c>
      <c r="J1034" s="263">
        <v>0</v>
      </c>
      <c r="K1034" s="267">
        <v>8</v>
      </c>
    </row>
    <row r="1035" spans="1:11">
      <c r="A1035" s="9" t="s">
        <v>11366</v>
      </c>
      <c r="B1035" s="16">
        <v>42</v>
      </c>
      <c r="C1035" s="9"/>
      <c r="D1035" s="271" t="s">
        <v>7826</v>
      </c>
      <c r="E1035" s="263">
        <v>0</v>
      </c>
      <c r="F1035" s="263">
        <v>0</v>
      </c>
      <c r="G1035" s="263">
        <v>0</v>
      </c>
      <c r="H1035" s="263">
        <v>4</v>
      </c>
      <c r="I1035" s="263">
        <v>0</v>
      </c>
      <c r="J1035" s="263">
        <v>0</v>
      </c>
      <c r="K1035" s="267">
        <v>4</v>
      </c>
    </row>
    <row r="1036" spans="1:11">
      <c r="A1036" s="9" t="s">
        <v>11367</v>
      </c>
      <c r="B1036" s="16">
        <v>42</v>
      </c>
      <c r="C1036" s="9"/>
      <c r="D1036" s="271" t="s">
        <v>7827</v>
      </c>
      <c r="E1036" s="263">
        <v>0</v>
      </c>
      <c r="F1036" s="263">
        <v>0</v>
      </c>
      <c r="G1036" s="263">
        <v>0</v>
      </c>
      <c r="H1036" s="263">
        <v>8</v>
      </c>
      <c r="I1036" s="263">
        <v>0</v>
      </c>
      <c r="J1036" s="263">
        <v>0</v>
      </c>
      <c r="K1036" s="267">
        <v>8</v>
      </c>
    </row>
    <row r="1037" spans="1:11">
      <c r="A1037" s="9" t="s">
        <v>11368</v>
      </c>
      <c r="B1037" s="16">
        <v>42</v>
      </c>
      <c r="C1037" s="9"/>
      <c r="D1037" s="271" t="s">
        <v>7828</v>
      </c>
      <c r="E1037" s="263">
        <v>0</v>
      </c>
      <c r="F1037" s="263">
        <v>0</v>
      </c>
      <c r="G1037" s="263">
        <v>0</v>
      </c>
      <c r="H1037" s="263">
        <v>8</v>
      </c>
      <c r="I1037" s="263">
        <v>0</v>
      </c>
      <c r="J1037" s="263">
        <v>0</v>
      </c>
      <c r="K1037" s="267">
        <v>8</v>
      </c>
    </row>
    <row r="1038" spans="1:11">
      <c r="A1038" s="9" t="s">
        <v>11369</v>
      </c>
      <c r="B1038" s="16">
        <v>42</v>
      </c>
      <c r="C1038" s="9"/>
      <c r="D1038" s="271" t="s">
        <v>7829</v>
      </c>
      <c r="E1038" s="263">
        <v>0</v>
      </c>
      <c r="F1038" s="263">
        <v>0</v>
      </c>
      <c r="G1038" s="263">
        <v>0</v>
      </c>
      <c r="H1038" s="263">
        <v>4</v>
      </c>
      <c r="I1038" s="263">
        <v>0</v>
      </c>
      <c r="J1038" s="263">
        <v>0</v>
      </c>
      <c r="K1038" s="267">
        <v>4</v>
      </c>
    </row>
    <row r="1039" spans="1:11">
      <c r="A1039" s="9" t="s">
        <v>11370</v>
      </c>
      <c r="B1039" s="16">
        <v>42</v>
      </c>
      <c r="C1039" s="9"/>
      <c r="D1039" s="271" t="s">
        <v>7830</v>
      </c>
      <c r="E1039" s="263">
        <v>0</v>
      </c>
      <c r="F1039" s="263">
        <v>8</v>
      </c>
      <c r="G1039" s="263">
        <v>0</v>
      </c>
      <c r="H1039" s="263">
        <v>0</v>
      </c>
      <c r="I1039" s="263">
        <v>0</v>
      </c>
      <c r="J1039" s="263">
        <v>0</v>
      </c>
      <c r="K1039" s="267">
        <v>8</v>
      </c>
    </row>
    <row r="1040" spans="1:11">
      <c r="A1040" s="9" t="s">
        <v>11371</v>
      </c>
      <c r="B1040" s="16">
        <v>42</v>
      </c>
      <c r="C1040" s="9"/>
      <c r="D1040" s="271" t="s">
        <v>7831</v>
      </c>
      <c r="E1040" s="263">
        <v>0</v>
      </c>
      <c r="F1040" s="263">
        <v>4</v>
      </c>
      <c r="G1040" s="263">
        <v>0</v>
      </c>
      <c r="H1040" s="263">
        <v>0</v>
      </c>
      <c r="I1040" s="263">
        <v>0</v>
      </c>
      <c r="J1040" s="263">
        <v>0</v>
      </c>
      <c r="K1040" s="267">
        <v>4</v>
      </c>
    </row>
    <row r="1041" spans="1:11">
      <c r="A1041" s="9" t="s">
        <v>11372</v>
      </c>
      <c r="B1041" s="16">
        <v>42</v>
      </c>
      <c r="C1041" s="9"/>
      <c r="D1041" s="271" t="s">
        <v>7832</v>
      </c>
      <c r="E1041" s="263">
        <v>0</v>
      </c>
      <c r="F1041" s="263">
        <v>8</v>
      </c>
      <c r="G1041" s="263">
        <v>0</v>
      </c>
      <c r="H1041" s="263">
        <v>0</v>
      </c>
      <c r="I1041" s="263">
        <v>0</v>
      </c>
      <c r="J1041" s="263">
        <v>0</v>
      </c>
      <c r="K1041" s="267">
        <v>8</v>
      </c>
    </row>
    <row r="1042" spans="1:11">
      <c r="B1042" s="16">
        <v>42</v>
      </c>
      <c r="C1042" s="9"/>
      <c r="D1042" s="271"/>
      <c r="E1042" s="263"/>
      <c r="F1042" s="263"/>
      <c r="G1042" s="263"/>
      <c r="H1042" s="263"/>
      <c r="I1042" s="263"/>
      <c r="J1042" s="263"/>
      <c r="K1042" s="267">
        <v>0</v>
      </c>
    </row>
    <row r="1043" spans="1:11" ht="15.75" customHeight="1">
      <c r="B1043" s="16">
        <v>42</v>
      </c>
      <c r="C1043" s="9"/>
      <c r="D1043" s="272" t="s">
        <v>3674</v>
      </c>
      <c r="E1043" s="273">
        <v>0</v>
      </c>
      <c r="F1043" s="273">
        <v>20</v>
      </c>
      <c r="G1043" s="273">
        <v>16</v>
      </c>
      <c r="H1043" s="273">
        <v>24</v>
      </c>
      <c r="I1043" s="273">
        <v>0</v>
      </c>
      <c r="J1043" s="273">
        <v>0</v>
      </c>
      <c r="K1043" s="273">
        <v>60</v>
      </c>
    </row>
    <row r="1044" spans="1:11">
      <c r="C1044" s="9"/>
      <c r="D1044" s="271"/>
      <c r="E1044" s="263"/>
      <c r="F1044" s="263"/>
      <c r="G1044" s="263"/>
      <c r="H1044" s="263"/>
      <c r="I1044" s="263"/>
      <c r="J1044" s="263"/>
      <c r="K1044" s="267">
        <v>0</v>
      </c>
    </row>
    <row r="1045" spans="1:11">
      <c r="A1045" s="9" t="s">
        <v>11373</v>
      </c>
      <c r="B1045" s="16">
        <v>43</v>
      </c>
      <c r="C1045" s="9"/>
      <c r="D1045" s="271" t="s">
        <v>7833</v>
      </c>
      <c r="E1045" s="263">
        <v>0</v>
      </c>
      <c r="F1045" s="263">
        <v>8</v>
      </c>
      <c r="G1045" s="263">
        <v>0</v>
      </c>
      <c r="H1045" s="263">
        <v>0</v>
      </c>
      <c r="I1045" s="263">
        <v>0</v>
      </c>
      <c r="J1045" s="263">
        <v>0</v>
      </c>
      <c r="K1045" s="267">
        <v>8</v>
      </c>
    </row>
    <row r="1046" spans="1:11">
      <c r="A1046" s="9" t="s">
        <v>11374</v>
      </c>
      <c r="B1046" s="16">
        <v>43</v>
      </c>
      <c r="C1046" s="9"/>
      <c r="D1046" s="271" t="s">
        <v>7834</v>
      </c>
      <c r="E1046" s="263">
        <v>0</v>
      </c>
      <c r="F1046" s="263">
        <v>8</v>
      </c>
      <c r="G1046" s="263">
        <v>0</v>
      </c>
      <c r="H1046" s="263">
        <v>0</v>
      </c>
      <c r="I1046" s="263">
        <v>0</v>
      </c>
      <c r="J1046" s="263">
        <v>0</v>
      </c>
      <c r="K1046" s="267">
        <v>8</v>
      </c>
    </row>
    <row r="1047" spans="1:11">
      <c r="A1047" s="9" t="s">
        <v>11375</v>
      </c>
      <c r="B1047" s="16">
        <v>43</v>
      </c>
      <c r="C1047" s="9"/>
      <c r="D1047" s="271" t="s">
        <v>7835</v>
      </c>
      <c r="E1047" s="263">
        <v>0</v>
      </c>
      <c r="F1047" s="263">
        <v>4</v>
      </c>
      <c r="G1047" s="263">
        <v>0</v>
      </c>
      <c r="H1047" s="263">
        <v>0</v>
      </c>
      <c r="I1047" s="263">
        <v>0</v>
      </c>
      <c r="J1047" s="263">
        <v>0</v>
      </c>
      <c r="K1047" s="267">
        <v>4</v>
      </c>
    </row>
    <row r="1048" spans="1:11">
      <c r="A1048" s="9" t="s">
        <v>11376</v>
      </c>
      <c r="B1048" s="16">
        <v>43</v>
      </c>
      <c r="C1048" s="9"/>
      <c r="D1048" s="271" t="s">
        <v>7836</v>
      </c>
      <c r="E1048" s="263">
        <v>8</v>
      </c>
      <c r="F1048" s="263">
        <v>0</v>
      </c>
      <c r="G1048" s="263">
        <v>0</v>
      </c>
      <c r="H1048" s="263">
        <v>0</v>
      </c>
      <c r="I1048" s="263">
        <v>0</v>
      </c>
      <c r="J1048" s="263">
        <v>0</v>
      </c>
      <c r="K1048" s="267">
        <v>8</v>
      </c>
    </row>
    <row r="1049" spans="1:11">
      <c r="B1049" s="16">
        <v>43</v>
      </c>
      <c r="C1049" s="9"/>
      <c r="D1049" s="271" t="s">
        <v>7837</v>
      </c>
      <c r="E1049" s="263">
        <v>0</v>
      </c>
      <c r="F1049" s="263">
        <v>0</v>
      </c>
      <c r="G1049" s="263">
        <v>0</v>
      </c>
      <c r="H1049" s="263">
        <v>0</v>
      </c>
      <c r="I1049" s="263">
        <v>0</v>
      </c>
      <c r="J1049" s="263">
        <v>0</v>
      </c>
      <c r="K1049" s="267">
        <v>0</v>
      </c>
    </row>
    <row r="1050" spans="1:11">
      <c r="B1050" s="16">
        <v>43</v>
      </c>
      <c r="C1050" s="9"/>
      <c r="D1050" s="271"/>
      <c r="E1050" s="263"/>
      <c r="F1050" s="263"/>
      <c r="G1050" s="263"/>
      <c r="H1050" s="263"/>
      <c r="I1050" s="263"/>
      <c r="J1050" s="263"/>
      <c r="K1050" s="267">
        <v>0</v>
      </c>
    </row>
    <row r="1051" spans="1:11" ht="15.75" customHeight="1">
      <c r="B1051" s="16">
        <v>43</v>
      </c>
      <c r="C1051" s="9"/>
      <c r="D1051" s="272" t="s">
        <v>3674</v>
      </c>
      <c r="E1051" s="273">
        <v>8</v>
      </c>
      <c r="F1051" s="273">
        <v>20</v>
      </c>
      <c r="G1051" s="273">
        <v>0</v>
      </c>
      <c r="H1051" s="273">
        <v>0</v>
      </c>
      <c r="I1051" s="273">
        <v>0</v>
      </c>
      <c r="J1051" s="273">
        <v>0</v>
      </c>
      <c r="K1051" s="273">
        <v>28</v>
      </c>
    </row>
    <row r="1052" spans="1:11">
      <c r="C1052" s="9"/>
      <c r="D1052" s="271"/>
      <c r="E1052" s="263"/>
      <c r="F1052" s="263"/>
      <c r="G1052" s="263"/>
      <c r="H1052" s="263"/>
      <c r="I1052" s="263"/>
      <c r="J1052" s="263"/>
      <c r="K1052" s="267">
        <v>0</v>
      </c>
    </row>
    <row r="1053" spans="1:11">
      <c r="A1053" s="9" t="s">
        <v>1942</v>
      </c>
      <c r="B1053" s="16">
        <v>44</v>
      </c>
      <c r="C1053" s="9"/>
      <c r="D1053" s="271" t="s">
        <v>7838</v>
      </c>
      <c r="E1053" s="263">
        <v>0</v>
      </c>
      <c r="F1053" s="263">
        <v>0</v>
      </c>
      <c r="G1053" s="263">
        <v>0</v>
      </c>
      <c r="H1053" s="263">
        <v>0</v>
      </c>
      <c r="I1053" s="263">
        <v>0</v>
      </c>
      <c r="J1053" s="263">
        <v>9.6000000000000014</v>
      </c>
      <c r="K1053" s="267">
        <v>9.6000000000000014</v>
      </c>
    </row>
    <row r="1054" spans="1:11">
      <c r="A1054" s="9" t="s">
        <v>1943</v>
      </c>
      <c r="B1054" s="16">
        <v>44</v>
      </c>
      <c r="C1054" s="9"/>
      <c r="D1054" s="271" t="s">
        <v>7839</v>
      </c>
      <c r="E1054" s="263">
        <v>0</v>
      </c>
      <c r="F1054" s="263">
        <v>0</v>
      </c>
      <c r="G1054" s="263">
        <v>0</v>
      </c>
      <c r="H1054" s="263">
        <v>0</v>
      </c>
      <c r="I1054" s="263">
        <v>0</v>
      </c>
      <c r="J1054" s="263">
        <v>9.6000000000000014</v>
      </c>
      <c r="K1054" s="267">
        <v>9.6000000000000014</v>
      </c>
    </row>
    <row r="1055" spans="1:11">
      <c r="A1055" s="9" t="s">
        <v>1944</v>
      </c>
      <c r="B1055" s="16">
        <v>44</v>
      </c>
      <c r="C1055" s="9"/>
      <c r="D1055" s="271" t="s">
        <v>7840</v>
      </c>
      <c r="E1055" s="263">
        <v>0</v>
      </c>
      <c r="F1055" s="263">
        <v>0</v>
      </c>
      <c r="G1055" s="263">
        <v>0</v>
      </c>
      <c r="H1055" s="263">
        <v>0</v>
      </c>
      <c r="I1055" s="263">
        <v>0</v>
      </c>
      <c r="J1055" s="263">
        <v>9.6000000000000014</v>
      </c>
      <c r="K1055" s="267">
        <v>9.6000000000000014</v>
      </c>
    </row>
    <row r="1056" spans="1:11">
      <c r="A1056" s="9" t="s">
        <v>1945</v>
      </c>
      <c r="B1056" s="16">
        <v>44</v>
      </c>
      <c r="C1056" s="9"/>
      <c r="D1056" s="271" t="s">
        <v>7841</v>
      </c>
      <c r="E1056" s="263">
        <v>0</v>
      </c>
      <c r="F1056" s="263">
        <v>0</v>
      </c>
      <c r="G1056" s="263">
        <v>0</v>
      </c>
      <c r="H1056" s="263">
        <v>0</v>
      </c>
      <c r="I1056" s="263">
        <v>0</v>
      </c>
      <c r="J1056" s="263">
        <v>9.6000000000000014</v>
      </c>
      <c r="K1056" s="267">
        <v>9.6000000000000014</v>
      </c>
    </row>
    <row r="1057" spans="1:11">
      <c r="A1057" s="9" t="s">
        <v>1946</v>
      </c>
      <c r="B1057" s="16">
        <v>44</v>
      </c>
      <c r="C1057" s="9"/>
      <c r="D1057" s="271" t="s">
        <v>7842</v>
      </c>
      <c r="E1057" s="263">
        <v>0</v>
      </c>
      <c r="F1057" s="263">
        <v>0</v>
      </c>
      <c r="G1057" s="263">
        <v>0</v>
      </c>
      <c r="H1057" s="263">
        <v>0</v>
      </c>
      <c r="I1057" s="263">
        <v>0</v>
      </c>
      <c r="J1057" s="263">
        <v>9.6000000000000014</v>
      </c>
      <c r="K1057" s="267">
        <v>9.6000000000000014</v>
      </c>
    </row>
    <row r="1058" spans="1:11">
      <c r="A1058" s="9" t="s">
        <v>1947</v>
      </c>
      <c r="B1058" s="16">
        <v>44</v>
      </c>
      <c r="C1058" s="9"/>
      <c r="D1058" s="271" t="s">
        <v>7843</v>
      </c>
      <c r="E1058" s="263">
        <v>0</v>
      </c>
      <c r="F1058" s="263">
        <v>0</v>
      </c>
      <c r="G1058" s="263">
        <v>0</v>
      </c>
      <c r="H1058" s="263">
        <v>0</v>
      </c>
      <c r="I1058" s="263">
        <v>0</v>
      </c>
      <c r="J1058" s="263">
        <v>12</v>
      </c>
      <c r="K1058" s="267">
        <v>12</v>
      </c>
    </row>
    <row r="1059" spans="1:11">
      <c r="A1059" s="9" t="s">
        <v>11377</v>
      </c>
      <c r="B1059" s="16">
        <v>44</v>
      </c>
      <c r="C1059" s="9"/>
      <c r="D1059" s="271" t="s">
        <v>7844</v>
      </c>
      <c r="E1059" s="263">
        <v>0</v>
      </c>
      <c r="F1059" s="263">
        <v>8</v>
      </c>
      <c r="G1059" s="263">
        <v>0</v>
      </c>
      <c r="H1059" s="263">
        <v>0</v>
      </c>
      <c r="I1059" s="263">
        <v>0</v>
      </c>
      <c r="J1059" s="263">
        <v>0</v>
      </c>
      <c r="K1059" s="267">
        <v>8</v>
      </c>
    </row>
    <row r="1060" spans="1:11">
      <c r="A1060" s="9" t="s">
        <v>11378</v>
      </c>
      <c r="B1060" s="16">
        <v>44</v>
      </c>
      <c r="C1060" s="9"/>
      <c r="D1060" s="271" t="s">
        <v>7845</v>
      </c>
      <c r="E1060" s="263">
        <v>0</v>
      </c>
      <c r="F1060" s="263">
        <v>8</v>
      </c>
      <c r="G1060" s="263">
        <v>0</v>
      </c>
      <c r="H1060" s="263">
        <v>0</v>
      </c>
      <c r="I1060" s="263">
        <v>0</v>
      </c>
      <c r="J1060" s="263">
        <v>0</v>
      </c>
      <c r="K1060" s="267">
        <v>8</v>
      </c>
    </row>
    <row r="1061" spans="1:11">
      <c r="A1061" s="9" t="s">
        <v>11379</v>
      </c>
      <c r="B1061" s="16">
        <v>44</v>
      </c>
      <c r="C1061" s="9"/>
      <c r="D1061" s="271" t="s">
        <v>7846</v>
      </c>
      <c r="E1061" s="263">
        <v>0</v>
      </c>
      <c r="F1061" s="263">
        <v>4</v>
      </c>
      <c r="G1061" s="263">
        <v>0</v>
      </c>
      <c r="H1061" s="263">
        <v>0</v>
      </c>
      <c r="I1061" s="263">
        <v>0</v>
      </c>
      <c r="J1061" s="263">
        <v>0</v>
      </c>
      <c r="K1061" s="267">
        <v>4</v>
      </c>
    </row>
    <row r="1062" spans="1:11">
      <c r="B1062" s="16">
        <v>44</v>
      </c>
      <c r="C1062" s="9"/>
      <c r="D1062" s="271"/>
      <c r="E1062" s="263"/>
      <c r="F1062" s="263"/>
      <c r="G1062" s="263"/>
      <c r="H1062" s="263"/>
      <c r="I1062" s="263"/>
      <c r="J1062" s="263"/>
      <c r="K1062" s="267">
        <v>0</v>
      </c>
    </row>
    <row r="1063" spans="1:11" ht="15.75" customHeight="1">
      <c r="B1063" s="16">
        <v>44</v>
      </c>
      <c r="C1063" s="9"/>
      <c r="D1063" s="272" t="s">
        <v>3674</v>
      </c>
      <c r="E1063" s="273">
        <v>0</v>
      </c>
      <c r="F1063" s="273">
        <v>20</v>
      </c>
      <c r="G1063" s="273">
        <v>0</v>
      </c>
      <c r="H1063" s="273">
        <v>0</v>
      </c>
      <c r="I1063" s="273">
        <v>0</v>
      </c>
      <c r="J1063" s="273">
        <v>60.000000000000007</v>
      </c>
      <c r="K1063" s="273">
        <v>80</v>
      </c>
    </row>
    <row r="1064" spans="1:11">
      <c r="C1064" s="9"/>
      <c r="D1064" s="271"/>
      <c r="E1064" s="263"/>
      <c r="F1064" s="263"/>
      <c r="G1064" s="263"/>
      <c r="H1064" s="263"/>
      <c r="I1064" s="263"/>
      <c r="J1064" s="263"/>
      <c r="K1064" s="267">
        <v>0</v>
      </c>
    </row>
    <row r="1065" spans="1:11">
      <c r="A1065" s="9" t="s">
        <v>11380</v>
      </c>
      <c r="B1065" s="16">
        <v>45</v>
      </c>
      <c r="C1065" s="9"/>
      <c r="D1065" s="271" t="s">
        <v>7847</v>
      </c>
      <c r="E1065" s="263">
        <v>0</v>
      </c>
      <c r="F1065" s="263">
        <v>0</v>
      </c>
      <c r="G1065" s="263">
        <v>8</v>
      </c>
      <c r="H1065" s="263">
        <v>0</v>
      </c>
      <c r="I1065" s="263">
        <v>0</v>
      </c>
      <c r="J1065" s="263">
        <v>0</v>
      </c>
      <c r="K1065" s="267">
        <v>8</v>
      </c>
    </row>
    <row r="1066" spans="1:11">
      <c r="A1066" s="9" t="s">
        <v>11381</v>
      </c>
      <c r="B1066" s="16">
        <v>45</v>
      </c>
      <c r="C1066" s="9"/>
      <c r="D1066" s="271" t="s">
        <v>7848</v>
      </c>
      <c r="E1066" s="263">
        <v>0</v>
      </c>
      <c r="F1066" s="263">
        <v>0</v>
      </c>
      <c r="G1066" s="263">
        <v>8</v>
      </c>
      <c r="H1066" s="263">
        <v>0</v>
      </c>
      <c r="I1066" s="263">
        <v>0</v>
      </c>
      <c r="J1066" s="263">
        <v>0</v>
      </c>
      <c r="K1066" s="267">
        <v>8</v>
      </c>
    </row>
    <row r="1067" spans="1:11">
      <c r="A1067" s="9" t="s">
        <v>11382</v>
      </c>
      <c r="B1067" s="16">
        <v>45</v>
      </c>
      <c r="C1067" s="9"/>
      <c r="D1067" s="271" t="s">
        <v>7849</v>
      </c>
      <c r="E1067" s="263">
        <v>0</v>
      </c>
      <c r="F1067" s="263">
        <v>0</v>
      </c>
      <c r="G1067" s="263">
        <v>8</v>
      </c>
      <c r="H1067" s="263">
        <v>0</v>
      </c>
      <c r="I1067" s="263">
        <v>0</v>
      </c>
      <c r="J1067" s="263">
        <v>0</v>
      </c>
      <c r="K1067" s="267">
        <v>8</v>
      </c>
    </row>
    <row r="1068" spans="1:11">
      <c r="A1068" s="9" t="s">
        <v>1948</v>
      </c>
      <c r="B1068" s="16">
        <v>45</v>
      </c>
      <c r="C1068" s="9"/>
      <c r="D1068" s="271" t="s">
        <v>7850</v>
      </c>
      <c r="E1068" s="263">
        <v>0</v>
      </c>
      <c r="F1068" s="263">
        <v>0</v>
      </c>
      <c r="G1068" s="263">
        <v>0</v>
      </c>
      <c r="H1068" s="263">
        <v>0</v>
      </c>
      <c r="I1068" s="263">
        <v>0</v>
      </c>
      <c r="J1068" s="263">
        <v>8</v>
      </c>
      <c r="K1068" s="267">
        <v>8</v>
      </c>
    </row>
    <row r="1069" spans="1:11">
      <c r="A1069" s="9" t="s">
        <v>11383</v>
      </c>
      <c r="B1069" s="16">
        <v>45</v>
      </c>
      <c r="C1069" s="9"/>
      <c r="D1069" s="271" t="s">
        <v>7851</v>
      </c>
      <c r="E1069" s="263">
        <v>0</v>
      </c>
      <c r="F1069" s="263">
        <v>8</v>
      </c>
      <c r="G1069" s="263">
        <v>0</v>
      </c>
      <c r="H1069" s="263">
        <v>0</v>
      </c>
      <c r="I1069" s="263">
        <v>0</v>
      </c>
      <c r="J1069" s="263">
        <v>0</v>
      </c>
      <c r="K1069" s="267">
        <v>8</v>
      </c>
    </row>
    <row r="1070" spans="1:11">
      <c r="A1070" s="9" t="s">
        <v>11384</v>
      </c>
      <c r="B1070" s="16">
        <v>45</v>
      </c>
      <c r="C1070" s="9"/>
      <c r="D1070" s="271" t="s">
        <v>7852</v>
      </c>
      <c r="E1070" s="263">
        <v>0</v>
      </c>
      <c r="F1070" s="263">
        <v>8</v>
      </c>
      <c r="G1070" s="263">
        <v>0</v>
      </c>
      <c r="H1070" s="263">
        <v>0</v>
      </c>
      <c r="I1070" s="263">
        <v>0</v>
      </c>
      <c r="J1070" s="263">
        <v>0</v>
      </c>
      <c r="K1070" s="267">
        <v>8</v>
      </c>
    </row>
    <row r="1071" spans="1:11">
      <c r="A1071" s="9" t="s">
        <v>11385</v>
      </c>
      <c r="B1071" s="16">
        <v>45</v>
      </c>
      <c r="C1071" s="9"/>
      <c r="D1071" s="271" t="s">
        <v>7853</v>
      </c>
      <c r="E1071" s="263">
        <v>0</v>
      </c>
      <c r="F1071" s="263">
        <v>4</v>
      </c>
      <c r="G1071" s="263">
        <v>0</v>
      </c>
      <c r="H1071" s="263">
        <v>0</v>
      </c>
      <c r="I1071" s="263">
        <v>0</v>
      </c>
      <c r="J1071" s="263">
        <v>0</v>
      </c>
      <c r="K1071" s="267">
        <v>4</v>
      </c>
    </row>
    <row r="1072" spans="1:11">
      <c r="B1072" s="16">
        <v>45</v>
      </c>
      <c r="C1072" s="9"/>
      <c r="D1072" s="271"/>
      <c r="E1072" s="263"/>
      <c r="F1072" s="263"/>
      <c r="G1072" s="263"/>
      <c r="H1072" s="263"/>
      <c r="I1072" s="263"/>
      <c r="J1072" s="263"/>
      <c r="K1072" s="267">
        <v>0</v>
      </c>
    </row>
    <row r="1073" spans="1:11" ht="15.75" customHeight="1">
      <c r="B1073" s="16">
        <v>45</v>
      </c>
      <c r="C1073" s="9"/>
      <c r="D1073" s="272" t="s">
        <v>3674</v>
      </c>
      <c r="E1073" s="273">
        <v>0</v>
      </c>
      <c r="F1073" s="273">
        <v>20</v>
      </c>
      <c r="G1073" s="273">
        <v>24</v>
      </c>
      <c r="H1073" s="273">
        <v>0</v>
      </c>
      <c r="I1073" s="273">
        <v>0</v>
      </c>
      <c r="J1073" s="273">
        <v>8</v>
      </c>
      <c r="K1073" s="273">
        <v>52</v>
      </c>
    </row>
    <row r="1074" spans="1:11">
      <c r="C1074" s="9"/>
      <c r="D1074" s="271"/>
      <c r="E1074" s="263"/>
      <c r="F1074" s="263"/>
      <c r="G1074" s="263"/>
      <c r="H1074" s="263"/>
      <c r="I1074" s="263"/>
      <c r="J1074" s="263"/>
      <c r="K1074" s="267">
        <v>0</v>
      </c>
    </row>
    <row r="1075" spans="1:11" ht="15.75" customHeight="1">
      <c r="B1075" s="16">
        <v>0</v>
      </c>
      <c r="C1075" s="9"/>
      <c r="D1075" s="269" t="s">
        <v>13086</v>
      </c>
      <c r="E1075" s="270">
        <v>8</v>
      </c>
      <c r="F1075" s="270">
        <v>80</v>
      </c>
      <c r="G1075" s="270">
        <v>40</v>
      </c>
      <c r="H1075" s="270">
        <v>24</v>
      </c>
      <c r="I1075" s="270">
        <v>0</v>
      </c>
      <c r="J1075" s="270">
        <v>68</v>
      </c>
      <c r="K1075" s="270">
        <v>220</v>
      </c>
    </row>
    <row r="1076" spans="1:11">
      <c r="C1076" s="9"/>
      <c r="D1076" s="271"/>
      <c r="E1076" s="263"/>
      <c r="F1076" s="263"/>
      <c r="G1076" s="263"/>
      <c r="H1076" s="263"/>
      <c r="I1076" s="263"/>
      <c r="J1076" s="263"/>
      <c r="K1076" s="267">
        <v>0</v>
      </c>
    </row>
    <row r="1077" spans="1:11">
      <c r="C1077" s="9"/>
      <c r="D1077" s="271"/>
      <c r="E1077" s="263"/>
      <c r="F1077" s="263"/>
      <c r="G1077" s="263"/>
      <c r="H1077" s="263"/>
      <c r="I1077" s="263"/>
      <c r="J1077" s="263"/>
      <c r="K1077" s="267">
        <v>0</v>
      </c>
    </row>
    <row r="1078" spans="1:11">
      <c r="C1078" s="9"/>
      <c r="D1078" s="271" t="s">
        <v>4278</v>
      </c>
      <c r="E1078" s="263"/>
      <c r="F1078" s="263"/>
      <c r="G1078" s="263"/>
      <c r="H1078" s="263"/>
      <c r="I1078" s="263"/>
      <c r="J1078" s="263"/>
      <c r="K1078" s="267">
        <v>0</v>
      </c>
    </row>
    <row r="1079" spans="1:11">
      <c r="C1079" s="9"/>
      <c r="D1079" s="271"/>
      <c r="E1079" s="263"/>
      <c r="F1079" s="263"/>
      <c r="G1079" s="263"/>
      <c r="H1079" s="263"/>
      <c r="I1079" s="263"/>
      <c r="J1079" s="263"/>
      <c r="K1079" s="267">
        <v>0</v>
      </c>
    </row>
    <row r="1080" spans="1:11">
      <c r="A1080" s="9" t="s">
        <v>11386</v>
      </c>
      <c r="B1080" s="16">
        <v>64</v>
      </c>
      <c r="C1080" s="9"/>
      <c r="D1080" s="271" t="s">
        <v>8318</v>
      </c>
      <c r="E1080" s="263">
        <v>0</v>
      </c>
      <c r="F1080" s="263">
        <v>2.4000000000000004</v>
      </c>
      <c r="G1080" s="263">
        <v>0</v>
      </c>
      <c r="H1080" s="263">
        <v>0</v>
      </c>
      <c r="I1080" s="263">
        <v>0</v>
      </c>
      <c r="J1080" s="263">
        <v>0</v>
      </c>
      <c r="K1080" s="267">
        <v>2.4000000000000004</v>
      </c>
    </row>
    <row r="1081" spans="1:11">
      <c r="A1081" s="9" t="s">
        <v>1949</v>
      </c>
      <c r="B1081" s="16">
        <v>64</v>
      </c>
      <c r="C1081" s="9"/>
      <c r="D1081" s="271" t="s">
        <v>8319</v>
      </c>
      <c r="E1081" s="263">
        <v>0</v>
      </c>
      <c r="F1081" s="263">
        <v>0</v>
      </c>
      <c r="G1081" s="263">
        <v>0</v>
      </c>
      <c r="H1081" s="263">
        <v>0</v>
      </c>
      <c r="I1081" s="263">
        <v>0</v>
      </c>
      <c r="J1081" s="263">
        <v>4</v>
      </c>
      <c r="K1081" s="267">
        <v>4</v>
      </c>
    </row>
    <row r="1082" spans="1:11">
      <c r="A1082" s="9" t="s">
        <v>11387</v>
      </c>
      <c r="B1082" s="16">
        <v>64</v>
      </c>
      <c r="C1082" s="9"/>
      <c r="D1082" s="271" t="s">
        <v>8320</v>
      </c>
      <c r="E1082" s="263">
        <v>0</v>
      </c>
      <c r="F1082" s="263">
        <v>4</v>
      </c>
      <c r="G1082" s="263">
        <v>0</v>
      </c>
      <c r="H1082" s="263">
        <v>0</v>
      </c>
      <c r="I1082" s="263">
        <v>0</v>
      </c>
      <c r="J1082" s="263">
        <v>0</v>
      </c>
      <c r="K1082" s="267">
        <v>4</v>
      </c>
    </row>
    <row r="1083" spans="1:11">
      <c r="A1083" s="9" t="s">
        <v>1950</v>
      </c>
      <c r="B1083" s="16">
        <v>64</v>
      </c>
      <c r="C1083" s="9"/>
      <c r="D1083" s="271" t="s">
        <v>8321</v>
      </c>
      <c r="E1083" s="263">
        <v>0</v>
      </c>
      <c r="F1083" s="263">
        <v>0</v>
      </c>
      <c r="G1083" s="263">
        <v>0</v>
      </c>
      <c r="H1083" s="263">
        <v>0</v>
      </c>
      <c r="I1083" s="263">
        <v>0</v>
      </c>
      <c r="J1083" s="263">
        <v>8</v>
      </c>
      <c r="K1083" s="267">
        <v>8</v>
      </c>
    </row>
    <row r="1084" spans="1:11">
      <c r="A1084" s="9" t="s">
        <v>11388</v>
      </c>
      <c r="B1084" s="16">
        <v>64</v>
      </c>
      <c r="C1084" s="9"/>
      <c r="D1084" s="271" t="s">
        <v>8322</v>
      </c>
      <c r="E1084" s="263">
        <v>4</v>
      </c>
      <c r="F1084" s="263">
        <v>0</v>
      </c>
      <c r="G1084" s="263">
        <v>0</v>
      </c>
      <c r="H1084" s="263">
        <v>0</v>
      </c>
      <c r="I1084" s="263">
        <v>0</v>
      </c>
      <c r="J1084" s="263">
        <v>0</v>
      </c>
      <c r="K1084" s="267">
        <v>4</v>
      </c>
    </row>
    <row r="1085" spans="1:11">
      <c r="A1085" s="9" t="s">
        <v>11389</v>
      </c>
      <c r="B1085" s="16">
        <v>64</v>
      </c>
      <c r="C1085" s="9"/>
      <c r="D1085" s="271" t="s">
        <v>8323</v>
      </c>
      <c r="E1085" s="263">
        <v>4</v>
      </c>
      <c r="F1085" s="263">
        <v>0</v>
      </c>
      <c r="G1085" s="263">
        <v>0</v>
      </c>
      <c r="H1085" s="263">
        <v>0</v>
      </c>
      <c r="I1085" s="263">
        <v>0</v>
      </c>
      <c r="J1085" s="263">
        <v>0</v>
      </c>
      <c r="K1085" s="267">
        <v>4</v>
      </c>
    </row>
    <row r="1086" spans="1:11">
      <c r="A1086" s="9" t="s">
        <v>1951</v>
      </c>
      <c r="B1086" s="16">
        <v>64</v>
      </c>
      <c r="C1086" s="9"/>
      <c r="D1086" s="271" t="s">
        <v>8324</v>
      </c>
      <c r="E1086" s="263">
        <v>0</v>
      </c>
      <c r="F1086" s="263">
        <v>0</v>
      </c>
      <c r="G1086" s="263">
        <v>0</v>
      </c>
      <c r="H1086" s="263">
        <v>0</v>
      </c>
      <c r="I1086" s="263">
        <v>0</v>
      </c>
      <c r="J1086" s="263">
        <v>4</v>
      </c>
      <c r="K1086" s="267">
        <v>4</v>
      </c>
    </row>
    <row r="1087" spans="1:11">
      <c r="B1087" s="16">
        <v>64</v>
      </c>
      <c r="C1087" s="9"/>
      <c r="D1087" s="271"/>
      <c r="E1087" s="263"/>
      <c r="F1087" s="263"/>
      <c r="G1087" s="263"/>
      <c r="H1087" s="263"/>
      <c r="I1087" s="263"/>
      <c r="J1087" s="263"/>
      <c r="K1087" s="267">
        <v>0</v>
      </c>
    </row>
    <row r="1088" spans="1:11" ht="15.75" customHeight="1">
      <c r="B1088" s="16">
        <v>64</v>
      </c>
      <c r="C1088" s="9"/>
      <c r="D1088" s="272" t="s">
        <v>3674</v>
      </c>
      <c r="E1088" s="273">
        <v>8</v>
      </c>
      <c r="F1088" s="273">
        <v>6.4</v>
      </c>
      <c r="G1088" s="273">
        <v>0</v>
      </c>
      <c r="H1088" s="273">
        <v>0</v>
      </c>
      <c r="I1088" s="273">
        <v>0</v>
      </c>
      <c r="J1088" s="273">
        <v>16</v>
      </c>
      <c r="K1088" s="273">
        <v>30.4</v>
      </c>
    </row>
    <row r="1089" spans="1:11">
      <c r="C1089" s="9"/>
      <c r="D1089" s="271"/>
      <c r="E1089" s="263"/>
      <c r="F1089" s="263"/>
      <c r="G1089" s="263"/>
      <c r="H1089" s="263"/>
      <c r="I1089" s="263"/>
      <c r="J1089" s="263"/>
      <c r="K1089" s="267">
        <v>0</v>
      </c>
    </row>
    <row r="1090" spans="1:11">
      <c r="A1090" s="9" t="s">
        <v>11390</v>
      </c>
      <c r="B1090" s="16">
        <v>70</v>
      </c>
      <c r="C1090" s="9"/>
      <c r="D1090" s="271" t="s">
        <v>8325</v>
      </c>
      <c r="E1090" s="263">
        <v>0</v>
      </c>
      <c r="F1090" s="263">
        <v>2.4000000000000004</v>
      </c>
      <c r="G1090" s="263">
        <v>0</v>
      </c>
      <c r="H1090" s="263">
        <v>0</v>
      </c>
      <c r="I1090" s="263">
        <v>0</v>
      </c>
      <c r="J1090" s="263">
        <v>0</v>
      </c>
      <c r="K1090" s="267">
        <v>2.4000000000000004</v>
      </c>
    </row>
    <row r="1091" spans="1:11">
      <c r="A1091" s="9" t="s">
        <v>11391</v>
      </c>
      <c r="B1091" s="16">
        <v>70</v>
      </c>
      <c r="C1091" s="9"/>
      <c r="D1091" s="271" t="s">
        <v>8326</v>
      </c>
      <c r="E1091" s="263">
        <v>0</v>
      </c>
      <c r="F1091" s="263">
        <v>0</v>
      </c>
      <c r="G1091" s="263">
        <v>0</v>
      </c>
      <c r="H1091" s="263">
        <v>1.6</v>
      </c>
      <c r="I1091" s="263">
        <v>0</v>
      </c>
      <c r="J1091" s="263">
        <v>0</v>
      </c>
      <c r="K1091" s="267">
        <v>1.6</v>
      </c>
    </row>
    <row r="1092" spans="1:11">
      <c r="A1092" s="9" t="s">
        <v>11392</v>
      </c>
      <c r="B1092" s="16">
        <v>70</v>
      </c>
      <c r="C1092" s="9"/>
      <c r="D1092" s="271" t="s">
        <v>8327</v>
      </c>
      <c r="E1092" s="263">
        <v>1.6</v>
      </c>
      <c r="F1092" s="263">
        <v>0</v>
      </c>
      <c r="G1092" s="263">
        <v>0</v>
      </c>
      <c r="H1092" s="263">
        <v>0</v>
      </c>
      <c r="I1092" s="263">
        <v>0</v>
      </c>
      <c r="J1092" s="263">
        <v>0</v>
      </c>
      <c r="K1092" s="267">
        <v>1.6</v>
      </c>
    </row>
    <row r="1093" spans="1:11">
      <c r="A1093" s="9" t="s">
        <v>1952</v>
      </c>
      <c r="B1093" s="16">
        <v>70</v>
      </c>
      <c r="C1093" s="9"/>
      <c r="D1093" s="271" t="s">
        <v>8328</v>
      </c>
      <c r="E1093" s="263">
        <v>0</v>
      </c>
      <c r="F1093" s="263">
        <v>0</v>
      </c>
      <c r="G1093" s="263">
        <v>0</v>
      </c>
      <c r="H1093" s="263">
        <v>0</v>
      </c>
      <c r="I1093" s="263">
        <v>0</v>
      </c>
      <c r="J1093" s="263">
        <v>4</v>
      </c>
      <c r="K1093" s="267">
        <v>4</v>
      </c>
    </row>
    <row r="1094" spans="1:11">
      <c r="A1094" s="9" t="s">
        <v>11393</v>
      </c>
      <c r="B1094" s="16">
        <v>70</v>
      </c>
      <c r="C1094" s="9"/>
      <c r="D1094" s="271" t="s">
        <v>8329</v>
      </c>
      <c r="E1094" s="263">
        <v>0</v>
      </c>
      <c r="F1094" s="263">
        <v>0</v>
      </c>
      <c r="G1094" s="263">
        <v>0</v>
      </c>
      <c r="H1094" s="263">
        <v>5.6000000000000005</v>
      </c>
      <c r="I1094" s="263">
        <v>0</v>
      </c>
      <c r="J1094" s="263">
        <v>0</v>
      </c>
      <c r="K1094" s="267">
        <v>5.6000000000000005</v>
      </c>
    </row>
    <row r="1095" spans="1:11">
      <c r="A1095" s="9" t="s">
        <v>11394</v>
      </c>
      <c r="B1095" s="16">
        <v>70</v>
      </c>
      <c r="C1095" s="9"/>
      <c r="D1095" s="271" t="s">
        <v>8330</v>
      </c>
      <c r="E1095" s="263">
        <v>5.6000000000000005</v>
      </c>
      <c r="F1095" s="263">
        <v>0</v>
      </c>
      <c r="G1095" s="263">
        <v>0</v>
      </c>
      <c r="H1095" s="263">
        <v>0</v>
      </c>
      <c r="I1095" s="263">
        <v>0</v>
      </c>
      <c r="J1095" s="263">
        <v>0</v>
      </c>
      <c r="K1095" s="267">
        <v>5.6000000000000005</v>
      </c>
    </row>
    <row r="1096" spans="1:11">
      <c r="A1096" s="9" t="s">
        <v>1953</v>
      </c>
      <c r="B1096" s="16">
        <v>70</v>
      </c>
      <c r="C1096" s="9"/>
      <c r="D1096" s="271" t="s">
        <v>8331</v>
      </c>
      <c r="E1096" s="263">
        <v>0</v>
      </c>
      <c r="F1096" s="263">
        <v>0</v>
      </c>
      <c r="G1096" s="263">
        <v>0</v>
      </c>
      <c r="H1096" s="263">
        <v>0</v>
      </c>
      <c r="I1096" s="263">
        <v>0</v>
      </c>
      <c r="J1096" s="263">
        <v>6.4</v>
      </c>
      <c r="K1096" s="267">
        <v>6.4</v>
      </c>
    </row>
    <row r="1097" spans="1:11">
      <c r="A1097" s="9" t="s">
        <v>11395</v>
      </c>
      <c r="B1097" s="16">
        <v>70</v>
      </c>
      <c r="C1097" s="9"/>
      <c r="D1097" s="271" t="s">
        <v>8332</v>
      </c>
      <c r="E1097" s="263">
        <v>0</v>
      </c>
      <c r="F1097" s="263">
        <v>0</v>
      </c>
      <c r="G1097" s="263">
        <v>6.4</v>
      </c>
      <c r="H1097" s="263">
        <v>0</v>
      </c>
      <c r="I1097" s="263">
        <v>0</v>
      </c>
      <c r="J1097" s="263">
        <v>0</v>
      </c>
      <c r="K1097" s="267">
        <v>6.4</v>
      </c>
    </row>
    <row r="1098" spans="1:11">
      <c r="A1098" s="9" t="s">
        <v>11396</v>
      </c>
      <c r="B1098" s="16">
        <v>70</v>
      </c>
      <c r="C1098" s="9"/>
      <c r="D1098" s="271" t="s">
        <v>8333</v>
      </c>
      <c r="E1098" s="263">
        <v>0</v>
      </c>
      <c r="F1098" s="263">
        <v>0</v>
      </c>
      <c r="G1098" s="263">
        <v>6.4</v>
      </c>
      <c r="H1098" s="263">
        <v>0</v>
      </c>
      <c r="I1098" s="263">
        <v>0</v>
      </c>
      <c r="J1098" s="263">
        <v>0</v>
      </c>
      <c r="K1098" s="267">
        <v>6.4</v>
      </c>
    </row>
    <row r="1099" spans="1:11">
      <c r="A1099" s="9" t="s">
        <v>11397</v>
      </c>
      <c r="B1099" s="16">
        <v>70</v>
      </c>
      <c r="C1099" s="9"/>
      <c r="D1099" s="271" t="s">
        <v>8334</v>
      </c>
      <c r="E1099" s="263">
        <v>0</v>
      </c>
      <c r="F1099" s="263">
        <v>4</v>
      </c>
      <c r="G1099" s="263">
        <v>0</v>
      </c>
      <c r="H1099" s="263">
        <v>0</v>
      </c>
      <c r="I1099" s="263">
        <v>0</v>
      </c>
      <c r="J1099" s="263">
        <v>0</v>
      </c>
      <c r="K1099" s="267">
        <v>4</v>
      </c>
    </row>
    <row r="1100" spans="1:11">
      <c r="B1100" s="16">
        <v>70</v>
      </c>
      <c r="C1100" s="9"/>
      <c r="D1100" s="271"/>
      <c r="E1100" s="263"/>
      <c r="F1100" s="263"/>
      <c r="G1100" s="263"/>
      <c r="H1100" s="263"/>
      <c r="I1100" s="263"/>
      <c r="J1100" s="263"/>
      <c r="K1100" s="267">
        <v>0</v>
      </c>
    </row>
    <row r="1101" spans="1:11" ht="15.75" customHeight="1">
      <c r="B1101" s="16">
        <v>70</v>
      </c>
      <c r="C1101" s="9"/>
      <c r="D1101" s="272" t="s">
        <v>3674</v>
      </c>
      <c r="E1101" s="273">
        <v>7.2000000000000011</v>
      </c>
      <c r="F1101" s="273">
        <v>6.4</v>
      </c>
      <c r="G1101" s="273">
        <v>12.8</v>
      </c>
      <c r="H1101" s="273">
        <v>7.2000000000000011</v>
      </c>
      <c r="I1101" s="273">
        <v>0</v>
      </c>
      <c r="J1101" s="273">
        <v>10.4</v>
      </c>
      <c r="K1101" s="273">
        <v>44</v>
      </c>
    </row>
    <row r="1102" spans="1:11">
      <c r="C1102" s="9"/>
      <c r="D1102" s="271"/>
      <c r="E1102" s="263"/>
      <c r="F1102" s="263"/>
      <c r="G1102" s="263"/>
      <c r="H1102" s="263"/>
      <c r="I1102" s="263"/>
      <c r="J1102" s="263"/>
      <c r="K1102" s="267">
        <v>0</v>
      </c>
    </row>
    <row r="1103" spans="1:11">
      <c r="A1103" s="9" t="s">
        <v>11398</v>
      </c>
      <c r="B1103" s="16">
        <v>71</v>
      </c>
      <c r="C1103" s="9"/>
      <c r="D1103" s="271" t="s">
        <v>8335</v>
      </c>
      <c r="E1103" s="263">
        <v>8</v>
      </c>
      <c r="F1103" s="263">
        <v>0</v>
      </c>
      <c r="G1103" s="263">
        <v>0</v>
      </c>
      <c r="H1103" s="263">
        <v>0</v>
      </c>
      <c r="I1103" s="263">
        <v>0</v>
      </c>
      <c r="J1103" s="263">
        <v>0</v>
      </c>
      <c r="K1103" s="267">
        <v>8</v>
      </c>
    </row>
    <row r="1104" spans="1:11">
      <c r="A1104" s="9" t="s">
        <v>11399</v>
      </c>
      <c r="B1104" s="16">
        <v>71</v>
      </c>
      <c r="C1104" s="9"/>
      <c r="D1104" s="271" t="s">
        <v>8336</v>
      </c>
      <c r="E1104" s="263">
        <v>4</v>
      </c>
      <c r="F1104" s="263">
        <v>0</v>
      </c>
      <c r="G1104" s="263">
        <v>0</v>
      </c>
      <c r="H1104" s="263">
        <v>0</v>
      </c>
      <c r="I1104" s="263">
        <v>0</v>
      </c>
      <c r="J1104" s="263">
        <v>0</v>
      </c>
      <c r="K1104" s="267">
        <v>4</v>
      </c>
    </row>
    <row r="1105" spans="1:11">
      <c r="A1105" s="9" t="s">
        <v>1954</v>
      </c>
      <c r="B1105" s="16">
        <v>71</v>
      </c>
      <c r="C1105" s="9"/>
      <c r="D1105" s="271" t="s">
        <v>8337</v>
      </c>
      <c r="E1105" s="263">
        <v>0</v>
      </c>
      <c r="F1105" s="263">
        <v>0</v>
      </c>
      <c r="G1105" s="263">
        <v>0</v>
      </c>
      <c r="H1105" s="263">
        <v>0</v>
      </c>
      <c r="I1105" s="263">
        <v>0</v>
      </c>
      <c r="J1105" s="263">
        <v>6.4</v>
      </c>
      <c r="K1105" s="267">
        <v>6.4</v>
      </c>
    </row>
    <row r="1106" spans="1:11">
      <c r="A1106" s="9" t="s">
        <v>1955</v>
      </c>
      <c r="B1106" s="16">
        <v>71</v>
      </c>
      <c r="C1106" s="9"/>
      <c r="D1106" s="271" t="s">
        <v>8338</v>
      </c>
      <c r="E1106" s="263">
        <v>0</v>
      </c>
      <c r="F1106" s="263">
        <v>0</v>
      </c>
      <c r="G1106" s="263">
        <v>0</v>
      </c>
      <c r="H1106" s="263">
        <v>0</v>
      </c>
      <c r="I1106" s="263">
        <v>0</v>
      </c>
      <c r="J1106" s="263">
        <v>8</v>
      </c>
      <c r="K1106" s="267">
        <v>8</v>
      </c>
    </row>
    <row r="1107" spans="1:11">
      <c r="A1107" s="9" t="s">
        <v>11400</v>
      </c>
      <c r="B1107" s="16">
        <v>71</v>
      </c>
      <c r="C1107" s="9"/>
      <c r="D1107" s="271" t="s">
        <v>8339</v>
      </c>
      <c r="E1107" s="263">
        <v>0</v>
      </c>
      <c r="F1107" s="263">
        <v>4</v>
      </c>
      <c r="G1107" s="263">
        <v>0</v>
      </c>
      <c r="H1107" s="263">
        <v>0</v>
      </c>
      <c r="I1107" s="263">
        <v>0</v>
      </c>
      <c r="J1107" s="263">
        <v>0</v>
      </c>
      <c r="K1107" s="267">
        <v>4</v>
      </c>
    </row>
    <row r="1108" spans="1:11">
      <c r="A1108" s="9" t="s">
        <v>11401</v>
      </c>
      <c r="B1108" s="16">
        <v>71</v>
      </c>
      <c r="C1108" s="9"/>
      <c r="D1108" s="271" t="s">
        <v>8340</v>
      </c>
      <c r="E1108" s="263">
        <v>0</v>
      </c>
      <c r="F1108" s="263">
        <v>4</v>
      </c>
      <c r="G1108" s="263">
        <v>0</v>
      </c>
      <c r="H1108" s="263">
        <v>0</v>
      </c>
      <c r="I1108" s="263">
        <v>0</v>
      </c>
      <c r="J1108" s="263">
        <v>0</v>
      </c>
      <c r="K1108" s="267">
        <v>4</v>
      </c>
    </row>
    <row r="1109" spans="1:11">
      <c r="A1109" s="9" t="s">
        <v>1956</v>
      </c>
      <c r="B1109" s="16">
        <v>71</v>
      </c>
      <c r="C1109" s="9"/>
      <c r="D1109" s="271" t="s">
        <v>8341</v>
      </c>
      <c r="E1109" s="263">
        <v>0</v>
      </c>
      <c r="F1109" s="263">
        <v>0</v>
      </c>
      <c r="G1109" s="263">
        <v>0</v>
      </c>
      <c r="H1109" s="263">
        <v>0</v>
      </c>
      <c r="I1109" s="263">
        <v>0</v>
      </c>
      <c r="J1109" s="263">
        <v>8</v>
      </c>
      <c r="K1109" s="267">
        <v>8</v>
      </c>
    </row>
    <row r="1110" spans="1:11">
      <c r="A1110" s="9" t="s">
        <v>1957</v>
      </c>
      <c r="B1110" s="16">
        <v>71</v>
      </c>
      <c r="C1110" s="9"/>
      <c r="D1110" s="271" t="s">
        <v>8342</v>
      </c>
      <c r="E1110" s="263">
        <v>0</v>
      </c>
      <c r="F1110" s="263">
        <v>0</v>
      </c>
      <c r="G1110" s="263">
        <v>0</v>
      </c>
      <c r="H1110" s="263">
        <v>0</v>
      </c>
      <c r="I1110" s="263">
        <v>0</v>
      </c>
      <c r="J1110" s="263">
        <v>4</v>
      </c>
      <c r="K1110" s="267">
        <v>4</v>
      </c>
    </row>
    <row r="1111" spans="1:11">
      <c r="A1111" s="9" t="s">
        <v>11402</v>
      </c>
      <c r="B1111" s="16">
        <v>71</v>
      </c>
      <c r="C1111" s="9"/>
      <c r="D1111" s="271" t="s">
        <v>8343</v>
      </c>
      <c r="E1111" s="263">
        <v>4</v>
      </c>
      <c r="F1111" s="263">
        <v>0</v>
      </c>
      <c r="G1111" s="263">
        <v>0</v>
      </c>
      <c r="H1111" s="263">
        <v>0</v>
      </c>
      <c r="I1111" s="263">
        <v>0</v>
      </c>
      <c r="J1111" s="263">
        <v>0</v>
      </c>
      <c r="K1111" s="267">
        <v>4</v>
      </c>
    </row>
    <row r="1112" spans="1:11">
      <c r="A1112" s="9" t="s">
        <v>11403</v>
      </c>
      <c r="B1112" s="16">
        <v>71</v>
      </c>
      <c r="C1112" s="9"/>
      <c r="D1112" s="271" t="s">
        <v>8344</v>
      </c>
      <c r="E1112" s="263">
        <v>8</v>
      </c>
      <c r="F1112" s="263">
        <v>0</v>
      </c>
      <c r="G1112" s="263">
        <v>0</v>
      </c>
      <c r="H1112" s="263">
        <v>0</v>
      </c>
      <c r="I1112" s="263">
        <v>0</v>
      </c>
      <c r="J1112" s="263">
        <v>0</v>
      </c>
      <c r="K1112" s="267">
        <v>8</v>
      </c>
    </row>
    <row r="1113" spans="1:11">
      <c r="A1113" s="9" t="s">
        <v>1958</v>
      </c>
      <c r="B1113" s="16">
        <v>71</v>
      </c>
      <c r="C1113" s="9"/>
      <c r="D1113" s="271" t="s">
        <v>8345</v>
      </c>
      <c r="E1113" s="263">
        <v>0</v>
      </c>
      <c r="F1113" s="263">
        <v>0</v>
      </c>
      <c r="G1113" s="263">
        <v>0</v>
      </c>
      <c r="H1113" s="263">
        <v>0</v>
      </c>
      <c r="I1113" s="263">
        <v>0</v>
      </c>
      <c r="J1113" s="263">
        <v>4</v>
      </c>
      <c r="K1113" s="267">
        <v>4</v>
      </c>
    </row>
    <row r="1114" spans="1:11">
      <c r="B1114" s="16">
        <v>71</v>
      </c>
      <c r="C1114" s="9"/>
      <c r="D1114" s="271"/>
      <c r="E1114" s="263"/>
      <c r="F1114" s="263"/>
      <c r="G1114" s="263"/>
      <c r="H1114" s="263"/>
      <c r="I1114" s="263"/>
      <c r="J1114" s="263"/>
      <c r="K1114" s="267">
        <v>0</v>
      </c>
    </row>
    <row r="1115" spans="1:11" ht="15.75" customHeight="1">
      <c r="B1115" s="16">
        <v>71</v>
      </c>
      <c r="C1115" s="9"/>
      <c r="D1115" s="272" t="s">
        <v>3674</v>
      </c>
      <c r="E1115" s="273">
        <v>24</v>
      </c>
      <c r="F1115" s="273">
        <v>8</v>
      </c>
      <c r="G1115" s="273">
        <v>0</v>
      </c>
      <c r="H1115" s="273">
        <v>0</v>
      </c>
      <c r="I1115" s="273">
        <v>0</v>
      </c>
      <c r="J1115" s="273">
        <v>30.4</v>
      </c>
      <c r="K1115" s="273">
        <v>62.4</v>
      </c>
    </row>
    <row r="1116" spans="1:11">
      <c r="C1116" s="9"/>
      <c r="D1116" s="271"/>
      <c r="E1116" s="263"/>
      <c r="F1116" s="263"/>
      <c r="G1116" s="263"/>
      <c r="H1116" s="263"/>
      <c r="I1116" s="263"/>
      <c r="J1116" s="263"/>
      <c r="K1116" s="267">
        <v>0</v>
      </c>
    </row>
    <row r="1117" spans="1:11">
      <c r="A1117" s="9" t="s">
        <v>11404</v>
      </c>
      <c r="B1117" s="16">
        <v>72</v>
      </c>
      <c r="C1117" s="9"/>
      <c r="D1117" s="271" t="s">
        <v>8346</v>
      </c>
      <c r="E1117" s="263">
        <v>0</v>
      </c>
      <c r="F1117" s="263">
        <v>4</v>
      </c>
      <c r="G1117" s="263">
        <v>0</v>
      </c>
      <c r="H1117" s="263">
        <v>0</v>
      </c>
      <c r="I1117" s="263">
        <v>0</v>
      </c>
      <c r="J1117" s="263">
        <v>0</v>
      </c>
      <c r="K1117" s="267">
        <v>4</v>
      </c>
    </row>
    <row r="1118" spans="1:11">
      <c r="A1118" s="9" t="s">
        <v>11405</v>
      </c>
      <c r="B1118" s="16">
        <v>72</v>
      </c>
      <c r="C1118" s="9"/>
      <c r="D1118" s="271" t="s">
        <v>8347</v>
      </c>
      <c r="E1118" s="263">
        <v>4</v>
      </c>
      <c r="F1118" s="263">
        <v>0</v>
      </c>
      <c r="G1118" s="263">
        <v>0</v>
      </c>
      <c r="H1118" s="263">
        <v>0</v>
      </c>
      <c r="I1118" s="263">
        <v>0</v>
      </c>
      <c r="J1118" s="263">
        <v>0</v>
      </c>
      <c r="K1118" s="267">
        <v>4</v>
      </c>
    </row>
    <row r="1119" spans="1:11">
      <c r="A1119" s="9" t="s">
        <v>11406</v>
      </c>
      <c r="B1119" s="16">
        <v>72</v>
      </c>
      <c r="C1119" s="9"/>
      <c r="D1119" s="271" t="s">
        <v>8348</v>
      </c>
      <c r="E1119" s="263">
        <v>4</v>
      </c>
      <c r="F1119" s="263">
        <v>0</v>
      </c>
      <c r="G1119" s="263">
        <v>0</v>
      </c>
      <c r="H1119" s="263">
        <v>0</v>
      </c>
      <c r="I1119" s="263">
        <v>0</v>
      </c>
      <c r="J1119" s="263">
        <v>0</v>
      </c>
      <c r="K1119" s="267">
        <v>4</v>
      </c>
    </row>
    <row r="1120" spans="1:11">
      <c r="A1120" s="9" t="s">
        <v>11407</v>
      </c>
      <c r="B1120" s="16">
        <v>72</v>
      </c>
      <c r="C1120" s="9"/>
      <c r="D1120" s="271" t="s">
        <v>8349</v>
      </c>
      <c r="E1120" s="263">
        <v>0</v>
      </c>
      <c r="F1120" s="263">
        <v>0</v>
      </c>
      <c r="G1120" s="263">
        <v>4</v>
      </c>
      <c r="H1120" s="263">
        <v>0</v>
      </c>
      <c r="I1120" s="263">
        <v>0</v>
      </c>
      <c r="J1120" s="263">
        <v>0</v>
      </c>
      <c r="K1120" s="267">
        <v>4</v>
      </c>
    </row>
    <row r="1121" spans="1:11">
      <c r="A1121" s="9" t="s">
        <v>1959</v>
      </c>
      <c r="B1121" s="16">
        <v>72</v>
      </c>
      <c r="C1121" s="9"/>
      <c r="D1121" s="271" t="s">
        <v>8350</v>
      </c>
      <c r="E1121" s="263">
        <v>0</v>
      </c>
      <c r="F1121" s="263">
        <v>0</v>
      </c>
      <c r="G1121" s="263">
        <v>0</v>
      </c>
      <c r="H1121" s="263">
        <v>0</v>
      </c>
      <c r="I1121" s="263">
        <v>0</v>
      </c>
      <c r="J1121" s="263">
        <v>6.4</v>
      </c>
      <c r="K1121" s="267">
        <v>6.4</v>
      </c>
    </row>
    <row r="1122" spans="1:11">
      <c r="A1122" s="9" t="s">
        <v>1960</v>
      </c>
      <c r="B1122" s="16">
        <v>72</v>
      </c>
      <c r="C1122" s="9"/>
      <c r="D1122" s="271" t="s">
        <v>8351</v>
      </c>
      <c r="E1122" s="263">
        <v>0</v>
      </c>
      <c r="F1122" s="263">
        <v>0</v>
      </c>
      <c r="G1122" s="263">
        <v>0</v>
      </c>
      <c r="H1122" s="263">
        <v>0</v>
      </c>
      <c r="I1122" s="263">
        <v>0</v>
      </c>
      <c r="J1122" s="263">
        <v>5.6000000000000005</v>
      </c>
      <c r="K1122" s="267">
        <v>5.6000000000000005</v>
      </c>
    </row>
    <row r="1123" spans="1:11">
      <c r="A1123" s="9" t="s">
        <v>11408</v>
      </c>
      <c r="B1123" s="16">
        <v>72</v>
      </c>
      <c r="C1123" s="9"/>
      <c r="D1123" s="271" t="s">
        <v>8352</v>
      </c>
      <c r="E1123" s="263">
        <v>0</v>
      </c>
      <c r="F1123" s="263">
        <v>0</v>
      </c>
      <c r="G1123" s="263">
        <v>4</v>
      </c>
      <c r="H1123" s="263">
        <v>0</v>
      </c>
      <c r="I1123" s="263">
        <v>0</v>
      </c>
      <c r="J1123" s="263">
        <v>0</v>
      </c>
      <c r="K1123" s="267">
        <v>4</v>
      </c>
    </row>
    <row r="1124" spans="1:11">
      <c r="A1124" s="9" t="s">
        <v>11409</v>
      </c>
      <c r="B1124" s="16">
        <v>72</v>
      </c>
      <c r="C1124" s="9"/>
      <c r="D1124" s="271" t="s">
        <v>8353</v>
      </c>
      <c r="E1124" s="263">
        <v>4</v>
      </c>
      <c r="F1124" s="263">
        <v>0</v>
      </c>
      <c r="G1124" s="263">
        <v>0</v>
      </c>
      <c r="H1124" s="263">
        <v>0</v>
      </c>
      <c r="I1124" s="263">
        <v>0</v>
      </c>
      <c r="J1124" s="263">
        <v>0</v>
      </c>
      <c r="K1124" s="267">
        <v>4</v>
      </c>
    </row>
    <row r="1125" spans="1:11">
      <c r="A1125" s="9" t="s">
        <v>11410</v>
      </c>
      <c r="B1125" s="16">
        <v>72</v>
      </c>
      <c r="C1125" s="9"/>
      <c r="D1125" s="271" t="s">
        <v>8354</v>
      </c>
      <c r="E1125" s="263">
        <v>1.6</v>
      </c>
      <c r="F1125" s="263">
        <v>0</v>
      </c>
      <c r="G1125" s="263">
        <v>0</v>
      </c>
      <c r="H1125" s="263">
        <v>0</v>
      </c>
      <c r="I1125" s="263">
        <v>0</v>
      </c>
      <c r="J1125" s="263">
        <v>0</v>
      </c>
      <c r="K1125" s="267">
        <v>1.6</v>
      </c>
    </row>
    <row r="1126" spans="1:11">
      <c r="A1126" s="9" t="s">
        <v>1961</v>
      </c>
      <c r="B1126" s="16">
        <v>72</v>
      </c>
      <c r="C1126" s="9"/>
      <c r="D1126" s="271" t="s">
        <v>8355</v>
      </c>
      <c r="E1126" s="263">
        <v>0</v>
      </c>
      <c r="F1126" s="263">
        <v>0</v>
      </c>
      <c r="G1126" s="263">
        <v>0</v>
      </c>
      <c r="H1126" s="263">
        <v>0</v>
      </c>
      <c r="I1126" s="263">
        <v>0</v>
      </c>
      <c r="J1126" s="263">
        <v>8</v>
      </c>
      <c r="K1126" s="267">
        <v>8</v>
      </c>
    </row>
    <row r="1127" spans="1:11">
      <c r="A1127" s="9" t="s">
        <v>1962</v>
      </c>
      <c r="B1127" s="16">
        <v>72</v>
      </c>
      <c r="C1127" s="9"/>
      <c r="D1127" s="271" t="s">
        <v>8356</v>
      </c>
      <c r="E1127" s="263">
        <v>0</v>
      </c>
      <c r="F1127" s="263">
        <v>0</v>
      </c>
      <c r="G1127" s="263">
        <v>0</v>
      </c>
      <c r="H1127" s="263">
        <v>0</v>
      </c>
      <c r="I1127" s="263">
        <v>0</v>
      </c>
      <c r="J1127" s="263">
        <v>6.4</v>
      </c>
      <c r="K1127" s="267">
        <v>6.4</v>
      </c>
    </row>
    <row r="1128" spans="1:11">
      <c r="A1128" s="9" t="s">
        <v>11411</v>
      </c>
      <c r="B1128" s="16">
        <v>72</v>
      </c>
      <c r="C1128" s="9"/>
      <c r="D1128" s="271" t="s">
        <v>8357</v>
      </c>
      <c r="E1128" s="263">
        <v>0</v>
      </c>
      <c r="F1128" s="263">
        <v>4</v>
      </c>
      <c r="G1128" s="263">
        <v>0</v>
      </c>
      <c r="H1128" s="263">
        <v>0</v>
      </c>
      <c r="I1128" s="263">
        <v>0</v>
      </c>
      <c r="J1128" s="263">
        <v>0</v>
      </c>
      <c r="K1128" s="267">
        <v>4</v>
      </c>
    </row>
    <row r="1129" spans="1:11">
      <c r="B1129" s="16">
        <v>72</v>
      </c>
      <c r="C1129" s="9"/>
      <c r="D1129" s="271"/>
      <c r="E1129" s="263"/>
      <c r="F1129" s="263"/>
      <c r="G1129" s="263"/>
      <c r="H1129" s="263"/>
      <c r="I1129" s="263"/>
      <c r="J1129" s="263"/>
      <c r="K1129" s="267">
        <v>0</v>
      </c>
    </row>
    <row r="1130" spans="1:11" ht="15.75" customHeight="1">
      <c r="B1130" s="16">
        <v>72</v>
      </c>
      <c r="C1130" s="9"/>
      <c r="D1130" s="272" t="s">
        <v>3674</v>
      </c>
      <c r="E1130" s="273">
        <v>13.6</v>
      </c>
      <c r="F1130" s="273">
        <v>8</v>
      </c>
      <c r="G1130" s="273">
        <v>8</v>
      </c>
      <c r="H1130" s="273">
        <v>0</v>
      </c>
      <c r="I1130" s="273">
        <v>0</v>
      </c>
      <c r="J1130" s="273">
        <v>26.4</v>
      </c>
      <c r="K1130" s="273">
        <v>56</v>
      </c>
    </row>
    <row r="1131" spans="1:11">
      <c r="C1131" s="9"/>
      <c r="D1131" s="271"/>
      <c r="E1131" s="263"/>
      <c r="F1131" s="263"/>
      <c r="G1131" s="263"/>
      <c r="H1131" s="263"/>
      <c r="I1131" s="263"/>
      <c r="J1131" s="263"/>
      <c r="K1131" s="267">
        <v>0</v>
      </c>
    </row>
    <row r="1132" spans="1:11" ht="15.75" customHeight="1">
      <c r="B1132" s="16">
        <v>0</v>
      </c>
      <c r="C1132" s="9"/>
      <c r="D1132" s="269" t="s">
        <v>13087</v>
      </c>
      <c r="E1132" s="270">
        <v>52.800000000000004</v>
      </c>
      <c r="F1132" s="270">
        <v>28.8</v>
      </c>
      <c r="G1132" s="270">
        <v>20.8</v>
      </c>
      <c r="H1132" s="270">
        <v>7.2000000000000011</v>
      </c>
      <c r="I1132" s="270">
        <v>0</v>
      </c>
      <c r="J1132" s="270">
        <v>83.199999999999989</v>
      </c>
      <c r="K1132" s="270">
        <v>192.8</v>
      </c>
    </row>
    <row r="1133" spans="1:11">
      <c r="C1133" s="9"/>
      <c r="D1133" s="271"/>
      <c r="E1133" s="263"/>
      <c r="F1133" s="263"/>
      <c r="G1133" s="263"/>
      <c r="H1133" s="263"/>
      <c r="I1133" s="263"/>
      <c r="J1133" s="263"/>
      <c r="K1133" s="267">
        <v>0</v>
      </c>
    </row>
    <row r="1134" spans="1:11">
      <c r="C1134" s="9"/>
      <c r="D1134" s="271"/>
      <c r="E1134" s="263"/>
      <c r="F1134" s="263"/>
      <c r="G1134" s="263"/>
      <c r="H1134" s="263"/>
      <c r="I1134" s="263"/>
      <c r="J1134" s="263"/>
      <c r="K1134" s="267">
        <v>0</v>
      </c>
    </row>
    <row r="1135" spans="1:11">
      <c r="C1135" s="9"/>
      <c r="D1135" s="271" t="s">
        <v>4279</v>
      </c>
      <c r="E1135" s="263"/>
      <c r="F1135" s="263"/>
      <c r="G1135" s="263"/>
      <c r="H1135" s="263"/>
      <c r="I1135" s="263"/>
      <c r="J1135" s="263"/>
      <c r="K1135" s="267">
        <v>0</v>
      </c>
    </row>
    <row r="1136" spans="1:11">
      <c r="A1136" s="9" t="s">
        <v>11412</v>
      </c>
      <c r="B1136" s="16">
        <v>69</v>
      </c>
      <c r="C1136" s="9"/>
      <c r="D1136" s="271" t="s">
        <v>8134</v>
      </c>
      <c r="E1136" s="263">
        <v>8</v>
      </c>
      <c r="F1136" s="263">
        <v>0</v>
      </c>
      <c r="G1136" s="263">
        <v>0</v>
      </c>
      <c r="H1136" s="263">
        <v>0</v>
      </c>
      <c r="I1136" s="263">
        <v>0</v>
      </c>
      <c r="J1136" s="263">
        <v>0</v>
      </c>
      <c r="K1136" s="267">
        <v>8</v>
      </c>
    </row>
    <row r="1137" spans="1:11">
      <c r="A1137" s="9" t="s">
        <v>11413</v>
      </c>
      <c r="B1137" s="16">
        <v>69</v>
      </c>
      <c r="C1137" s="9"/>
      <c r="D1137" s="271" t="s">
        <v>8135</v>
      </c>
      <c r="E1137" s="263">
        <v>8</v>
      </c>
      <c r="F1137" s="263">
        <v>0</v>
      </c>
      <c r="G1137" s="263">
        <v>0</v>
      </c>
      <c r="H1137" s="263">
        <v>0</v>
      </c>
      <c r="I1137" s="263">
        <v>0</v>
      </c>
      <c r="J1137" s="263">
        <v>0</v>
      </c>
      <c r="K1137" s="267">
        <v>8</v>
      </c>
    </row>
    <row r="1138" spans="1:11">
      <c r="A1138" s="9" t="s">
        <v>11414</v>
      </c>
      <c r="B1138" s="16">
        <v>69</v>
      </c>
      <c r="C1138" s="9"/>
      <c r="D1138" s="271" t="s">
        <v>8136</v>
      </c>
      <c r="E1138" s="263">
        <v>0</v>
      </c>
      <c r="F1138" s="263">
        <v>8</v>
      </c>
      <c r="G1138" s="263">
        <v>0</v>
      </c>
      <c r="H1138" s="263">
        <v>0</v>
      </c>
      <c r="I1138" s="263">
        <v>0</v>
      </c>
      <c r="J1138" s="263">
        <v>0</v>
      </c>
      <c r="K1138" s="267">
        <v>8</v>
      </c>
    </row>
    <row r="1139" spans="1:11">
      <c r="A1139" s="9" t="s">
        <v>1963</v>
      </c>
      <c r="B1139" s="16">
        <v>69</v>
      </c>
      <c r="C1139" s="9"/>
      <c r="D1139" s="271" t="s">
        <v>8137</v>
      </c>
      <c r="E1139" s="263">
        <v>0</v>
      </c>
      <c r="F1139" s="263">
        <v>0</v>
      </c>
      <c r="G1139" s="263">
        <v>0</v>
      </c>
      <c r="H1139" s="263">
        <v>0</v>
      </c>
      <c r="I1139" s="263">
        <v>0</v>
      </c>
      <c r="J1139" s="263">
        <v>12</v>
      </c>
      <c r="K1139" s="267">
        <v>12</v>
      </c>
    </row>
    <row r="1140" spans="1:11">
      <c r="A1140" s="9" t="s">
        <v>1964</v>
      </c>
      <c r="B1140" s="16">
        <v>69</v>
      </c>
      <c r="C1140" s="9"/>
      <c r="D1140" s="271" t="s">
        <v>8138</v>
      </c>
      <c r="E1140" s="263">
        <v>0</v>
      </c>
      <c r="F1140" s="263">
        <v>0</v>
      </c>
      <c r="G1140" s="263">
        <v>0</v>
      </c>
      <c r="H1140" s="263">
        <v>0</v>
      </c>
      <c r="I1140" s="263">
        <v>0</v>
      </c>
      <c r="J1140" s="263">
        <v>8</v>
      </c>
      <c r="K1140" s="267">
        <v>8</v>
      </c>
    </row>
    <row r="1141" spans="1:11">
      <c r="A1141" s="9" t="s">
        <v>1965</v>
      </c>
      <c r="B1141" s="16">
        <v>69</v>
      </c>
      <c r="C1141" s="9"/>
      <c r="D1141" s="271" t="s">
        <v>8139</v>
      </c>
      <c r="E1141" s="263">
        <v>0</v>
      </c>
      <c r="F1141" s="263">
        <v>0</v>
      </c>
      <c r="G1141" s="263">
        <v>0</v>
      </c>
      <c r="H1141" s="263">
        <v>0</v>
      </c>
      <c r="I1141" s="263">
        <v>0</v>
      </c>
      <c r="J1141" s="263">
        <v>8</v>
      </c>
      <c r="K1141" s="267">
        <v>8</v>
      </c>
    </row>
    <row r="1142" spans="1:11" ht="15.75" customHeight="1">
      <c r="B1142" s="16">
        <v>69</v>
      </c>
      <c r="C1142" s="9"/>
      <c r="D1142" s="272" t="s">
        <v>3674</v>
      </c>
      <c r="E1142" s="273">
        <v>16</v>
      </c>
      <c r="F1142" s="273">
        <v>8</v>
      </c>
      <c r="G1142" s="273">
        <v>0</v>
      </c>
      <c r="H1142" s="273">
        <v>0</v>
      </c>
      <c r="I1142" s="273">
        <v>0</v>
      </c>
      <c r="J1142" s="273">
        <v>28</v>
      </c>
      <c r="K1142" s="273">
        <v>52</v>
      </c>
    </row>
    <row r="1143" spans="1:11">
      <c r="C1143" s="9"/>
      <c r="D1143" s="271"/>
      <c r="E1143" s="263"/>
      <c r="F1143" s="263"/>
      <c r="G1143" s="263"/>
      <c r="H1143" s="263"/>
      <c r="I1143" s="263"/>
      <c r="J1143" s="263"/>
      <c r="K1143" s="267">
        <v>0</v>
      </c>
    </row>
    <row r="1144" spans="1:11" ht="31.5">
      <c r="A1144" s="9" t="s">
        <v>11415</v>
      </c>
      <c r="B1144" s="16">
        <v>73</v>
      </c>
      <c r="C1144" s="9"/>
      <c r="D1144" s="271" t="s">
        <v>8140</v>
      </c>
      <c r="E1144" s="263">
        <v>9.6000000000000014</v>
      </c>
      <c r="F1144" s="263">
        <v>0</v>
      </c>
      <c r="G1144" s="263">
        <v>0</v>
      </c>
      <c r="H1144" s="263">
        <v>0</v>
      </c>
      <c r="I1144" s="263">
        <v>0</v>
      </c>
      <c r="J1144" s="263">
        <v>0</v>
      </c>
      <c r="K1144" s="267">
        <v>9.6000000000000014</v>
      </c>
    </row>
    <row r="1145" spans="1:11" ht="31.5">
      <c r="A1145" s="9" t="s">
        <v>11416</v>
      </c>
      <c r="B1145" s="16">
        <v>73</v>
      </c>
      <c r="C1145" s="9"/>
      <c r="D1145" s="271" t="s">
        <v>8141</v>
      </c>
      <c r="E1145" s="263">
        <v>9.6000000000000014</v>
      </c>
      <c r="F1145" s="263">
        <v>0</v>
      </c>
      <c r="G1145" s="263">
        <v>0</v>
      </c>
      <c r="H1145" s="263">
        <v>0</v>
      </c>
      <c r="I1145" s="263">
        <v>0</v>
      </c>
      <c r="J1145" s="263">
        <v>0</v>
      </c>
      <c r="K1145" s="267">
        <v>9.6000000000000014</v>
      </c>
    </row>
    <row r="1146" spans="1:11" ht="31.5">
      <c r="A1146" s="9" t="s">
        <v>11417</v>
      </c>
      <c r="B1146" s="16">
        <v>73</v>
      </c>
      <c r="C1146" s="9"/>
      <c r="D1146" s="271" t="s">
        <v>8142</v>
      </c>
      <c r="E1146" s="263">
        <v>6.4</v>
      </c>
      <c r="F1146" s="263">
        <v>0</v>
      </c>
      <c r="G1146" s="263">
        <v>0</v>
      </c>
      <c r="H1146" s="263">
        <v>0</v>
      </c>
      <c r="I1146" s="263">
        <v>0</v>
      </c>
      <c r="J1146" s="263">
        <v>0</v>
      </c>
      <c r="K1146" s="267">
        <v>6.4</v>
      </c>
    </row>
    <row r="1147" spans="1:11">
      <c r="A1147" s="9" t="s">
        <v>11418</v>
      </c>
      <c r="B1147" s="16">
        <v>73</v>
      </c>
      <c r="C1147" s="9"/>
      <c r="D1147" s="271" t="s">
        <v>8143</v>
      </c>
      <c r="E1147" s="263">
        <v>6.4</v>
      </c>
      <c r="F1147" s="263">
        <v>0</v>
      </c>
      <c r="G1147" s="263">
        <v>0</v>
      </c>
      <c r="H1147" s="263">
        <v>0</v>
      </c>
      <c r="I1147" s="263">
        <v>0</v>
      </c>
      <c r="J1147" s="263">
        <v>0</v>
      </c>
      <c r="K1147" s="267">
        <v>6.4</v>
      </c>
    </row>
    <row r="1148" spans="1:11" ht="31.5">
      <c r="A1148" s="9" t="s">
        <v>11419</v>
      </c>
      <c r="B1148" s="16">
        <v>73</v>
      </c>
      <c r="C1148" s="9"/>
      <c r="D1148" s="271" t="s">
        <v>8144</v>
      </c>
      <c r="E1148" s="263">
        <v>6.4</v>
      </c>
      <c r="F1148" s="263">
        <v>0</v>
      </c>
      <c r="G1148" s="263">
        <v>0</v>
      </c>
      <c r="H1148" s="263">
        <v>0</v>
      </c>
      <c r="I1148" s="263">
        <v>0</v>
      </c>
      <c r="J1148" s="263">
        <v>0</v>
      </c>
      <c r="K1148" s="267">
        <v>6.4</v>
      </c>
    </row>
    <row r="1149" spans="1:11" ht="31.5">
      <c r="A1149" s="9" t="s">
        <v>11420</v>
      </c>
      <c r="B1149" s="16">
        <v>73</v>
      </c>
      <c r="C1149" s="9"/>
      <c r="D1149" s="271" t="s">
        <v>8145</v>
      </c>
      <c r="E1149" s="263">
        <v>6.4</v>
      </c>
      <c r="F1149" s="263">
        <v>0</v>
      </c>
      <c r="G1149" s="263">
        <v>0</v>
      </c>
      <c r="H1149" s="263">
        <v>0</v>
      </c>
      <c r="I1149" s="263">
        <v>0</v>
      </c>
      <c r="J1149" s="263">
        <v>0</v>
      </c>
      <c r="K1149" s="267">
        <v>6.4</v>
      </c>
    </row>
    <row r="1150" spans="1:11" ht="31.5">
      <c r="A1150" s="9" t="s">
        <v>11421</v>
      </c>
      <c r="B1150" s="16">
        <v>73</v>
      </c>
      <c r="C1150" s="9"/>
      <c r="D1150" s="271" t="s">
        <v>8146</v>
      </c>
      <c r="E1150" s="263">
        <v>0</v>
      </c>
      <c r="F1150" s="263">
        <v>7.2</v>
      </c>
      <c r="G1150" s="263">
        <v>0</v>
      </c>
      <c r="H1150" s="263">
        <v>0</v>
      </c>
      <c r="I1150" s="263">
        <v>0</v>
      </c>
      <c r="J1150" s="263">
        <v>0</v>
      </c>
      <c r="K1150" s="267">
        <v>7.2</v>
      </c>
    </row>
    <row r="1151" spans="1:11">
      <c r="A1151" s="9" t="s">
        <v>11422</v>
      </c>
      <c r="B1151" s="16">
        <v>73</v>
      </c>
      <c r="C1151" s="9"/>
      <c r="D1151" s="271" t="s">
        <v>8147</v>
      </c>
      <c r="E1151" s="263">
        <v>0</v>
      </c>
      <c r="F1151" s="263">
        <v>7.2</v>
      </c>
      <c r="G1151" s="263">
        <v>0</v>
      </c>
      <c r="H1151" s="263">
        <v>0</v>
      </c>
      <c r="I1151" s="263">
        <v>0</v>
      </c>
      <c r="J1151" s="263">
        <v>0</v>
      </c>
      <c r="K1151" s="267">
        <v>7.2</v>
      </c>
    </row>
    <row r="1152" spans="1:11" ht="31.5">
      <c r="A1152" s="9" t="s">
        <v>11423</v>
      </c>
      <c r="B1152" s="16">
        <v>73</v>
      </c>
      <c r="C1152" s="9"/>
      <c r="D1152" s="271" t="s">
        <v>8148</v>
      </c>
      <c r="E1152" s="263">
        <v>0</v>
      </c>
      <c r="F1152" s="263">
        <v>7.2</v>
      </c>
      <c r="G1152" s="263">
        <v>0</v>
      </c>
      <c r="H1152" s="263">
        <v>0</v>
      </c>
      <c r="I1152" s="263">
        <v>0</v>
      </c>
      <c r="J1152" s="263">
        <v>0</v>
      </c>
      <c r="K1152" s="267">
        <v>7.2</v>
      </c>
    </row>
    <row r="1153" spans="1:11" ht="31.5">
      <c r="A1153" s="9" t="s">
        <v>1966</v>
      </c>
      <c r="B1153" s="16">
        <v>73</v>
      </c>
      <c r="C1153" s="9"/>
      <c r="D1153" s="271" t="s">
        <v>8149</v>
      </c>
      <c r="E1153" s="263">
        <v>0</v>
      </c>
      <c r="F1153" s="263">
        <v>0</v>
      </c>
      <c r="G1153" s="263">
        <v>0</v>
      </c>
      <c r="H1153" s="263">
        <v>0</v>
      </c>
      <c r="I1153" s="263">
        <v>0</v>
      </c>
      <c r="J1153" s="263">
        <v>9.6000000000000014</v>
      </c>
      <c r="K1153" s="267">
        <v>9.6000000000000014</v>
      </c>
    </row>
    <row r="1154" spans="1:11" ht="31.5">
      <c r="A1154" s="9" t="s">
        <v>1967</v>
      </c>
      <c r="B1154" s="16">
        <v>73</v>
      </c>
      <c r="C1154" s="9"/>
      <c r="D1154" s="271" t="s">
        <v>8150</v>
      </c>
      <c r="E1154" s="263">
        <v>0</v>
      </c>
      <c r="F1154" s="263">
        <v>0</v>
      </c>
      <c r="G1154" s="263">
        <v>0</v>
      </c>
      <c r="H1154" s="263">
        <v>0</v>
      </c>
      <c r="I1154" s="263">
        <v>0</v>
      </c>
      <c r="J1154" s="263">
        <v>6.4</v>
      </c>
      <c r="K1154" s="267">
        <v>6.4</v>
      </c>
    </row>
    <row r="1155" spans="1:11" ht="31.5">
      <c r="A1155" s="9" t="s">
        <v>1968</v>
      </c>
      <c r="B1155" s="16">
        <v>73</v>
      </c>
      <c r="C1155" s="9"/>
      <c r="D1155" s="271" t="s">
        <v>8151</v>
      </c>
      <c r="E1155" s="263">
        <v>0</v>
      </c>
      <c r="F1155" s="263">
        <v>0</v>
      </c>
      <c r="G1155" s="263">
        <v>0</v>
      </c>
      <c r="H1155" s="263">
        <v>0</v>
      </c>
      <c r="I1155" s="263">
        <v>0</v>
      </c>
      <c r="J1155" s="263">
        <v>6.4</v>
      </c>
      <c r="K1155" s="267">
        <v>6.4</v>
      </c>
    </row>
    <row r="1156" spans="1:11" ht="15.75" customHeight="1">
      <c r="B1156" s="16">
        <v>73</v>
      </c>
      <c r="C1156" s="9"/>
      <c r="D1156" s="272" t="s">
        <v>3674</v>
      </c>
      <c r="E1156" s="273">
        <v>44.8</v>
      </c>
      <c r="F1156" s="273">
        <v>21.6</v>
      </c>
      <c r="G1156" s="273">
        <v>0</v>
      </c>
      <c r="H1156" s="273">
        <v>0</v>
      </c>
      <c r="I1156" s="273">
        <v>0</v>
      </c>
      <c r="J1156" s="273">
        <v>22.4</v>
      </c>
      <c r="K1156" s="273">
        <v>88.800000000000011</v>
      </c>
    </row>
    <row r="1157" spans="1:11">
      <c r="A1157" s="9" t="s">
        <v>11424</v>
      </c>
      <c r="B1157" s="16">
        <v>74</v>
      </c>
      <c r="C1157" s="9"/>
      <c r="D1157" s="271" t="s">
        <v>8152</v>
      </c>
      <c r="E1157" s="263">
        <v>8</v>
      </c>
      <c r="F1157" s="263">
        <v>0</v>
      </c>
      <c r="G1157" s="263">
        <v>0</v>
      </c>
      <c r="H1157" s="263">
        <v>0</v>
      </c>
      <c r="I1157" s="263">
        <v>0</v>
      </c>
      <c r="J1157" s="263">
        <v>0</v>
      </c>
      <c r="K1157" s="267">
        <v>8</v>
      </c>
    </row>
    <row r="1158" spans="1:11">
      <c r="A1158" s="9" t="s">
        <v>11425</v>
      </c>
      <c r="B1158" s="16">
        <v>74</v>
      </c>
      <c r="C1158" s="9"/>
      <c r="D1158" s="271" t="s">
        <v>8153</v>
      </c>
      <c r="E1158" s="263">
        <v>0</v>
      </c>
      <c r="F1158" s="263">
        <v>8</v>
      </c>
      <c r="G1158" s="263">
        <v>0</v>
      </c>
      <c r="H1158" s="263">
        <v>0</v>
      </c>
      <c r="I1158" s="263">
        <v>0</v>
      </c>
      <c r="J1158" s="263">
        <v>0</v>
      </c>
      <c r="K1158" s="267">
        <v>8</v>
      </c>
    </row>
    <row r="1159" spans="1:11">
      <c r="A1159" s="9" t="s">
        <v>11426</v>
      </c>
      <c r="B1159" s="16">
        <v>74</v>
      </c>
      <c r="C1159" s="9"/>
      <c r="D1159" s="271" t="s">
        <v>8154</v>
      </c>
      <c r="E1159" s="263">
        <v>0</v>
      </c>
      <c r="F1159" s="263">
        <v>0</v>
      </c>
      <c r="G1159" s="263">
        <v>8</v>
      </c>
      <c r="H1159" s="263">
        <v>0</v>
      </c>
      <c r="I1159" s="263">
        <v>0</v>
      </c>
      <c r="J1159" s="263">
        <v>0</v>
      </c>
      <c r="K1159" s="267">
        <v>8</v>
      </c>
    </row>
    <row r="1160" spans="1:11">
      <c r="A1160" s="9" t="s">
        <v>11427</v>
      </c>
      <c r="B1160" s="16">
        <v>74</v>
      </c>
      <c r="C1160" s="9"/>
      <c r="D1160" s="271" t="s">
        <v>8155</v>
      </c>
      <c r="E1160" s="263">
        <v>0</v>
      </c>
      <c r="F1160" s="263">
        <v>0</v>
      </c>
      <c r="G1160" s="263">
        <v>4</v>
      </c>
      <c r="H1160" s="263">
        <v>0</v>
      </c>
      <c r="I1160" s="263">
        <v>0</v>
      </c>
      <c r="J1160" s="263">
        <v>0</v>
      </c>
      <c r="K1160" s="267">
        <v>4</v>
      </c>
    </row>
    <row r="1161" spans="1:11">
      <c r="A1161" s="9" t="s">
        <v>1969</v>
      </c>
      <c r="B1161" s="16">
        <v>74</v>
      </c>
      <c r="C1161" s="9"/>
      <c r="D1161" s="271" t="s">
        <v>8156</v>
      </c>
      <c r="E1161" s="263">
        <v>0</v>
      </c>
      <c r="F1161" s="263">
        <v>0</v>
      </c>
      <c r="G1161" s="263">
        <v>0</v>
      </c>
      <c r="H1161" s="263">
        <v>0</v>
      </c>
      <c r="I1161" s="263">
        <v>0</v>
      </c>
      <c r="J1161" s="263">
        <v>8</v>
      </c>
      <c r="K1161" s="267">
        <v>8</v>
      </c>
    </row>
    <row r="1162" spans="1:11">
      <c r="A1162" s="9" t="s">
        <v>1970</v>
      </c>
      <c r="B1162" s="16">
        <v>74</v>
      </c>
      <c r="C1162" s="9"/>
      <c r="D1162" s="271" t="s">
        <v>8157</v>
      </c>
      <c r="E1162" s="263">
        <v>0</v>
      </c>
      <c r="F1162" s="263">
        <v>0</v>
      </c>
      <c r="G1162" s="263">
        <v>0</v>
      </c>
      <c r="H1162" s="263">
        <v>0</v>
      </c>
      <c r="I1162" s="263">
        <v>0</v>
      </c>
      <c r="J1162" s="263">
        <v>8</v>
      </c>
      <c r="K1162" s="267">
        <v>8</v>
      </c>
    </row>
    <row r="1163" spans="1:11">
      <c r="A1163" s="9" t="s">
        <v>1971</v>
      </c>
      <c r="B1163" s="16">
        <v>74</v>
      </c>
      <c r="C1163" s="9"/>
      <c r="D1163" s="271" t="s">
        <v>8158</v>
      </c>
      <c r="E1163" s="263">
        <v>0</v>
      </c>
      <c r="F1163" s="263">
        <v>0</v>
      </c>
      <c r="G1163" s="263">
        <v>0</v>
      </c>
      <c r="H1163" s="263">
        <v>0</v>
      </c>
      <c r="I1163" s="263">
        <v>0</v>
      </c>
      <c r="J1163" s="263">
        <v>8</v>
      </c>
      <c r="K1163" s="267">
        <v>8</v>
      </c>
    </row>
    <row r="1164" spans="1:11">
      <c r="A1164" s="9" t="s">
        <v>1972</v>
      </c>
      <c r="B1164" s="16">
        <v>74</v>
      </c>
      <c r="C1164" s="9"/>
      <c r="D1164" s="271" t="s">
        <v>8159</v>
      </c>
      <c r="E1164" s="263">
        <v>0</v>
      </c>
      <c r="F1164" s="263">
        <v>0</v>
      </c>
      <c r="G1164" s="263">
        <v>0</v>
      </c>
      <c r="H1164" s="263">
        <v>0</v>
      </c>
      <c r="I1164" s="263">
        <v>0</v>
      </c>
      <c r="J1164" s="263">
        <v>8</v>
      </c>
      <c r="K1164" s="267">
        <v>8</v>
      </c>
    </row>
    <row r="1165" spans="1:11">
      <c r="B1165" s="16">
        <v>74</v>
      </c>
      <c r="C1165" s="9"/>
      <c r="D1165" s="271"/>
      <c r="E1165" s="263"/>
      <c r="F1165" s="263"/>
      <c r="G1165" s="263"/>
      <c r="H1165" s="263"/>
      <c r="I1165" s="263"/>
      <c r="J1165" s="263"/>
      <c r="K1165" s="267">
        <v>0</v>
      </c>
    </row>
    <row r="1166" spans="1:11" ht="15.75" customHeight="1">
      <c r="B1166" s="16">
        <v>74</v>
      </c>
      <c r="C1166" s="9"/>
      <c r="D1166" s="272" t="s">
        <v>3674</v>
      </c>
      <c r="E1166" s="273">
        <v>8</v>
      </c>
      <c r="F1166" s="273">
        <v>8</v>
      </c>
      <c r="G1166" s="273">
        <v>12</v>
      </c>
      <c r="H1166" s="273">
        <v>0</v>
      </c>
      <c r="I1166" s="273">
        <v>0</v>
      </c>
      <c r="J1166" s="273">
        <v>32</v>
      </c>
      <c r="K1166" s="273">
        <v>60</v>
      </c>
    </row>
    <row r="1167" spans="1:11">
      <c r="C1167" s="9"/>
      <c r="D1167" s="271"/>
      <c r="E1167" s="263"/>
      <c r="F1167" s="263"/>
      <c r="G1167" s="263"/>
      <c r="H1167" s="263"/>
      <c r="I1167" s="263"/>
      <c r="J1167" s="263"/>
      <c r="K1167" s="267">
        <v>0</v>
      </c>
    </row>
    <row r="1168" spans="1:11">
      <c r="A1168" s="9" t="s">
        <v>11428</v>
      </c>
      <c r="B1168" s="16">
        <v>75</v>
      </c>
      <c r="C1168" s="9"/>
      <c r="D1168" s="271" t="s">
        <v>8160</v>
      </c>
      <c r="E1168" s="263">
        <v>0</v>
      </c>
      <c r="F1168" s="263">
        <v>12</v>
      </c>
      <c r="G1168" s="263">
        <v>0</v>
      </c>
      <c r="H1168" s="263">
        <v>0</v>
      </c>
      <c r="I1168" s="263">
        <v>0</v>
      </c>
      <c r="J1168" s="263">
        <v>0</v>
      </c>
      <c r="K1168" s="267">
        <v>12</v>
      </c>
    </row>
    <row r="1169" spans="1:11">
      <c r="A1169" s="9" t="s">
        <v>11429</v>
      </c>
      <c r="B1169" s="16">
        <v>75</v>
      </c>
      <c r="C1169" s="9"/>
      <c r="D1169" s="271" t="s">
        <v>8161</v>
      </c>
      <c r="E1169" s="263">
        <v>0</v>
      </c>
      <c r="F1169" s="263">
        <v>12</v>
      </c>
      <c r="G1169" s="263">
        <v>0</v>
      </c>
      <c r="H1169" s="263">
        <v>0</v>
      </c>
      <c r="I1169" s="263">
        <v>0</v>
      </c>
      <c r="J1169" s="263">
        <v>0</v>
      </c>
      <c r="K1169" s="267">
        <v>12</v>
      </c>
    </row>
    <row r="1170" spans="1:11">
      <c r="A1170" s="9" t="s">
        <v>11430</v>
      </c>
      <c r="B1170" s="16">
        <v>75</v>
      </c>
      <c r="C1170" s="9"/>
      <c r="D1170" s="271" t="s">
        <v>8162</v>
      </c>
      <c r="E1170" s="263">
        <v>0</v>
      </c>
      <c r="F1170" s="263">
        <v>0</v>
      </c>
      <c r="G1170" s="263">
        <v>8</v>
      </c>
      <c r="H1170" s="263">
        <v>0</v>
      </c>
      <c r="I1170" s="263">
        <v>0</v>
      </c>
      <c r="J1170" s="263">
        <v>0</v>
      </c>
      <c r="K1170" s="267">
        <v>8</v>
      </c>
    </row>
    <row r="1171" spans="1:11">
      <c r="A1171" s="9" t="s">
        <v>11431</v>
      </c>
      <c r="B1171" s="16">
        <v>75</v>
      </c>
      <c r="C1171" s="9"/>
      <c r="D1171" s="271" t="s">
        <v>8163</v>
      </c>
      <c r="E1171" s="263">
        <v>0</v>
      </c>
      <c r="F1171" s="263">
        <v>0</v>
      </c>
      <c r="G1171" s="263">
        <v>8</v>
      </c>
      <c r="H1171" s="263">
        <v>0</v>
      </c>
      <c r="I1171" s="263">
        <v>0</v>
      </c>
      <c r="J1171" s="263">
        <v>0</v>
      </c>
      <c r="K1171" s="267">
        <v>8</v>
      </c>
    </row>
    <row r="1172" spans="1:11">
      <c r="A1172" s="9" t="s">
        <v>1973</v>
      </c>
      <c r="B1172" s="16">
        <v>75</v>
      </c>
      <c r="C1172" s="9"/>
      <c r="D1172" s="271" t="s">
        <v>8164</v>
      </c>
      <c r="E1172" s="263">
        <v>0</v>
      </c>
      <c r="F1172" s="263">
        <v>0</v>
      </c>
      <c r="G1172" s="263">
        <v>0</v>
      </c>
      <c r="H1172" s="263">
        <v>0</v>
      </c>
      <c r="I1172" s="263">
        <v>0</v>
      </c>
      <c r="J1172" s="263">
        <v>8</v>
      </c>
      <c r="K1172" s="267">
        <v>8</v>
      </c>
    </row>
    <row r="1173" spans="1:11">
      <c r="A1173" s="9" t="s">
        <v>1974</v>
      </c>
      <c r="B1173" s="16">
        <v>75</v>
      </c>
      <c r="C1173" s="9"/>
      <c r="D1173" s="271" t="s">
        <v>8165</v>
      </c>
      <c r="E1173" s="263">
        <v>0</v>
      </c>
      <c r="F1173" s="263">
        <v>0</v>
      </c>
      <c r="G1173" s="263">
        <v>0</v>
      </c>
      <c r="H1173" s="263">
        <v>0</v>
      </c>
      <c r="I1173" s="263">
        <v>0</v>
      </c>
      <c r="J1173" s="263">
        <v>5.6000000000000005</v>
      </c>
      <c r="K1173" s="267">
        <v>5.6000000000000005</v>
      </c>
    </row>
    <row r="1174" spans="1:11">
      <c r="A1174" s="9" t="s">
        <v>1975</v>
      </c>
      <c r="B1174" s="16">
        <v>75</v>
      </c>
      <c r="C1174" s="9"/>
      <c r="D1174" s="271" t="s">
        <v>8166</v>
      </c>
      <c r="E1174" s="263">
        <v>0</v>
      </c>
      <c r="F1174" s="263">
        <v>0</v>
      </c>
      <c r="G1174" s="263">
        <v>0</v>
      </c>
      <c r="H1174" s="263">
        <v>0</v>
      </c>
      <c r="I1174" s="263">
        <v>0</v>
      </c>
      <c r="J1174" s="263">
        <v>6.4</v>
      </c>
      <c r="K1174" s="267">
        <v>6.4</v>
      </c>
    </row>
    <row r="1175" spans="1:11">
      <c r="B1175" s="16">
        <v>75</v>
      </c>
      <c r="C1175" s="9"/>
      <c r="D1175" s="271"/>
      <c r="E1175" s="263"/>
      <c r="F1175" s="263"/>
      <c r="G1175" s="263"/>
      <c r="H1175" s="263"/>
      <c r="I1175" s="263"/>
      <c r="J1175" s="263"/>
      <c r="K1175" s="267">
        <v>0</v>
      </c>
    </row>
    <row r="1176" spans="1:11" ht="15.75" customHeight="1">
      <c r="B1176" s="16">
        <v>75</v>
      </c>
      <c r="C1176" s="9"/>
      <c r="D1176" s="272" t="s">
        <v>3674</v>
      </c>
      <c r="E1176" s="273">
        <v>0</v>
      </c>
      <c r="F1176" s="273">
        <v>24</v>
      </c>
      <c r="G1176" s="273">
        <v>16</v>
      </c>
      <c r="H1176" s="273">
        <v>0</v>
      </c>
      <c r="I1176" s="273">
        <v>0</v>
      </c>
      <c r="J1176" s="273">
        <v>20</v>
      </c>
      <c r="K1176" s="273">
        <v>60</v>
      </c>
    </row>
    <row r="1177" spans="1:11">
      <c r="C1177" s="9"/>
      <c r="D1177" s="271"/>
      <c r="E1177" s="263"/>
      <c r="F1177" s="263"/>
      <c r="G1177" s="263"/>
      <c r="H1177" s="263"/>
      <c r="I1177" s="263"/>
      <c r="J1177" s="263"/>
      <c r="K1177" s="267">
        <v>0</v>
      </c>
    </row>
    <row r="1178" spans="1:11">
      <c r="A1178" s="9" t="s">
        <v>11432</v>
      </c>
      <c r="B1178" s="16">
        <v>76</v>
      </c>
      <c r="C1178" s="9"/>
      <c r="D1178" s="271" t="s">
        <v>8167</v>
      </c>
      <c r="E1178" s="263">
        <v>8</v>
      </c>
      <c r="F1178" s="263">
        <v>0</v>
      </c>
      <c r="G1178" s="263">
        <v>0</v>
      </c>
      <c r="H1178" s="263">
        <v>0</v>
      </c>
      <c r="I1178" s="263">
        <v>0</v>
      </c>
      <c r="J1178" s="263">
        <v>0</v>
      </c>
      <c r="K1178" s="267">
        <v>8</v>
      </c>
    </row>
    <row r="1179" spans="1:11">
      <c r="A1179" s="9" t="s">
        <v>11433</v>
      </c>
      <c r="B1179" s="16">
        <v>76</v>
      </c>
      <c r="C1179" s="9"/>
      <c r="D1179" s="271" t="s">
        <v>8168</v>
      </c>
      <c r="E1179" s="263">
        <v>8</v>
      </c>
      <c r="F1179" s="263">
        <v>0</v>
      </c>
      <c r="G1179" s="263">
        <v>0</v>
      </c>
      <c r="H1179" s="263">
        <v>0</v>
      </c>
      <c r="I1179" s="263">
        <v>0</v>
      </c>
      <c r="J1179" s="263">
        <v>0</v>
      </c>
      <c r="K1179" s="267">
        <v>8</v>
      </c>
    </row>
    <row r="1180" spans="1:11">
      <c r="A1180" s="9" t="s">
        <v>11434</v>
      </c>
      <c r="B1180" s="16">
        <v>76</v>
      </c>
      <c r="C1180" s="9"/>
      <c r="D1180" s="271" t="s">
        <v>8169</v>
      </c>
      <c r="E1180" s="263">
        <v>0</v>
      </c>
      <c r="F1180" s="263">
        <v>8</v>
      </c>
      <c r="G1180" s="263">
        <v>0</v>
      </c>
      <c r="H1180" s="263">
        <v>0</v>
      </c>
      <c r="I1180" s="263">
        <v>0</v>
      </c>
      <c r="J1180" s="263">
        <v>0</v>
      </c>
      <c r="K1180" s="267">
        <v>8</v>
      </c>
    </row>
    <row r="1181" spans="1:11">
      <c r="A1181" s="9" t="s">
        <v>11435</v>
      </c>
      <c r="B1181" s="16">
        <v>76</v>
      </c>
      <c r="C1181" s="9"/>
      <c r="D1181" s="271" t="s">
        <v>8170</v>
      </c>
      <c r="E1181" s="263">
        <v>0</v>
      </c>
      <c r="F1181" s="263">
        <v>4</v>
      </c>
      <c r="G1181" s="263">
        <v>0</v>
      </c>
      <c r="H1181" s="263">
        <v>0</v>
      </c>
      <c r="I1181" s="263">
        <v>0</v>
      </c>
      <c r="J1181" s="263">
        <v>0</v>
      </c>
      <c r="K1181" s="267">
        <v>4</v>
      </c>
    </row>
    <row r="1182" spans="1:11">
      <c r="A1182" s="9" t="s">
        <v>11436</v>
      </c>
      <c r="B1182" s="16">
        <v>76</v>
      </c>
      <c r="C1182" s="9"/>
      <c r="D1182" s="271" t="s">
        <v>8171</v>
      </c>
      <c r="E1182" s="263">
        <v>0</v>
      </c>
      <c r="F1182" s="263">
        <v>0</v>
      </c>
      <c r="G1182" s="263">
        <v>8</v>
      </c>
      <c r="H1182" s="263">
        <v>0</v>
      </c>
      <c r="I1182" s="263">
        <v>0</v>
      </c>
      <c r="J1182" s="263">
        <v>0</v>
      </c>
      <c r="K1182" s="267">
        <v>8</v>
      </c>
    </row>
    <row r="1183" spans="1:11">
      <c r="A1183" s="9" t="s">
        <v>1976</v>
      </c>
      <c r="B1183" s="16">
        <v>76</v>
      </c>
      <c r="C1183" s="9"/>
      <c r="D1183" s="271" t="s">
        <v>8172</v>
      </c>
      <c r="E1183" s="263">
        <v>0</v>
      </c>
      <c r="F1183" s="263">
        <v>0</v>
      </c>
      <c r="G1183" s="263">
        <v>0</v>
      </c>
      <c r="H1183" s="263">
        <v>0</v>
      </c>
      <c r="I1183" s="263">
        <v>0</v>
      </c>
      <c r="J1183" s="263">
        <v>7.2</v>
      </c>
      <c r="K1183" s="267">
        <v>7.2</v>
      </c>
    </row>
    <row r="1184" spans="1:11">
      <c r="B1184" s="16">
        <v>76</v>
      </c>
      <c r="C1184" s="9"/>
      <c r="D1184" s="271"/>
      <c r="E1184" s="263"/>
      <c r="F1184" s="263"/>
      <c r="G1184" s="263"/>
      <c r="H1184" s="263"/>
      <c r="I1184" s="263"/>
      <c r="J1184" s="263"/>
      <c r="K1184" s="267">
        <v>0</v>
      </c>
    </row>
    <row r="1185" spans="1:11" ht="15.75" customHeight="1">
      <c r="B1185" s="16">
        <v>76</v>
      </c>
      <c r="C1185" s="9"/>
      <c r="D1185" s="272" t="s">
        <v>3674</v>
      </c>
      <c r="E1185" s="273">
        <v>16</v>
      </c>
      <c r="F1185" s="273">
        <v>12</v>
      </c>
      <c r="G1185" s="273">
        <v>8</v>
      </c>
      <c r="H1185" s="273">
        <v>0</v>
      </c>
      <c r="I1185" s="273">
        <v>0</v>
      </c>
      <c r="J1185" s="273">
        <v>7.2</v>
      </c>
      <c r="K1185" s="273">
        <v>43.2</v>
      </c>
    </row>
    <row r="1186" spans="1:11">
      <c r="C1186" s="9"/>
      <c r="D1186" s="271"/>
      <c r="E1186" s="263"/>
      <c r="F1186" s="263"/>
      <c r="G1186" s="263"/>
      <c r="H1186" s="263"/>
      <c r="I1186" s="263"/>
      <c r="J1186" s="263"/>
      <c r="K1186" s="267">
        <v>0</v>
      </c>
    </row>
    <row r="1187" spans="1:11" ht="15.75" customHeight="1">
      <c r="B1187" s="16">
        <v>0</v>
      </c>
      <c r="C1187" s="9"/>
      <c r="D1187" s="269" t="s">
        <v>13088</v>
      </c>
      <c r="E1187" s="270">
        <v>84.8</v>
      </c>
      <c r="F1187" s="270">
        <v>73.599999999999994</v>
      </c>
      <c r="G1187" s="270">
        <v>36</v>
      </c>
      <c r="H1187" s="270">
        <v>0</v>
      </c>
      <c r="I1187" s="270">
        <v>0</v>
      </c>
      <c r="J1187" s="270">
        <v>109.60000000000001</v>
      </c>
      <c r="K1187" s="270">
        <v>304</v>
      </c>
    </row>
    <row r="1188" spans="1:11">
      <c r="C1188" s="9"/>
      <c r="D1188" s="271"/>
      <c r="E1188" s="263"/>
      <c r="F1188" s="263"/>
      <c r="G1188" s="263"/>
      <c r="H1188" s="263"/>
      <c r="I1188" s="263"/>
      <c r="J1188" s="263"/>
      <c r="K1188" s="267">
        <v>0</v>
      </c>
    </row>
    <row r="1189" spans="1:11">
      <c r="C1189" s="9"/>
      <c r="D1189" s="271" t="s">
        <v>4280</v>
      </c>
      <c r="E1189" s="263"/>
      <c r="F1189" s="263"/>
      <c r="G1189" s="263"/>
      <c r="H1189" s="263"/>
      <c r="I1189" s="263"/>
      <c r="J1189" s="263"/>
      <c r="K1189" s="267">
        <v>0</v>
      </c>
    </row>
    <row r="1190" spans="1:11">
      <c r="C1190" s="9"/>
      <c r="D1190" s="271"/>
      <c r="E1190" s="263"/>
      <c r="F1190" s="263"/>
      <c r="G1190" s="263"/>
      <c r="H1190" s="263"/>
      <c r="I1190" s="263"/>
      <c r="J1190" s="263"/>
      <c r="K1190" s="267">
        <v>0</v>
      </c>
    </row>
    <row r="1191" spans="1:11">
      <c r="A1191" s="9" t="s">
        <v>11437</v>
      </c>
      <c r="B1191" s="16">
        <v>41</v>
      </c>
      <c r="C1191" s="9"/>
      <c r="D1191" s="271" t="s">
        <v>8002</v>
      </c>
      <c r="E1191" s="263">
        <v>6.4</v>
      </c>
      <c r="F1191" s="263">
        <v>0</v>
      </c>
      <c r="G1191" s="263">
        <v>0</v>
      </c>
      <c r="H1191" s="263">
        <v>0</v>
      </c>
      <c r="I1191" s="263">
        <v>0</v>
      </c>
      <c r="J1191" s="263">
        <v>0</v>
      </c>
      <c r="K1191" s="267">
        <v>6.4</v>
      </c>
    </row>
    <row r="1192" spans="1:11">
      <c r="A1192" s="9" t="s">
        <v>11438</v>
      </c>
      <c r="B1192" s="16">
        <v>41</v>
      </c>
      <c r="C1192" s="9"/>
      <c r="D1192" s="271" t="s">
        <v>8003</v>
      </c>
      <c r="E1192" s="263">
        <v>6.4</v>
      </c>
      <c r="F1192" s="263">
        <v>0</v>
      </c>
      <c r="G1192" s="263">
        <v>0</v>
      </c>
      <c r="H1192" s="263">
        <v>0</v>
      </c>
      <c r="I1192" s="263">
        <v>0</v>
      </c>
      <c r="J1192" s="263">
        <v>0</v>
      </c>
      <c r="K1192" s="267">
        <v>6.4</v>
      </c>
    </row>
    <row r="1193" spans="1:11">
      <c r="A1193" s="9" t="s">
        <v>11439</v>
      </c>
      <c r="B1193" s="16">
        <v>41</v>
      </c>
      <c r="C1193" s="9"/>
      <c r="D1193" s="271" t="s">
        <v>8004</v>
      </c>
      <c r="E1193" s="263">
        <v>6.4</v>
      </c>
      <c r="F1193" s="263">
        <v>0</v>
      </c>
      <c r="G1193" s="263">
        <v>0</v>
      </c>
      <c r="H1193" s="263">
        <v>0</v>
      </c>
      <c r="I1193" s="263">
        <v>0</v>
      </c>
      <c r="J1193" s="263">
        <v>0</v>
      </c>
      <c r="K1193" s="267">
        <v>6.4</v>
      </c>
    </row>
    <row r="1194" spans="1:11">
      <c r="A1194" s="9" t="s">
        <v>11440</v>
      </c>
      <c r="B1194" s="16">
        <v>41</v>
      </c>
      <c r="C1194" s="9"/>
      <c r="D1194" s="271" t="s">
        <v>8005</v>
      </c>
      <c r="E1194" s="263">
        <v>0</v>
      </c>
      <c r="F1194" s="263">
        <v>0</v>
      </c>
      <c r="G1194" s="263">
        <v>6.4</v>
      </c>
      <c r="H1194" s="263">
        <v>0</v>
      </c>
      <c r="I1194" s="263">
        <v>0</v>
      </c>
      <c r="J1194" s="263">
        <v>0</v>
      </c>
      <c r="K1194" s="267">
        <v>6.4</v>
      </c>
    </row>
    <row r="1195" spans="1:11">
      <c r="A1195" s="9" t="s">
        <v>11441</v>
      </c>
      <c r="B1195" s="16">
        <v>41</v>
      </c>
      <c r="C1195" s="9"/>
      <c r="D1195" s="271" t="s">
        <v>8006</v>
      </c>
      <c r="E1195" s="263">
        <v>0</v>
      </c>
      <c r="F1195" s="263">
        <v>0</v>
      </c>
      <c r="G1195" s="263">
        <v>0</v>
      </c>
      <c r="H1195" s="263">
        <v>4.8000000000000007</v>
      </c>
      <c r="I1195" s="263">
        <v>0</v>
      </c>
      <c r="J1195" s="263">
        <v>0</v>
      </c>
      <c r="K1195" s="267">
        <v>4.8000000000000007</v>
      </c>
    </row>
    <row r="1196" spans="1:11">
      <c r="A1196" s="9" t="s">
        <v>11442</v>
      </c>
      <c r="B1196" s="16">
        <v>41</v>
      </c>
      <c r="C1196" s="9"/>
      <c r="D1196" s="271" t="s">
        <v>8007</v>
      </c>
      <c r="E1196" s="263">
        <v>0</v>
      </c>
      <c r="F1196" s="263">
        <v>0</v>
      </c>
      <c r="G1196" s="263">
        <v>0</v>
      </c>
      <c r="H1196" s="263">
        <v>4.8000000000000007</v>
      </c>
      <c r="I1196" s="263">
        <v>0</v>
      </c>
      <c r="J1196" s="263">
        <v>0</v>
      </c>
      <c r="K1196" s="267">
        <v>4.8000000000000007</v>
      </c>
    </row>
    <row r="1197" spans="1:11">
      <c r="A1197" s="9" t="s">
        <v>1977</v>
      </c>
      <c r="B1197" s="16">
        <v>41</v>
      </c>
      <c r="C1197" s="9"/>
      <c r="D1197" s="271" t="s">
        <v>12624</v>
      </c>
      <c r="E1197" s="263">
        <v>0</v>
      </c>
      <c r="F1197" s="263">
        <v>0</v>
      </c>
      <c r="G1197" s="263">
        <v>0</v>
      </c>
      <c r="H1197" s="263">
        <v>0</v>
      </c>
      <c r="I1197" s="263">
        <v>0</v>
      </c>
      <c r="J1197" s="263">
        <v>6.4</v>
      </c>
      <c r="K1197" s="267">
        <v>6.4</v>
      </c>
    </row>
    <row r="1198" spans="1:11">
      <c r="A1198" s="9" t="s">
        <v>1978</v>
      </c>
      <c r="B1198" s="16">
        <v>41</v>
      </c>
      <c r="C1198" s="9"/>
      <c r="D1198" s="271" t="s">
        <v>8008</v>
      </c>
      <c r="E1198" s="263">
        <v>0</v>
      </c>
      <c r="F1198" s="263">
        <v>0</v>
      </c>
      <c r="G1198" s="263">
        <v>0</v>
      </c>
      <c r="H1198" s="263">
        <v>0</v>
      </c>
      <c r="I1198" s="263">
        <v>0</v>
      </c>
      <c r="J1198" s="263">
        <v>6.4</v>
      </c>
      <c r="K1198" s="267">
        <v>6.4</v>
      </c>
    </row>
    <row r="1199" spans="1:11">
      <c r="A1199" s="9" t="s">
        <v>11443</v>
      </c>
      <c r="B1199" s="16">
        <v>41</v>
      </c>
      <c r="C1199" s="9"/>
      <c r="D1199" s="271" t="s">
        <v>8009</v>
      </c>
      <c r="E1199" s="263">
        <v>0</v>
      </c>
      <c r="F1199" s="263">
        <v>3.2</v>
      </c>
      <c r="G1199" s="263">
        <v>0</v>
      </c>
      <c r="H1199" s="263">
        <v>0</v>
      </c>
      <c r="I1199" s="263">
        <v>0</v>
      </c>
      <c r="J1199" s="263">
        <v>0</v>
      </c>
      <c r="K1199" s="267">
        <v>3.2</v>
      </c>
    </row>
    <row r="1200" spans="1:11">
      <c r="A1200" s="9" t="s">
        <v>11444</v>
      </c>
      <c r="B1200" s="16">
        <v>41</v>
      </c>
      <c r="C1200" s="9"/>
      <c r="D1200" s="271" t="s">
        <v>8010</v>
      </c>
      <c r="E1200" s="263">
        <v>0</v>
      </c>
      <c r="F1200" s="263">
        <v>4.8000000000000007</v>
      </c>
      <c r="G1200" s="263">
        <v>0</v>
      </c>
      <c r="H1200" s="263">
        <v>0</v>
      </c>
      <c r="I1200" s="263">
        <v>0</v>
      </c>
      <c r="J1200" s="263">
        <v>0</v>
      </c>
      <c r="K1200" s="267">
        <v>4.8000000000000007</v>
      </c>
    </row>
    <row r="1201" spans="1:11">
      <c r="A1201" s="9" t="s">
        <v>11445</v>
      </c>
      <c r="B1201" s="16">
        <v>41</v>
      </c>
      <c r="C1201" s="9"/>
      <c r="D1201" s="271" t="s">
        <v>8011</v>
      </c>
      <c r="E1201" s="263">
        <v>0</v>
      </c>
      <c r="F1201" s="263">
        <v>4</v>
      </c>
      <c r="G1201" s="263">
        <v>0</v>
      </c>
      <c r="H1201" s="263">
        <v>0</v>
      </c>
      <c r="I1201" s="263">
        <v>0</v>
      </c>
      <c r="J1201" s="263">
        <v>0</v>
      </c>
      <c r="K1201" s="267">
        <v>4</v>
      </c>
    </row>
    <row r="1202" spans="1:11">
      <c r="A1202" s="9" t="s">
        <v>11446</v>
      </c>
      <c r="B1202" s="16">
        <v>41</v>
      </c>
      <c r="C1202" s="9"/>
      <c r="D1202" s="271" t="s">
        <v>8012</v>
      </c>
      <c r="E1202" s="263">
        <v>0</v>
      </c>
      <c r="F1202" s="263">
        <v>4</v>
      </c>
      <c r="G1202" s="263">
        <v>0</v>
      </c>
      <c r="H1202" s="263">
        <v>0</v>
      </c>
      <c r="I1202" s="263">
        <v>0</v>
      </c>
      <c r="J1202" s="263">
        <v>0</v>
      </c>
      <c r="K1202" s="267">
        <v>4</v>
      </c>
    </row>
    <row r="1203" spans="1:11">
      <c r="A1203" s="9" t="s">
        <v>11447</v>
      </c>
      <c r="B1203" s="16">
        <v>41</v>
      </c>
      <c r="C1203" s="9"/>
      <c r="D1203" s="271" t="s">
        <v>8013</v>
      </c>
      <c r="E1203" s="263">
        <v>0</v>
      </c>
      <c r="F1203" s="263">
        <v>3.2</v>
      </c>
      <c r="G1203" s="263">
        <v>0</v>
      </c>
      <c r="H1203" s="263">
        <v>0</v>
      </c>
      <c r="I1203" s="263">
        <v>0</v>
      </c>
      <c r="J1203" s="263">
        <v>0</v>
      </c>
      <c r="K1203" s="267">
        <v>3.2</v>
      </c>
    </row>
    <row r="1204" spans="1:11">
      <c r="A1204" s="9" t="s">
        <v>11448</v>
      </c>
      <c r="B1204" s="16">
        <v>41</v>
      </c>
      <c r="C1204" s="9"/>
      <c r="D1204" s="271" t="s">
        <v>8014</v>
      </c>
      <c r="E1204" s="263">
        <v>0</v>
      </c>
      <c r="F1204" s="263">
        <v>3.2</v>
      </c>
      <c r="G1204" s="263">
        <v>0</v>
      </c>
      <c r="H1204" s="263">
        <v>0</v>
      </c>
      <c r="I1204" s="263">
        <v>0</v>
      </c>
      <c r="J1204" s="263">
        <v>0</v>
      </c>
      <c r="K1204" s="267">
        <v>3.2</v>
      </c>
    </row>
    <row r="1205" spans="1:11">
      <c r="A1205" s="9" t="s">
        <v>11449</v>
      </c>
      <c r="B1205" s="16">
        <v>41</v>
      </c>
      <c r="C1205" s="9"/>
      <c r="D1205" s="271" t="s">
        <v>8015</v>
      </c>
      <c r="E1205" s="263">
        <v>0</v>
      </c>
      <c r="F1205" s="263">
        <v>3.2</v>
      </c>
      <c r="G1205" s="263">
        <v>0</v>
      </c>
      <c r="H1205" s="263">
        <v>0</v>
      </c>
      <c r="I1205" s="263">
        <v>0</v>
      </c>
      <c r="J1205" s="263">
        <v>0</v>
      </c>
      <c r="K1205" s="267">
        <v>3.2</v>
      </c>
    </row>
    <row r="1206" spans="1:11">
      <c r="A1206" s="9" t="s">
        <v>11450</v>
      </c>
      <c r="B1206" s="16">
        <v>41</v>
      </c>
      <c r="C1206" s="9"/>
      <c r="D1206" s="271" t="s">
        <v>8016</v>
      </c>
      <c r="E1206" s="263">
        <v>12</v>
      </c>
      <c r="F1206" s="263">
        <v>0</v>
      </c>
      <c r="G1206" s="263">
        <v>0</v>
      </c>
      <c r="H1206" s="263">
        <v>0</v>
      </c>
      <c r="I1206" s="263">
        <v>0</v>
      </c>
      <c r="J1206" s="263">
        <v>0</v>
      </c>
      <c r="K1206" s="267">
        <v>12</v>
      </c>
    </row>
    <row r="1207" spans="1:11">
      <c r="A1207" s="9" t="s">
        <v>1979</v>
      </c>
      <c r="B1207" s="16">
        <v>41</v>
      </c>
      <c r="C1207" s="9"/>
      <c r="D1207" s="271" t="s">
        <v>8017</v>
      </c>
      <c r="E1207" s="263">
        <v>0</v>
      </c>
      <c r="F1207" s="263">
        <v>0</v>
      </c>
      <c r="G1207" s="263">
        <v>0</v>
      </c>
      <c r="H1207" s="263">
        <v>0</v>
      </c>
      <c r="I1207" s="263">
        <v>0</v>
      </c>
      <c r="J1207" s="263">
        <v>11.200000000000001</v>
      </c>
      <c r="K1207" s="267">
        <v>11.200000000000001</v>
      </c>
    </row>
    <row r="1208" spans="1:11">
      <c r="A1208" s="9" t="s">
        <v>1980</v>
      </c>
      <c r="B1208" s="16">
        <v>41</v>
      </c>
      <c r="C1208" s="9"/>
      <c r="D1208" s="271" t="s">
        <v>8018</v>
      </c>
      <c r="E1208" s="263">
        <v>0</v>
      </c>
      <c r="F1208" s="263">
        <v>0</v>
      </c>
      <c r="G1208" s="263">
        <v>0</v>
      </c>
      <c r="H1208" s="263">
        <v>0</v>
      </c>
      <c r="I1208" s="263">
        <v>0</v>
      </c>
      <c r="J1208" s="263">
        <v>12</v>
      </c>
      <c r="K1208" s="267">
        <v>12</v>
      </c>
    </row>
    <row r="1209" spans="1:11">
      <c r="B1209" s="16">
        <v>41</v>
      </c>
      <c r="C1209" s="9"/>
      <c r="D1209" s="271"/>
      <c r="E1209" s="263"/>
      <c r="F1209" s="263"/>
      <c r="G1209" s="263"/>
      <c r="H1209" s="263"/>
      <c r="I1209" s="263"/>
      <c r="J1209" s="263"/>
      <c r="K1209" s="267">
        <v>0</v>
      </c>
    </row>
    <row r="1210" spans="1:11" ht="15.75" customHeight="1">
      <c r="B1210" s="16">
        <v>41</v>
      </c>
      <c r="C1210" s="9"/>
      <c r="D1210" s="272" t="s">
        <v>3674</v>
      </c>
      <c r="E1210" s="273">
        <v>31.200000000000003</v>
      </c>
      <c r="F1210" s="273">
        <v>25.599999999999998</v>
      </c>
      <c r="G1210" s="273">
        <v>6.4</v>
      </c>
      <c r="H1210" s="273">
        <v>9.6000000000000014</v>
      </c>
      <c r="I1210" s="273">
        <v>0</v>
      </c>
      <c r="J1210" s="273">
        <v>36</v>
      </c>
      <c r="K1210" s="273">
        <v>108.80000000000001</v>
      </c>
    </row>
    <row r="1211" spans="1:11">
      <c r="C1211" s="9"/>
      <c r="D1211" s="271"/>
      <c r="E1211" s="263"/>
      <c r="F1211" s="263"/>
      <c r="G1211" s="263"/>
      <c r="H1211" s="263"/>
      <c r="I1211" s="263"/>
      <c r="J1211" s="263"/>
      <c r="K1211" s="267">
        <v>0</v>
      </c>
    </row>
    <row r="1212" spans="1:11">
      <c r="A1212" s="9" t="s">
        <v>11451</v>
      </c>
      <c r="B1212" s="16">
        <v>46</v>
      </c>
      <c r="C1212" s="9"/>
      <c r="D1212" s="271" t="s">
        <v>8019</v>
      </c>
      <c r="E1212" s="263">
        <v>4</v>
      </c>
      <c r="F1212" s="263">
        <v>0</v>
      </c>
      <c r="G1212" s="263">
        <v>0</v>
      </c>
      <c r="H1212" s="263">
        <v>0</v>
      </c>
      <c r="I1212" s="263">
        <v>0</v>
      </c>
      <c r="J1212" s="263">
        <v>0</v>
      </c>
      <c r="K1212" s="267">
        <v>4</v>
      </c>
    </row>
    <row r="1213" spans="1:11">
      <c r="A1213" s="9" t="s">
        <v>11452</v>
      </c>
      <c r="B1213" s="16">
        <v>46</v>
      </c>
      <c r="C1213" s="9"/>
      <c r="D1213" s="271" t="s">
        <v>8020</v>
      </c>
      <c r="E1213" s="263">
        <v>4</v>
      </c>
      <c r="F1213" s="263">
        <v>0</v>
      </c>
      <c r="G1213" s="263">
        <v>0</v>
      </c>
      <c r="H1213" s="263">
        <v>0</v>
      </c>
      <c r="I1213" s="263">
        <v>0</v>
      </c>
      <c r="J1213" s="263">
        <v>0</v>
      </c>
      <c r="K1213" s="267">
        <v>4</v>
      </c>
    </row>
    <row r="1214" spans="1:11">
      <c r="A1214" s="9" t="s">
        <v>11453</v>
      </c>
      <c r="B1214" s="16">
        <v>46</v>
      </c>
      <c r="C1214" s="9"/>
      <c r="D1214" s="271" t="s">
        <v>8021</v>
      </c>
      <c r="E1214" s="263">
        <v>6.4</v>
      </c>
      <c r="F1214" s="263">
        <v>0</v>
      </c>
      <c r="G1214" s="263">
        <v>0</v>
      </c>
      <c r="H1214" s="263">
        <v>0</v>
      </c>
      <c r="I1214" s="263">
        <v>0</v>
      </c>
      <c r="J1214" s="263">
        <v>0</v>
      </c>
      <c r="K1214" s="267">
        <v>6.4</v>
      </c>
    </row>
    <row r="1215" spans="1:11">
      <c r="A1215" s="9" t="s">
        <v>11454</v>
      </c>
      <c r="B1215" s="16">
        <v>46</v>
      </c>
      <c r="C1215" s="9"/>
      <c r="D1215" s="271" t="s">
        <v>8022</v>
      </c>
      <c r="E1215" s="263">
        <v>6.4</v>
      </c>
      <c r="F1215" s="263">
        <v>0</v>
      </c>
      <c r="G1215" s="263">
        <v>0</v>
      </c>
      <c r="H1215" s="263">
        <v>0</v>
      </c>
      <c r="I1215" s="263">
        <v>0</v>
      </c>
      <c r="J1215" s="263">
        <v>0</v>
      </c>
      <c r="K1215" s="267">
        <v>6.4</v>
      </c>
    </row>
    <row r="1216" spans="1:11">
      <c r="A1216" s="9" t="s">
        <v>11455</v>
      </c>
      <c r="B1216" s="16">
        <v>46</v>
      </c>
      <c r="C1216" s="9"/>
      <c r="D1216" s="271" t="s">
        <v>8023</v>
      </c>
      <c r="E1216" s="263">
        <v>6.4</v>
      </c>
      <c r="F1216" s="263">
        <v>0</v>
      </c>
      <c r="G1216" s="263">
        <v>0</v>
      </c>
      <c r="H1216" s="263">
        <v>0</v>
      </c>
      <c r="I1216" s="263">
        <v>0</v>
      </c>
      <c r="J1216" s="263">
        <v>0</v>
      </c>
      <c r="K1216" s="267">
        <v>6.4</v>
      </c>
    </row>
    <row r="1217" spans="1:11">
      <c r="A1217" s="9" t="s">
        <v>11456</v>
      </c>
      <c r="B1217" s="16">
        <v>46</v>
      </c>
      <c r="C1217" s="9"/>
      <c r="D1217" s="271" t="s">
        <v>8024</v>
      </c>
      <c r="E1217" s="263">
        <v>4</v>
      </c>
      <c r="F1217" s="263">
        <v>0</v>
      </c>
      <c r="G1217" s="263">
        <v>0</v>
      </c>
      <c r="H1217" s="263">
        <v>0</v>
      </c>
      <c r="I1217" s="263">
        <v>0</v>
      </c>
      <c r="J1217" s="263">
        <v>0</v>
      </c>
      <c r="K1217" s="267">
        <v>4</v>
      </c>
    </row>
    <row r="1218" spans="1:11">
      <c r="A1218" s="9" t="s">
        <v>11457</v>
      </c>
      <c r="B1218" s="16">
        <v>46</v>
      </c>
      <c r="C1218" s="9"/>
      <c r="D1218" s="271" t="s">
        <v>8025</v>
      </c>
      <c r="E1218" s="263">
        <v>0</v>
      </c>
      <c r="F1218" s="263">
        <v>0</v>
      </c>
      <c r="G1218" s="263">
        <v>4</v>
      </c>
      <c r="H1218" s="263">
        <v>0</v>
      </c>
      <c r="I1218" s="263">
        <v>0</v>
      </c>
      <c r="J1218" s="263">
        <v>0</v>
      </c>
      <c r="K1218" s="267">
        <v>4</v>
      </c>
    </row>
    <row r="1219" spans="1:11">
      <c r="A1219" s="9" t="s">
        <v>11458</v>
      </c>
      <c r="B1219" s="16">
        <v>46</v>
      </c>
      <c r="C1219" s="9"/>
      <c r="D1219" s="271" t="s">
        <v>8026</v>
      </c>
      <c r="E1219" s="263">
        <v>0</v>
      </c>
      <c r="F1219" s="263">
        <v>0</v>
      </c>
      <c r="G1219" s="263">
        <v>4</v>
      </c>
      <c r="H1219" s="263">
        <v>0</v>
      </c>
      <c r="I1219" s="263">
        <v>0</v>
      </c>
      <c r="J1219" s="263">
        <v>0</v>
      </c>
      <c r="K1219" s="267">
        <v>4</v>
      </c>
    </row>
    <row r="1220" spans="1:11">
      <c r="A1220" s="9" t="s">
        <v>11459</v>
      </c>
      <c r="B1220" s="16">
        <v>46</v>
      </c>
      <c r="C1220" s="9"/>
      <c r="D1220" s="271" t="s">
        <v>8027</v>
      </c>
      <c r="E1220" s="263">
        <v>0</v>
      </c>
      <c r="F1220" s="263">
        <v>0</v>
      </c>
      <c r="G1220" s="263">
        <v>4</v>
      </c>
      <c r="H1220" s="263">
        <v>0</v>
      </c>
      <c r="I1220" s="263">
        <v>0</v>
      </c>
      <c r="J1220" s="263">
        <v>0</v>
      </c>
      <c r="K1220" s="267">
        <v>4</v>
      </c>
    </row>
    <row r="1221" spans="1:11">
      <c r="A1221" s="9" t="s">
        <v>11460</v>
      </c>
      <c r="B1221" s="16">
        <v>46</v>
      </c>
      <c r="C1221" s="9"/>
      <c r="D1221" s="271" t="s">
        <v>8028</v>
      </c>
      <c r="E1221" s="263">
        <v>0</v>
      </c>
      <c r="F1221" s="263">
        <v>0</v>
      </c>
      <c r="G1221" s="263">
        <v>4</v>
      </c>
      <c r="H1221" s="263">
        <v>0</v>
      </c>
      <c r="I1221" s="263">
        <v>0</v>
      </c>
      <c r="J1221" s="263">
        <v>0</v>
      </c>
      <c r="K1221" s="267">
        <v>4</v>
      </c>
    </row>
    <row r="1222" spans="1:11">
      <c r="A1222" s="9" t="s">
        <v>11461</v>
      </c>
      <c r="B1222" s="16">
        <v>46</v>
      </c>
      <c r="C1222" s="9"/>
      <c r="D1222" s="271" t="s">
        <v>8029</v>
      </c>
      <c r="E1222" s="263">
        <v>0</v>
      </c>
      <c r="F1222" s="263">
        <v>0</v>
      </c>
      <c r="G1222" s="263">
        <v>4</v>
      </c>
      <c r="H1222" s="263">
        <v>0</v>
      </c>
      <c r="I1222" s="263">
        <v>0</v>
      </c>
      <c r="J1222" s="263">
        <v>0</v>
      </c>
      <c r="K1222" s="267">
        <v>4</v>
      </c>
    </row>
    <row r="1223" spans="1:11">
      <c r="A1223" s="9" t="s">
        <v>11462</v>
      </c>
      <c r="B1223" s="16">
        <v>46</v>
      </c>
      <c r="C1223" s="9"/>
      <c r="D1223" s="271" t="s">
        <v>8030</v>
      </c>
      <c r="E1223" s="263">
        <v>0</v>
      </c>
      <c r="F1223" s="263">
        <v>0</v>
      </c>
      <c r="G1223" s="263">
        <v>6.4</v>
      </c>
      <c r="H1223" s="263">
        <v>0</v>
      </c>
      <c r="I1223" s="263">
        <v>0</v>
      </c>
      <c r="J1223" s="263">
        <v>0</v>
      </c>
      <c r="K1223" s="267">
        <v>6.4</v>
      </c>
    </row>
    <row r="1224" spans="1:11">
      <c r="A1224" s="9" t="s">
        <v>11463</v>
      </c>
      <c r="B1224" s="16">
        <v>46</v>
      </c>
      <c r="C1224" s="9"/>
      <c r="D1224" s="271" t="s">
        <v>8031</v>
      </c>
      <c r="E1224" s="263">
        <v>0</v>
      </c>
      <c r="F1224" s="263">
        <v>0</v>
      </c>
      <c r="G1224" s="263">
        <v>4.8000000000000007</v>
      </c>
      <c r="H1224" s="263">
        <v>0</v>
      </c>
      <c r="I1224" s="263">
        <v>0</v>
      </c>
      <c r="J1224" s="263">
        <v>0</v>
      </c>
      <c r="K1224" s="267">
        <v>4.8000000000000007</v>
      </c>
    </row>
    <row r="1225" spans="1:11">
      <c r="A1225" s="9" t="s">
        <v>1981</v>
      </c>
      <c r="B1225" s="16">
        <v>46</v>
      </c>
      <c r="C1225" s="9"/>
      <c r="D1225" s="271" t="s">
        <v>8032</v>
      </c>
      <c r="E1225" s="263">
        <v>0</v>
      </c>
      <c r="F1225" s="263">
        <v>0</v>
      </c>
      <c r="G1225" s="263">
        <v>0</v>
      </c>
      <c r="H1225" s="263">
        <v>0</v>
      </c>
      <c r="I1225" s="263">
        <v>0</v>
      </c>
      <c r="J1225" s="263">
        <v>4</v>
      </c>
      <c r="K1225" s="267">
        <v>4</v>
      </c>
    </row>
    <row r="1226" spans="1:11">
      <c r="A1226" s="9" t="s">
        <v>1982</v>
      </c>
      <c r="B1226" s="16">
        <v>46</v>
      </c>
      <c r="C1226" s="9"/>
      <c r="D1226" s="271" t="s">
        <v>8033</v>
      </c>
      <c r="E1226" s="263">
        <v>0</v>
      </c>
      <c r="F1226" s="263">
        <v>0</v>
      </c>
      <c r="G1226" s="263">
        <v>0</v>
      </c>
      <c r="H1226" s="263">
        <v>0</v>
      </c>
      <c r="I1226" s="263">
        <v>0</v>
      </c>
      <c r="J1226" s="263">
        <v>4</v>
      </c>
      <c r="K1226" s="267">
        <v>4</v>
      </c>
    </row>
    <row r="1227" spans="1:11">
      <c r="A1227" s="9" t="s">
        <v>1983</v>
      </c>
      <c r="B1227" s="16">
        <v>46</v>
      </c>
      <c r="C1227" s="9"/>
      <c r="D1227" s="271" t="s">
        <v>8034</v>
      </c>
      <c r="E1227" s="263">
        <v>0</v>
      </c>
      <c r="F1227" s="263">
        <v>0</v>
      </c>
      <c r="G1227" s="263">
        <v>0</v>
      </c>
      <c r="H1227" s="263">
        <v>0</v>
      </c>
      <c r="I1227" s="263">
        <v>0</v>
      </c>
      <c r="J1227" s="263">
        <v>4</v>
      </c>
      <c r="K1227" s="267">
        <v>4</v>
      </c>
    </row>
    <row r="1228" spans="1:11">
      <c r="A1228" s="9" t="s">
        <v>1984</v>
      </c>
      <c r="B1228" s="16">
        <v>46</v>
      </c>
      <c r="C1228" s="9"/>
      <c r="D1228" s="271" t="s">
        <v>8035</v>
      </c>
      <c r="E1228" s="263">
        <v>0</v>
      </c>
      <c r="F1228" s="263">
        <v>0</v>
      </c>
      <c r="G1228" s="263">
        <v>0</v>
      </c>
      <c r="H1228" s="263">
        <v>0</v>
      </c>
      <c r="I1228" s="263">
        <v>0</v>
      </c>
      <c r="J1228" s="263">
        <v>3.2</v>
      </c>
      <c r="K1228" s="267">
        <v>3.2</v>
      </c>
    </row>
    <row r="1229" spans="1:11">
      <c r="A1229" s="9" t="s">
        <v>1985</v>
      </c>
      <c r="B1229" s="16">
        <v>46</v>
      </c>
      <c r="C1229" s="9"/>
      <c r="D1229" s="271" t="s">
        <v>8036</v>
      </c>
      <c r="E1229" s="263">
        <v>0</v>
      </c>
      <c r="F1229" s="263">
        <v>0</v>
      </c>
      <c r="G1229" s="263">
        <v>0</v>
      </c>
      <c r="H1229" s="263">
        <v>0</v>
      </c>
      <c r="I1229" s="263">
        <v>0</v>
      </c>
      <c r="J1229" s="263">
        <v>4</v>
      </c>
      <c r="K1229" s="267">
        <v>4</v>
      </c>
    </row>
    <row r="1230" spans="1:11">
      <c r="A1230" s="9" t="s">
        <v>1986</v>
      </c>
      <c r="B1230" s="16">
        <v>46</v>
      </c>
      <c r="C1230" s="9"/>
      <c r="D1230" s="271" t="s">
        <v>8037</v>
      </c>
      <c r="E1230" s="263">
        <v>0</v>
      </c>
      <c r="F1230" s="263">
        <v>0</v>
      </c>
      <c r="G1230" s="263">
        <v>0</v>
      </c>
      <c r="H1230" s="263">
        <v>0</v>
      </c>
      <c r="I1230" s="263">
        <v>0</v>
      </c>
      <c r="J1230" s="263">
        <v>4</v>
      </c>
      <c r="K1230" s="267">
        <v>4</v>
      </c>
    </row>
    <row r="1231" spans="1:11">
      <c r="A1231" s="9" t="s">
        <v>11464</v>
      </c>
      <c r="B1231" s="16">
        <v>46</v>
      </c>
      <c r="C1231" s="9"/>
      <c r="D1231" s="271" t="s">
        <v>8038</v>
      </c>
      <c r="E1231" s="263">
        <v>0</v>
      </c>
      <c r="F1231" s="263">
        <v>3.2</v>
      </c>
      <c r="G1231" s="263">
        <v>0</v>
      </c>
      <c r="H1231" s="263">
        <v>0</v>
      </c>
      <c r="I1231" s="263">
        <v>0</v>
      </c>
      <c r="J1231" s="263">
        <v>0</v>
      </c>
      <c r="K1231" s="267">
        <v>3.2</v>
      </c>
    </row>
    <row r="1232" spans="1:11">
      <c r="A1232" s="9" t="s">
        <v>11465</v>
      </c>
      <c r="B1232" s="16">
        <v>46</v>
      </c>
      <c r="C1232" s="9"/>
      <c r="D1232" s="271" t="s">
        <v>8039</v>
      </c>
      <c r="E1232" s="263">
        <v>0</v>
      </c>
      <c r="F1232" s="263">
        <v>2.4000000000000004</v>
      </c>
      <c r="G1232" s="263">
        <v>0</v>
      </c>
      <c r="H1232" s="263">
        <v>0</v>
      </c>
      <c r="I1232" s="263">
        <v>0</v>
      </c>
      <c r="J1232" s="263">
        <v>0</v>
      </c>
      <c r="K1232" s="267">
        <v>2.4000000000000004</v>
      </c>
    </row>
    <row r="1233" spans="1:11">
      <c r="A1233" s="9" t="s">
        <v>11466</v>
      </c>
      <c r="B1233" s="16">
        <v>46</v>
      </c>
      <c r="C1233" s="9"/>
      <c r="D1233" s="271" t="s">
        <v>8040</v>
      </c>
      <c r="E1233" s="263">
        <v>0</v>
      </c>
      <c r="F1233" s="263">
        <v>2.4000000000000004</v>
      </c>
      <c r="G1233" s="263">
        <v>0</v>
      </c>
      <c r="H1233" s="263">
        <v>0</v>
      </c>
      <c r="I1233" s="263">
        <v>0</v>
      </c>
      <c r="J1233" s="263">
        <v>0</v>
      </c>
      <c r="K1233" s="267">
        <v>2.4000000000000004</v>
      </c>
    </row>
    <row r="1234" spans="1:11">
      <c r="A1234" s="9" t="s">
        <v>11467</v>
      </c>
      <c r="B1234" s="16">
        <v>46</v>
      </c>
      <c r="C1234" s="9"/>
      <c r="D1234" s="271" t="s">
        <v>8041</v>
      </c>
      <c r="E1234" s="263">
        <v>0</v>
      </c>
      <c r="F1234" s="263">
        <v>2.4000000000000004</v>
      </c>
      <c r="G1234" s="263">
        <v>0</v>
      </c>
      <c r="H1234" s="263">
        <v>0</v>
      </c>
      <c r="I1234" s="263">
        <v>0</v>
      </c>
      <c r="J1234" s="263">
        <v>0</v>
      </c>
      <c r="K1234" s="267">
        <v>2.4000000000000004</v>
      </c>
    </row>
    <row r="1235" spans="1:11">
      <c r="A1235" s="9" t="s">
        <v>11468</v>
      </c>
      <c r="B1235" s="16">
        <v>46</v>
      </c>
      <c r="C1235" s="9"/>
      <c r="D1235" s="271" t="s">
        <v>8042</v>
      </c>
      <c r="E1235" s="263">
        <v>0</v>
      </c>
      <c r="F1235" s="263">
        <v>3.2</v>
      </c>
      <c r="G1235" s="263">
        <v>0</v>
      </c>
      <c r="H1235" s="263">
        <v>0</v>
      </c>
      <c r="I1235" s="263">
        <v>0</v>
      </c>
      <c r="J1235" s="263">
        <v>0</v>
      </c>
      <c r="K1235" s="267">
        <v>3.2</v>
      </c>
    </row>
    <row r="1236" spans="1:11">
      <c r="A1236" s="9" t="s">
        <v>11469</v>
      </c>
      <c r="B1236" s="16">
        <v>46</v>
      </c>
      <c r="C1236" s="9"/>
      <c r="D1236" s="271" t="s">
        <v>8043</v>
      </c>
      <c r="E1236" s="263">
        <v>0</v>
      </c>
      <c r="F1236" s="263">
        <v>3.2</v>
      </c>
      <c r="G1236" s="263">
        <v>0</v>
      </c>
      <c r="H1236" s="263">
        <v>0</v>
      </c>
      <c r="I1236" s="263">
        <v>0</v>
      </c>
      <c r="J1236" s="263">
        <v>0</v>
      </c>
      <c r="K1236" s="267">
        <v>3.2</v>
      </c>
    </row>
    <row r="1237" spans="1:11">
      <c r="A1237" s="9" t="s">
        <v>11470</v>
      </c>
      <c r="B1237" s="16">
        <v>46</v>
      </c>
      <c r="C1237" s="9"/>
      <c r="D1237" s="271" t="s">
        <v>8044</v>
      </c>
      <c r="E1237" s="263">
        <v>0</v>
      </c>
      <c r="F1237" s="263">
        <v>4</v>
      </c>
      <c r="G1237" s="263">
        <v>0</v>
      </c>
      <c r="H1237" s="263">
        <v>0</v>
      </c>
      <c r="I1237" s="263">
        <v>0</v>
      </c>
      <c r="J1237" s="263">
        <v>0</v>
      </c>
      <c r="K1237" s="267">
        <v>4</v>
      </c>
    </row>
    <row r="1238" spans="1:11">
      <c r="A1238" s="9" t="s">
        <v>11471</v>
      </c>
      <c r="B1238" s="16">
        <v>46</v>
      </c>
      <c r="C1238" s="9"/>
      <c r="D1238" s="271" t="s">
        <v>8045</v>
      </c>
      <c r="E1238" s="263">
        <v>0</v>
      </c>
      <c r="F1238" s="263">
        <v>3.2</v>
      </c>
      <c r="G1238" s="263">
        <v>0</v>
      </c>
      <c r="H1238" s="263">
        <v>0</v>
      </c>
      <c r="I1238" s="263">
        <v>0</v>
      </c>
      <c r="J1238" s="263">
        <v>0</v>
      </c>
      <c r="K1238" s="267">
        <v>3.2</v>
      </c>
    </row>
    <row r="1239" spans="1:11">
      <c r="A1239" s="9" t="s">
        <v>11472</v>
      </c>
      <c r="B1239" s="16">
        <v>46</v>
      </c>
      <c r="C1239" s="9"/>
      <c r="D1239" s="271" t="s">
        <v>8046</v>
      </c>
      <c r="E1239" s="263">
        <v>0</v>
      </c>
      <c r="F1239" s="263">
        <v>4</v>
      </c>
      <c r="G1239" s="263">
        <v>0</v>
      </c>
      <c r="H1239" s="263">
        <v>0</v>
      </c>
      <c r="I1239" s="263">
        <v>0</v>
      </c>
      <c r="J1239" s="263">
        <v>0</v>
      </c>
      <c r="K1239" s="267">
        <v>4</v>
      </c>
    </row>
    <row r="1240" spans="1:11">
      <c r="A1240" s="9" t="s">
        <v>11473</v>
      </c>
      <c r="B1240" s="16">
        <v>46</v>
      </c>
      <c r="C1240" s="9"/>
      <c r="D1240" s="271" t="s">
        <v>8047</v>
      </c>
      <c r="E1240" s="263">
        <v>0</v>
      </c>
      <c r="F1240" s="263">
        <v>2.4000000000000004</v>
      </c>
      <c r="G1240" s="263">
        <v>0</v>
      </c>
      <c r="H1240" s="263">
        <v>0</v>
      </c>
      <c r="I1240" s="263">
        <v>0</v>
      </c>
      <c r="J1240" s="263">
        <v>0</v>
      </c>
      <c r="K1240" s="267">
        <v>2.4000000000000004</v>
      </c>
    </row>
    <row r="1241" spans="1:11">
      <c r="B1241" s="16">
        <v>46</v>
      </c>
      <c r="C1241" s="9"/>
      <c r="D1241" s="271"/>
      <c r="E1241" s="263"/>
      <c r="F1241" s="263"/>
      <c r="G1241" s="263"/>
      <c r="H1241" s="263"/>
      <c r="I1241" s="263"/>
      <c r="J1241" s="263"/>
      <c r="K1241" s="267">
        <v>0</v>
      </c>
    </row>
    <row r="1242" spans="1:11" ht="15.75" customHeight="1">
      <c r="B1242" s="16">
        <v>46</v>
      </c>
      <c r="C1242" s="9"/>
      <c r="D1242" s="272" t="s">
        <v>3674</v>
      </c>
      <c r="E1242" s="273">
        <v>31.200000000000003</v>
      </c>
      <c r="F1242" s="273">
        <v>30.4</v>
      </c>
      <c r="G1242" s="273">
        <v>31.2</v>
      </c>
      <c r="H1242" s="273">
        <v>0</v>
      </c>
      <c r="I1242" s="273">
        <v>0</v>
      </c>
      <c r="J1242" s="273">
        <v>23.2</v>
      </c>
      <c r="K1242" s="273">
        <v>116.00000000000004</v>
      </c>
    </row>
    <row r="1243" spans="1:11">
      <c r="C1243" s="9"/>
      <c r="D1243" s="271"/>
      <c r="E1243" s="263"/>
      <c r="F1243" s="263"/>
      <c r="G1243" s="263"/>
      <c r="H1243" s="263"/>
      <c r="I1243" s="263"/>
      <c r="J1243" s="263"/>
      <c r="K1243" s="267">
        <v>0</v>
      </c>
    </row>
    <row r="1244" spans="1:11">
      <c r="A1244" s="9" t="s">
        <v>11474</v>
      </c>
      <c r="B1244" s="16">
        <v>61</v>
      </c>
      <c r="C1244" s="9"/>
      <c r="D1244" s="271" t="s">
        <v>8048</v>
      </c>
      <c r="E1244" s="263">
        <v>8</v>
      </c>
      <c r="F1244" s="263">
        <v>0</v>
      </c>
      <c r="G1244" s="263">
        <v>0</v>
      </c>
      <c r="H1244" s="263">
        <v>0</v>
      </c>
      <c r="I1244" s="263">
        <v>0</v>
      </c>
      <c r="J1244" s="263">
        <v>0</v>
      </c>
      <c r="K1244" s="267">
        <v>8</v>
      </c>
    </row>
    <row r="1245" spans="1:11">
      <c r="A1245" s="9" t="s">
        <v>11475</v>
      </c>
      <c r="B1245" s="16">
        <v>61</v>
      </c>
      <c r="C1245" s="9"/>
      <c r="D1245" s="271" t="s">
        <v>8049</v>
      </c>
      <c r="E1245" s="263">
        <v>8</v>
      </c>
      <c r="F1245" s="263">
        <v>0</v>
      </c>
      <c r="G1245" s="263">
        <v>0</v>
      </c>
      <c r="H1245" s="263">
        <v>0</v>
      </c>
      <c r="I1245" s="263">
        <v>0</v>
      </c>
      <c r="J1245" s="263">
        <v>0</v>
      </c>
      <c r="K1245" s="267">
        <v>8</v>
      </c>
    </row>
    <row r="1246" spans="1:11">
      <c r="A1246" s="9" t="s">
        <v>11476</v>
      </c>
      <c r="B1246" s="16">
        <v>61</v>
      </c>
      <c r="C1246" s="9"/>
      <c r="D1246" s="271" t="s">
        <v>8050</v>
      </c>
      <c r="E1246" s="263">
        <v>8</v>
      </c>
      <c r="F1246" s="263">
        <v>0</v>
      </c>
      <c r="G1246" s="263">
        <v>0</v>
      </c>
      <c r="H1246" s="263">
        <v>0</v>
      </c>
      <c r="I1246" s="263">
        <v>0</v>
      </c>
      <c r="J1246" s="263">
        <v>0</v>
      </c>
      <c r="K1246" s="267">
        <v>8</v>
      </c>
    </row>
    <row r="1247" spans="1:11">
      <c r="A1247" s="9" t="s">
        <v>11477</v>
      </c>
      <c r="B1247" s="16">
        <v>61</v>
      </c>
      <c r="C1247" s="9"/>
      <c r="D1247" s="271" t="s">
        <v>8051</v>
      </c>
      <c r="E1247" s="263">
        <v>0</v>
      </c>
      <c r="F1247" s="263">
        <v>0</v>
      </c>
      <c r="G1247" s="263">
        <v>4</v>
      </c>
      <c r="H1247" s="263">
        <v>0</v>
      </c>
      <c r="I1247" s="263">
        <v>0</v>
      </c>
      <c r="J1247" s="263">
        <v>0</v>
      </c>
      <c r="K1247" s="267">
        <v>4</v>
      </c>
    </row>
    <row r="1248" spans="1:11">
      <c r="A1248" s="9" t="s">
        <v>11478</v>
      </c>
      <c r="B1248" s="16">
        <v>61</v>
      </c>
      <c r="C1248" s="9"/>
      <c r="D1248" s="271" t="s">
        <v>8052</v>
      </c>
      <c r="E1248" s="263">
        <v>0</v>
      </c>
      <c r="F1248" s="263">
        <v>0</v>
      </c>
      <c r="G1248" s="263">
        <v>0</v>
      </c>
      <c r="H1248" s="263">
        <v>4</v>
      </c>
      <c r="I1248" s="263">
        <v>0</v>
      </c>
      <c r="J1248" s="263">
        <v>0</v>
      </c>
      <c r="K1248" s="267">
        <v>4</v>
      </c>
    </row>
    <row r="1249" spans="1:11">
      <c r="A1249" s="9" t="s">
        <v>11479</v>
      </c>
      <c r="B1249" s="16">
        <v>61</v>
      </c>
      <c r="C1249" s="9"/>
      <c r="D1249" s="271" t="s">
        <v>8053</v>
      </c>
      <c r="E1249" s="263">
        <v>0</v>
      </c>
      <c r="F1249" s="263">
        <v>0</v>
      </c>
      <c r="G1249" s="263">
        <v>0</v>
      </c>
      <c r="H1249" s="263">
        <v>4</v>
      </c>
      <c r="I1249" s="263">
        <v>0</v>
      </c>
      <c r="J1249" s="263">
        <v>0</v>
      </c>
      <c r="K1249" s="267">
        <v>4</v>
      </c>
    </row>
    <row r="1250" spans="1:11">
      <c r="A1250" s="9" t="s">
        <v>1987</v>
      </c>
      <c r="B1250" s="16">
        <v>61</v>
      </c>
      <c r="C1250" s="9"/>
      <c r="D1250" s="271" t="s">
        <v>8054</v>
      </c>
      <c r="E1250" s="263">
        <v>0</v>
      </c>
      <c r="F1250" s="263">
        <v>0</v>
      </c>
      <c r="G1250" s="263">
        <v>0</v>
      </c>
      <c r="H1250" s="263">
        <v>0</v>
      </c>
      <c r="I1250" s="263">
        <v>0</v>
      </c>
      <c r="J1250" s="263">
        <v>8</v>
      </c>
      <c r="K1250" s="267">
        <v>8</v>
      </c>
    </row>
    <row r="1251" spans="1:11">
      <c r="A1251" s="9" t="s">
        <v>1988</v>
      </c>
      <c r="B1251" s="16">
        <v>61</v>
      </c>
      <c r="C1251" s="9"/>
      <c r="D1251" s="271" t="s">
        <v>8055</v>
      </c>
      <c r="E1251" s="263">
        <v>0</v>
      </c>
      <c r="F1251" s="263">
        <v>0</v>
      </c>
      <c r="G1251" s="263">
        <v>0</v>
      </c>
      <c r="H1251" s="263">
        <v>0</v>
      </c>
      <c r="I1251" s="263">
        <v>0</v>
      </c>
      <c r="J1251" s="263">
        <v>8</v>
      </c>
      <c r="K1251" s="267">
        <v>8</v>
      </c>
    </row>
    <row r="1252" spans="1:11">
      <c r="A1252" s="9" t="s">
        <v>11480</v>
      </c>
      <c r="B1252" s="16">
        <v>61</v>
      </c>
      <c r="C1252" s="9"/>
      <c r="D1252" s="271" t="s">
        <v>8056</v>
      </c>
      <c r="E1252" s="263">
        <v>0</v>
      </c>
      <c r="F1252" s="263">
        <v>2.4000000000000004</v>
      </c>
      <c r="G1252" s="263">
        <v>0</v>
      </c>
      <c r="H1252" s="263">
        <v>0</v>
      </c>
      <c r="I1252" s="263">
        <v>0</v>
      </c>
      <c r="J1252" s="263">
        <v>0</v>
      </c>
      <c r="K1252" s="267">
        <v>2.4000000000000004</v>
      </c>
    </row>
    <row r="1253" spans="1:11">
      <c r="A1253" s="9" t="s">
        <v>11481</v>
      </c>
      <c r="B1253" s="16">
        <v>61</v>
      </c>
      <c r="C1253" s="9"/>
      <c r="D1253" s="271" t="s">
        <v>8057</v>
      </c>
      <c r="E1253" s="263">
        <v>0</v>
      </c>
      <c r="F1253" s="263">
        <v>2.4000000000000004</v>
      </c>
      <c r="G1253" s="263">
        <v>0</v>
      </c>
      <c r="H1253" s="263">
        <v>0</v>
      </c>
      <c r="I1253" s="263">
        <v>0</v>
      </c>
      <c r="J1253" s="263">
        <v>0</v>
      </c>
      <c r="K1253" s="267">
        <v>2.4000000000000004</v>
      </c>
    </row>
    <row r="1254" spans="1:11">
      <c r="A1254" s="9" t="s">
        <v>11482</v>
      </c>
      <c r="B1254" s="16">
        <v>61</v>
      </c>
      <c r="C1254" s="9"/>
      <c r="D1254" s="271" t="s">
        <v>8058</v>
      </c>
      <c r="E1254" s="263">
        <v>0</v>
      </c>
      <c r="F1254" s="263">
        <v>3.2</v>
      </c>
      <c r="G1254" s="263">
        <v>0</v>
      </c>
      <c r="H1254" s="263">
        <v>0</v>
      </c>
      <c r="I1254" s="263">
        <v>0</v>
      </c>
      <c r="J1254" s="263">
        <v>0</v>
      </c>
      <c r="K1254" s="267">
        <v>3.2</v>
      </c>
    </row>
    <row r="1255" spans="1:11">
      <c r="A1255" s="9" t="s">
        <v>11483</v>
      </c>
      <c r="B1255" s="16">
        <v>61</v>
      </c>
      <c r="C1255" s="9"/>
      <c r="D1255" s="271" t="s">
        <v>8059</v>
      </c>
      <c r="E1255" s="263">
        <v>0</v>
      </c>
      <c r="F1255" s="263">
        <v>3.2</v>
      </c>
      <c r="G1255" s="263">
        <v>0</v>
      </c>
      <c r="H1255" s="263">
        <v>0</v>
      </c>
      <c r="I1255" s="263">
        <v>0</v>
      </c>
      <c r="J1255" s="263">
        <v>0</v>
      </c>
      <c r="K1255" s="267">
        <v>3.2</v>
      </c>
    </row>
    <row r="1256" spans="1:11">
      <c r="A1256" s="9" t="s">
        <v>11484</v>
      </c>
      <c r="B1256" s="16">
        <v>61</v>
      </c>
      <c r="C1256" s="9"/>
      <c r="D1256" s="271" t="s">
        <v>8060</v>
      </c>
      <c r="E1256" s="263">
        <v>0</v>
      </c>
      <c r="F1256" s="263">
        <v>3.2</v>
      </c>
      <c r="G1256" s="263">
        <v>0</v>
      </c>
      <c r="H1256" s="263">
        <v>0</v>
      </c>
      <c r="I1256" s="263">
        <v>0</v>
      </c>
      <c r="J1256" s="263">
        <v>0</v>
      </c>
      <c r="K1256" s="267">
        <v>3.2</v>
      </c>
    </row>
    <row r="1257" spans="1:11">
      <c r="A1257" s="9" t="s">
        <v>11485</v>
      </c>
      <c r="B1257" s="16">
        <v>61</v>
      </c>
      <c r="C1257" s="9"/>
      <c r="D1257" s="271" t="s">
        <v>8061</v>
      </c>
      <c r="E1257" s="263">
        <v>0</v>
      </c>
      <c r="F1257" s="263">
        <v>2.4000000000000004</v>
      </c>
      <c r="G1257" s="263">
        <v>0</v>
      </c>
      <c r="H1257" s="263">
        <v>0</v>
      </c>
      <c r="I1257" s="263">
        <v>0</v>
      </c>
      <c r="J1257" s="263">
        <v>0</v>
      </c>
      <c r="K1257" s="267">
        <v>2.4000000000000004</v>
      </c>
    </row>
    <row r="1258" spans="1:11">
      <c r="A1258" s="9" t="s">
        <v>11486</v>
      </c>
      <c r="B1258" s="16">
        <v>61</v>
      </c>
      <c r="C1258" s="9"/>
      <c r="D1258" s="271" t="s">
        <v>8062</v>
      </c>
      <c r="E1258" s="263">
        <v>0</v>
      </c>
      <c r="F1258" s="263">
        <v>2.4000000000000004</v>
      </c>
      <c r="G1258" s="263">
        <v>0</v>
      </c>
      <c r="H1258" s="263">
        <v>0</v>
      </c>
      <c r="I1258" s="263">
        <v>0</v>
      </c>
      <c r="J1258" s="263">
        <v>0</v>
      </c>
      <c r="K1258" s="267">
        <v>2.4000000000000004</v>
      </c>
    </row>
    <row r="1259" spans="1:11">
      <c r="A1259" s="9" t="s">
        <v>11487</v>
      </c>
      <c r="B1259" s="16">
        <v>61</v>
      </c>
      <c r="C1259" s="9"/>
      <c r="D1259" s="271" t="s">
        <v>8063</v>
      </c>
      <c r="E1259" s="263">
        <v>0</v>
      </c>
      <c r="F1259" s="263">
        <v>2.4000000000000004</v>
      </c>
      <c r="G1259" s="263">
        <v>0</v>
      </c>
      <c r="H1259" s="263">
        <v>0</v>
      </c>
      <c r="I1259" s="263">
        <v>0</v>
      </c>
      <c r="J1259" s="263">
        <v>0</v>
      </c>
      <c r="K1259" s="267">
        <v>2.4000000000000004</v>
      </c>
    </row>
    <row r="1260" spans="1:11">
      <c r="A1260" s="9" t="s">
        <v>11488</v>
      </c>
      <c r="B1260" s="16">
        <v>61</v>
      </c>
      <c r="C1260" s="9"/>
      <c r="D1260" s="271" t="s">
        <v>8064</v>
      </c>
      <c r="E1260" s="263">
        <v>0</v>
      </c>
      <c r="F1260" s="263">
        <v>2.4000000000000004</v>
      </c>
      <c r="G1260" s="263">
        <v>0</v>
      </c>
      <c r="H1260" s="263">
        <v>0</v>
      </c>
      <c r="I1260" s="263">
        <v>0</v>
      </c>
      <c r="J1260" s="263">
        <v>0</v>
      </c>
      <c r="K1260" s="267">
        <v>2.4000000000000004</v>
      </c>
    </row>
    <row r="1261" spans="1:11">
      <c r="A1261" s="9" t="s">
        <v>11489</v>
      </c>
      <c r="B1261" s="16">
        <v>61</v>
      </c>
      <c r="C1261" s="9"/>
      <c r="D1261" s="271" t="s">
        <v>8065</v>
      </c>
      <c r="E1261" s="263">
        <v>20</v>
      </c>
      <c r="F1261" s="263">
        <v>0</v>
      </c>
      <c r="G1261" s="263">
        <v>0</v>
      </c>
      <c r="H1261" s="263">
        <v>0</v>
      </c>
      <c r="I1261" s="263">
        <v>0</v>
      </c>
      <c r="J1261" s="263">
        <v>0</v>
      </c>
      <c r="K1261" s="267">
        <v>20</v>
      </c>
    </row>
    <row r="1262" spans="1:11">
      <c r="A1262" s="9" t="s">
        <v>11490</v>
      </c>
      <c r="B1262" s="16">
        <v>61</v>
      </c>
      <c r="C1262" s="9"/>
      <c r="D1262" s="271" t="s">
        <v>8066</v>
      </c>
      <c r="E1262" s="263">
        <v>16</v>
      </c>
      <c r="F1262" s="263">
        <v>0</v>
      </c>
      <c r="G1262" s="263">
        <v>0</v>
      </c>
      <c r="H1262" s="263">
        <v>0</v>
      </c>
      <c r="I1262" s="263">
        <v>0</v>
      </c>
      <c r="J1262" s="263">
        <v>0</v>
      </c>
      <c r="K1262" s="267">
        <v>16</v>
      </c>
    </row>
    <row r="1263" spans="1:11">
      <c r="B1263" s="16">
        <v>61</v>
      </c>
      <c r="C1263" s="9"/>
      <c r="D1263" s="271"/>
      <c r="E1263" s="263"/>
      <c r="F1263" s="263"/>
      <c r="G1263" s="263"/>
      <c r="H1263" s="263"/>
      <c r="I1263" s="263"/>
      <c r="J1263" s="263"/>
      <c r="K1263" s="267">
        <v>0</v>
      </c>
    </row>
    <row r="1264" spans="1:11" ht="15.75" customHeight="1">
      <c r="B1264" s="16">
        <v>61</v>
      </c>
      <c r="C1264" s="9"/>
      <c r="D1264" s="272" t="s">
        <v>3674</v>
      </c>
      <c r="E1264" s="273">
        <v>60</v>
      </c>
      <c r="F1264" s="273">
        <v>23.999999999999993</v>
      </c>
      <c r="G1264" s="273">
        <v>4</v>
      </c>
      <c r="H1264" s="273">
        <v>8</v>
      </c>
      <c r="I1264" s="273">
        <v>0</v>
      </c>
      <c r="J1264" s="273">
        <v>16</v>
      </c>
      <c r="K1264" s="273">
        <v>112.00000000000003</v>
      </c>
    </row>
    <row r="1265" spans="1:11">
      <c r="C1265" s="9"/>
      <c r="D1265" s="271"/>
      <c r="E1265" s="263"/>
      <c r="F1265" s="263"/>
      <c r="G1265" s="263"/>
      <c r="H1265" s="263"/>
      <c r="I1265" s="263"/>
      <c r="J1265" s="263"/>
      <c r="K1265" s="267">
        <v>0</v>
      </c>
    </row>
    <row r="1266" spans="1:11">
      <c r="A1266" s="9" t="s">
        <v>11491</v>
      </c>
      <c r="B1266" s="16">
        <v>62</v>
      </c>
      <c r="C1266" s="9"/>
      <c r="D1266" s="271" t="s">
        <v>8067</v>
      </c>
      <c r="E1266" s="263">
        <v>8</v>
      </c>
      <c r="F1266" s="263">
        <v>0</v>
      </c>
      <c r="G1266" s="263">
        <v>0</v>
      </c>
      <c r="H1266" s="263">
        <v>0</v>
      </c>
      <c r="I1266" s="263">
        <v>0</v>
      </c>
      <c r="J1266" s="263">
        <v>0</v>
      </c>
      <c r="K1266" s="267">
        <v>8</v>
      </c>
    </row>
    <row r="1267" spans="1:11">
      <c r="A1267" s="9" t="s">
        <v>11492</v>
      </c>
      <c r="B1267" s="16">
        <v>62</v>
      </c>
      <c r="C1267" s="9"/>
      <c r="D1267" s="271" t="s">
        <v>8068</v>
      </c>
      <c r="E1267" s="263">
        <v>8</v>
      </c>
      <c r="F1267" s="263">
        <v>0</v>
      </c>
      <c r="G1267" s="263">
        <v>0</v>
      </c>
      <c r="H1267" s="263">
        <v>0</v>
      </c>
      <c r="I1267" s="263">
        <v>0</v>
      </c>
      <c r="J1267" s="263">
        <v>0</v>
      </c>
      <c r="K1267" s="267">
        <v>8</v>
      </c>
    </row>
    <row r="1268" spans="1:11">
      <c r="A1268" s="9" t="s">
        <v>11493</v>
      </c>
      <c r="B1268" s="16">
        <v>62</v>
      </c>
      <c r="C1268" s="9"/>
      <c r="D1268" s="271" t="s">
        <v>8069</v>
      </c>
      <c r="E1268" s="263">
        <v>8</v>
      </c>
      <c r="F1268" s="263">
        <v>0</v>
      </c>
      <c r="G1268" s="263">
        <v>0</v>
      </c>
      <c r="H1268" s="263">
        <v>0</v>
      </c>
      <c r="I1268" s="263">
        <v>0</v>
      </c>
      <c r="J1268" s="263">
        <v>0</v>
      </c>
      <c r="K1268" s="267">
        <v>8</v>
      </c>
    </row>
    <row r="1269" spans="1:11">
      <c r="A1269" s="9" t="s">
        <v>11494</v>
      </c>
      <c r="B1269" s="16">
        <v>62</v>
      </c>
      <c r="C1269" s="9"/>
      <c r="D1269" s="271" t="s">
        <v>8070</v>
      </c>
      <c r="E1269" s="263">
        <v>0</v>
      </c>
      <c r="F1269" s="263">
        <v>0</v>
      </c>
      <c r="G1269" s="263">
        <v>8</v>
      </c>
      <c r="H1269" s="263">
        <v>0</v>
      </c>
      <c r="I1269" s="263">
        <v>0</v>
      </c>
      <c r="J1269" s="263">
        <v>0</v>
      </c>
      <c r="K1269" s="267">
        <v>8</v>
      </c>
    </row>
    <row r="1270" spans="1:11">
      <c r="A1270" s="9" t="s">
        <v>11495</v>
      </c>
      <c r="B1270" s="16">
        <v>62</v>
      </c>
      <c r="C1270" s="9"/>
      <c r="D1270" s="271" t="s">
        <v>8071</v>
      </c>
      <c r="E1270" s="263">
        <v>0</v>
      </c>
      <c r="F1270" s="263">
        <v>0</v>
      </c>
      <c r="G1270" s="263">
        <v>4.8000000000000007</v>
      </c>
      <c r="H1270" s="263">
        <v>0</v>
      </c>
      <c r="I1270" s="263">
        <v>0</v>
      </c>
      <c r="J1270" s="263">
        <v>0</v>
      </c>
      <c r="K1270" s="267">
        <v>4.8000000000000007</v>
      </c>
    </row>
    <row r="1271" spans="1:11" ht="31.5">
      <c r="A1271" s="9" t="s">
        <v>11496</v>
      </c>
      <c r="B1271" s="16">
        <v>62</v>
      </c>
      <c r="C1271" s="9"/>
      <c r="D1271" s="271" t="s">
        <v>8072</v>
      </c>
      <c r="E1271" s="263">
        <v>0</v>
      </c>
      <c r="F1271" s="263">
        <v>0</v>
      </c>
      <c r="G1271" s="263">
        <v>3.2</v>
      </c>
      <c r="H1271" s="263">
        <v>0</v>
      </c>
      <c r="I1271" s="263">
        <v>0</v>
      </c>
      <c r="J1271" s="263">
        <v>0</v>
      </c>
      <c r="K1271" s="267">
        <v>3.2</v>
      </c>
    </row>
    <row r="1272" spans="1:11">
      <c r="A1272" s="9" t="s">
        <v>11497</v>
      </c>
      <c r="B1272" s="16">
        <v>62</v>
      </c>
      <c r="C1272" s="9"/>
      <c r="D1272" s="271" t="s">
        <v>8073</v>
      </c>
      <c r="E1272" s="263">
        <v>0</v>
      </c>
      <c r="F1272" s="263">
        <v>0</v>
      </c>
      <c r="G1272" s="263">
        <v>0</v>
      </c>
      <c r="H1272" s="263">
        <v>3.2</v>
      </c>
      <c r="I1272" s="263">
        <v>0</v>
      </c>
      <c r="J1272" s="263">
        <v>0</v>
      </c>
      <c r="K1272" s="267">
        <v>3.2</v>
      </c>
    </row>
    <row r="1273" spans="1:11">
      <c r="A1273" s="9" t="s">
        <v>1989</v>
      </c>
      <c r="B1273" s="16">
        <v>62</v>
      </c>
      <c r="C1273" s="9"/>
      <c r="D1273" s="271" t="s">
        <v>8074</v>
      </c>
      <c r="E1273" s="263">
        <v>0</v>
      </c>
      <c r="F1273" s="263">
        <v>0</v>
      </c>
      <c r="G1273" s="263">
        <v>0</v>
      </c>
      <c r="H1273" s="263">
        <v>0</v>
      </c>
      <c r="I1273" s="263">
        <v>0</v>
      </c>
      <c r="J1273" s="263">
        <v>8</v>
      </c>
      <c r="K1273" s="267">
        <v>8</v>
      </c>
    </row>
    <row r="1274" spans="1:11" ht="31.5">
      <c r="A1274" s="9" t="s">
        <v>1990</v>
      </c>
      <c r="B1274" s="16">
        <v>62</v>
      </c>
      <c r="C1274" s="9"/>
      <c r="D1274" s="271" t="s">
        <v>8075</v>
      </c>
      <c r="E1274" s="263">
        <v>0</v>
      </c>
      <c r="F1274" s="263">
        <v>0</v>
      </c>
      <c r="G1274" s="263">
        <v>0</v>
      </c>
      <c r="H1274" s="263">
        <v>0</v>
      </c>
      <c r="I1274" s="263">
        <v>0</v>
      </c>
      <c r="J1274" s="263">
        <v>8</v>
      </c>
      <c r="K1274" s="267">
        <v>8</v>
      </c>
    </row>
    <row r="1275" spans="1:11" ht="31.5">
      <c r="A1275" s="9" t="s">
        <v>1991</v>
      </c>
      <c r="B1275" s="16">
        <v>62</v>
      </c>
      <c r="C1275" s="9"/>
      <c r="D1275" s="271" t="s">
        <v>8076</v>
      </c>
      <c r="E1275" s="263">
        <v>0</v>
      </c>
      <c r="F1275" s="263">
        <v>0</v>
      </c>
      <c r="G1275" s="263">
        <v>0</v>
      </c>
      <c r="H1275" s="263">
        <v>0</v>
      </c>
      <c r="I1275" s="263">
        <v>0</v>
      </c>
      <c r="J1275" s="263">
        <v>3.2</v>
      </c>
      <c r="K1275" s="267">
        <v>3.2</v>
      </c>
    </row>
    <row r="1276" spans="1:11">
      <c r="A1276" s="9" t="s">
        <v>1992</v>
      </c>
      <c r="B1276" s="16">
        <v>62</v>
      </c>
      <c r="C1276" s="9"/>
      <c r="D1276" s="271" t="s">
        <v>8077</v>
      </c>
      <c r="E1276" s="263">
        <v>0</v>
      </c>
      <c r="F1276" s="263">
        <v>0</v>
      </c>
      <c r="G1276" s="263">
        <v>0</v>
      </c>
      <c r="H1276" s="263">
        <v>0</v>
      </c>
      <c r="I1276" s="263">
        <v>0</v>
      </c>
      <c r="J1276" s="263">
        <v>8</v>
      </c>
      <c r="K1276" s="267">
        <v>8</v>
      </c>
    </row>
    <row r="1277" spans="1:11">
      <c r="A1277" s="9" t="s">
        <v>1993</v>
      </c>
      <c r="B1277" s="16">
        <v>62</v>
      </c>
      <c r="C1277" s="9"/>
      <c r="D1277" s="271" t="s">
        <v>8078</v>
      </c>
      <c r="E1277" s="263">
        <v>0</v>
      </c>
      <c r="F1277" s="263">
        <v>0</v>
      </c>
      <c r="G1277" s="263">
        <v>0</v>
      </c>
      <c r="H1277" s="263">
        <v>0</v>
      </c>
      <c r="I1277" s="263">
        <v>0</v>
      </c>
      <c r="J1277" s="263">
        <v>8</v>
      </c>
      <c r="K1277" s="267">
        <v>8</v>
      </c>
    </row>
    <row r="1278" spans="1:11">
      <c r="A1278" s="9" t="s">
        <v>1994</v>
      </c>
      <c r="B1278" s="16">
        <v>62</v>
      </c>
      <c r="C1278" s="9"/>
      <c r="D1278" s="271" t="s">
        <v>8079</v>
      </c>
      <c r="E1278" s="263">
        <v>0</v>
      </c>
      <c r="F1278" s="263">
        <v>0</v>
      </c>
      <c r="G1278" s="263">
        <v>0</v>
      </c>
      <c r="H1278" s="263">
        <v>0</v>
      </c>
      <c r="I1278" s="263">
        <v>0</v>
      </c>
      <c r="J1278" s="263">
        <v>4.8000000000000007</v>
      </c>
      <c r="K1278" s="267">
        <v>4.8000000000000007</v>
      </c>
    </row>
    <row r="1279" spans="1:11">
      <c r="A1279" s="9" t="s">
        <v>11498</v>
      </c>
      <c r="B1279" s="16">
        <v>62</v>
      </c>
      <c r="C1279" s="9"/>
      <c r="D1279" s="271" t="s">
        <v>8080</v>
      </c>
      <c r="E1279" s="263">
        <v>0</v>
      </c>
      <c r="F1279" s="263">
        <v>3.2</v>
      </c>
      <c r="G1279" s="263">
        <v>0</v>
      </c>
      <c r="H1279" s="263">
        <v>0</v>
      </c>
      <c r="I1279" s="263">
        <v>0</v>
      </c>
      <c r="J1279" s="263">
        <v>0</v>
      </c>
      <c r="K1279" s="267">
        <v>3.2</v>
      </c>
    </row>
    <row r="1280" spans="1:11">
      <c r="A1280" s="9" t="s">
        <v>11499</v>
      </c>
      <c r="B1280" s="16">
        <v>62</v>
      </c>
      <c r="C1280" s="9"/>
      <c r="D1280" s="271" t="s">
        <v>8081</v>
      </c>
      <c r="E1280" s="263">
        <v>0</v>
      </c>
      <c r="F1280" s="263">
        <v>3.2</v>
      </c>
      <c r="G1280" s="263">
        <v>0</v>
      </c>
      <c r="H1280" s="263">
        <v>0</v>
      </c>
      <c r="I1280" s="263">
        <v>0</v>
      </c>
      <c r="J1280" s="263">
        <v>0</v>
      </c>
      <c r="K1280" s="267">
        <v>3.2</v>
      </c>
    </row>
    <row r="1281" spans="1:11">
      <c r="A1281" s="9" t="s">
        <v>11500</v>
      </c>
      <c r="B1281" s="16">
        <v>62</v>
      </c>
      <c r="C1281" s="9"/>
      <c r="D1281" s="271" t="s">
        <v>8082</v>
      </c>
      <c r="E1281" s="263">
        <v>0</v>
      </c>
      <c r="F1281" s="263">
        <v>3.2</v>
      </c>
      <c r="G1281" s="263">
        <v>0</v>
      </c>
      <c r="H1281" s="263">
        <v>0</v>
      </c>
      <c r="I1281" s="263">
        <v>0</v>
      </c>
      <c r="J1281" s="263">
        <v>0</v>
      </c>
      <c r="K1281" s="267">
        <v>3.2</v>
      </c>
    </row>
    <row r="1282" spans="1:11">
      <c r="A1282" s="9" t="s">
        <v>11501</v>
      </c>
      <c r="B1282" s="16">
        <v>62</v>
      </c>
      <c r="C1282" s="9"/>
      <c r="D1282" s="271" t="s">
        <v>8083</v>
      </c>
      <c r="E1282" s="263">
        <v>0</v>
      </c>
      <c r="F1282" s="263">
        <v>3.2</v>
      </c>
      <c r="G1282" s="263">
        <v>0</v>
      </c>
      <c r="H1282" s="263">
        <v>0</v>
      </c>
      <c r="I1282" s="263">
        <v>0</v>
      </c>
      <c r="J1282" s="263">
        <v>0</v>
      </c>
      <c r="K1282" s="267">
        <v>3.2</v>
      </c>
    </row>
    <row r="1283" spans="1:11">
      <c r="A1283" s="9" t="s">
        <v>11502</v>
      </c>
      <c r="B1283" s="16">
        <v>62</v>
      </c>
      <c r="C1283" s="9"/>
      <c r="D1283" s="271" t="s">
        <v>8084</v>
      </c>
      <c r="E1283" s="263">
        <v>0</v>
      </c>
      <c r="F1283" s="263">
        <v>2.4000000000000004</v>
      </c>
      <c r="G1283" s="263">
        <v>0</v>
      </c>
      <c r="H1283" s="263">
        <v>0</v>
      </c>
      <c r="I1283" s="263">
        <v>0</v>
      </c>
      <c r="J1283" s="263">
        <v>0</v>
      </c>
      <c r="K1283" s="267">
        <v>2.4000000000000004</v>
      </c>
    </row>
    <row r="1284" spans="1:11">
      <c r="A1284" s="9" t="s">
        <v>11503</v>
      </c>
      <c r="B1284" s="16">
        <v>62</v>
      </c>
      <c r="C1284" s="9"/>
      <c r="D1284" s="271" t="s">
        <v>8085</v>
      </c>
      <c r="E1284" s="263">
        <v>0</v>
      </c>
      <c r="F1284" s="263">
        <v>4</v>
      </c>
      <c r="G1284" s="263">
        <v>0</v>
      </c>
      <c r="H1284" s="263">
        <v>0</v>
      </c>
      <c r="I1284" s="263">
        <v>0</v>
      </c>
      <c r="J1284" s="263">
        <v>0</v>
      </c>
      <c r="K1284" s="267">
        <v>4</v>
      </c>
    </row>
    <row r="1285" spans="1:11">
      <c r="A1285" s="9" t="s">
        <v>11504</v>
      </c>
      <c r="B1285" s="16">
        <v>62</v>
      </c>
      <c r="C1285" s="9"/>
      <c r="D1285" s="271" t="s">
        <v>8086</v>
      </c>
      <c r="E1285" s="263">
        <v>0</v>
      </c>
      <c r="F1285" s="263">
        <v>2.4000000000000004</v>
      </c>
      <c r="G1285" s="263">
        <v>0</v>
      </c>
      <c r="H1285" s="263">
        <v>0</v>
      </c>
      <c r="I1285" s="263">
        <v>0</v>
      </c>
      <c r="J1285" s="263">
        <v>0</v>
      </c>
      <c r="K1285" s="267">
        <v>2.4000000000000004</v>
      </c>
    </row>
    <row r="1286" spans="1:11">
      <c r="A1286" s="9" t="s">
        <v>11505</v>
      </c>
      <c r="B1286" s="16">
        <v>62</v>
      </c>
      <c r="C1286" s="9"/>
      <c r="D1286" s="271" t="s">
        <v>8087</v>
      </c>
      <c r="E1286" s="263">
        <v>0</v>
      </c>
      <c r="F1286" s="263">
        <v>3.2</v>
      </c>
      <c r="G1286" s="263">
        <v>0</v>
      </c>
      <c r="H1286" s="263">
        <v>0</v>
      </c>
      <c r="I1286" s="263">
        <v>0</v>
      </c>
      <c r="J1286" s="263">
        <v>0</v>
      </c>
      <c r="K1286" s="267">
        <v>3.2</v>
      </c>
    </row>
    <row r="1287" spans="1:11">
      <c r="A1287" s="9" t="s">
        <v>11506</v>
      </c>
      <c r="B1287" s="16">
        <v>62</v>
      </c>
      <c r="C1287" s="9"/>
      <c r="D1287" s="271" t="s">
        <v>8088</v>
      </c>
      <c r="E1287" s="263">
        <v>0</v>
      </c>
      <c r="F1287" s="263">
        <v>2.4000000000000004</v>
      </c>
      <c r="G1287" s="263">
        <v>0</v>
      </c>
      <c r="H1287" s="263">
        <v>0</v>
      </c>
      <c r="I1287" s="263">
        <v>0</v>
      </c>
      <c r="J1287" s="263">
        <v>0</v>
      </c>
      <c r="K1287" s="267">
        <v>2.4000000000000004</v>
      </c>
    </row>
    <row r="1288" spans="1:11">
      <c r="A1288" s="9" t="s">
        <v>11507</v>
      </c>
      <c r="B1288" s="16">
        <v>62</v>
      </c>
      <c r="C1288" s="9"/>
      <c r="D1288" s="271" t="s">
        <v>8089</v>
      </c>
      <c r="E1288" s="263">
        <v>0</v>
      </c>
      <c r="F1288" s="263">
        <v>2.4000000000000004</v>
      </c>
      <c r="G1288" s="263">
        <v>0</v>
      </c>
      <c r="H1288" s="263">
        <v>0</v>
      </c>
      <c r="I1288" s="263">
        <v>0</v>
      </c>
      <c r="J1288" s="263">
        <v>0</v>
      </c>
      <c r="K1288" s="267">
        <v>2.4000000000000004</v>
      </c>
    </row>
    <row r="1289" spans="1:11">
      <c r="A1289" s="9" t="s">
        <v>11508</v>
      </c>
      <c r="B1289" s="16">
        <v>62</v>
      </c>
      <c r="C1289" s="9"/>
      <c r="D1289" s="271" t="s">
        <v>8090</v>
      </c>
      <c r="E1289" s="263">
        <v>0</v>
      </c>
      <c r="F1289" s="263">
        <v>2.4000000000000004</v>
      </c>
      <c r="G1289" s="263">
        <v>0</v>
      </c>
      <c r="H1289" s="263">
        <v>0</v>
      </c>
      <c r="I1289" s="263">
        <v>0</v>
      </c>
      <c r="J1289" s="263">
        <v>0</v>
      </c>
      <c r="K1289" s="267">
        <v>2.4000000000000004</v>
      </c>
    </row>
    <row r="1290" spans="1:11">
      <c r="B1290" s="16">
        <v>62</v>
      </c>
      <c r="C1290" s="9"/>
      <c r="D1290" s="271"/>
      <c r="E1290" s="263"/>
      <c r="F1290" s="263"/>
      <c r="G1290" s="263"/>
      <c r="H1290" s="263"/>
      <c r="I1290" s="263"/>
      <c r="J1290" s="263"/>
      <c r="K1290" s="267">
        <v>0</v>
      </c>
    </row>
    <row r="1291" spans="1:11" ht="15.75" customHeight="1">
      <c r="B1291" s="16">
        <v>62</v>
      </c>
      <c r="C1291" s="9"/>
      <c r="D1291" s="272" t="s">
        <v>3674</v>
      </c>
      <c r="E1291" s="273">
        <v>24</v>
      </c>
      <c r="F1291" s="273">
        <v>32</v>
      </c>
      <c r="G1291" s="273">
        <v>16</v>
      </c>
      <c r="H1291" s="273">
        <v>3.2</v>
      </c>
      <c r="I1291" s="273">
        <v>0</v>
      </c>
      <c r="J1291" s="273">
        <v>40</v>
      </c>
      <c r="K1291" s="273">
        <v>115.20000000000005</v>
      </c>
    </row>
    <row r="1292" spans="1:11">
      <c r="C1292" s="9"/>
      <c r="D1292" s="271"/>
      <c r="E1292" s="263"/>
      <c r="F1292" s="263"/>
      <c r="G1292" s="263"/>
      <c r="H1292" s="263"/>
      <c r="I1292" s="263"/>
      <c r="J1292" s="263"/>
      <c r="K1292" s="267">
        <v>0</v>
      </c>
    </row>
    <row r="1293" spans="1:11">
      <c r="A1293" s="9" t="s">
        <v>11509</v>
      </c>
      <c r="B1293" s="16">
        <v>63</v>
      </c>
      <c r="C1293" s="9"/>
      <c r="D1293" s="271" t="s">
        <v>8091</v>
      </c>
      <c r="E1293" s="263">
        <v>8</v>
      </c>
      <c r="F1293" s="263">
        <v>0</v>
      </c>
      <c r="G1293" s="263">
        <v>0</v>
      </c>
      <c r="H1293" s="263">
        <v>0</v>
      </c>
      <c r="I1293" s="263">
        <v>0</v>
      </c>
      <c r="J1293" s="263">
        <v>0</v>
      </c>
      <c r="K1293" s="267">
        <v>8</v>
      </c>
    </row>
    <row r="1294" spans="1:11">
      <c r="A1294" s="9" t="s">
        <v>11510</v>
      </c>
      <c r="B1294" s="16">
        <v>63</v>
      </c>
      <c r="C1294" s="9"/>
      <c r="D1294" s="271" t="s">
        <v>8092</v>
      </c>
      <c r="E1294" s="263">
        <v>8</v>
      </c>
      <c r="F1294" s="263">
        <v>0</v>
      </c>
      <c r="G1294" s="263">
        <v>0</v>
      </c>
      <c r="H1294" s="263">
        <v>0</v>
      </c>
      <c r="I1294" s="263">
        <v>0</v>
      </c>
      <c r="J1294" s="263">
        <v>0</v>
      </c>
      <c r="K1294" s="267">
        <v>8</v>
      </c>
    </row>
    <row r="1295" spans="1:11">
      <c r="A1295" s="9" t="s">
        <v>11511</v>
      </c>
      <c r="B1295" s="16">
        <v>63</v>
      </c>
      <c r="C1295" s="9"/>
      <c r="D1295" s="271" t="s">
        <v>8093</v>
      </c>
      <c r="E1295" s="263">
        <v>8</v>
      </c>
      <c r="F1295" s="263">
        <v>0</v>
      </c>
      <c r="G1295" s="263">
        <v>0</v>
      </c>
      <c r="H1295" s="263">
        <v>0</v>
      </c>
      <c r="I1295" s="263">
        <v>0</v>
      </c>
      <c r="J1295" s="263">
        <v>0</v>
      </c>
      <c r="K1295" s="267">
        <v>8</v>
      </c>
    </row>
    <row r="1296" spans="1:11">
      <c r="A1296" s="9" t="s">
        <v>11512</v>
      </c>
      <c r="B1296" s="16">
        <v>63</v>
      </c>
      <c r="C1296" s="9"/>
      <c r="D1296" s="271" t="s">
        <v>8094</v>
      </c>
      <c r="E1296" s="263">
        <v>0</v>
      </c>
      <c r="F1296" s="263">
        <v>0</v>
      </c>
      <c r="G1296" s="263">
        <v>8</v>
      </c>
      <c r="H1296" s="263">
        <v>0</v>
      </c>
      <c r="I1296" s="263">
        <v>0</v>
      </c>
      <c r="J1296" s="263">
        <v>0</v>
      </c>
      <c r="K1296" s="267">
        <v>8</v>
      </c>
    </row>
    <row r="1297" spans="1:11">
      <c r="A1297" s="9" t="s">
        <v>11513</v>
      </c>
      <c r="B1297" s="16">
        <v>63</v>
      </c>
      <c r="C1297" s="9"/>
      <c r="D1297" s="271" t="s">
        <v>8095</v>
      </c>
      <c r="E1297" s="263">
        <v>0</v>
      </c>
      <c r="F1297" s="263">
        <v>0</v>
      </c>
      <c r="G1297" s="263">
        <v>0</v>
      </c>
      <c r="H1297" s="263">
        <v>4</v>
      </c>
      <c r="I1297" s="263">
        <v>0</v>
      </c>
      <c r="J1297" s="263">
        <v>0</v>
      </c>
      <c r="K1297" s="267">
        <v>4</v>
      </c>
    </row>
    <row r="1298" spans="1:11">
      <c r="A1298" s="9" t="s">
        <v>1995</v>
      </c>
      <c r="B1298" s="16">
        <v>63</v>
      </c>
      <c r="C1298" s="9"/>
      <c r="D1298" s="271" t="s">
        <v>8096</v>
      </c>
      <c r="E1298" s="263">
        <v>0</v>
      </c>
      <c r="F1298" s="263">
        <v>0</v>
      </c>
      <c r="G1298" s="263">
        <v>0</v>
      </c>
      <c r="H1298" s="263">
        <v>0</v>
      </c>
      <c r="I1298" s="263">
        <v>0</v>
      </c>
      <c r="J1298" s="263">
        <v>8</v>
      </c>
      <c r="K1298" s="267">
        <v>8</v>
      </c>
    </row>
    <row r="1299" spans="1:11">
      <c r="A1299" s="9" t="s">
        <v>1996</v>
      </c>
      <c r="B1299" s="16">
        <v>63</v>
      </c>
      <c r="C1299" s="9"/>
      <c r="D1299" s="271" t="s">
        <v>8097</v>
      </c>
      <c r="E1299" s="263">
        <v>0</v>
      </c>
      <c r="F1299" s="263">
        <v>0</v>
      </c>
      <c r="G1299" s="263">
        <v>0</v>
      </c>
      <c r="H1299" s="263">
        <v>0</v>
      </c>
      <c r="I1299" s="263">
        <v>0</v>
      </c>
      <c r="J1299" s="263">
        <v>8</v>
      </c>
      <c r="K1299" s="267">
        <v>8</v>
      </c>
    </row>
    <row r="1300" spans="1:11">
      <c r="A1300" s="9" t="s">
        <v>1997</v>
      </c>
      <c r="B1300" s="16">
        <v>63</v>
      </c>
      <c r="C1300" s="9"/>
      <c r="D1300" s="271" t="s">
        <v>8098</v>
      </c>
      <c r="E1300" s="263">
        <v>0</v>
      </c>
      <c r="F1300" s="263">
        <v>0</v>
      </c>
      <c r="G1300" s="263">
        <v>0</v>
      </c>
      <c r="H1300" s="263">
        <v>0</v>
      </c>
      <c r="I1300" s="263">
        <v>0</v>
      </c>
      <c r="J1300" s="263">
        <v>4</v>
      </c>
      <c r="K1300" s="267">
        <v>4</v>
      </c>
    </row>
    <row r="1301" spans="1:11">
      <c r="A1301" s="9" t="s">
        <v>1998</v>
      </c>
      <c r="B1301" s="16">
        <v>63</v>
      </c>
      <c r="C1301" s="9"/>
      <c r="D1301" s="271" t="s">
        <v>8099</v>
      </c>
      <c r="E1301" s="263">
        <v>0</v>
      </c>
      <c r="F1301" s="263">
        <v>0</v>
      </c>
      <c r="G1301" s="263">
        <v>0</v>
      </c>
      <c r="H1301" s="263">
        <v>0</v>
      </c>
      <c r="I1301" s="263">
        <v>0</v>
      </c>
      <c r="J1301" s="263">
        <v>4</v>
      </c>
      <c r="K1301" s="267">
        <v>4</v>
      </c>
    </row>
    <row r="1302" spans="1:11">
      <c r="A1302" s="9" t="s">
        <v>11514</v>
      </c>
      <c r="B1302" s="16">
        <v>63</v>
      </c>
      <c r="C1302" s="9"/>
      <c r="D1302" s="271" t="s">
        <v>8100</v>
      </c>
      <c r="E1302" s="263">
        <v>0</v>
      </c>
      <c r="F1302" s="263">
        <v>2.4000000000000004</v>
      </c>
      <c r="G1302" s="263">
        <v>0</v>
      </c>
      <c r="H1302" s="263">
        <v>0</v>
      </c>
      <c r="I1302" s="263">
        <v>0</v>
      </c>
      <c r="J1302" s="263">
        <v>0</v>
      </c>
      <c r="K1302" s="267">
        <v>2.4000000000000004</v>
      </c>
    </row>
    <row r="1303" spans="1:11">
      <c r="A1303" s="9" t="s">
        <v>11515</v>
      </c>
      <c r="B1303" s="16">
        <v>63</v>
      </c>
      <c r="C1303" s="9"/>
      <c r="D1303" s="271" t="s">
        <v>8101</v>
      </c>
      <c r="E1303" s="263">
        <v>0</v>
      </c>
      <c r="F1303" s="263">
        <v>3.2</v>
      </c>
      <c r="G1303" s="263">
        <v>0</v>
      </c>
      <c r="H1303" s="263">
        <v>0</v>
      </c>
      <c r="I1303" s="263">
        <v>0</v>
      </c>
      <c r="J1303" s="263">
        <v>0</v>
      </c>
      <c r="K1303" s="267">
        <v>3.2</v>
      </c>
    </row>
    <row r="1304" spans="1:11">
      <c r="A1304" s="9" t="s">
        <v>11516</v>
      </c>
      <c r="B1304" s="16">
        <v>63</v>
      </c>
      <c r="C1304" s="9"/>
      <c r="D1304" s="271" t="s">
        <v>8102</v>
      </c>
      <c r="E1304" s="263">
        <v>0</v>
      </c>
      <c r="F1304" s="263">
        <v>3.2</v>
      </c>
      <c r="G1304" s="263">
        <v>0</v>
      </c>
      <c r="H1304" s="263">
        <v>0</v>
      </c>
      <c r="I1304" s="263">
        <v>0</v>
      </c>
      <c r="J1304" s="263">
        <v>0</v>
      </c>
      <c r="K1304" s="267">
        <v>3.2</v>
      </c>
    </row>
    <row r="1305" spans="1:11">
      <c r="A1305" s="9" t="s">
        <v>11517</v>
      </c>
      <c r="B1305" s="16">
        <v>63</v>
      </c>
      <c r="C1305" s="9"/>
      <c r="D1305" s="271" t="s">
        <v>8103</v>
      </c>
      <c r="E1305" s="263">
        <v>0</v>
      </c>
      <c r="F1305" s="263">
        <v>4</v>
      </c>
      <c r="G1305" s="263">
        <v>0</v>
      </c>
      <c r="H1305" s="263">
        <v>0</v>
      </c>
      <c r="I1305" s="263">
        <v>0</v>
      </c>
      <c r="J1305" s="263">
        <v>0</v>
      </c>
      <c r="K1305" s="267">
        <v>4</v>
      </c>
    </row>
    <row r="1306" spans="1:11">
      <c r="A1306" s="9" t="s">
        <v>11518</v>
      </c>
      <c r="B1306" s="16">
        <v>63</v>
      </c>
      <c r="C1306" s="9"/>
      <c r="D1306" s="271" t="s">
        <v>8104</v>
      </c>
      <c r="E1306" s="263">
        <v>0</v>
      </c>
      <c r="F1306" s="263">
        <v>4</v>
      </c>
      <c r="G1306" s="263">
        <v>0</v>
      </c>
      <c r="H1306" s="263">
        <v>0</v>
      </c>
      <c r="I1306" s="263">
        <v>0</v>
      </c>
      <c r="J1306" s="263">
        <v>0</v>
      </c>
      <c r="K1306" s="267">
        <v>4</v>
      </c>
    </row>
    <row r="1307" spans="1:11">
      <c r="A1307" s="9" t="s">
        <v>11519</v>
      </c>
      <c r="B1307" s="16">
        <v>63</v>
      </c>
      <c r="C1307" s="9"/>
      <c r="D1307" s="271" t="s">
        <v>8105</v>
      </c>
      <c r="E1307" s="263">
        <v>0</v>
      </c>
      <c r="F1307" s="263">
        <v>3.2</v>
      </c>
      <c r="G1307" s="263">
        <v>0</v>
      </c>
      <c r="H1307" s="263">
        <v>0</v>
      </c>
      <c r="I1307" s="263">
        <v>0</v>
      </c>
      <c r="J1307" s="263">
        <v>0</v>
      </c>
      <c r="K1307" s="267">
        <v>3.2</v>
      </c>
    </row>
    <row r="1308" spans="1:11">
      <c r="A1308" s="9" t="s">
        <v>1934</v>
      </c>
      <c r="B1308" s="16">
        <v>63</v>
      </c>
      <c r="C1308" s="9"/>
      <c r="D1308" s="271" t="s">
        <v>8106</v>
      </c>
      <c r="E1308" s="263">
        <v>0</v>
      </c>
      <c r="F1308" s="263">
        <v>3.2</v>
      </c>
      <c r="G1308" s="263">
        <v>0</v>
      </c>
      <c r="H1308" s="263">
        <v>0</v>
      </c>
      <c r="I1308" s="263">
        <v>0</v>
      </c>
      <c r="J1308" s="263">
        <v>0</v>
      </c>
      <c r="K1308" s="267">
        <v>3.2</v>
      </c>
    </row>
    <row r="1309" spans="1:11">
      <c r="A1309" s="9" t="s">
        <v>1935</v>
      </c>
      <c r="B1309" s="16">
        <v>63</v>
      </c>
      <c r="C1309" s="9"/>
      <c r="D1309" s="271" t="s">
        <v>8107</v>
      </c>
      <c r="E1309" s="263">
        <v>0</v>
      </c>
      <c r="F1309" s="263">
        <v>2.4000000000000004</v>
      </c>
      <c r="G1309" s="263">
        <v>0</v>
      </c>
      <c r="H1309" s="263">
        <v>0</v>
      </c>
      <c r="I1309" s="263">
        <v>0</v>
      </c>
      <c r="J1309" s="263">
        <v>0</v>
      </c>
      <c r="K1309" s="267">
        <v>2.4000000000000004</v>
      </c>
    </row>
    <row r="1310" spans="1:11">
      <c r="A1310" s="9" t="s">
        <v>11520</v>
      </c>
      <c r="B1310" s="16">
        <v>63</v>
      </c>
      <c r="C1310" s="9"/>
      <c r="D1310" s="271" t="s">
        <v>8108</v>
      </c>
      <c r="E1310" s="263">
        <v>18.400000000000002</v>
      </c>
      <c r="F1310" s="263">
        <v>0</v>
      </c>
      <c r="G1310" s="263">
        <v>0</v>
      </c>
      <c r="H1310" s="263">
        <v>0</v>
      </c>
      <c r="I1310" s="263">
        <v>0</v>
      </c>
      <c r="J1310" s="263">
        <v>0</v>
      </c>
      <c r="K1310" s="267">
        <v>18.400000000000002</v>
      </c>
    </row>
    <row r="1311" spans="1:11">
      <c r="A1311" s="9" t="s">
        <v>11521</v>
      </c>
      <c r="B1311" s="16">
        <v>63</v>
      </c>
      <c r="C1311" s="9"/>
      <c r="D1311" s="271" t="s">
        <v>8109</v>
      </c>
      <c r="E1311" s="263">
        <v>16</v>
      </c>
      <c r="F1311" s="263">
        <v>0</v>
      </c>
      <c r="G1311" s="263">
        <v>0</v>
      </c>
      <c r="H1311" s="263">
        <v>0</v>
      </c>
      <c r="I1311" s="263">
        <v>0</v>
      </c>
      <c r="J1311" s="263">
        <v>0</v>
      </c>
      <c r="K1311" s="267">
        <v>16</v>
      </c>
    </row>
    <row r="1312" spans="1:11">
      <c r="B1312" s="16">
        <v>63</v>
      </c>
      <c r="C1312" s="9"/>
      <c r="D1312" s="271"/>
      <c r="E1312" s="263"/>
      <c r="F1312" s="263"/>
      <c r="G1312" s="263"/>
      <c r="H1312" s="263"/>
      <c r="I1312" s="263"/>
      <c r="J1312" s="263"/>
      <c r="K1312" s="267">
        <v>0</v>
      </c>
    </row>
    <row r="1313" spans="1:11" ht="15.75" customHeight="1">
      <c r="B1313" s="16">
        <v>63</v>
      </c>
      <c r="C1313" s="9"/>
      <c r="D1313" s="272" t="s">
        <v>3674</v>
      </c>
      <c r="E1313" s="273">
        <v>58.400000000000006</v>
      </c>
      <c r="F1313" s="273">
        <v>25.6</v>
      </c>
      <c r="G1313" s="273">
        <v>8</v>
      </c>
      <c r="H1313" s="273">
        <v>4</v>
      </c>
      <c r="I1313" s="273">
        <v>0</v>
      </c>
      <c r="J1313" s="273">
        <v>24</v>
      </c>
      <c r="K1313" s="273">
        <v>120.00000000000001</v>
      </c>
    </row>
    <row r="1314" spans="1:11">
      <c r="A1314" s="9" t="s">
        <v>11522</v>
      </c>
      <c r="B1314" s="16" t="s">
        <v>1782</v>
      </c>
      <c r="C1314" s="9"/>
      <c r="D1314" s="271" t="s">
        <v>8110</v>
      </c>
      <c r="E1314" s="263">
        <v>8</v>
      </c>
      <c r="F1314" s="263">
        <v>0</v>
      </c>
      <c r="G1314" s="263">
        <v>0</v>
      </c>
      <c r="H1314" s="263">
        <v>0</v>
      </c>
      <c r="I1314" s="263">
        <v>0</v>
      </c>
      <c r="J1314" s="263">
        <v>0</v>
      </c>
      <c r="K1314" s="267">
        <v>8</v>
      </c>
    </row>
    <row r="1315" spans="1:11">
      <c r="A1315" s="9" t="s">
        <v>11523</v>
      </c>
      <c r="B1315" s="16" t="s">
        <v>1782</v>
      </c>
      <c r="C1315" s="9"/>
      <c r="D1315" s="271" t="s">
        <v>8111</v>
      </c>
      <c r="E1315" s="263">
        <v>8</v>
      </c>
      <c r="F1315" s="263">
        <v>0</v>
      </c>
      <c r="G1315" s="263">
        <v>0</v>
      </c>
      <c r="H1315" s="263">
        <v>0</v>
      </c>
      <c r="I1315" s="263">
        <v>0</v>
      </c>
      <c r="J1315" s="263">
        <v>0</v>
      </c>
      <c r="K1315" s="267">
        <v>8</v>
      </c>
    </row>
    <row r="1316" spans="1:11">
      <c r="A1316" s="9" t="s">
        <v>11524</v>
      </c>
      <c r="B1316" s="16" t="s">
        <v>1782</v>
      </c>
      <c r="C1316" s="9"/>
      <c r="D1316" s="271" t="s">
        <v>8112</v>
      </c>
      <c r="E1316" s="263">
        <v>8</v>
      </c>
      <c r="F1316" s="263">
        <v>0</v>
      </c>
      <c r="G1316" s="263">
        <v>0</v>
      </c>
      <c r="H1316" s="263">
        <v>0</v>
      </c>
      <c r="I1316" s="263">
        <v>0</v>
      </c>
      <c r="J1316" s="263">
        <v>0</v>
      </c>
      <c r="K1316" s="267">
        <v>8</v>
      </c>
    </row>
    <row r="1317" spans="1:11">
      <c r="A1317" s="9" t="s">
        <v>11525</v>
      </c>
      <c r="B1317" s="16" t="s">
        <v>1782</v>
      </c>
      <c r="C1317" s="9"/>
      <c r="D1317" s="271" t="s">
        <v>8113</v>
      </c>
      <c r="E1317" s="263">
        <v>8</v>
      </c>
      <c r="F1317" s="263">
        <v>0</v>
      </c>
      <c r="G1317" s="263">
        <v>0</v>
      </c>
      <c r="H1317" s="263">
        <v>0</v>
      </c>
      <c r="I1317" s="263">
        <v>0</v>
      </c>
      <c r="J1317" s="263">
        <v>0</v>
      </c>
      <c r="K1317" s="267">
        <v>8</v>
      </c>
    </row>
    <row r="1318" spans="1:11">
      <c r="A1318" s="9" t="s">
        <v>11526</v>
      </c>
      <c r="B1318" s="16" t="s">
        <v>1782</v>
      </c>
      <c r="C1318" s="9"/>
      <c r="D1318" s="271" t="s">
        <v>8114</v>
      </c>
      <c r="E1318" s="263">
        <v>4.8000000000000007</v>
      </c>
      <c r="F1318" s="263">
        <v>0</v>
      </c>
      <c r="G1318" s="263">
        <v>0</v>
      </c>
      <c r="H1318" s="263">
        <v>0</v>
      </c>
      <c r="I1318" s="263">
        <v>0</v>
      </c>
      <c r="J1318" s="263">
        <v>0</v>
      </c>
      <c r="K1318" s="267">
        <v>4.8000000000000007</v>
      </c>
    </row>
    <row r="1319" spans="1:11">
      <c r="A1319" s="9" t="s">
        <v>11527</v>
      </c>
      <c r="B1319" s="16" t="s">
        <v>1782</v>
      </c>
      <c r="C1319" s="9"/>
      <c r="D1319" s="271" t="s">
        <v>8115</v>
      </c>
      <c r="E1319" s="263">
        <v>0</v>
      </c>
      <c r="F1319" s="263">
        <v>0</v>
      </c>
      <c r="G1319" s="263">
        <v>8</v>
      </c>
      <c r="H1319" s="263">
        <v>0</v>
      </c>
      <c r="I1319" s="263">
        <v>0</v>
      </c>
      <c r="J1319" s="263">
        <v>0</v>
      </c>
      <c r="K1319" s="267">
        <v>8</v>
      </c>
    </row>
    <row r="1320" spans="1:11">
      <c r="A1320" s="9" t="s">
        <v>11528</v>
      </c>
      <c r="B1320" s="16" t="s">
        <v>1782</v>
      </c>
      <c r="C1320" s="9"/>
      <c r="D1320" s="271" t="s">
        <v>8116</v>
      </c>
      <c r="E1320" s="263">
        <v>0</v>
      </c>
      <c r="F1320" s="263">
        <v>0</v>
      </c>
      <c r="G1320" s="263">
        <v>8</v>
      </c>
      <c r="H1320" s="263">
        <v>0</v>
      </c>
      <c r="I1320" s="263">
        <v>0</v>
      </c>
      <c r="J1320" s="263">
        <v>0</v>
      </c>
      <c r="K1320" s="267">
        <v>8</v>
      </c>
    </row>
    <row r="1321" spans="1:11">
      <c r="A1321" s="9" t="s">
        <v>11529</v>
      </c>
      <c r="B1321" s="16" t="s">
        <v>1782</v>
      </c>
      <c r="C1321" s="9"/>
      <c r="D1321" s="271" t="s">
        <v>8117</v>
      </c>
      <c r="E1321" s="263">
        <v>0</v>
      </c>
      <c r="F1321" s="263">
        <v>0</v>
      </c>
      <c r="G1321" s="263">
        <v>8</v>
      </c>
      <c r="H1321" s="263">
        <v>0</v>
      </c>
      <c r="I1321" s="263">
        <v>0</v>
      </c>
      <c r="J1321" s="263">
        <v>0</v>
      </c>
      <c r="K1321" s="267">
        <v>8</v>
      </c>
    </row>
    <row r="1322" spans="1:11">
      <c r="A1322" s="9" t="s">
        <v>11530</v>
      </c>
      <c r="B1322" s="16" t="s">
        <v>1782</v>
      </c>
      <c r="C1322" s="9"/>
      <c r="D1322" s="271" t="s">
        <v>8118</v>
      </c>
      <c r="E1322" s="263">
        <v>0</v>
      </c>
      <c r="F1322" s="263">
        <v>0</v>
      </c>
      <c r="G1322" s="263">
        <v>0</v>
      </c>
      <c r="H1322" s="263">
        <v>3.2</v>
      </c>
      <c r="I1322" s="263">
        <v>0</v>
      </c>
      <c r="J1322" s="263">
        <v>0</v>
      </c>
      <c r="K1322" s="267">
        <v>3.2</v>
      </c>
    </row>
    <row r="1323" spans="1:11">
      <c r="A1323" s="9" t="s">
        <v>1999</v>
      </c>
      <c r="B1323" s="16" t="s">
        <v>1782</v>
      </c>
      <c r="C1323" s="9"/>
      <c r="D1323" s="271" t="s">
        <v>8119</v>
      </c>
      <c r="E1323" s="263">
        <v>0</v>
      </c>
      <c r="F1323" s="263">
        <v>0</v>
      </c>
      <c r="G1323" s="263">
        <v>0</v>
      </c>
      <c r="H1323" s="263">
        <v>0</v>
      </c>
      <c r="I1323" s="263">
        <v>0</v>
      </c>
      <c r="J1323" s="263">
        <v>8</v>
      </c>
      <c r="K1323" s="267">
        <v>8</v>
      </c>
    </row>
    <row r="1324" spans="1:11">
      <c r="A1324" s="9" t="s">
        <v>2000</v>
      </c>
      <c r="B1324" s="16" t="s">
        <v>1782</v>
      </c>
      <c r="C1324" s="9"/>
      <c r="D1324" s="271" t="s">
        <v>8120</v>
      </c>
      <c r="E1324" s="263">
        <v>0</v>
      </c>
      <c r="F1324" s="263">
        <v>0</v>
      </c>
      <c r="G1324" s="263">
        <v>0</v>
      </c>
      <c r="H1324" s="263">
        <v>0</v>
      </c>
      <c r="I1324" s="263">
        <v>0</v>
      </c>
      <c r="J1324" s="263">
        <v>8</v>
      </c>
      <c r="K1324" s="267">
        <v>8</v>
      </c>
    </row>
    <row r="1325" spans="1:11">
      <c r="A1325" s="9" t="s">
        <v>2001</v>
      </c>
      <c r="B1325" s="16" t="s">
        <v>1782</v>
      </c>
      <c r="C1325" s="9"/>
      <c r="D1325" s="271" t="s">
        <v>8121</v>
      </c>
      <c r="E1325" s="263">
        <v>0</v>
      </c>
      <c r="F1325" s="263">
        <v>0</v>
      </c>
      <c r="G1325" s="263">
        <v>0</v>
      </c>
      <c r="H1325" s="263">
        <v>0</v>
      </c>
      <c r="I1325" s="263">
        <v>0</v>
      </c>
      <c r="J1325" s="263">
        <v>4</v>
      </c>
      <c r="K1325" s="267">
        <v>4</v>
      </c>
    </row>
    <row r="1326" spans="1:11">
      <c r="A1326" s="9" t="s">
        <v>2002</v>
      </c>
      <c r="B1326" s="16" t="s">
        <v>1782</v>
      </c>
      <c r="C1326" s="9"/>
      <c r="D1326" s="271" t="s">
        <v>8122</v>
      </c>
      <c r="E1326" s="263">
        <v>0</v>
      </c>
      <c r="F1326" s="263">
        <v>0</v>
      </c>
      <c r="G1326" s="263">
        <v>0</v>
      </c>
      <c r="H1326" s="263">
        <v>0</v>
      </c>
      <c r="I1326" s="263">
        <v>0</v>
      </c>
      <c r="J1326" s="263">
        <v>8</v>
      </c>
      <c r="K1326" s="267">
        <v>8</v>
      </c>
    </row>
    <row r="1327" spans="1:11">
      <c r="A1327" s="9" t="s">
        <v>2003</v>
      </c>
      <c r="B1327" s="16" t="s">
        <v>1782</v>
      </c>
      <c r="C1327" s="9"/>
      <c r="D1327" s="271" t="s">
        <v>8123</v>
      </c>
      <c r="E1327" s="263">
        <v>0</v>
      </c>
      <c r="F1327" s="263">
        <v>0</v>
      </c>
      <c r="G1327" s="263">
        <v>0</v>
      </c>
      <c r="H1327" s="263">
        <v>0</v>
      </c>
      <c r="I1327" s="263">
        <v>0</v>
      </c>
      <c r="J1327" s="263">
        <v>8</v>
      </c>
      <c r="K1327" s="267">
        <v>8</v>
      </c>
    </row>
    <row r="1328" spans="1:11">
      <c r="A1328" s="9" t="s">
        <v>1936</v>
      </c>
      <c r="B1328" s="16" t="s">
        <v>1782</v>
      </c>
      <c r="C1328" s="9"/>
      <c r="D1328" s="271" t="s">
        <v>8124</v>
      </c>
      <c r="E1328" s="263">
        <v>0</v>
      </c>
      <c r="F1328" s="263">
        <v>3.2</v>
      </c>
      <c r="G1328" s="263">
        <v>0</v>
      </c>
      <c r="H1328" s="263">
        <v>0</v>
      </c>
      <c r="I1328" s="263">
        <v>0</v>
      </c>
      <c r="J1328" s="263">
        <v>0</v>
      </c>
      <c r="K1328" s="267">
        <v>3.2</v>
      </c>
    </row>
    <row r="1329" spans="1:11">
      <c r="A1329" s="9" t="s">
        <v>1937</v>
      </c>
      <c r="B1329" s="16" t="s">
        <v>1782</v>
      </c>
      <c r="C1329" s="9"/>
      <c r="D1329" s="271" t="s">
        <v>8125</v>
      </c>
      <c r="E1329" s="263">
        <v>0</v>
      </c>
      <c r="F1329" s="263">
        <v>3.2</v>
      </c>
      <c r="G1329" s="263">
        <v>0</v>
      </c>
      <c r="H1329" s="263">
        <v>0</v>
      </c>
      <c r="I1329" s="263">
        <v>0</v>
      </c>
      <c r="J1329" s="263">
        <v>0</v>
      </c>
      <c r="K1329" s="267">
        <v>3.2</v>
      </c>
    </row>
    <row r="1330" spans="1:11">
      <c r="A1330" s="9" t="s">
        <v>1938</v>
      </c>
      <c r="B1330" s="16" t="s">
        <v>1782</v>
      </c>
      <c r="C1330" s="9"/>
      <c r="D1330" s="271" t="s">
        <v>8126</v>
      </c>
      <c r="E1330" s="263">
        <v>0</v>
      </c>
      <c r="F1330" s="263">
        <v>3.2</v>
      </c>
      <c r="G1330" s="263">
        <v>0</v>
      </c>
      <c r="H1330" s="263">
        <v>0</v>
      </c>
      <c r="I1330" s="263">
        <v>0</v>
      </c>
      <c r="J1330" s="263">
        <v>0</v>
      </c>
      <c r="K1330" s="267">
        <v>3.2</v>
      </c>
    </row>
    <row r="1331" spans="1:11">
      <c r="A1331" s="9" t="s">
        <v>1939</v>
      </c>
      <c r="B1331" s="16" t="s">
        <v>1782</v>
      </c>
      <c r="C1331" s="9"/>
      <c r="D1331" s="271" t="s">
        <v>8127</v>
      </c>
      <c r="E1331" s="263">
        <v>0</v>
      </c>
      <c r="F1331" s="263">
        <v>4</v>
      </c>
      <c r="G1331" s="263">
        <v>0</v>
      </c>
      <c r="H1331" s="263">
        <v>0</v>
      </c>
      <c r="I1331" s="263">
        <v>0</v>
      </c>
      <c r="J1331" s="263">
        <v>0</v>
      </c>
      <c r="K1331" s="267">
        <v>4</v>
      </c>
    </row>
    <row r="1332" spans="1:11">
      <c r="A1332" s="9" t="s">
        <v>1940</v>
      </c>
      <c r="B1332" s="16" t="s">
        <v>1782</v>
      </c>
      <c r="C1332" s="9"/>
      <c r="D1332" s="271" t="s">
        <v>8128</v>
      </c>
      <c r="E1332" s="263">
        <v>0</v>
      </c>
      <c r="F1332" s="263">
        <v>4</v>
      </c>
      <c r="G1332" s="263">
        <v>0</v>
      </c>
      <c r="H1332" s="263">
        <v>0</v>
      </c>
      <c r="I1332" s="263">
        <v>0</v>
      </c>
      <c r="J1332" s="263">
        <v>0</v>
      </c>
      <c r="K1332" s="267">
        <v>4</v>
      </c>
    </row>
    <row r="1333" spans="1:11">
      <c r="A1333" s="9" t="s">
        <v>1941</v>
      </c>
      <c r="B1333" s="16" t="s">
        <v>1782</v>
      </c>
      <c r="C1333" s="9"/>
      <c r="D1333" s="271" t="s">
        <v>8129</v>
      </c>
      <c r="E1333" s="263">
        <v>0</v>
      </c>
      <c r="F1333" s="263">
        <v>2.4000000000000004</v>
      </c>
      <c r="G1333" s="263">
        <v>0</v>
      </c>
      <c r="H1333" s="263">
        <v>0</v>
      </c>
      <c r="I1333" s="263">
        <v>0</v>
      </c>
      <c r="J1333" s="263">
        <v>0</v>
      </c>
      <c r="K1333" s="267">
        <v>2.4000000000000004</v>
      </c>
    </row>
    <row r="1334" spans="1:11">
      <c r="B1334" s="16" t="s">
        <v>1782</v>
      </c>
      <c r="C1334" s="9"/>
      <c r="D1334" s="271"/>
      <c r="E1334" s="263"/>
      <c r="F1334" s="263"/>
      <c r="G1334" s="263"/>
      <c r="H1334" s="263"/>
      <c r="I1334" s="263"/>
      <c r="J1334" s="263"/>
      <c r="K1334" s="267">
        <v>0</v>
      </c>
    </row>
    <row r="1335" spans="1:11" ht="15.75" customHeight="1">
      <c r="B1335" s="16" t="s">
        <v>1782</v>
      </c>
      <c r="C1335" s="9"/>
      <c r="D1335" s="272" t="s">
        <v>3674</v>
      </c>
      <c r="E1335" s="273">
        <v>36.799999999999997</v>
      </c>
      <c r="F1335" s="273">
        <v>20</v>
      </c>
      <c r="G1335" s="273">
        <v>24</v>
      </c>
      <c r="H1335" s="273">
        <v>3.2</v>
      </c>
      <c r="I1335" s="273">
        <v>0</v>
      </c>
      <c r="J1335" s="273">
        <v>36</v>
      </c>
      <c r="K1335" s="273">
        <v>120.00000000000001</v>
      </c>
    </row>
    <row r="1336" spans="1:11">
      <c r="C1336" s="9"/>
      <c r="D1336" s="271"/>
      <c r="E1336" s="263"/>
      <c r="F1336" s="263"/>
      <c r="G1336" s="263"/>
      <c r="H1336" s="263"/>
      <c r="I1336" s="263"/>
      <c r="J1336" s="263"/>
      <c r="K1336" s="267">
        <v>0</v>
      </c>
    </row>
    <row r="1337" spans="1:11" ht="15.75" customHeight="1">
      <c r="B1337" s="16">
        <v>0</v>
      </c>
      <c r="C1337" s="9"/>
      <c r="D1337" s="269" t="s">
        <v>13089</v>
      </c>
      <c r="E1337" s="270">
        <v>241.60000000000002</v>
      </c>
      <c r="F1337" s="270">
        <v>157.6</v>
      </c>
      <c r="G1337" s="270">
        <v>89.6</v>
      </c>
      <c r="H1337" s="270">
        <v>28</v>
      </c>
      <c r="I1337" s="270">
        <v>0</v>
      </c>
      <c r="J1337" s="270">
        <v>175.2</v>
      </c>
      <c r="K1337" s="270">
        <v>692.00000000000011</v>
      </c>
    </row>
  </sheetData>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&amp;L&amp;"Arial,Bold"                         &amp;A  :  &amp;P / 50&amp;C&amp;"Wingdings 2,Regular"  </oddFooter>
  </headerFooter>
  <rowBreaks count="29" manualBreakCount="29">
    <brk id="31" max="10" man="1"/>
    <brk id="86" max="17" man="1"/>
    <brk id="130" max="17" man="1"/>
    <brk id="161" max="17" man="1"/>
    <brk id="186" max="17" man="1"/>
    <brk id="208" max="17" man="1"/>
    <brk id="236" max="17" man="1"/>
    <brk id="362" max="17" man="1"/>
    <brk id="394" max="17" man="1"/>
    <brk id="425" max="17" man="1"/>
    <brk id="437" max="17" man="1"/>
    <brk id="495" max="17" man="1"/>
    <brk id="520" max="17" man="1"/>
    <brk id="539" max="17" man="1"/>
    <brk id="634" max="17" man="1"/>
    <brk id="710" max="17" man="1"/>
    <brk id="819" max="17" man="1"/>
    <brk id="848" max="17" man="1"/>
    <brk id="879" max="17" man="1"/>
    <brk id="908" max="17" man="1"/>
    <brk id="964" max="17" man="1"/>
    <brk id="981" max="17" man="1"/>
    <brk id="1010" max="17" man="1"/>
    <brk id="1030" max="17" man="1"/>
    <brk id="1052" max="17" man="1"/>
    <brk id="1077" max="17" man="1"/>
    <brk id="1102" max="17" man="1"/>
    <brk id="1134" max="17" man="1"/>
    <brk id="1188" max="17"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77">
    <tabColor rgb="FF00B050"/>
  </sheetPr>
  <dimension ref="A1:K433"/>
  <sheetViews>
    <sheetView showZeros="0"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cols>
    <col min="1" max="1" width="20.83203125" style="9" customWidth="1"/>
    <col min="2" max="2" width="6.83203125" style="16" customWidth="1"/>
    <col min="3" max="3" width="7.83203125" style="245" customWidth="1"/>
    <col min="4" max="4" width="78.83203125" style="245" customWidth="1"/>
    <col min="5" max="11" width="10.83203125" style="245" customWidth="1"/>
    <col min="12" max="16384" width="9.1640625" style="258"/>
  </cols>
  <sheetData>
    <row r="1" spans="1:11">
      <c r="A1" s="16" t="s">
        <v>234</v>
      </c>
      <c r="B1" s="16" t="s">
        <v>506</v>
      </c>
      <c r="C1" s="16" t="s">
        <v>281</v>
      </c>
      <c r="D1" s="257" t="s">
        <v>12615</v>
      </c>
      <c r="E1" s="257" t="s">
        <v>4251</v>
      </c>
      <c r="F1" s="257" t="s">
        <v>4252</v>
      </c>
      <c r="G1" s="257" t="s">
        <v>4253</v>
      </c>
      <c r="H1" s="257" t="s">
        <v>4254</v>
      </c>
      <c r="I1" s="257" t="s">
        <v>4255</v>
      </c>
      <c r="J1" s="257" t="s">
        <v>4256</v>
      </c>
      <c r="K1" s="257" t="s">
        <v>3668</v>
      </c>
    </row>
    <row r="2" spans="1:11">
      <c r="C2" s="9"/>
      <c r="D2" s="241"/>
      <c r="E2" s="241"/>
      <c r="F2" s="241"/>
      <c r="G2" s="241"/>
      <c r="H2" s="241"/>
      <c r="I2" s="241"/>
      <c r="J2" s="241"/>
      <c r="K2" s="241"/>
    </row>
    <row r="3" spans="1:11">
      <c r="C3" s="9"/>
      <c r="D3" s="241"/>
      <c r="E3" s="241"/>
      <c r="F3" s="241"/>
      <c r="G3" s="241"/>
      <c r="H3" s="241"/>
      <c r="I3" s="241"/>
      <c r="J3" s="241"/>
      <c r="K3" s="241"/>
    </row>
    <row r="4" spans="1:11">
      <c r="C4" s="9"/>
      <c r="D4" s="241" t="s">
        <v>4257</v>
      </c>
      <c r="E4" s="259" t="s">
        <v>610</v>
      </c>
      <c r="F4" s="260" t="s">
        <v>611</v>
      </c>
      <c r="G4" s="259" t="s">
        <v>612</v>
      </c>
      <c r="H4" s="260" t="s">
        <v>681</v>
      </c>
      <c r="I4" s="259" t="s">
        <v>319</v>
      </c>
      <c r="J4" s="260" t="s">
        <v>320</v>
      </c>
      <c r="K4" s="259"/>
    </row>
    <row r="5" spans="1:11">
      <c r="C5" s="9"/>
      <c r="D5" s="241"/>
      <c r="E5" s="241"/>
      <c r="F5" s="241"/>
      <c r="G5" s="241"/>
      <c r="H5" s="241"/>
      <c r="I5" s="241"/>
      <c r="J5" s="241"/>
      <c r="K5" s="241"/>
    </row>
    <row r="6" spans="1:11">
      <c r="A6" s="261" t="s">
        <v>234</v>
      </c>
      <c r="B6" s="261" t="s">
        <v>4258</v>
      </c>
      <c r="C6" s="261" t="s">
        <v>4259</v>
      </c>
      <c r="D6" s="262" t="s">
        <v>12615</v>
      </c>
      <c r="E6" s="259" t="s">
        <v>4281</v>
      </c>
      <c r="F6" s="260" t="s">
        <v>4282</v>
      </c>
      <c r="G6" s="259" t="s">
        <v>4283</v>
      </c>
      <c r="H6" s="260" t="s">
        <v>4284</v>
      </c>
      <c r="I6" s="259" t="s">
        <v>4285</v>
      </c>
      <c r="J6" s="260" t="s">
        <v>4286</v>
      </c>
      <c r="K6" s="259" t="s">
        <v>146</v>
      </c>
    </row>
    <row r="7" spans="1:11">
      <c r="C7" s="9"/>
      <c r="D7" s="241"/>
      <c r="E7" s="263"/>
      <c r="F7" s="263"/>
      <c r="G7" s="263"/>
      <c r="H7" s="263"/>
      <c r="I7" s="263"/>
      <c r="J7" s="263"/>
      <c r="K7" s="263"/>
    </row>
    <row r="8" spans="1:11">
      <c r="B8" s="16">
        <v>1</v>
      </c>
      <c r="C8" s="264">
        <v>5</v>
      </c>
      <c r="D8" s="265" t="s">
        <v>13075</v>
      </c>
      <c r="E8" s="266">
        <v>0</v>
      </c>
      <c r="F8" s="266">
        <v>0</v>
      </c>
      <c r="G8" s="266">
        <v>0</v>
      </c>
      <c r="H8" s="266">
        <v>0</v>
      </c>
      <c r="I8" s="266">
        <v>0</v>
      </c>
      <c r="J8" s="266">
        <v>0</v>
      </c>
      <c r="K8" s="267">
        <v>0</v>
      </c>
    </row>
    <row r="9" spans="1:11">
      <c r="B9" s="16">
        <v>2</v>
      </c>
      <c r="C9" s="264">
        <v>5</v>
      </c>
      <c r="D9" s="265" t="s">
        <v>13076</v>
      </c>
      <c r="E9" s="266">
        <v>92</v>
      </c>
      <c r="F9" s="266">
        <v>16</v>
      </c>
      <c r="G9" s="266">
        <v>16</v>
      </c>
      <c r="H9" s="266">
        <v>32</v>
      </c>
      <c r="I9" s="266">
        <v>0</v>
      </c>
      <c r="J9" s="266">
        <v>72</v>
      </c>
      <c r="K9" s="267">
        <v>228</v>
      </c>
    </row>
    <row r="10" spans="1:11">
      <c r="B10" s="16">
        <v>3</v>
      </c>
      <c r="C10" s="264">
        <v>6</v>
      </c>
      <c r="D10" s="265" t="s">
        <v>13077</v>
      </c>
      <c r="E10" s="266">
        <v>0</v>
      </c>
      <c r="F10" s="266">
        <v>0</v>
      </c>
      <c r="G10" s="266">
        <v>0</v>
      </c>
      <c r="H10" s="266">
        <v>0</v>
      </c>
      <c r="I10" s="266">
        <v>0</v>
      </c>
      <c r="J10" s="266">
        <v>0</v>
      </c>
      <c r="K10" s="267">
        <v>0</v>
      </c>
    </row>
    <row r="11" spans="1:11">
      <c r="B11" s="16">
        <v>4</v>
      </c>
      <c r="C11" s="264">
        <v>5</v>
      </c>
      <c r="D11" s="265" t="s">
        <v>13078</v>
      </c>
      <c r="E11" s="266">
        <v>62.4</v>
      </c>
      <c r="F11" s="266">
        <v>68</v>
      </c>
      <c r="G11" s="266">
        <v>12</v>
      </c>
      <c r="H11" s="266">
        <v>0</v>
      </c>
      <c r="I11" s="266">
        <v>0</v>
      </c>
      <c r="J11" s="266">
        <v>103.19999999999999</v>
      </c>
      <c r="K11" s="267">
        <v>245.6</v>
      </c>
    </row>
    <row r="12" spans="1:11">
      <c r="B12" s="16">
        <v>5</v>
      </c>
      <c r="C12" s="264">
        <v>5</v>
      </c>
      <c r="D12" s="265" t="s">
        <v>13079</v>
      </c>
      <c r="E12" s="266">
        <v>0</v>
      </c>
      <c r="F12" s="266">
        <v>0</v>
      </c>
      <c r="G12" s="266">
        <v>0</v>
      </c>
      <c r="H12" s="266">
        <v>0</v>
      </c>
      <c r="I12" s="266">
        <v>0</v>
      </c>
      <c r="J12" s="266">
        <v>0</v>
      </c>
      <c r="K12" s="267">
        <v>0</v>
      </c>
    </row>
    <row r="13" spans="1:11">
      <c r="B13" s="16">
        <v>6</v>
      </c>
      <c r="C13" s="264">
        <v>6</v>
      </c>
      <c r="D13" s="265" t="s">
        <v>13080</v>
      </c>
      <c r="E13" s="266">
        <v>0</v>
      </c>
      <c r="F13" s="266">
        <v>0</v>
      </c>
      <c r="G13" s="266">
        <v>0</v>
      </c>
      <c r="H13" s="266">
        <v>0</v>
      </c>
      <c r="I13" s="266">
        <v>0</v>
      </c>
      <c r="J13" s="266">
        <v>0</v>
      </c>
      <c r="K13" s="267">
        <v>0</v>
      </c>
    </row>
    <row r="14" spans="1:11">
      <c r="B14" s="16">
        <v>7</v>
      </c>
      <c r="C14" s="264">
        <v>5</v>
      </c>
      <c r="D14" s="265" t="s">
        <v>13081</v>
      </c>
      <c r="E14" s="266">
        <v>158.4</v>
      </c>
      <c r="F14" s="266">
        <v>0</v>
      </c>
      <c r="G14" s="266">
        <v>16.8</v>
      </c>
      <c r="H14" s="266">
        <v>13.600000000000001</v>
      </c>
      <c r="I14" s="266">
        <v>0</v>
      </c>
      <c r="J14" s="266">
        <v>60</v>
      </c>
      <c r="K14" s="267">
        <v>248.8</v>
      </c>
    </row>
    <row r="15" spans="1:11">
      <c r="B15" s="16">
        <v>8</v>
      </c>
      <c r="C15" s="264">
        <v>6</v>
      </c>
      <c r="D15" s="265" t="s">
        <v>13082</v>
      </c>
      <c r="E15" s="266">
        <v>0</v>
      </c>
      <c r="F15" s="266">
        <v>0</v>
      </c>
      <c r="G15" s="266">
        <v>0</v>
      </c>
      <c r="H15" s="266">
        <v>0</v>
      </c>
      <c r="I15" s="266">
        <v>0</v>
      </c>
      <c r="J15" s="266">
        <v>0</v>
      </c>
      <c r="K15" s="267">
        <v>0</v>
      </c>
    </row>
    <row r="16" spans="1:11">
      <c r="B16" s="16">
        <v>9</v>
      </c>
      <c r="C16" s="264">
        <v>6</v>
      </c>
      <c r="D16" s="265" t="s">
        <v>13083</v>
      </c>
      <c r="E16" s="266">
        <v>0</v>
      </c>
      <c r="F16" s="266">
        <v>0</v>
      </c>
      <c r="G16" s="266">
        <v>0</v>
      </c>
      <c r="H16" s="266">
        <v>0</v>
      </c>
      <c r="I16" s="266">
        <v>0</v>
      </c>
      <c r="J16" s="266">
        <v>0</v>
      </c>
      <c r="K16" s="267">
        <v>0</v>
      </c>
    </row>
    <row r="17" spans="2:11">
      <c r="B17" s="16">
        <v>10</v>
      </c>
      <c r="C17" s="264">
        <v>5</v>
      </c>
      <c r="D17" s="265" t="s">
        <v>13084</v>
      </c>
      <c r="E17" s="266">
        <v>36</v>
      </c>
      <c r="F17" s="266">
        <v>0</v>
      </c>
      <c r="G17" s="266">
        <v>36</v>
      </c>
      <c r="H17" s="266">
        <v>24</v>
      </c>
      <c r="I17" s="266">
        <v>0</v>
      </c>
      <c r="J17" s="266">
        <v>24</v>
      </c>
      <c r="K17" s="267">
        <v>120</v>
      </c>
    </row>
    <row r="18" spans="2:11">
      <c r="B18" s="16">
        <v>11</v>
      </c>
      <c r="C18" s="264">
        <v>4</v>
      </c>
      <c r="D18" s="265" t="s">
        <v>13085</v>
      </c>
      <c r="E18" s="266">
        <v>64</v>
      </c>
      <c r="F18" s="266">
        <v>16</v>
      </c>
      <c r="G18" s="266">
        <v>68</v>
      </c>
      <c r="H18" s="266">
        <v>56</v>
      </c>
      <c r="I18" s="266">
        <v>0</v>
      </c>
      <c r="J18" s="266">
        <v>152</v>
      </c>
      <c r="K18" s="267">
        <v>356</v>
      </c>
    </row>
    <row r="19" spans="2:11">
      <c r="B19" s="16">
        <v>12</v>
      </c>
      <c r="C19" s="264">
        <v>4</v>
      </c>
      <c r="D19" s="265" t="s">
        <v>13086</v>
      </c>
      <c r="E19" s="266">
        <v>136</v>
      </c>
      <c r="F19" s="266">
        <v>0</v>
      </c>
      <c r="G19" s="266">
        <v>32</v>
      </c>
      <c r="H19" s="266">
        <v>8</v>
      </c>
      <c r="I19" s="266">
        <v>0</v>
      </c>
      <c r="J19" s="266">
        <v>84</v>
      </c>
      <c r="K19" s="267">
        <v>260</v>
      </c>
    </row>
    <row r="20" spans="2:11">
      <c r="B20" s="16">
        <v>13</v>
      </c>
      <c r="C20" s="264">
        <v>4</v>
      </c>
      <c r="D20" s="265" t="s">
        <v>13087</v>
      </c>
      <c r="E20" s="266">
        <v>179.2</v>
      </c>
      <c r="F20" s="266">
        <v>43.2</v>
      </c>
      <c r="G20" s="266">
        <v>0</v>
      </c>
      <c r="H20" s="266">
        <v>0</v>
      </c>
      <c r="I20" s="266">
        <v>0</v>
      </c>
      <c r="J20" s="266">
        <v>64.800000000000011</v>
      </c>
      <c r="K20" s="267">
        <v>287.2</v>
      </c>
    </row>
    <row r="21" spans="2:11">
      <c r="B21" s="16">
        <v>14</v>
      </c>
      <c r="C21" s="264">
        <v>5</v>
      </c>
      <c r="D21" s="265" t="s">
        <v>13088</v>
      </c>
      <c r="E21" s="266">
        <v>192</v>
      </c>
      <c r="F21" s="266">
        <v>8</v>
      </c>
      <c r="G21" s="266">
        <v>88</v>
      </c>
      <c r="H21" s="266">
        <v>0</v>
      </c>
      <c r="I21" s="266">
        <v>0</v>
      </c>
      <c r="J21" s="266">
        <v>8</v>
      </c>
      <c r="K21" s="267">
        <v>296</v>
      </c>
    </row>
    <row r="22" spans="2:11">
      <c r="B22" s="16">
        <v>14</v>
      </c>
      <c r="C22" s="264">
        <v>5</v>
      </c>
      <c r="D22" s="265" t="s">
        <v>13089</v>
      </c>
      <c r="E22" s="266">
        <v>23.200000000000003</v>
      </c>
      <c r="F22" s="266">
        <v>0</v>
      </c>
      <c r="G22" s="266">
        <v>4.8000000000000007</v>
      </c>
      <c r="H22" s="266">
        <v>0</v>
      </c>
      <c r="I22" s="266">
        <v>0</v>
      </c>
      <c r="J22" s="266">
        <v>0</v>
      </c>
      <c r="K22" s="267">
        <v>28.000000000000004</v>
      </c>
    </row>
    <row r="23" spans="2:11">
      <c r="C23" s="264"/>
      <c r="D23" s="265"/>
      <c r="E23" s="266"/>
      <c r="F23" s="266"/>
      <c r="G23" s="266"/>
      <c r="H23" s="266"/>
      <c r="I23" s="266"/>
      <c r="J23" s="266"/>
      <c r="K23" s="267"/>
    </row>
    <row r="24" spans="2:11">
      <c r="C24" s="268">
        <v>76</v>
      </c>
      <c r="D24" s="269" t="s">
        <v>13092</v>
      </c>
      <c r="E24" s="270">
        <v>943.2</v>
      </c>
      <c r="F24" s="270">
        <v>151.19999999999999</v>
      </c>
      <c r="G24" s="270">
        <v>273.60000000000002</v>
      </c>
      <c r="H24" s="270">
        <v>133.6</v>
      </c>
      <c r="I24" s="270">
        <v>0</v>
      </c>
      <c r="J24" s="270">
        <v>568</v>
      </c>
      <c r="K24" s="270">
        <v>2069.6000000000004</v>
      </c>
    </row>
    <row r="25" spans="2:11">
      <c r="C25" s="9"/>
      <c r="D25" s="271"/>
      <c r="E25" s="263"/>
      <c r="F25" s="263"/>
      <c r="G25" s="263"/>
      <c r="H25" s="263"/>
      <c r="I25" s="263"/>
      <c r="J25" s="263"/>
      <c r="K25" s="263"/>
    </row>
    <row r="26" spans="2:11">
      <c r="C26" s="9"/>
      <c r="D26" s="271"/>
      <c r="E26" s="263"/>
      <c r="F26" s="263"/>
      <c r="G26" s="263"/>
      <c r="H26" s="263"/>
      <c r="I26" s="263"/>
      <c r="J26" s="263"/>
      <c r="K26" s="263"/>
    </row>
    <row r="27" spans="2:11">
      <c r="C27" s="9"/>
      <c r="D27" s="271"/>
      <c r="E27" s="263"/>
      <c r="F27" s="263"/>
      <c r="G27" s="263"/>
      <c r="H27" s="263"/>
      <c r="I27" s="263"/>
      <c r="J27" s="263"/>
      <c r="K27" s="263"/>
    </row>
    <row r="28" spans="2:11">
      <c r="C28" s="9"/>
      <c r="D28" s="271"/>
      <c r="E28" s="263"/>
      <c r="F28" s="263"/>
      <c r="G28" s="263"/>
      <c r="H28" s="263"/>
      <c r="I28" s="263"/>
      <c r="J28" s="263"/>
      <c r="K28" s="263"/>
    </row>
    <row r="29" spans="2:11">
      <c r="C29" s="9"/>
      <c r="D29" s="271"/>
      <c r="E29" s="263"/>
      <c r="F29" s="263"/>
      <c r="G29" s="263"/>
      <c r="H29" s="263"/>
      <c r="I29" s="263"/>
      <c r="J29" s="263"/>
      <c r="K29" s="263"/>
    </row>
    <row r="30" spans="2:11">
      <c r="C30" s="9"/>
      <c r="D30" s="271"/>
      <c r="E30" s="263"/>
      <c r="F30" s="263"/>
      <c r="G30" s="263"/>
      <c r="H30" s="263"/>
      <c r="I30" s="263"/>
      <c r="J30" s="263"/>
      <c r="K30" s="263"/>
    </row>
    <row r="31" spans="2:11">
      <c r="C31" s="9"/>
      <c r="D31" s="271"/>
      <c r="E31" s="263"/>
      <c r="F31" s="263"/>
      <c r="G31" s="263"/>
      <c r="H31" s="263"/>
      <c r="I31" s="263"/>
      <c r="J31" s="263"/>
      <c r="K31" s="263"/>
    </row>
    <row r="32" spans="2:11">
      <c r="C32" s="9"/>
      <c r="D32" s="271" t="s">
        <v>4267</v>
      </c>
      <c r="E32" s="263"/>
      <c r="F32" s="263"/>
      <c r="G32" s="263"/>
      <c r="H32" s="263"/>
      <c r="I32" s="263"/>
      <c r="J32" s="263"/>
      <c r="K32" s="267">
        <v>0</v>
      </c>
    </row>
    <row r="33" spans="1:11">
      <c r="C33" s="9"/>
      <c r="D33" s="271"/>
      <c r="E33" s="263"/>
      <c r="F33" s="263"/>
      <c r="G33" s="263"/>
      <c r="H33" s="263"/>
      <c r="I33" s="263"/>
      <c r="J33" s="263"/>
      <c r="K33" s="267">
        <v>0</v>
      </c>
    </row>
    <row r="34" spans="1:11">
      <c r="A34" s="9" t="s">
        <v>11531</v>
      </c>
      <c r="B34" s="16">
        <v>26</v>
      </c>
      <c r="C34" s="9"/>
      <c r="D34" s="271" t="s">
        <v>9599</v>
      </c>
      <c r="E34" s="263">
        <v>0</v>
      </c>
      <c r="F34" s="263">
        <v>0</v>
      </c>
      <c r="G34" s="263">
        <v>8</v>
      </c>
      <c r="H34" s="263">
        <v>0</v>
      </c>
      <c r="I34" s="263">
        <v>0</v>
      </c>
      <c r="J34" s="263">
        <v>0</v>
      </c>
      <c r="K34" s="267">
        <v>8</v>
      </c>
    </row>
    <row r="35" spans="1:11">
      <c r="A35" s="9" t="s">
        <v>11532</v>
      </c>
      <c r="B35" s="16">
        <v>26</v>
      </c>
      <c r="C35" s="9"/>
      <c r="D35" s="271" t="s">
        <v>9600</v>
      </c>
      <c r="E35" s="263">
        <v>0</v>
      </c>
      <c r="F35" s="263">
        <v>0</v>
      </c>
      <c r="G35" s="263">
        <v>8</v>
      </c>
      <c r="H35" s="263">
        <v>0</v>
      </c>
      <c r="I35" s="263">
        <v>0</v>
      </c>
      <c r="J35" s="263">
        <v>0</v>
      </c>
      <c r="K35" s="267">
        <v>8</v>
      </c>
    </row>
    <row r="36" spans="1:11">
      <c r="A36" s="9" t="s">
        <v>11533</v>
      </c>
      <c r="B36" s="16">
        <v>26</v>
      </c>
      <c r="C36" s="9"/>
      <c r="D36" s="271" t="s">
        <v>9601</v>
      </c>
      <c r="E36" s="263">
        <v>0</v>
      </c>
      <c r="F36" s="263">
        <v>0</v>
      </c>
      <c r="G36" s="263">
        <v>0</v>
      </c>
      <c r="H36" s="263">
        <v>8</v>
      </c>
      <c r="I36" s="263">
        <v>0</v>
      </c>
      <c r="J36" s="263">
        <v>0</v>
      </c>
      <c r="K36" s="267">
        <v>8</v>
      </c>
    </row>
    <row r="37" spans="1:11">
      <c r="A37" s="9" t="s">
        <v>11534</v>
      </c>
      <c r="B37" s="16">
        <v>26</v>
      </c>
      <c r="C37" s="9"/>
      <c r="D37" s="271" t="s">
        <v>9602</v>
      </c>
      <c r="E37" s="263">
        <v>0</v>
      </c>
      <c r="F37" s="263">
        <v>0</v>
      </c>
      <c r="G37" s="263">
        <v>0</v>
      </c>
      <c r="H37" s="263">
        <v>8</v>
      </c>
      <c r="I37" s="263">
        <v>0</v>
      </c>
      <c r="J37" s="263">
        <v>0</v>
      </c>
      <c r="K37" s="267">
        <v>8</v>
      </c>
    </row>
    <row r="38" spans="1:11">
      <c r="A38" s="9" t="s">
        <v>11535</v>
      </c>
      <c r="B38" s="16">
        <v>26</v>
      </c>
      <c r="C38" s="9"/>
      <c r="D38" s="271" t="s">
        <v>9603</v>
      </c>
      <c r="E38" s="263">
        <v>0</v>
      </c>
      <c r="F38" s="263">
        <v>0</v>
      </c>
      <c r="G38" s="263">
        <v>0</v>
      </c>
      <c r="H38" s="263">
        <v>8</v>
      </c>
      <c r="I38" s="263">
        <v>0</v>
      </c>
      <c r="J38" s="263">
        <v>0</v>
      </c>
      <c r="K38" s="267">
        <v>8</v>
      </c>
    </row>
    <row r="39" spans="1:11">
      <c r="B39" s="16">
        <v>26</v>
      </c>
      <c r="C39" s="9"/>
      <c r="D39" s="271"/>
      <c r="E39" s="263"/>
      <c r="F39" s="263"/>
      <c r="G39" s="263"/>
      <c r="H39" s="263"/>
      <c r="I39" s="263"/>
      <c r="J39" s="263"/>
      <c r="K39" s="267">
        <v>0</v>
      </c>
    </row>
    <row r="40" spans="1:11">
      <c r="B40" s="16">
        <v>26</v>
      </c>
      <c r="C40" s="9"/>
      <c r="D40" s="272" t="s">
        <v>3674</v>
      </c>
      <c r="E40" s="273">
        <v>0</v>
      </c>
      <c r="F40" s="273">
        <v>0</v>
      </c>
      <c r="G40" s="273">
        <v>16</v>
      </c>
      <c r="H40" s="273">
        <v>24</v>
      </c>
      <c r="I40" s="273">
        <v>0</v>
      </c>
      <c r="J40" s="273">
        <v>0</v>
      </c>
      <c r="K40" s="273">
        <v>40</v>
      </c>
    </row>
    <row r="41" spans="1:11">
      <c r="C41" s="9"/>
      <c r="D41" s="271"/>
      <c r="E41" s="263"/>
      <c r="F41" s="263"/>
      <c r="G41" s="263"/>
      <c r="H41" s="263"/>
      <c r="I41" s="263"/>
      <c r="J41" s="263"/>
      <c r="K41" s="267">
        <v>0</v>
      </c>
    </row>
    <row r="42" spans="1:11">
      <c r="A42" s="9" t="s">
        <v>11536</v>
      </c>
      <c r="B42" s="16">
        <v>27</v>
      </c>
      <c r="C42" s="9"/>
      <c r="D42" s="271" t="s">
        <v>9604</v>
      </c>
      <c r="E42" s="263">
        <v>8</v>
      </c>
      <c r="F42" s="263">
        <v>0</v>
      </c>
      <c r="G42" s="263">
        <v>0</v>
      </c>
      <c r="H42" s="263">
        <v>0</v>
      </c>
      <c r="I42" s="263">
        <v>0</v>
      </c>
      <c r="J42" s="263">
        <v>0</v>
      </c>
      <c r="K42" s="267">
        <v>8</v>
      </c>
    </row>
    <row r="43" spans="1:11">
      <c r="A43" s="9" t="s">
        <v>11537</v>
      </c>
      <c r="B43" s="16">
        <v>27</v>
      </c>
      <c r="C43" s="9"/>
      <c r="D43" s="271" t="s">
        <v>9605</v>
      </c>
      <c r="E43" s="263">
        <v>0</v>
      </c>
      <c r="F43" s="263">
        <v>0</v>
      </c>
      <c r="G43" s="263">
        <v>0</v>
      </c>
      <c r="H43" s="263">
        <v>0</v>
      </c>
      <c r="I43" s="263">
        <v>0</v>
      </c>
      <c r="J43" s="263">
        <v>8</v>
      </c>
      <c r="K43" s="267">
        <v>8</v>
      </c>
    </row>
    <row r="44" spans="1:11">
      <c r="A44" s="9" t="s">
        <v>11538</v>
      </c>
      <c r="B44" s="16">
        <v>27</v>
      </c>
      <c r="C44" s="9"/>
      <c r="D44" s="271" t="s">
        <v>9606</v>
      </c>
      <c r="E44" s="263">
        <v>0</v>
      </c>
      <c r="F44" s="263">
        <v>0</v>
      </c>
      <c r="G44" s="263">
        <v>0</v>
      </c>
      <c r="H44" s="263">
        <v>0</v>
      </c>
      <c r="I44" s="263">
        <v>0</v>
      </c>
      <c r="J44" s="263">
        <v>8</v>
      </c>
      <c r="K44" s="267">
        <v>8</v>
      </c>
    </row>
    <row r="45" spans="1:11">
      <c r="A45" s="9" t="s">
        <v>11539</v>
      </c>
      <c r="B45" s="16">
        <v>27</v>
      </c>
      <c r="C45" s="9"/>
      <c r="D45" s="271" t="s">
        <v>9557</v>
      </c>
      <c r="E45" s="263">
        <v>0</v>
      </c>
      <c r="F45" s="263">
        <v>0</v>
      </c>
      <c r="G45" s="263">
        <v>0</v>
      </c>
      <c r="H45" s="263">
        <v>8</v>
      </c>
      <c r="I45" s="263">
        <v>0</v>
      </c>
      <c r="J45" s="263">
        <v>0</v>
      </c>
      <c r="K45" s="267">
        <v>8</v>
      </c>
    </row>
    <row r="46" spans="1:11">
      <c r="A46" s="9" t="s">
        <v>11540</v>
      </c>
      <c r="B46" s="16">
        <v>27</v>
      </c>
      <c r="C46" s="9"/>
      <c r="D46" s="271" t="s">
        <v>9607</v>
      </c>
      <c r="E46" s="263">
        <v>8</v>
      </c>
      <c r="F46" s="263">
        <v>0</v>
      </c>
      <c r="G46" s="263">
        <v>0</v>
      </c>
      <c r="H46" s="263">
        <v>0</v>
      </c>
      <c r="I46" s="263">
        <v>0</v>
      </c>
      <c r="J46" s="263">
        <v>0</v>
      </c>
      <c r="K46" s="267">
        <v>8</v>
      </c>
    </row>
    <row r="47" spans="1:11">
      <c r="A47" s="9" t="s">
        <v>11541</v>
      </c>
      <c r="B47" s="16">
        <v>27</v>
      </c>
      <c r="C47" s="9"/>
      <c r="D47" s="271" t="s">
        <v>9608</v>
      </c>
      <c r="E47" s="263">
        <v>8</v>
      </c>
      <c r="F47" s="263">
        <v>0</v>
      </c>
      <c r="G47" s="263">
        <v>0</v>
      </c>
      <c r="H47" s="263">
        <v>0</v>
      </c>
      <c r="I47" s="263">
        <v>0</v>
      </c>
      <c r="J47" s="263">
        <v>0</v>
      </c>
      <c r="K47" s="267">
        <v>8</v>
      </c>
    </row>
    <row r="48" spans="1:11">
      <c r="A48" s="9" t="s">
        <v>11542</v>
      </c>
      <c r="B48" s="16">
        <v>27</v>
      </c>
      <c r="C48" s="9"/>
      <c r="D48" s="271" t="s">
        <v>9609</v>
      </c>
      <c r="E48" s="263">
        <v>0</v>
      </c>
      <c r="F48" s="263">
        <v>0</v>
      </c>
      <c r="G48" s="263">
        <v>0</v>
      </c>
      <c r="H48" s="263">
        <v>0</v>
      </c>
      <c r="I48" s="263">
        <v>0</v>
      </c>
      <c r="J48" s="263">
        <v>8</v>
      </c>
      <c r="K48" s="267">
        <v>8</v>
      </c>
    </row>
    <row r="49" spans="1:11">
      <c r="A49" s="9" t="s">
        <v>11543</v>
      </c>
      <c r="B49" s="16">
        <v>27</v>
      </c>
      <c r="C49" s="9"/>
      <c r="D49" s="271" t="s">
        <v>9610</v>
      </c>
      <c r="E49" s="263">
        <v>0</v>
      </c>
      <c r="F49" s="263">
        <v>8</v>
      </c>
      <c r="G49" s="263">
        <v>0</v>
      </c>
      <c r="H49" s="263">
        <v>0</v>
      </c>
      <c r="I49" s="263">
        <v>0</v>
      </c>
      <c r="J49" s="263">
        <v>0</v>
      </c>
      <c r="K49" s="267">
        <v>8</v>
      </c>
    </row>
    <row r="50" spans="1:11">
      <c r="A50" s="9" t="s">
        <v>11544</v>
      </c>
      <c r="B50" s="16">
        <v>27</v>
      </c>
      <c r="C50" s="9"/>
      <c r="D50" s="271" t="s">
        <v>9611</v>
      </c>
      <c r="E50" s="263">
        <v>0</v>
      </c>
      <c r="F50" s="263">
        <v>8</v>
      </c>
      <c r="G50" s="263">
        <v>0</v>
      </c>
      <c r="H50" s="263">
        <v>0</v>
      </c>
      <c r="I50" s="263">
        <v>0</v>
      </c>
      <c r="J50" s="263">
        <v>0</v>
      </c>
      <c r="K50" s="267">
        <v>8</v>
      </c>
    </row>
    <row r="51" spans="1:11">
      <c r="B51" s="16">
        <v>27</v>
      </c>
      <c r="C51" s="9"/>
      <c r="D51" s="271"/>
      <c r="E51" s="263"/>
      <c r="F51" s="263"/>
      <c r="G51" s="263"/>
      <c r="H51" s="263"/>
      <c r="I51" s="263"/>
      <c r="J51" s="263"/>
      <c r="K51" s="267">
        <v>0</v>
      </c>
    </row>
    <row r="52" spans="1:11">
      <c r="B52" s="16">
        <v>27</v>
      </c>
      <c r="C52" s="9"/>
      <c r="D52" s="272" t="s">
        <v>3674</v>
      </c>
      <c r="E52" s="273">
        <v>24</v>
      </c>
      <c r="F52" s="273">
        <v>16</v>
      </c>
      <c r="G52" s="273">
        <v>0</v>
      </c>
      <c r="H52" s="273">
        <v>8</v>
      </c>
      <c r="I52" s="273">
        <v>0</v>
      </c>
      <c r="J52" s="273">
        <v>24</v>
      </c>
      <c r="K52" s="273">
        <v>72</v>
      </c>
    </row>
    <row r="53" spans="1:11">
      <c r="C53" s="9"/>
      <c r="D53" s="271"/>
      <c r="E53" s="263"/>
      <c r="F53" s="263"/>
      <c r="G53" s="263"/>
      <c r="H53" s="263"/>
      <c r="I53" s="263"/>
      <c r="J53" s="263"/>
      <c r="K53" s="267">
        <v>0</v>
      </c>
    </row>
    <row r="54" spans="1:11">
      <c r="A54" s="9" t="s">
        <v>11545</v>
      </c>
      <c r="B54" s="16">
        <v>28</v>
      </c>
      <c r="C54" s="9"/>
      <c r="D54" s="271" t="s">
        <v>9612</v>
      </c>
      <c r="E54" s="263">
        <v>8</v>
      </c>
      <c r="F54" s="263">
        <v>0</v>
      </c>
      <c r="G54" s="263">
        <v>0</v>
      </c>
      <c r="H54" s="263">
        <v>0</v>
      </c>
      <c r="I54" s="263">
        <v>0</v>
      </c>
      <c r="J54" s="263">
        <v>0</v>
      </c>
      <c r="K54" s="267">
        <v>8</v>
      </c>
    </row>
    <row r="55" spans="1:11">
      <c r="A55" s="9" t="s">
        <v>11546</v>
      </c>
      <c r="B55" s="16">
        <v>28</v>
      </c>
      <c r="C55" s="9"/>
      <c r="D55" s="271" t="s">
        <v>9613</v>
      </c>
      <c r="E55" s="263">
        <v>8</v>
      </c>
      <c r="F55" s="263">
        <v>0</v>
      </c>
      <c r="G55" s="263">
        <v>0</v>
      </c>
      <c r="H55" s="263">
        <v>0</v>
      </c>
      <c r="I55" s="263">
        <v>0</v>
      </c>
      <c r="J55" s="263">
        <v>0</v>
      </c>
      <c r="K55" s="267">
        <v>8</v>
      </c>
    </row>
    <row r="56" spans="1:11">
      <c r="A56" s="9" t="s">
        <v>11547</v>
      </c>
      <c r="B56" s="16">
        <v>28</v>
      </c>
      <c r="C56" s="9"/>
      <c r="D56" s="271" t="s">
        <v>9614</v>
      </c>
      <c r="E56" s="263">
        <v>8</v>
      </c>
      <c r="F56" s="263">
        <v>0</v>
      </c>
      <c r="G56" s="263">
        <v>0</v>
      </c>
      <c r="H56" s="263">
        <v>0</v>
      </c>
      <c r="I56" s="263">
        <v>0</v>
      </c>
      <c r="J56" s="263">
        <v>0</v>
      </c>
      <c r="K56" s="267">
        <v>8</v>
      </c>
    </row>
    <row r="57" spans="1:11">
      <c r="A57" s="9" t="s">
        <v>11548</v>
      </c>
      <c r="B57" s="16">
        <v>28</v>
      </c>
      <c r="C57" s="9"/>
      <c r="D57" s="271" t="s">
        <v>9615</v>
      </c>
      <c r="E57" s="263">
        <v>0</v>
      </c>
      <c r="F57" s="263">
        <v>0</v>
      </c>
      <c r="G57" s="263">
        <v>0</v>
      </c>
      <c r="H57" s="263">
        <v>0</v>
      </c>
      <c r="I57" s="263">
        <v>0</v>
      </c>
      <c r="J57" s="263">
        <v>8</v>
      </c>
      <c r="K57" s="267">
        <v>8</v>
      </c>
    </row>
    <row r="58" spans="1:11">
      <c r="A58" s="9" t="s">
        <v>11549</v>
      </c>
      <c r="B58" s="16">
        <v>28</v>
      </c>
      <c r="C58" s="9"/>
      <c r="D58" s="271" t="s">
        <v>9616</v>
      </c>
      <c r="E58" s="263">
        <v>0</v>
      </c>
      <c r="F58" s="263">
        <v>0</v>
      </c>
      <c r="G58" s="263">
        <v>0</v>
      </c>
      <c r="H58" s="263">
        <v>0</v>
      </c>
      <c r="I58" s="263">
        <v>0</v>
      </c>
      <c r="J58" s="263">
        <v>8</v>
      </c>
      <c r="K58" s="267">
        <v>8</v>
      </c>
    </row>
    <row r="59" spans="1:11">
      <c r="A59" s="9" t="s">
        <v>11550</v>
      </c>
      <c r="B59" s="16">
        <v>28</v>
      </c>
      <c r="C59" s="9"/>
      <c r="D59" s="271" t="s">
        <v>9617</v>
      </c>
      <c r="E59" s="263">
        <v>8</v>
      </c>
      <c r="F59" s="263">
        <v>0</v>
      </c>
      <c r="G59" s="263">
        <v>0</v>
      </c>
      <c r="H59" s="263">
        <v>0</v>
      </c>
      <c r="I59" s="263">
        <v>0</v>
      </c>
      <c r="J59" s="263">
        <v>0</v>
      </c>
      <c r="K59" s="267">
        <v>8</v>
      </c>
    </row>
    <row r="60" spans="1:11">
      <c r="A60" s="9" t="s">
        <v>11551</v>
      </c>
      <c r="B60" s="16">
        <v>28</v>
      </c>
      <c r="C60" s="9"/>
      <c r="D60" s="271" t="s">
        <v>9618</v>
      </c>
      <c r="E60" s="263">
        <v>0</v>
      </c>
      <c r="F60" s="263">
        <v>0</v>
      </c>
      <c r="G60" s="263">
        <v>0</v>
      </c>
      <c r="H60" s="263">
        <v>0</v>
      </c>
      <c r="I60" s="263">
        <v>0</v>
      </c>
      <c r="J60" s="263">
        <v>8</v>
      </c>
      <c r="K60" s="267">
        <v>8</v>
      </c>
    </row>
    <row r="61" spans="1:11">
      <c r="B61" s="16">
        <v>28</v>
      </c>
      <c r="C61" s="9"/>
      <c r="D61" s="271"/>
      <c r="E61" s="263"/>
      <c r="F61" s="263"/>
      <c r="G61" s="263"/>
      <c r="H61" s="263"/>
      <c r="I61" s="263"/>
      <c r="J61" s="263"/>
      <c r="K61" s="267">
        <v>0</v>
      </c>
    </row>
    <row r="62" spans="1:11">
      <c r="B62" s="16">
        <v>28</v>
      </c>
      <c r="C62" s="9"/>
      <c r="D62" s="272" t="s">
        <v>3674</v>
      </c>
      <c r="E62" s="273">
        <v>32</v>
      </c>
      <c r="F62" s="273">
        <v>0</v>
      </c>
      <c r="G62" s="273">
        <v>0</v>
      </c>
      <c r="H62" s="273">
        <v>0</v>
      </c>
      <c r="I62" s="273">
        <v>0</v>
      </c>
      <c r="J62" s="273">
        <v>24</v>
      </c>
      <c r="K62" s="273">
        <v>56</v>
      </c>
    </row>
    <row r="63" spans="1:11">
      <c r="C63" s="9"/>
      <c r="D63" s="271"/>
      <c r="E63" s="263"/>
      <c r="F63" s="263"/>
      <c r="G63" s="263"/>
      <c r="H63" s="263"/>
      <c r="I63" s="263"/>
      <c r="J63" s="263"/>
      <c r="K63" s="267">
        <v>0</v>
      </c>
    </row>
    <row r="64" spans="1:11">
      <c r="A64" s="9" t="s">
        <v>11552</v>
      </c>
      <c r="B64" s="16">
        <v>29</v>
      </c>
      <c r="C64" s="9"/>
      <c r="D64" s="271" t="s">
        <v>9619</v>
      </c>
      <c r="E64" s="263">
        <v>8</v>
      </c>
      <c r="F64" s="263">
        <v>0</v>
      </c>
      <c r="G64" s="263">
        <v>0</v>
      </c>
      <c r="H64" s="263">
        <v>0</v>
      </c>
      <c r="I64" s="263">
        <v>0</v>
      </c>
      <c r="J64" s="263">
        <v>0</v>
      </c>
      <c r="K64" s="267">
        <v>8</v>
      </c>
    </row>
    <row r="65" spans="1:11">
      <c r="A65" s="9" t="s">
        <v>11553</v>
      </c>
      <c r="B65" s="16">
        <v>29</v>
      </c>
      <c r="C65" s="9"/>
      <c r="D65" s="271" t="s">
        <v>9620</v>
      </c>
      <c r="E65" s="263">
        <v>8</v>
      </c>
      <c r="F65" s="263">
        <v>0</v>
      </c>
      <c r="G65" s="263">
        <v>0</v>
      </c>
      <c r="H65" s="263">
        <v>0</v>
      </c>
      <c r="I65" s="263">
        <v>0</v>
      </c>
      <c r="J65" s="263">
        <v>0</v>
      </c>
      <c r="K65" s="267">
        <v>8</v>
      </c>
    </row>
    <row r="66" spans="1:11">
      <c r="A66" s="9" t="s">
        <v>11554</v>
      </c>
      <c r="B66" s="16">
        <v>29</v>
      </c>
      <c r="C66" s="9"/>
      <c r="D66" s="271" t="s">
        <v>9621</v>
      </c>
      <c r="E66" s="263">
        <v>0</v>
      </c>
      <c r="F66" s="263">
        <v>0</v>
      </c>
      <c r="G66" s="263">
        <v>0</v>
      </c>
      <c r="H66" s="263">
        <v>0</v>
      </c>
      <c r="I66" s="263">
        <v>0</v>
      </c>
      <c r="J66" s="263">
        <v>8</v>
      </c>
      <c r="K66" s="267">
        <v>8</v>
      </c>
    </row>
    <row r="67" spans="1:11">
      <c r="A67" s="9" t="s">
        <v>11555</v>
      </c>
      <c r="B67" s="16">
        <v>29</v>
      </c>
      <c r="C67" s="9"/>
      <c r="D67" s="271" t="s">
        <v>9622</v>
      </c>
      <c r="E67" s="263">
        <v>0</v>
      </c>
      <c r="F67" s="263">
        <v>0</v>
      </c>
      <c r="G67" s="263">
        <v>0</v>
      </c>
      <c r="H67" s="263">
        <v>0</v>
      </c>
      <c r="I67" s="263">
        <v>0</v>
      </c>
      <c r="J67" s="263">
        <v>8</v>
      </c>
      <c r="K67" s="267">
        <v>8</v>
      </c>
    </row>
    <row r="68" spans="1:11">
      <c r="A68" s="9" t="s">
        <v>11556</v>
      </c>
      <c r="B68" s="16">
        <v>29</v>
      </c>
      <c r="C68" s="9"/>
      <c r="D68" s="271" t="s">
        <v>9626</v>
      </c>
      <c r="E68" s="263">
        <v>0</v>
      </c>
      <c r="F68" s="263">
        <v>0</v>
      </c>
      <c r="G68" s="263">
        <v>0</v>
      </c>
      <c r="H68" s="263">
        <v>0</v>
      </c>
      <c r="I68" s="263">
        <v>0</v>
      </c>
      <c r="J68" s="263">
        <v>8</v>
      </c>
      <c r="K68" s="267">
        <v>8</v>
      </c>
    </row>
    <row r="69" spans="1:11">
      <c r="A69" s="9" t="s">
        <v>11557</v>
      </c>
      <c r="B69" s="16">
        <v>29</v>
      </c>
      <c r="C69" s="9"/>
      <c r="D69" s="271" t="s">
        <v>9623</v>
      </c>
      <c r="E69" s="263">
        <v>8</v>
      </c>
      <c r="F69" s="263">
        <v>0</v>
      </c>
      <c r="G69" s="263">
        <v>0</v>
      </c>
      <c r="H69" s="263">
        <v>0</v>
      </c>
      <c r="I69" s="263">
        <v>0</v>
      </c>
      <c r="J69" s="263">
        <v>0</v>
      </c>
      <c r="K69" s="267">
        <v>8</v>
      </c>
    </row>
    <row r="70" spans="1:11">
      <c r="A70" s="9" t="s">
        <v>11558</v>
      </c>
      <c r="B70" s="16">
        <v>29</v>
      </c>
      <c r="C70" s="9"/>
      <c r="D70" s="271" t="s">
        <v>9624</v>
      </c>
      <c r="E70" s="263">
        <v>8</v>
      </c>
      <c r="F70" s="263">
        <v>0</v>
      </c>
      <c r="G70" s="263">
        <v>0</v>
      </c>
      <c r="H70" s="263">
        <v>0</v>
      </c>
      <c r="I70" s="263">
        <v>0</v>
      </c>
      <c r="J70" s="263">
        <v>0</v>
      </c>
      <c r="K70" s="267">
        <v>8</v>
      </c>
    </row>
    <row r="71" spans="1:11">
      <c r="A71" s="9" t="s">
        <v>11559</v>
      </c>
      <c r="B71" s="16">
        <v>29</v>
      </c>
      <c r="C71" s="9"/>
      <c r="D71" s="271" t="s">
        <v>9625</v>
      </c>
      <c r="E71" s="263">
        <v>4</v>
      </c>
      <c r="F71" s="263">
        <v>0</v>
      </c>
      <c r="G71" s="263">
        <v>0</v>
      </c>
      <c r="H71" s="263">
        <v>0</v>
      </c>
      <c r="I71" s="263">
        <v>0</v>
      </c>
      <c r="J71" s="263">
        <v>0</v>
      </c>
      <c r="K71" s="267">
        <v>4</v>
      </c>
    </row>
    <row r="72" spans="1:11">
      <c r="B72" s="16">
        <v>29</v>
      </c>
      <c r="C72" s="9"/>
      <c r="D72" s="271"/>
      <c r="E72" s="263"/>
      <c r="F72" s="263"/>
      <c r="G72" s="263"/>
      <c r="H72" s="263"/>
      <c r="I72" s="263"/>
      <c r="J72" s="263"/>
      <c r="K72" s="267">
        <v>0</v>
      </c>
    </row>
    <row r="73" spans="1:11">
      <c r="B73" s="16">
        <v>29</v>
      </c>
      <c r="C73" s="9"/>
      <c r="D73" s="272" t="s">
        <v>3674</v>
      </c>
      <c r="E73" s="273">
        <v>36</v>
      </c>
      <c r="F73" s="273">
        <v>0</v>
      </c>
      <c r="G73" s="273">
        <v>0</v>
      </c>
      <c r="H73" s="273">
        <v>0</v>
      </c>
      <c r="I73" s="273">
        <v>0</v>
      </c>
      <c r="J73" s="273">
        <v>24</v>
      </c>
      <c r="K73" s="273">
        <v>60</v>
      </c>
    </row>
    <row r="74" spans="1:11">
      <c r="C74" s="9"/>
      <c r="D74" s="271"/>
      <c r="E74" s="263"/>
      <c r="F74" s="263"/>
      <c r="G74" s="263"/>
      <c r="H74" s="263"/>
      <c r="I74" s="263"/>
      <c r="J74" s="263"/>
      <c r="K74" s="267">
        <v>0</v>
      </c>
    </row>
    <row r="75" spans="1:11">
      <c r="B75" s="16">
        <v>0</v>
      </c>
      <c r="C75" s="9"/>
      <c r="D75" s="269" t="s">
        <v>13076</v>
      </c>
      <c r="E75" s="270">
        <v>92</v>
      </c>
      <c r="F75" s="270">
        <v>16</v>
      </c>
      <c r="G75" s="270">
        <v>16</v>
      </c>
      <c r="H75" s="270">
        <v>32</v>
      </c>
      <c r="I75" s="270">
        <v>0</v>
      </c>
      <c r="J75" s="270">
        <v>72</v>
      </c>
      <c r="K75" s="270">
        <v>228</v>
      </c>
    </row>
    <row r="76" spans="1:11">
      <c r="C76" s="9"/>
      <c r="D76" s="271"/>
      <c r="E76" s="263"/>
      <c r="F76" s="263"/>
      <c r="G76" s="263"/>
      <c r="H76" s="263"/>
      <c r="I76" s="263"/>
      <c r="J76" s="263"/>
      <c r="K76" s="267">
        <v>0</v>
      </c>
    </row>
    <row r="77" spans="1:11">
      <c r="C77" s="9"/>
      <c r="D77" s="271"/>
      <c r="E77" s="263"/>
      <c r="F77" s="263"/>
      <c r="G77" s="263"/>
      <c r="H77" s="263"/>
      <c r="I77" s="263"/>
      <c r="J77" s="263"/>
      <c r="K77" s="267">
        <v>0</v>
      </c>
    </row>
    <row r="78" spans="1:11">
      <c r="C78" s="9"/>
      <c r="D78" s="271" t="s">
        <v>4269</v>
      </c>
      <c r="E78" s="263"/>
      <c r="F78" s="263"/>
      <c r="G78" s="263"/>
      <c r="H78" s="263"/>
      <c r="I78" s="263"/>
      <c r="J78" s="263"/>
      <c r="K78" s="267">
        <v>0</v>
      </c>
    </row>
    <row r="79" spans="1:11">
      <c r="C79" s="9"/>
      <c r="D79" s="271"/>
      <c r="E79" s="263"/>
      <c r="F79" s="263"/>
      <c r="G79" s="263"/>
      <c r="H79" s="263"/>
      <c r="I79" s="263"/>
      <c r="J79" s="263"/>
      <c r="K79" s="267">
        <v>0</v>
      </c>
    </row>
    <row r="80" spans="1:11">
      <c r="A80" s="9" t="s">
        <v>11560</v>
      </c>
      <c r="B80" s="16">
        <v>30</v>
      </c>
      <c r="C80" s="9"/>
      <c r="D80" s="271" t="s">
        <v>10141</v>
      </c>
      <c r="E80" s="263">
        <v>0</v>
      </c>
      <c r="F80" s="263">
        <v>0</v>
      </c>
      <c r="G80" s="263">
        <v>0</v>
      </c>
      <c r="H80" s="263">
        <v>0</v>
      </c>
      <c r="I80" s="263">
        <v>0</v>
      </c>
      <c r="J80" s="263">
        <v>8</v>
      </c>
      <c r="K80" s="267">
        <v>8</v>
      </c>
    </row>
    <row r="81" spans="1:11">
      <c r="A81" s="9" t="s">
        <v>11561</v>
      </c>
      <c r="B81" s="16">
        <v>30</v>
      </c>
      <c r="C81" s="9"/>
      <c r="D81" s="271" t="s">
        <v>10142</v>
      </c>
      <c r="E81" s="263">
        <v>0</v>
      </c>
      <c r="F81" s="263">
        <v>4</v>
      </c>
      <c r="G81" s="263">
        <v>0</v>
      </c>
      <c r="H81" s="263">
        <v>0</v>
      </c>
      <c r="I81" s="263">
        <v>0</v>
      </c>
      <c r="J81" s="263">
        <v>0</v>
      </c>
      <c r="K81" s="267">
        <v>4</v>
      </c>
    </row>
    <row r="82" spans="1:11">
      <c r="A82" s="9" t="s">
        <v>11562</v>
      </c>
      <c r="B82" s="16">
        <v>30</v>
      </c>
      <c r="C82" s="9"/>
      <c r="D82" s="271" t="s">
        <v>10143</v>
      </c>
      <c r="E82" s="263">
        <v>0</v>
      </c>
      <c r="F82" s="263">
        <v>8</v>
      </c>
      <c r="G82" s="263">
        <v>0</v>
      </c>
      <c r="H82" s="263">
        <v>0</v>
      </c>
      <c r="I82" s="263">
        <v>0</v>
      </c>
      <c r="J82" s="263">
        <v>0</v>
      </c>
      <c r="K82" s="267">
        <v>8</v>
      </c>
    </row>
    <row r="83" spans="1:11">
      <c r="A83" s="9" t="s">
        <v>11563</v>
      </c>
      <c r="B83" s="16">
        <v>30</v>
      </c>
      <c r="C83" s="9"/>
      <c r="D83" s="271" t="s">
        <v>10090</v>
      </c>
      <c r="E83" s="263">
        <v>0</v>
      </c>
      <c r="F83" s="263">
        <v>4</v>
      </c>
      <c r="G83" s="263">
        <v>0</v>
      </c>
      <c r="H83" s="263">
        <v>0</v>
      </c>
      <c r="I83" s="263">
        <v>0</v>
      </c>
      <c r="J83" s="263">
        <v>0</v>
      </c>
      <c r="K83" s="267">
        <v>4</v>
      </c>
    </row>
    <row r="84" spans="1:11">
      <c r="A84" s="9" t="s">
        <v>11564</v>
      </c>
      <c r="B84" s="16">
        <v>30</v>
      </c>
      <c r="C84" s="9"/>
      <c r="D84" s="271" t="s">
        <v>10144</v>
      </c>
      <c r="E84" s="263">
        <v>0</v>
      </c>
      <c r="F84" s="263">
        <v>0</v>
      </c>
      <c r="G84" s="263">
        <v>0</v>
      </c>
      <c r="H84" s="263">
        <v>0</v>
      </c>
      <c r="I84" s="263">
        <v>0</v>
      </c>
      <c r="J84" s="263">
        <v>4</v>
      </c>
      <c r="K84" s="267">
        <v>4</v>
      </c>
    </row>
    <row r="85" spans="1:11">
      <c r="A85" s="9" t="s">
        <v>11565</v>
      </c>
      <c r="B85" s="16">
        <v>30</v>
      </c>
      <c r="C85" s="9"/>
      <c r="D85" s="271" t="s">
        <v>10145</v>
      </c>
      <c r="E85" s="263">
        <v>0</v>
      </c>
      <c r="F85" s="263">
        <v>0</v>
      </c>
      <c r="G85" s="263">
        <v>4</v>
      </c>
      <c r="H85" s="263">
        <v>0</v>
      </c>
      <c r="I85" s="263">
        <v>0</v>
      </c>
      <c r="J85" s="263">
        <v>0</v>
      </c>
      <c r="K85" s="267">
        <v>4</v>
      </c>
    </row>
    <row r="86" spans="1:11">
      <c r="B86" s="16">
        <v>30</v>
      </c>
      <c r="C86" s="9"/>
      <c r="D86" s="271"/>
      <c r="E86" s="263"/>
      <c r="F86" s="263"/>
      <c r="G86" s="263"/>
      <c r="H86" s="263"/>
      <c r="I86" s="263"/>
      <c r="J86" s="263"/>
      <c r="K86" s="267">
        <v>0</v>
      </c>
    </row>
    <row r="87" spans="1:11">
      <c r="B87" s="16">
        <v>30</v>
      </c>
      <c r="C87" s="9"/>
      <c r="D87" s="272" t="s">
        <v>3674</v>
      </c>
      <c r="E87" s="273">
        <v>0</v>
      </c>
      <c r="F87" s="273">
        <v>16</v>
      </c>
      <c r="G87" s="273">
        <v>4</v>
      </c>
      <c r="H87" s="273">
        <v>0</v>
      </c>
      <c r="I87" s="273">
        <v>0</v>
      </c>
      <c r="J87" s="273">
        <v>12</v>
      </c>
      <c r="K87" s="273">
        <v>32</v>
      </c>
    </row>
    <row r="88" spans="1:11">
      <c r="C88" s="9"/>
      <c r="D88" s="271"/>
      <c r="E88" s="263"/>
      <c r="F88" s="263"/>
      <c r="G88" s="263"/>
      <c r="H88" s="263"/>
      <c r="I88" s="263"/>
      <c r="J88" s="263"/>
      <c r="K88" s="267">
        <v>0</v>
      </c>
    </row>
    <row r="89" spans="1:11">
      <c r="A89" s="9" t="s">
        <v>11566</v>
      </c>
      <c r="B89" s="16">
        <v>31</v>
      </c>
      <c r="C89" s="9"/>
      <c r="D89" s="271" t="s">
        <v>10146</v>
      </c>
      <c r="E89" s="263">
        <v>0</v>
      </c>
      <c r="F89" s="263">
        <v>0</v>
      </c>
      <c r="G89" s="263">
        <v>0</v>
      </c>
      <c r="H89" s="263">
        <v>0</v>
      </c>
      <c r="I89" s="263">
        <v>0</v>
      </c>
      <c r="J89" s="263">
        <v>8</v>
      </c>
      <c r="K89" s="267">
        <v>8</v>
      </c>
    </row>
    <row r="90" spans="1:11">
      <c r="A90" s="9" t="s">
        <v>11567</v>
      </c>
      <c r="B90" s="16">
        <v>31</v>
      </c>
      <c r="C90" s="9"/>
      <c r="D90" s="271" t="s">
        <v>10147</v>
      </c>
      <c r="E90" s="263">
        <v>0</v>
      </c>
      <c r="F90" s="263">
        <v>0</v>
      </c>
      <c r="G90" s="263">
        <v>0</v>
      </c>
      <c r="H90" s="263">
        <v>0</v>
      </c>
      <c r="I90" s="263">
        <v>0</v>
      </c>
      <c r="J90" s="263">
        <v>4</v>
      </c>
      <c r="K90" s="267">
        <v>4</v>
      </c>
    </row>
    <row r="91" spans="1:11">
      <c r="A91" s="9" t="s">
        <v>11568</v>
      </c>
      <c r="B91" s="16">
        <v>31</v>
      </c>
      <c r="C91" s="9"/>
      <c r="D91" s="271" t="s">
        <v>10148</v>
      </c>
      <c r="E91" s="263">
        <v>4</v>
      </c>
      <c r="F91" s="263">
        <v>0</v>
      </c>
      <c r="G91" s="263">
        <v>0</v>
      </c>
      <c r="H91" s="263">
        <v>0</v>
      </c>
      <c r="I91" s="263">
        <v>0</v>
      </c>
      <c r="J91" s="263">
        <v>0</v>
      </c>
      <c r="K91" s="267">
        <v>4</v>
      </c>
    </row>
    <row r="92" spans="1:11">
      <c r="A92" s="9" t="s">
        <v>11569</v>
      </c>
      <c r="B92" s="16">
        <v>31</v>
      </c>
      <c r="C92" s="9"/>
      <c r="D92" s="271" t="s">
        <v>10149</v>
      </c>
      <c r="E92" s="263">
        <v>0</v>
      </c>
      <c r="F92" s="263">
        <v>0</v>
      </c>
      <c r="G92" s="263">
        <v>0</v>
      </c>
      <c r="H92" s="263">
        <v>0</v>
      </c>
      <c r="I92" s="263">
        <v>0</v>
      </c>
      <c r="J92" s="263">
        <v>4</v>
      </c>
      <c r="K92" s="267">
        <v>4</v>
      </c>
    </row>
    <row r="93" spans="1:11">
      <c r="A93" s="9" t="s">
        <v>11570</v>
      </c>
      <c r="B93" s="16">
        <v>31</v>
      </c>
      <c r="C93" s="9"/>
      <c r="D93" s="271" t="s">
        <v>10150</v>
      </c>
      <c r="E93" s="263">
        <v>0</v>
      </c>
      <c r="F93" s="263">
        <v>8</v>
      </c>
      <c r="G93" s="263">
        <v>0</v>
      </c>
      <c r="H93" s="263">
        <v>0</v>
      </c>
      <c r="I93" s="263">
        <v>0</v>
      </c>
      <c r="J93" s="263">
        <v>0</v>
      </c>
      <c r="K93" s="267">
        <v>8</v>
      </c>
    </row>
    <row r="94" spans="1:11">
      <c r="A94" s="9" t="s">
        <v>11571</v>
      </c>
      <c r="B94" s="16">
        <v>31</v>
      </c>
      <c r="C94" s="9"/>
      <c r="D94" s="271" t="s">
        <v>10149</v>
      </c>
      <c r="E94" s="263">
        <v>0</v>
      </c>
      <c r="F94" s="263">
        <v>0</v>
      </c>
      <c r="G94" s="263">
        <v>0</v>
      </c>
      <c r="H94" s="263">
        <v>0</v>
      </c>
      <c r="I94" s="263">
        <v>0</v>
      </c>
      <c r="J94" s="263">
        <v>8</v>
      </c>
      <c r="K94" s="267">
        <v>8</v>
      </c>
    </row>
    <row r="95" spans="1:11" ht="31.5">
      <c r="A95" s="9" t="s">
        <v>11572</v>
      </c>
      <c r="B95" s="16">
        <v>31</v>
      </c>
      <c r="C95" s="9"/>
      <c r="D95" s="271" t="s">
        <v>10151</v>
      </c>
      <c r="E95" s="263">
        <v>0</v>
      </c>
      <c r="F95" s="263">
        <v>0</v>
      </c>
      <c r="G95" s="263">
        <v>0</v>
      </c>
      <c r="H95" s="263">
        <v>0</v>
      </c>
      <c r="I95" s="263">
        <v>0</v>
      </c>
      <c r="J95" s="263">
        <v>8</v>
      </c>
      <c r="K95" s="267">
        <v>8</v>
      </c>
    </row>
    <row r="96" spans="1:11">
      <c r="A96" s="9" t="s">
        <v>11573</v>
      </c>
      <c r="B96" s="16">
        <v>31</v>
      </c>
      <c r="C96" s="9"/>
      <c r="D96" s="271" t="s">
        <v>10152</v>
      </c>
      <c r="E96" s="263">
        <v>0</v>
      </c>
      <c r="F96" s="263">
        <v>0</v>
      </c>
      <c r="G96" s="263">
        <v>0</v>
      </c>
      <c r="H96" s="263">
        <v>0</v>
      </c>
      <c r="I96" s="263">
        <v>0</v>
      </c>
      <c r="J96" s="263">
        <v>8</v>
      </c>
      <c r="K96" s="267">
        <v>8</v>
      </c>
    </row>
    <row r="97" spans="1:11">
      <c r="A97" s="9" t="s">
        <v>11574</v>
      </c>
      <c r="B97" s="16">
        <v>31</v>
      </c>
      <c r="C97" s="9"/>
      <c r="D97" s="271" t="s">
        <v>10153</v>
      </c>
      <c r="E97" s="263">
        <v>4</v>
      </c>
      <c r="F97" s="263">
        <v>0</v>
      </c>
      <c r="G97" s="263">
        <v>0</v>
      </c>
      <c r="H97" s="263">
        <v>0</v>
      </c>
      <c r="I97" s="263">
        <v>0</v>
      </c>
      <c r="J97" s="263">
        <v>0</v>
      </c>
      <c r="K97" s="267">
        <v>4</v>
      </c>
    </row>
    <row r="98" spans="1:11">
      <c r="A98" s="9" t="s">
        <v>11575</v>
      </c>
      <c r="B98" s="16">
        <v>31</v>
      </c>
      <c r="C98" s="9"/>
      <c r="D98" s="271" t="s">
        <v>10154</v>
      </c>
      <c r="E98" s="263">
        <v>0</v>
      </c>
      <c r="F98" s="263">
        <v>8</v>
      </c>
      <c r="G98" s="263">
        <v>0</v>
      </c>
      <c r="H98" s="263">
        <v>0</v>
      </c>
      <c r="I98" s="263">
        <v>0</v>
      </c>
      <c r="J98" s="263">
        <v>0</v>
      </c>
      <c r="K98" s="267">
        <v>8</v>
      </c>
    </row>
    <row r="99" spans="1:11">
      <c r="A99" s="9" t="s">
        <v>11576</v>
      </c>
      <c r="B99" s="16">
        <v>31</v>
      </c>
      <c r="C99" s="9"/>
      <c r="D99" s="271" t="s">
        <v>10155</v>
      </c>
      <c r="E99" s="263">
        <v>0</v>
      </c>
      <c r="F99" s="263">
        <v>4</v>
      </c>
      <c r="G99" s="263">
        <v>0</v>
      </c>
      <c r="H99" s="263">
        <v>0</v>
      </c>
      <c r="I99" s="263">
        <v>0</v>
      </c>
      <c r="J99" s="263">
        <v>0</v>
      </c>
      <c r="K99" s="267">
        <v>4</v>
      </c>
    </row>
    <row r="100" spans="1:11">
      <c r="B100" s="16">
        <v>31</v>
      </c>
      <c r="C100" s="9"/>
      <c r="D100" s="271"/>
      <c r="E100" s="263"/>
      <c r="F100" s="263"/>
      <c r="G100" s="263"/>
      <c r="H100" s="263"/>
      <c r="I100" s="263"/>
      <c r="J100" s="263"/>
      <c r="K100" s="267">
        <v>0</v>
      </c>
    </row>
    <row r="101" spans="1:11">
      <c r="B101" s="16">
        <v>31</v>
      </c>
      <c r="C101" s="9"/>
      <c r="D101" s="272" t="s">
        <v>3674</v>
      </c>
      <c r="E101" s="273">
        <v>8</v>
      </c>
      <c r="F101" s="273">
        <v>20</v>
      </c>
      <c r="G101" s="273">
        <v>0</v>
      </c>
      <c r="H101" s="273">
        <v>0</v>
      </c>
      <c r="I101" s="273">
        <v>0</v>
      </c>
      <c r="J101" s="273">
        <v>40</v>
      </c>
      <c r="K101" s="273">
        <v>68</v>
      </c>
    </row>
    <row r="102" spans="1:11">
      <c r="C102" s="9"/>
      <c r="D102" s="271"/>
      <c r="E102" s="263"/>
      <c r="F102" s="263"/>
      <c r="G102" s="263"/>
      <c r="H102" s="263"/>
      <c r="I102" s="263"/>
      <c r="J102" s="263"/>
      <c r="K102" s="267">
        <v>0</v>
      </c>
    </row>
    <row r="103" spans="1:11">
      <c r="A103" s="9" t="s">
        <v>11577</v>
      </c>
      <c r="B103" s="16">
        <v>32</v>
      </c>
      <c r="C103" s="9"/>
      <c r="D103" s="271" t="s">
        <v>10156</v>
      </c>
      <c r="E103" s="263">
        <v>0</v>
      </c>
      <c r="F103" s="263">
        <v>0</v>
      </c>
      <c r="G103" s="263">
        <v>0</v>
      </c>
      <c r="H103" s="263">
        <v>0</v>
      </c>
      <c r="I103" s="263">
        <v>0</v>
      </c>
      <c r="J103" s="263">
        <v>8</v>
      </c>
      <c r="K103" s="267">
        <v>8</v>
      </c>
    </row>
    <row r="104" spans="1:11">
      <c r="A104" s="9" t="s">
        <v>11578</v>
      </c>
      <c r="B104" s="16">
        <v>32</v>
      </c>
      <c r="C104" s="9"/>
      <c r="D104" s="271" t="s">
        <v>10157</v>
      </c>
      <c r="E104" s="263">
        <v>8</v>
      </c>
      <c r="F104" s="263">
        <v>0</v>
      </c>
      <c r="G104" s="263">
        <v>0</v>
      </c>
      <c r="H104" s="263">
        <v>0</v>
      </c>
      <c r="I104" s="263">
        <v>0</v>
      </c>
      <c r="J104" s="263">
        <v>0</v>
      </c>
      <c r="K104" s="267">
        <v>8</v>
      </c>
    </row>
    <row r="105" spans="1:11">
      <c r="A105" s="9" t="s">
        <v>11579</v>
      </c>
      <c r="B105" s="16">
        <v>32</v>
      </c>
      <c r="C105" s="9"/>
      <c r="D105" s="271" t="s">
        <v>10158</v>
      </c>
      <c r="E105" s="263">
        <v>8</v>
      </c>
      <c r="F105" s="263">
        <v>0</v>
      </c>
      <c r="G105" s="263">
        <v>0</v>
      </c>
      <c r="H105" s="263">
        <v>0</v>
      </c>
      <c r="I105" s="263">
        <v>0</v>
      </c>
      <c r="J105" s="263">
        <v>0</v>
      </c>
      <c r="K105" s="267">
        <v>8</v>
      </c>
    </row>
    <row r="106" spans="1:11">
      <c r="A106" s="9" t="s">
        <v>11580</v>
      </c>
      <c r="B106" s="16">
        <v>32</v>
      </c>
      <c r="C106" s="9"/>
      <c r="D106" s="271" t="s">
        <v>10159</v>
      </c>
      <c r="E106" s="263">
        <v>0</v>
      </c>
      <c r="F106" s="263">
        <v>0</v>
      </c>
      <c r="G106" s="263">
        <v>0</v>
      </c>
      <c r="H106" s="263">
        <v>0</v>
      </c>
      <c r="I106" s="263">
        <v>0</v>
      </c>
      <c r="J106" s="263">
        <v>8</v>
      </c>
      <c r="K106" s="267">
        <v>8</v>
      </c>
    </row>
    <row r="107" spans="1:11">
      <c r="A107" s="9" t="s">
        <v>11581</v>
      </c>
      <c r="B107" s="16">
        <v>32</v>
      </c>
      <c r="C107" s="9"/>
      <c r="D107" s="271" t="s">
        <v>10160</v>
      </c>
      <c r="E107" s="263">
        <v>0</v>
      </c>
      <c r="F107" s="263">
        <v>0</v>
      </c>
      <c r="G107" s="263">
        <v>0</v>
      </c>
      <c r="H107" s="263">
        <v>0</v>
      </c>
      <c r="I107" s="263">
        <v>0</v>
      </c>
      <c r="J107" s="263">
        <v>6.4</v>
      </c>
      <c r="K107" s="267">
        <v>6.4</v>
      </c>
    </row>
    <row r="108" spans="1:11">
      <c r="A108" s="9" t="s">
        <v>11582</v>
      </c>
      <c r="B108" s="16">
        <v>32</v>
      </c>
      <c r="C108" s="9"/>
      <c r="D108" s="271" t="s">
        <v>10161</v>
      </c>
      <c r="E108" s="263">
        <v>0</v>
      </c>
      <c r="F108" s="263">
        <v>0</v>
      </c>
      <c r="G108" s="263">
        <v>0</v>
      </c>
      <c r="H108" s="263">
        <v>0</v>
      </c>
      <c r="I108" s="263">
        <v>0</v>
      </c>
      <c r="J108" s="263">
        <v>6.4</v>
      </c>
      <c r="K108" s="267">
        <v>6.4</v>
      </c>
    </row>
    <row r="109" spans="1:11">
      <c r="A109" s="9" t="s">
        <v>11583</v>
      </c>
      <c r="B109" s="16">
        <v>32</v>
      </c>
      <c r="C109" s="9"/>
      <c r="D109" s="271" t="s">
        <v>10162</v>
      </c>
      <c r="E109" s="263">
        <v>0</v>
      </c>
      <c r="F109" s="263">
        <v>0</v>
      </c>
      <c r="G109" s="263">
        <v>0</v>
      </c>
      <c r="H109" s="263">
        <v>0</v>
      </c>
      <c r="I109" s="263">
        <v>0</v>
      </c>
      <c r="J109" s="263">
        <v>6.4</v>
      </c>
      <c r="K109" s="267">
        <v>6.4</v>
      </c>
    </row>
    <row r="110" spans="1:11">
      <c r="A110" s="9" t="s">
        <v>11584</v>
      </c>
      <c r="B110" s="16">
        <v>32</v>
      </c>
      <c r="C110" s="9"/>
      <c r="D110" s="271" t="s">
        <v>10163</v>
      </c>
      <c r="E110" s="263">
        <v>0</v>
      </c>
      <c r="F110" s="263">
        <v>0</v>
      </c>
      <c r="G110" s="263">
        <v>0</v>
      </c>
      <c r="H110" s="263">
        <v>0</v>
      </c>
      <c r="I110" s="263">
        <v>0</v>
      </c>
      <c r="J110" s="263">
        <v>8</v>
      </c>
      <c r="K110" s="267">
        <v>8</v>
      </c>
    </row>
    <row r="111" spans="1:11">
      <c r="A111" s="9" t="s">
        <v>11585</v>
      </c>
      <c r="B111" s="16">
        <v>32</v>
      </c>
      <c r="C111" s="9"/>
      <c r="D111" s="271" t="s">
        <v>10164</v>
      </c>
      <c r="E111" s="263">
        <v>0</v>
      </c>
      <c r="F111" s="263">
        <v>8</v>
      </c>
      <c r="G111" s="263">
        <v>0</v>
      </c>
      <c r="H111" s="263">
        <v>0</v>
      </c>
      <c r="I111" s="263">
        <v>0</v>
      </c>
      <c r="J111" s="263">
        <v>0</v>
      </c>
      <c r="K111" s="267">
        <v>8</v>
      </c>
    </row>
    <row r="112" spans="1:11">
      <c r="B112" s="16">
        <v>32</v>
      </c>
      <c r="C112" s="9"/>
      <c r="D112" s="271"/>
      <c r="E112" s="263"/>
      <c r="F112" s="263"/>
      <c r="G112" s="263"/>
      <c r="H112" s="263"/>
      <c r="I112" s="263"/>
      <c r="J112" s="263"/>
      <c r="K112" s="267">
        <v>0</v>
      </c>
    </row>
    <row r="113" spans="1:11">
      <c r="B113" s="16">
        <v>32</v>
      </c>
      <c r="C113" s="9"/>
      <c r="D113" s="272" t="s">
        <v>3674</v>
      </c>
      <c r="E113" s="273">
        <v>16</v>
      </c>
      <c r="F113" s="273">
        <v>8</v>
      </c>
      <c r="G113" s="273">
        <v>0</v>
      </c>
      <c r="H113" s="273">
        <v>0</v>
      </c>
      <c r="I113" s="273">
        <v>0</v>
      </c>
      <c r="J113" s="273">
        <v>43.199999999999996</v>
      </c>
      <c r="K113" s="273">
        <v>67.199999999999989</v>
      </c>
    </row>
    <row r="114" spans="1:11">
      <c r="C114" s="9"/>
      <c r="D114" s="271"/>
      <c r="E114" s="263"/>
      <c r="F114" s="263"/>
      <c r="G114" s="263"/>
      <c r="H114" s="263"/>
      <c r="I114" s="263"/>
      <c r="J114" s="263"/>
      <c r="K114" s="267">
        <v>0</v>
      </c>
    </row>
    <row r="115" spans="1:11">
      <c r="A115" s="9" t="s">
        <v>11586</v>
      </c>
      <c r="B115" s="16">
        <v>33</v>
      </c>
      <c r="C115" s="9"/>
      <c r="D115" s="271" t="s">
        <v>10165</v>
      </c>
      <c r="E115" s="263">
        <v>0</v>
      </c>
      <c r="F115" s="263">
        <v>0</v>
      </c>
      <c r="G115" s="263">
        <v>0</v>
      </c>
      <c r="H115" s="263">
        <v>0</v>
      </c>
      <c r="I115" s="263">
        <v>0</v>
      </c>
      <c r="J115" s="263">
        <v>8</v>
      </c>
      <c r="K115" s="267">
        <v>8</v>
      </c>
    </row>
    <row r="116" spans="1:11">
      <c r="A116" s="9" t="s">
        <v>11587</v>
      </c>
      <c r="B116" s="16">
        <v>33</v>
      </c>
      <c r="C116" s="9"/>
      <c r="D116" s="271" t="s">
        <v>10166</v>
      </c>
      <c r="E116" s="263">
        <v>0</v>
      </c>
      <c r="F116" s="263">
        <v>8</v>
      </c>
      <c r="G116" s="263">
        <v>0</v>
      </c>
      <c r="H116" s="263">
        <v>0</v>
      </c>
      <c r="I116" s="263">
        <v>0</v>
      </c>
      <c r="J116" s="263">
        <v>0</v>
      </c>
      <c r="K116" s="267">
        <v>8</v>
      </c>
    </row>
    <row r="117" spans="1:11">
      <c r="B117" s="16">
        <v>33</v>
      </c>
      <c r="C117" s="9"/>
      <c r="D117" s="271"/>
      <c r="E117" s="263"/>
      <c r="F117" s="263"/>
      <c r="G117" s="263"/>
      <c r="H117" s="263"/>
      <c r="I117" s="263"/>
      <c r="J117" s="263"/>
      <c r="K117" s="267">
        <v>0</v>
      </c>
    </row>
    <row r="118" spans="1:11">
      <c r="B118" s="16">
        <v>33</v>
      </c>
      <c r="C118" s="9"/>
      <c r="D118" s="272" t="s">
        <v>3674</v>
      </c>
      <c r="E118" s="273">
        <v>0</v>
      </c>
      <c r="F118" s="273">
        <v>8</v>
      </c>
      <c r="G118" s="273">
        <v>0</v>
      </c>
      <c r="H118" s="273">
        <v>0</v>
      </c>
      <c r="I118" s="273">
        <v>0</v>
      </c>
      <c r="J118" s="273">
        <v>8</v>
      </c>
      <c r="K118" s="273">
        <v>16</v>
      </c>
    </row>
    <row r="119" spans="1:11">
      <c r="C119" s="9"/>
      <c r="D119" s="271"/>
      <c r="E119" s="263"/>
      <c r="F119" s="263"/>
      <c r="G119" s="263"/>
      <c r="H119" s="263"/>
      <c r="I119" s="263"/>
      <c r="J119" s="263"/>
      <c r="K119" s="267">
        <v>0</v>
      </c>
    </row>
    <row r="120" spans="1:11">
      <c r="A120" s="9" t="s">
        <v>11588</v>
      </c>
      <c r="B120" s="16">
        <v>35</v>
      </c>
      <c r="C120" s="9"/>
      <c r="D120" s="271" t="s">
        <v>10169</v>
      </c>
      <c r="E120" s="263">
        <v>6.4</v>
      </c>
      <c r="F120" s="263">
        <v>0</v>
      </c>
      <c r="G120" s="263">
        <v>0</v>
      </c>
      <c r="H120" s="263">
        <v>0</v>
      </c>
      <c r="I120" s="263">
        <v>0</v>
      </c>
      <c r="J120" s="263">
        <v>0</v>
      </c>
      <c r="K120" s="267">
        <v>6.4</v>
      </c>
    </row>
    <row r="121" spans="1:11">
      <c r="A121" s="9" t="s">
        <v>11589</v>
      </c>
      <c r="B121" s="16">
        <v>35</v>
      </c>
      <c r="C121" s="9"/>
      <c r="D121" s="271" t="s">
        <v>10170</v>
      </c>
      <c r="E121" s="263">
        <v>0</v>
      </c>
      <c r="F121" s="263">
        <v>0</v>
      </c>
      <c r="G121" s="263">
        <v>8</v>
      </c>
      <c r="H121" s="263">
        <v>0</v>
      </c>
      <c r="I121" s="263">
        <v>0</v>
      </c>
      <c r="J121" s="263">
        <v>0</v>
      </c>
      <c r="K121" s="267">
        <v>8</v>
      </c>
    </row>
    <row r="122" spans="1:11">
      <c r="A122" s="9" t="s">
        <v>11590</v>
      </c>
      <c r="B122" s="16">
        <v>35</v>
      </c>
      <c r="C122" s="9"/>
      <c r="D122" s="271" t="s">
        <v>10172</v>
      </c>
      <c r="E122" s="263">
        <v>8</v>
      </c>
      <c r="F122" s="263">
        <v>0</v>
      </c>
      <c r="G122" s="263">
        <v>0</v>
      </c>
      <c r="H122" s="263">
        <v>0</v>
      </c>
      <c r="I122" s="263">
        <v>0</v>
      </c>
      <c r="J122" s="263">
        <v>0</v>
      </c>
      <c r="K122" s="267">
        <v>8</v>
      </c>
    </row>
    <row r="123" spans="1:11">
      <c r="A123" s="9" t="s">
        <v>11591</v>
      </c>
      <c r="B123" s="16">
        <v>35</v>
      </c>
      <c r="C123" s="9"/>
      <c r="D123" s="271" t="s">
        <v>10173</v>
      </c>
      <c r="E123" s="263">
        <v>0</v>
      </c>
      <c r="F123" s="263">
        <v>4</v>
      </c>
      <c r="G123" s="263">
        <v>0</v>
      </c>
      <c r="H123" s="263">
        <v>0</v>
      </c>
      <c r="I123" s="263">
        <v>0</v>
      </c>
      <c r="J123" s="263">
        <v>0</v>
      </c>
      <c r="K123" s="267">
        <v>4</v>
      </c>
    </row>
    <row r="124" spans="1:11">
      <c r="A124" s="9" t="s">
        <v>11592</v>
      </c>
      <c r="B124" s="16">
        <v>35</v>
      </c>
      <c r="C124" s="9"/>
      <c r="D124" s="271" t="s">
        <v>10171</v>
      </c>
      <c r="E124" s="263">
        <v>12</v>
      </c>
      <c r="F124" s="263">
        <v>0</v>
      </c>
      <c r="G124" s="263">
        <v>0</v>
      </c>
      <c r="H124" s="263">
        <v>0</v>
      </c>
      <c r="I124" s="263">
        <v>0</v>
      </c>
      <c r="J124" s="263">
        <v>0</v>
      </c>
      <c r="K124" s="267">
        <v>12</v>
      </c>
    </row>
    <row r="125" spans="1:11">
      <c r="A125" s="9" t="s">
        <v>11593</v>
      </c>
      <c r="B125" s="16">
        <v>35</v>
      </c>
      <c r="C125" s="9"/>
      <c r="D125" s="271" t="s">
        <v>10174</v>
      </c>
      <c r="E125" s="263">
        <v>12</v>
      </c>
      <c r="F125" s="263">
        <v>0</v>
      </c>
      <c r="G125" s="263">
        <v>0</v>
      </c>
      <c r="H125" s="263">
        <v>0</v>
      </c>
      <c r="I125" s="263">
        <v>0</v>
      </c>
      <c r="J125" s="263">
        <v>0</v>
      </c>
      <c r="K125" s="267">
        <v>12</v>
      </c>
    </row>
    <row r="126" spans="1:11">
      <c r="A126" s="9" t="s">
        <v>11594</v>
      </c>
      <c r="B126" s="16">
        <v>35</v>
      </c>
      <c r="C126" s="9"/>
      <c r="D126" s="271" t="s">
        <v>10175</v>
      </c>
      <c r="E126" s="263">
        <v>0</v>
      </c>
      <c r="F126" s="263">
        <v>4</v>
      </c>
      <c r="G126" s="263">
        <v>0</v>
      </c>
      <c r="H126" s="263">
        <v>0</v>
      </c>
      <c r="I126" s="263">
        <v>0</v>
      </c>
      <c r="J126" s="263">
        <v>0</v>
      </c>
      <c r="K126" s="267">
        <v>4</v>
      </c>
    </row>
    <row r="127" spans="1:11">
      <c r="A127" s="9" t="s">
        <v>11595</v>
      </c>
      <c r="B127" s="16">
        <v>35</v>
      </c>
      <c r="C127" s="9"/>
      <c r="D127" s="271" t="s">
        <v>10176</v>
      </c>
      <c r="E127" s="263">
        <v>0</v>
      </c>
      <c r="F127" s="263">
        <v>8</v>
      </c>
      <c r="G127" s="263">
        <v>0</v>
      </c>
      <c r="H127" s="263">
        <v>0</v>
      </c>
      <c r="I127" s="263">
        <v>0</v>
      </c>
      <c r="J127" s="263">
        <v>0</v>
      </c>
      <c r="K127" s="267">
        <v>8</v>
      </c>
    </row>
    <row r="128" spans="1:11">
      <c r="B128" s="16">
        <v>35</v>
      </c>
      <c r="C128" s="9"/>
      <c r="D128" s="271"/>
      <c r="E128" s="263"/>
      <c r="F128" s="263"/>
      <c r="G128" s="263"/>
      <c r="H128" s="263"/>
      <c r="I128" s="263"/>
      <c r="J128" s="263"/>
      <c r="K128" s="267">
        <v>0</v>
      </c>
    </row>
    <row r="129" spans="1:11">
      <c r="B129" s="16">
        <v>35</v>
      </c>
      <c r="C129" s="9"/>
      <c r="D129" s="272" t="s">
        <v>3674</v>
      </c>
      <c r="E129" s="273">
        <v>38.4</v>
      </c>
      <c r="F129" s="273">
        <v>16</v>
      </c>
      <c r="G129" s="273">
        <v>8</v>
      </c>
      <c r="H129" s="273">
        <v>0</v>
      </c>
      <c r="I129" s="273">
        <v>0</v>
      </c>
      <c r="J129" s="273">
        <v>0</v>
      </c>
      <c r="K129" s="273">
        <v>62.4</v>
      </c>
    </row>
    <row r="130" spans="1:11">
      <c r="C130" s="9"/>
      <c r="D130" s="271"/>
      <c r="E130" s="263"/>
      <c r="F130" s="263"/>
      <c r="G130" s="263"/>
      <c r="H130" s="263"/>
      <c r="I130" s="263"/>
      <c r="J130" s="263"/>
      <c r="K130" s="267">
        <v>0</v>
      </c>
    </row>
    <row r="131" spans="1:11">
      <c r="C131" s="9"/>
      <c r="D131" s="271" t="s">
        <v>4272</v>
      </c>
      <c r="E131" s="263"/>
      <c r="F131" s="263"/>
      <c r="G131" s="263"/>
      <c r="H131" s="263"/>
      <c r="I131" s="263"/>
      <c r="J131" s="263"/>
      <c r="K131" s="267">
        <v>0</v>
      </c>
    </row>
    <row r="132" spans="1:11">
      <c r="C132" s="9"/>
      <c r="D132" s="271"/>
      <c r="E132" s="263"/>
      <c r="F132" s="263"/>
      <c r="G132" s="263"/>
      <c r="H132" s="263"/>
      <c r="I132" s="263"/>
      <c r="J132" s="263"/>
      <c r="K132" s="267">
        <v>0</v>
      </c>
    </row>
    <row r="133" spans="1:11">
      <c r="A133" s="9" t="s">
        <v>11596</v>
      </c>
      <c r="B133" s="16">
        <v>1</v>
      </c>
      <c r="C133" s="9"/>
      <c r="D133" s="271" t="s">
        <v>9838</v>
      </c>
      <c r="E133" s="263">
        <v>16</v>
      </c>
      <c r="F133" s="263">
        <v>0</v>
      </c>
      <c r="G133" s="263">
        <v>0</v>
      </c>
      <c r="H133" s="263">
        <v>0</v>
      </c>
      <c r="I133" s="263">
        <v>0</v>
      </c>
      <c r="J133" s="263">
        <v>0</v>
      </c>
      <c r="K133" s="267">
        <v>16</v>
      </c>
    </row>
    <row r="134" spans="1:11">
      <c r="A134" s="9" t="s">
        <v>11597</v>
      </c>
      <c r="B134" s="16">
        <v>1</v>
      </c>
      <c r="C134" s="9"/>
      <c r="D134" s="271" t="s">
        <v>9839</v>
      </c>
      <c r="E134" s="263">
        <v>8</v>
      </c>
      <c r="F134" s="263">
        <v>0</v>
      </c>
      <c r="G134" s="263">
        <v>0</v>
      </c>
      <c r="H134" s="263">
        <v>0</v>
      </c>
      <c r="I134" s="263">
        <v>0</v>
      </c>
      <c r="J134" s="263">
        <v>0</v>
      </c>
      <c r="K134" s="267">
        <v>8</v>
      </c>
    </row>
    <row r="135" spans="1:11">
      <c r="A135" s="9" t="s">
        <v>11598</v>
      </c>
      <c r="B135" s="16">
        <v>1</v>
      </c>
      <c r="C135" s="9"/>
      <c r="D135" s="271" t="s">
        <v>9840</v>
      </c>
      <c r="E135" s="263">
        <v>8</v>
      </c>
      <c r="F135" s="263">
        <v>0</v>
      </c>
      <c r="G135" s="263">
        <v>0</v>
      </c>
      <c r="H135" s="263">
        <v>0</v>
      </c>
      <c r="I135" s="263">
        <v>0</v>
      </c>
      <c r="J135" s="263">
        <v>0</v>
      </c>
      <c r="K135" s="267">
        <v>8</v>
      </c>
    </row>
    <row r="136" spans="1:11">
      <c r="A136" s="9" t="s">
        <v>11599</v>
      </c>
      <c r="B136" s="16">
        <v>1</v>
      </c>
      <c r="C136" s="9"/>
      <c r="D136" s="271" t="s">
        <v>9841</v>
      </c>
      <c r="E136" s="263">
        <v>8</v>
      </c>
      <c r="F136" s="263">
        <v>0</v>
      </c>
      <c r="G136" s="263">
        <v>0</v>
      </c>
      <c r="H136" s="263">
        <v>0</v>
      </c>
      <c r="I136" s="263">
        <v>0</v>
      </c>
      <c r="J136" s="263">
        <v>0</v>
      </c>
      <c r="K136" s="267">
        <v>8</v>
      </c>
    </row>
    <row r="137" spans="1:11">
      <c r="A137" s="9" t="s">
        <v>11600</v>
      </c>
      <c r="B137" s="16">
        <v>1</v>
      </c>
      <c r="C137" s="9"/>
      <c r="D137" s="271" t="s">
        <v>9842</v>
      </c>
      <c r="E137" s="263">
        <v>16</v>
      </c>
      <c r="F137" s="263">
        <v>0</v>
      </c>
      <c r="G137" s="263">
        <v>0</v>
      </c>
      <c r="H137" s="263">
        <v>0</v>
      </c>
      <c r="I137" s="263">
        <v>0</v>
      </c>
      <c r="J137" s="263">
        <v>0</v>
      </c>
      <c r="K137" s="267">
        <v>16</v>
      </c>
    </row>
    <row r="138" spans="1:11">
      <c r="A138" s="9" t="s">
        <v>11601</v>
      </c>
      <c r="B138" s="16">
        <v>1</v>
      </c>
      <c r="C138" s="9"/>
      <c r="D138" s="271" t="s">
        <v>9843</v>
      </c>
      <c r="E138" s="263">
        <v>0</v>
      </c>
      <c r="F138" s="263">
        <v>0</v>
      </c>
      <c r="G138" s="263">
        <v>0</v>
      </c>
      <c r="H138" s="263">
        <v>0</v>
      </c>
      <c r="I138" s="263">
        <v>0</v>
      </c>
      <c r="J138" s="263">
        <v>8</v>
      </c>
      <c r="K138" s="267">
        <v>8</v>
      </c>
    </row>
    <row r="139" spans="1:11">
      <c r="A139" s="9" t="s">
        <v>11602</v>
      </c>
      <c r="B139" s="16">
        <v>1</v>
      </c>
      <c r="C139" s="9"/>
      <c r="D139" s="271" t="s">
        <v>9844</v>
      </c>
      <c r="E139" s="263">
        <v>0</v>
      </c>
      <c r="F139" s="263">
        <v>0</v>
      </c>
      <c r="G139" s="263">
        <v>0</v>
      </c>
      <c r="H139" s="263">
        <v>0</v>
      </c>
      <c r="I139" s="263">
        <v>0</v>
      </c>
      <c r="J139" s="263">
        <v>8</v>
      </c>
      <c r="K139" s="267">
        <v>8</v>
      </c>
    </row>
    <row r="140" spans="1:11">
      <c r="A140" s="9" t="s">
        <v>11603</v>
      </c>
      <c r="B140" s="16">
        <v>1</v>
      </c>
      <c r="C140" s="9"/>
      <c r="D140" s="271" t="s">
        <v>9845</v>
      </c>
      <c r="E140" s="263">
        <v>16</v>
      </c>
      <c r="F140" s="263">
        <v>0</v>
      </c>
      <c r="G140" s="263">
        <v>0</v>
      </c>
      <c r="H140" s="263">
        <v>0</v>
      </c>
      <c r="I140" s="263">
        <v>0</v>
      </c>
      <c r="J140" s="263">
        <v>0</v>
      </c>
      <c r="K140" s="267">
        <v>16</v>
      </c>
    </row>
    <row r="141" spans="1:11">
      <c r="B141" s="16">
        <v>1</v>
      </c>
      <c r="C141" s="9"/>
      <c r="D141" s="271"/>
      <c r="E141" s="263"/>
      <c r="F141" s="263"/>
      <c r="G141" s="263"/>
      <c r="H141" s="263"/>
      <c r="I141" s="263"/>
      <c r="J141" s="263"/>
      <c r="K141" s="267">
        <v>0</v>
      </c>
    </row>
    <row r="142" spans="1:11">
      <c r="B142" s="16">
        <v>1</v>
      </c>
      <c r="C142" s="9"/>
      <c r="D142" s="272" t="s">
        <v>3674</v>
      </c>
      <c r="E142" s="273">
        <v>72</v>
      </c>
      <c r="F142" s="273">
        <v>0</v>
      </c>
      <c r="G142" s="273">
        <v>0</v>
      </c>
      <c r="H142" s="273">
        <v>0</v>
      </c>
      <c r="I142" s="273">
        <v>0</v>
      </c>
      <c r="J142" s="273">
        <v>16</v>
      </c>
      <c r="K142" s="273">
        <v>88</v>
      </c>
    </row>
    <row r="143" spans="1:11">
      <c r="C143" s="9"/>
      <c r="D143" s="271"/>
      <c r="E143" s="263"/>
      <c r="F143" s="263"/>
      <c r="G143" s="263"/>
      <c r="H143" s="263"/>
      <c r="I143" s="263"/>
      <c r="J143" s="263"/>
      <c r="K143" s="267">
        <v>0</v>
      </c>
    </row>
    <row r="144" spans="1:11">
      <c r="A144" s="9" t="s">
        <v>11604</v>
      </c>
      <c r="B144" s="16">
        <v>5</v>
      </c>
      <c r="C144" s="9"/>
      <c r="D144" s="271" t="s">
        <v>9846</v>
      </c>
      <c r="E144" s="263">
        <v>0</v>
      </c>
      <c r="F144" s="263">
        <v>0</v>
      </c>
      <c r="G144" s="263">
        <v>0</v>
      </c>
      <c r="H144" s="263">
        <v>0</v>
      </c>
      <c r="I144" s="263">
        <v>0</v>
      </c>
      <c r="J144" s="263">
        <v>8</v>
      </c>
      <c r="K144" s="267">
        <v>8</v>
      </c>
    </row>
    <row r="145" spans="1:11">
      <c r="A145" s="9" t="s">
        <v>11605</v>
      </c>
      <c r="B145" s="16">
        <v>5</v>
      </c>
      <c r="C145" s="9"/>
      <c r="D145" s="271" t="s">
        <v>9847</v>
      </c>
      <c r="E145" s="263">
        <v>0</v>
      </c>
      <c r="F145" s="263">
        <v>0</v>
      </c>
      <c r="G145" s="263">
        <v>8</v>
      </c>
      <c r="H145" s="263">
        <v>0</v>
      </c>
      <c r="I145" s="263">
        <v>0</v>
      </c>
      <c r="J145" s="263">
        <v>0</v>
      </c>
      <c r="K145" s="267">
        <v>8</v>
      </c>
    </row>
    <row r="146" spans="1:11">
      <c r="A146" s="9" t="s">
        <v>11606</v>
      </c>
      <c r="B146" s="16">
        <v>5</v>
      </c>
      <c r="C146" s="9"/>
      <c r="D146" s="271" t="s">
        <v>9848</v>
      </c>
      <c r="E146" s="263">
        <v>0</v>
      </c>
      <c r="F146" s="263">
        <v>0</v>
      </c>
      <c r="G146" s="263">
        <v>0</v>
      </c>
      <c r="H146" s="263">
        <v>0</v>
      </c>
      <c r="I146" s="263">
        <v>0</v>
      </c>
      <c r="J146" s="263">
        <v>8</v>
      </c>
      <c r="K146" s="267">
        <v>8</v>
      </c>
    </row>
    <row r="147" spans="1:11">
      <c r="A147" s="9" t="s">
        <v>11607</v>
      </c>
      <c r="B147" s="16">
        <v>5</v>
      </c>
      <c r="C147" s="9"/>
      <c r="D147" s="271" t="s">
        <v>9849</v>
      </c>
      <c r="E147" s="263">
        <v>16</v>
      </c>
      <c r="F147" s="263">
        <v>0</v>
      </c>
      <c r="G147" s="263">
        <v>0</v>
      </c>
      <c r="H147" s="263">
        <v>0</v>
      </c>
      <c r="I147" s="263">
        <v>0</v>
      </c>
      <c r="J147" s="263">
        <v>0</v>
      </c>
      <c r="K147" s="267">
        <v>16</v>
      </c>
    </row>
    <row r="148" spans="1:11">
      <c r="A148" s="9" t="s">
        <v>11608</v>
      </c>
      <c r="B148" s="16">
        <v>5</v>
      </c>
      <c r="C148" s="9"/>
      <c r="D148" s="271" t="s">
        <v>9850</v>
      </c>
      <c r="E148" s="263">
        <v>0</v>
      </c>
      <c r="F148" s="263">
        <v>0</v>
      </c>
      <c r="G148" s="263">
        <v>0</v>
      </c>
      <c r="H148" s="263">
        <v>0</v>
      </c>
      <c r="I148" s="263">
        <v>0</v>
      </c>
      <c r="J148" s="263">
        <v>8</v>
      </c>
      <c r="K148" s="267">
        <v>8</v>
      </c>
    </row>
    <row r="149" spans="1:11">
      <c r="B149" s="16">
        <v>5</v>
      </c>
      <c r="C149" s="9"/>
      <c r="D149" s="271"/>
      <c r="E149" s="263"/>
      <c r="F149" s="263"/>
      <c r="G149" s="263"/>
      <c r="H149" s="263"/>
      <c r="I149" s="263"/>
      <c r="J149" s="263"/>
      <c r="K149" s="267">
        <v>0</v>
      </c>
    </row>
    <row r="150" spans="1:11">
      <c r="B150" s="16">
        <v>5</v>
      </c>
      <c r="C150" s="9"/>
      <c r="D150" s="272" t="s">
        <v>3674</v>
      </c>
      <c r="E150" s="273">
        <v>16</v>
      </c>
      <c r="F150" s="273">
        <v>0</v>
      </c>
      <c r="G150" s="273">
        <v>8</v>
      </c>
      <c r="H150" s="273">
        <v>0</v>
      </c>
      <c r="I150" s="273">
        <v>0</v>
      </c>
      <c r="J150" s="273">
        <v>24</v>
      </c>
      <c r="K150" s="273">
        <v>48</v>
      </c>
    </row>
    <row r="151" spans="1:11">
      <c r="C151" s="9"/>
      <c r="D151" s="271"/>
      <c r="E151" s="263"/>
      <c r="F151" s="263"/>
      <c r="G151" s="263"/>
      <c r="H151" s="263"/>
      <c r="I151" s="263"/>
      <c r="J151" s="263"/>
      <c r="K151" s="267">
        <v>0</v>
      </c>
    </row>
    <row r="152" spans="1:11">
      <c r="A152" s="9" t="s">
        <v>11609</v>
      </c>
      <c r="B152" s="16">
        <v>14</v>
      </c>
      <c r="C152" s="9"/>
      <c r="D152" s="271" t="s">
        <v>9851</v>
      </c>
      <c r="E152" s="263">
        <v>8</v>
      </c>
      <c r="F152" s="263">
        <v>0</v>
      </c>
      <c r="G152" s="263">
        <v>0</v>
      </c>
      <c r="H152" s="263">
        <v>0</v>
      </c>
      <c r="I152" s="263">
        <v>0</v>
      </c>
      <c r="J152" s="263">
        <v>0</v>
      </c>
      <c r="K152" s="267">
        <v>8</v>
      </c>
    </row>
    <row r="153" spans="1:11">
      <c r="A153" s="9" t="s">
        <v>11610</v>
      </c>
      <c r="B153" s="16">
        <v>14</v>
      </c>
      <c r="C153" s="9"/>
      <c r="D153" s="271" t="s">
        <v>9852</v>
      </c>
      <c r="E153" s="263">
        <v>8</v>
      </c>
      <c r="F153" s="263">
        <v>0</v>
      </c>
      <c r="G153" s="263">
        <v>0</v>
      </c>
      <c r="H153" s="263">
        <v>0</v>
      </c>
      <c r="I153" s="263">
        <v>0</v>
      </c>
      <c r="J153" s="263">
        <v>0</v>
      </c>
      <c r="K153" s="267">
        <v>8</v>
      </c>
    </row>
    <row r="154" spans="1:11" ht="31.5">
      <c r="A154" s="9" t="s">
        <v>11611</v>
      </c>
      <c r="B154" s="16">
        <v>14</v>
      </c>
      <c r="C154" s="9"/>
      <c r="D154" s="271" t="s">
        <v>9853</v>
      </c>
      <c r="E154" s="263">
        <v>0</v>
      </c>
      <c r="F154" s="263">
        <v>0</v>
      </c>
      <c r="G154" s="263">
        <v>0</v>
      </c>
      <c r="H154" s="263">
        <v>9.6000000000000014</v>
      </c>
      <c r="I154" s="263">
        <v>0</v>
      </c>
      <c r="J154" s="263">
        <v>0</v>
      </c>
      <c r="K154" s="267">
        <v>9.6000000000000014</v>
      </c>
    </row>
    <row r="155" spans="1:11">
      <c r="A155" s="9" t="s">
        <v>11612</v>
      </c>
      <c r="B155" s="16">
        <v>14</v>
      </c>
      <c r="C155" s="9"/>
      <c r="D155" s="271" t="s">
        <v>9854</v>
      </c>
      <c r="E155" s="263">
        <v>4.8000000000000007</v>
      </c>
      <c r="F155" s="263">
        <v>0</v>
      </c>
      <c r="G155" s="263">
        <v>0</v>
      </c>
      <c r="H155" s="263">
        <v>0</v>
      </c>
      <c r="I155" s="263">
        <v>0</v>
      </c>
      <c r="J155" s="263">
        <v>0</v>
      </c>
      <c r="K155" s="267">
        <v>4.8000000000000007</v>
      </c>
    </row>
    <row r="156" spans="1:11">
      <c r="A156" s="9" t="s">
        <v>11613</v>
      </c>
      <c r="B156" s="16">
        <v>14</v>
      </c>
      <c r="C156" s="9"/>
      <c r="D156" s="271" t="s">
        <v>9855</v>
      </c>
      <c r="E156" s="263">
        <v>8</v>
      </c>
      <c r="F156" s="263">
        <v>0</v>
      </c>
      <c r="G156" s="263">
        <v>0</v>
      </c>
      <c r="H156" s="263">
        <v>0</v>
      </c>
      <c r="I156" s="263">
        <v>0</v>
      </c>
      <c r="J156" s="263">
        <v>0</v>
      </c>
      <c r="K156" s="267">
        <v>8</v>
      </c>
    </row>
    <row r="157" spans="1:11" ht="31.5">
      <c r="A157" s="9" t="s">
        <v>11614</v>
      </c>
      <c r="B157" s="16">
        <v>14</v>
      </c>
      <c r="C157" s="9"/>
      <c r="D157" s="271" t="s">
        <v>9856</v>
      </c>
      <c r="E157" s="263">
        <v>9.6000000000000014</v>
      </c>
      <c r="F157" s="263">
        <v>0</v>
      </c>
      <c r="G157" s="263">
        <v>0</v>
      </c>
      <c r="H157" s="263">
        <v>0</v>
      </c>
      <c r="I157" s="263">
        <v>0</v>
      </c>
      <c r="J157" s="263">
        <v>0</v>
      </c>
      <c r="K157" s="267">
        <v>9.6000000000000014</v>
      </c>
    </row>
    <row r="158" spans="1:11">
      <c r="A158" s="9" t="s">
        <v>11615</v>
      </c>
      <c r="B158" s="16">
        <v>14</v>
      </c>
      <c r="C158" s="9"/>
      <c r="D158" s="271" t="s">
        <v>9857</v>
      </c>
      <c r="E158" s="263">
        <v>0</v>
      </c>
      <c r="F158" s="263">
        <v>0</v>
      </c>
      <c r="G158" s="263">
        <v>4</v>
      </c>
      <c r="H158" s="263">
        <v>0</v>
      </c>
      <c r="I158" s="263">
        <v>0</v>
      </c>
      <c r="J158" s="263">
        <v>0</v>
      </c>
      <c r="K158" s="267">
        <v>4</v>
      </c>
    </row>
    <row r="159" spans="1:11">
      <c r="A159" s="9" t="s">
        <v>11616</v>
      </c>
      <c r="B159" s="16">
        <v>14</v>
      </c>
      <c r="C159" s="9"/>
      <c r="D159" s="271" t="s">
        <v>9858</v>
      </c>
      <c r="E159" s="263">
        <v>0</v>
      </c>
      <c r="F159" s="263">
        <v>0</v>
      </c>
      <c r="G159" s="263">
        <v>0</v>
      </c>
      <c r="H159" s="263">
        <v>4</v>
      </c>
      <c r="I159" s="263">
        <v>0</v>
      </c>
      <c r="J159" s="263">
        <v>0</v>
      </c>
      <c r="K159" s="267">
        <v>4</v>
      </c>
    </row>
    <row r="160" spans="1:11">
      <c r="A160" s="9" t="s">
        <v>11617</v>
      </c>
      <c r="B160" s="16">
        <v>14</v>
      </c>
      <c r="C160" s="9"/>
      <c r="D160" s="271" t="s">
        <v>9859</v>
      </c>
      <c r="E160" s="263">
        <v>0</v>
      </c>
      <c r="F160" s="263">
        <v>0</v>
      </c>
      <c r="G160" s="263">
        <v>4.8000000000000007</v>
      </c>
      <c r="H160" s="263">
        <v>0</v>
      </c>
      <c r="I160" s="263">
        <v>0</v>
      </c>
      <c r="J160" s="263">
        <v>0</v>
      </c>
      <c r="K160" s="267">
        <v>4.8000000000000007</v>
      </c>
    </row>
    <row r="161" spans="1:11">
      <c r="B161" s="16">
        <v>14</v>
      </c>
      <c r="C161" s="9"/>
      <c r="D161" s="271"/>
      <c r="E161" s="263"/>
      <c r="F161" s="263"/>
      <c r="G161" s="263"/>
      <c r="H161" s="263"/>
      <c r="I161" s="263"/>
      <c r="J161" s="263"/>
      <c r="K161" s="267">
        <v>0</v>
      </c>
    </row>
    <row r="162" spans="1:11">
      <c r="B162" s="16">
        <v>14</v>
      </c>
      <c r="C162" s="9"/>
      <c r="D162" s="272" t="s">
        <v>3674</v>
      </c>
      <c r="E162" s="273">
        <v>38.400000000000006</v>
      </c>
      <c r="F162" s="273">
        <v>0</v>
      </c>
      <c r="G162" s="273">
        <v>8.8000000000000007</v>
      </c>
      <c r="H162" s="273">
        <v>13.600000000000001</v>
      </c>
      <c r="I162" s="273">
        <v>0</v>
      </c>
      <c r="J162" s="273">
        <v>0</v>
      </c>
      <c r="K162" s="273">
        <v>60.800000000000011</v>
      </c>
    </row>
    <row r="163" spans="1:11">
      <c r="C163" s="9"/>
      <c r="D163" s="271"/>
      <c r="E163" s="263"/>
      <c r="F163" s="263"/>
      <c r="G163" s="263"/>
      <c r="H163" s="263"/>
      <c r="I163" s="263"/>
      <c r="J163" s="263"/>
      <c r="K163" s="267">
        <v>0</v>
      </c>
    </row>
    <row r="164" spans="1:11">
      <c r="A164" s="9" t="s">
        <v>11618</v>
      </c>
      <c r="B164" s="16">
        <v>15</v>
      </c>
      <c r="C164" s="9"/>
      <c r="D164" s="271" t="s">
        <v>9860</v>
      </c>
      <c r="E164" s="263">
        <v>0</v>
      </c>
      <c r="F164" s="263">
        <v>0</v>
      </c>
      <c r="G164" s="263">
        <v>0</v>
      </c>
      <c r="H164" s="263">
        <v>0</v>
      </c>
      <c r="I164" s="263">
        <v>0</v>
      </c>
      <c r="J164" s="263">
        <v>12</v>
      </c>
      <c r="K164" s="267">
        <v>12</v>
      </c>
    </row>
    <row r="165" spans="1:11">
      <c r="A165" s="9" t="s">
        <v>11619</v>
      </c>
      <c r="B165" s="16">
        <v>15</v>
      </c>
      <c r="C165" s="9"/>
      <c r="D165" s="271" t="s">
        <v>9861</v>
      </c>
      <c r="E165" s="263">
        <v>0</v>
      </c>
      <c r="F165" s="263">
        <v>0</v>
      </c>
      <c r="G165" s="263">
        <v>0</v>
      </c>
      <c r="H165" s="263">
        <v>0</v>
      </c>
      <c r="I165" s="263">
        <v>0</v>
      </c>
      <c r="J165" s="263">
        <v>8</v>
      </c>
      <c r="K165" s="267">
        <v>8</v>
      </c>
    </row>
    <row r="166" spans="1:11">
      <c r="A166" s="9" t="s">
        <v>11620</v>
      </c>
      <c r="B166" s="16">
        <v>15</v>
      </c>
      <c r="C166" s="9"/>
      <c r="D166" s="271" t="s">
        <v>9862</v>
      </c>
      <c r="E166" s="263">
        <v>8</v>
      </c>
      <c r="F166" s="263">
        <v>0</v>
      </c>
      <c r="G166" s="263">
        <v>0</v>
      </c>
      <c r="H166" s="263">
        <v>0</v>
      </c>
      <c r="I166" s="263">
        <v>0</v>
      </c>
      <c r="J166" s="263">
        <v>0</v>
      </c>
      <c r="K166" s="267">
        <v>8</v>
      </c>
    </row>
    <row r="167" spans="1:11">
      <c r="B167" s="16">
        <v>15</v>
      </c>
      <c r="C167" s="9"/>
      <c r="D167" s="271"/>
      <c r="E167" s="263"/>
      <c r="F167" s="263"/>
      <c r="G167" s="263"/>
      <c r="H167" s="263"/>
      <c r="I167" s="263"/>
      <c r="J167" s="263"/>
      <c r="K167" s="267">
        <v>0</v>
      </c>
    </row>
    <row r="168" spans="1:11">
      <c r="B168" s="16">
        <v>15</v>
      </c>
      <c r="C168" s="9"/>
      <c r="D168" s="272" t="s">
        <v>3674</v>
      </c>
      <c r="E168" s="273">
        <v>8</v>
      </c>
      <c r="F168" s="273">
        <v>0</v>
      </c>
      <c r="G168" s="273">
        <v>0</v>
      </c>
      <c r="H168" s="273">
        <v>0</v>
      </c>
      <c r="I168" s="273">
        <v>0</v>
      </c>
      <c r="J168" s="273">
        <v>20</v>
      </c>
      <c r="K168" s="273">
        <v>28</v>
      </c>
    </row>
    <row r="169" spans="1:11">
      <c r="C169" s="9"/>
      <c r="D169" s="271"/>
      <c r="E169" s="263"/>
      <c r="F169" s="263"/>
      <c r="G169" s="263"/>
      <c r="H169" s="263"/>
      <c r="I169" s="263"/>
      <c r="J169" s="263"/>
      <c r="K169" s="267">
        <v>0</v>
      </c>
    </row>
    <row r="170" spans="1:11">
      <c r="A170" s="9" t="s">
        <v>11621</v>
      </c>
      <c r="B170" s="16">
        <v>16</v>
      </c>
      <c r="C170" s="9"/>
      <c r="D170" s="271" t="s">
        <v>9865</v>
      </c>
      <c r="E170" s="263">
        <v>8</v>
      </c>
      <c r="F170" s="263">
        <v>0</v>
      </c>
      <c r="G170" s="263">
        <v>0</v>
      </c>
      <c r="H170" s="263">
        <v>0</v>
      </c>
      <c r="I170" s="263">
        <v>0</v>
      </c>
      <c r="J170" s="263">
        <v>0</v>
      </c>
      <c r="K170" s="267">
        <v>8</v>
      </c>
    </row>
    <row r="171" spans="1:11">
      <c r="A171" s="9" t="s">
        <v>11622</v>
      </c>
      <c r="B171" s="16">
        <v>16</v>
      </c>
      <c r="C171" s="9"/>
      <c r="D171" s="271" t="s">
        <v>9863</v>
      </c>
      <c r="E171" s="263">
        <v>8</v>
      </c>
      <c r="F171" s="263">
        <v>0</v>
      </c>
      <c r="G171" s="263">
        <v>0</v>
      </c>
      <c r="H171" s="263">
        <v>0</v>
      </c>
      <c r="I171" s="263">
        <v>0</v>
      </c>
      <c r="J171" s="263">
        <v>0</v>
      </c>
      <c r="K171" s="267">
        <v>8</v>
      </c>
    </row>
    <row r="172" spans="1:11">
      <c r="A172" s="9" t="s">
        <v>11623</v>
      </c>
      <c r="B172" s="16">
        <v>16</v>
      </c>
      <c r="C172" s="9"/>
      <c r="D172" s="271" t="s">
        <v>9864</v>
      </c>
      <c r="E172" s="263">
        <v>8</v>
      </c>
      <c r="F172" s="263">
        <v>0</v>
      </c>
      <c r="G172" s="263">
        <v>0</v>
      </c>
      <c r="H172" s="263">
        <v>0</v>
      </c>
      <c r="I172" s="263">
        <v>0</v>
      </c>
      <c r="J172" s="263">
        <v>0</v>
      </c>
      <c r="K172" s="267">
        <v>8</v>
      </c>
    </row>
    <row r="173" spans="1:11">
      <c r="B173" s="16">
        <v>16</v>
      </c>
      <c r="C173" s="9"/>
      <c r="D173" s="271"/>
      <c r="E173" s="263"/>
      <c r="F173" s="263"/>
      <c r="G173" s="263"/>
      <c r="H173" s="263"/>
      <c r="I173" s="263"/>
      <c r="J173" s="263"/>
      <c r="K173" s="267">
        <v>0</v>
      </c>
    </row>
    <row r="174" spans="1:11">
      <c r="B174" s="16">
        <v>16</v>
      </c>
      <c r="C174" s="9"/>
      <c r="D174" s="272" t="s">
        <v>3674</v>
      </c>
      <c r="E174" s="273">
        <v>24</v>
      </c>
      <c r="F174" s="273">
        <v>0</v>
      </c>
      <c r="G174" s="273">
        <v>0</v>
      </c>
      <c r="H174" s="273">
        <v>0</v>
      </c>
      <c r="I174" s="273">
        <v>0</v>
      </c>
      <c r="J174" s="273">
        <v>0</v>
      </c>
      <c r="K174" s="273">
        <v>24</v>
      </c>
    </row>
    <row r="175" spans="1:11">
      <c r="C175" s="9"/>
      <c r="D175" s="271"/>
      <c r="E175" s="263"/>
      <c r="F175" s="263"/>
      <c r="G175" s="263"/>
      <c r="H175" s="263"/>
      <c r="I175" s="263"/>
      <c r="J175" s="263"/>
      <c r="K175" s="267">
        <v>0</v>
      </c>
    </row>
    <row r="176" spans="1:11">
      <c r="B176" s="16">
        <v>0</v>
      </c>
      <c r="C176" s="9"/>
      <c r="D176" s="269" t="s">
        <v>13081</v>
      </c>
      <c r="E176" s="270">
        <v>158.4</v>
      </c>
      <c r="F176" s="270">
        <v>0</v>
      </c>
      <c r="G176" s="270">
        <v>16.8</v>
      </c>
      <c r="H176" s="270">
        <v>13.600000000000001</v>
      </c>
      <c r="I176" s="270">
        <v>0</v>
      </c>
      <c r="J176" s="270">
        <v>60</v>
      </c>
      <c r="K176" s="270">
        <v>248.8</v>
      </c>
    </row>
    <row r="177" spans="1:11">
      <c r="C177" s="9"/>
      <c r="D177" s="271"/>
      <c r="E177" s="263"/>
      <c r="F177" s="263"/>
      <c r="G177" s="263"/>
      <c r="H177" s="263"/>
      <c r="I177" s="263"/>
      <c r="J177" s="263"/>
      <c r="K177" s="267">
        <v>0</v>
      </c>
    </row>
    <row r="178" spans="1:11">
      <c r="C178" s="9"/>
      <c r="D178" s="271"/>
      <c r="E178" s="263"/>
      <c r="F178" s="263"/>
      <c r="G178" s="263"/>
      <c r="H178" s="263"/>
      <c r="I178" s="263"/>
      <c r="J178" s="263"/>
      <c r="K178" s="267">
        <v>0</v>
      </c>
    </row>
    <row r="179" spans="1:11">
      <c r="C179" s="9"/>
      <c r="D179" s="271" t="s">
        <v>4275</v>
      </c>
      <c r="E179" s="263"/>
      <c r="F179" s="263"/>
      <c r="G179" s="263"/>
      <c r="H179" s="263"/>
      <c r="I179" s="263"/>
      <c r="J179" s="263"/>
      <c r="K179" s="267">
        <v>0</v>
      </c>
    </row>
    <row r="180" spans="1:11">
      <c r="C180" s="9"/>
      <c r="D180" s="271"/>
      <c r="E180" s="263"/>
      <c r="F180" s="263"/>
      <c r="G180" s="263"/>
      <c r="H180" s="263"/>
      <c r="I180" s="263"/>
      <c r="J180" s="263"/>
      <c r="K180" s="267">
        <v>0</v>
      </c>
    </row>
    <row r="181" spans="1:11">
      <c r="A181" s="9" t="s">
        <v>11624</v>
      </c>
      <c r="B181" s="16">
        <v>52</v>
      </c>
      <c r="C181" s="9"/>
      <c r="D181" s="271" t="s">
        <v>9367</v>
      </c>
      <c r="E181" s="263">
        <v>8</v>
      </c>
      <c r="F181" s="263">
        <v>0</v>
      </c>
      <c r="G181" s="263">
        <v>0</v>
      </c>
      <c r="H181" s="263">
        <v>0</v>
      </c>
      <c r="I181" s="263">
        <v>0</v>
      </c>
      <c r="J181" s="263">
        <v>0</v>
      </c>
      <c r="K181" s="267">
        <v>8</v>
      </c>
    </row>
    <row r="182" spans="1:11">
      <c r="A182" s="9" t="s">
        <v>11625</v>
      </c>
      <c r="B182" s="16">
        <v>52</v>
      </c>
      <c r="C182" s="9"/>
      <c r="D182" s="271" t="s">
        <v>9368</v>
      </c>
      <c r="E182" s="263">
        <v>8</v>
      </c>
      <c r="F182" s="263">
        <v>0</v>
      </c>
      <c r="G182" s="263">
        <v>0</v>
      </c>
      <c r="H182" s="263">
        <v>0</v>
      </c>
      <c r="I182" s="263">
        <v>0</v>
      </c>
      <c r="J182" s="263">
        <v>0</v>
      </c>
      <c r="K182" s="267">
        <v>8</v>
      </c>
    </row>
    <row r="183" spans="1:11">
      <c r="A183" s="9" t="s">
        <v>11626</v>
      </c>
      <c r="B183" s="16">
        <v>52</v>
      </c>
      <c r="C183" s="9"/>
      <c r="D183" s="271" t="s">
        <v>9369</v>
      </c>
      <c r="E183" s="263">
        <v>8</v>
      </c>
      <c r="F183" s="263">
        <v>0</v>
      </c>
      <c r="G183" s="263">
        <v>0</v>
      </c>
      <c r="H183" s="263">
        <v>0</v>
      </c>
      <c r="I183" s="263">
        <v>0</v>
      </c>
      <c r="J183" s="263">
        <v>0</v>
      </c>
      <c r="K183" s="267">
        <v>8</v>
      </c>
    </row>
    <row r="184" spans="1:11">
      <c r="A184" s="9" t="s">
        <v>11627</v>
      </c>
      <c r="B184" s="16">
        <v>52</v>
      </c>
      <c r="C184" s="9"/>
      <c r="D184" s="271" t="s">
        <v>9370</v>
      </c>
      <c r="E184" s="263">
        <v>0</v>
      </c>
      <c r="F184" s="263">
        <v>0</v>
      </c>
      <c r="G184" s="263">
        <v>0</v>
      </c>
      <c r="H184" s="263">
        <v>0</v>
      </c>
      <c r="I184" s="263">
        <v>0</v>
      </c>
      <c r="J184" s="263">
        <v>8</v>
      </c>
      <c r="K184" s="267">
        <v>8</v>
      </c>
    </row>
    <row r="185" spans="1:11">
      <c r="A185" s="9" t="s">
        <v>11628</v>
      </c>
      <c r="B185" s="16">
        <v>52</v>
      </c>
      <c r="C185" s="9"/>
      <c r="D185" s="271" t="s">
        <v>9371</v>
      </c>
      <c r="E185" s="263">
        <v>0</v>
      </c>
      <c r="F185" s="263">
        <v>0</v>
      </c>
      <c r="G185" s="263">
        <v>0</v>
      </c>
      <c r="H185" s="263">
        <v>0</v>
      </c>
      <c r="I185" s="263">
        <v>0</v>
      </c>
      <c r="J185" s="263">
        <v>8</v>
      </c>
      <c r="K185" s="267">
        <v>8</v>
      </c>
    </row>
    <row r="186" spans="1:11">
      <c r="A186" s="9" t="s">
        <v>11629</v>
      </c>
      <c r="B186" s="16">
        <v>52</v>
      </c>
      <c r="C186" s="9"/>
      <c r="D186" s="271" t="s">
        <v>9372</v>
      </c>
      <c r="E186" s="263">
        <v>0</v>
      </c>
      <c r="F186" s="263">
        <v>0</v>
      </c>
      <c r="G186" s="263">
        <v>0</v>
      </c>
      <c r="H186" s="263">
        <v>0</v>
      </c>
      <c r="I186" s="263">
        <v>0</v>
      </c>
      <c r="J186" s="263">
        <v>8</v>
      </c>
      <c r="K186" s="267">
        <v>8</v>
      </c>
    </row>
    <row r="187" spans="1:11">
      <c r="A187" s="9" t="s">
        <v>11630</v>
      </c>
      <c r="B187" s="16">
        <v>52</v>
      </c>
      <c r="C187" s="9"/>
      <c r="D187" s="271" t="s">
        <v>9373</v>
      </c>
      <c r="E187" s="263">
        <v>0</v>
      </c>
      <c r="F187" s="263">
        <v>0</v>
      </c>
      <c r="G187" s="263">
        <v>0</v>
      </c>
      <c r="H187" s="263">
        <v>8</v>
      </c>
      <c r="I187" s="263">
        <v>0</v>
      </c>
      <c r="J187" s="263">
        <v>0</v>
      </c>
      <c r="K187" s="267">
        <v>8</v>
      </c>
    </row>
    <row r="188" spans="1:11" ht="31.5">
      <c r="A188" s="9" t="s">
        <v>11631</v>
      </c>
      <c r="B188" s="16">
        <v>52</v>
      </c>
      <c r="C188" s="9"/>
      <c r="D188" s="271" t="s">
        <v>9374</v>
      </c>
      <c r="E188" s="263">
        <v>0</v>
      </c>
      <c r="F188" s="263">
        <v>0</v>
      </c>
      <c r="G188" s="263">
        <v>0</v>
      </c>
      <c r="H188" s="263">
        <v>8</v>
      </c>
      <c r="I188" s="263">
        <v>0</v>
      </c>
      <c r="J188" s="263">
        <v>0</v>
      </c>
      <c r="K188" s="267">
        <v>8</v>
      </c>
    </row>
    <row r="189" spans="1:11" ht="31.5">
      <c r="A189" s="9" t="s">
        <v>11632</v>
      </c>
      <c r="B189" s="16">
        <v>52</v>
      </c>
      <c r="C189" s="9"/>
      <c r="D189" s="271" t="s">
        <v>9375</v>
      </c>
      <c r="E189" s="263">
        <v>0</v>
      </c>
      <c r="F189" s="263">
        <v>0</v>
      </c>
      <c r="G189" s="263">
        <v>0</v>
      </c>
      <c r="H189" s="263">
        <v>8</v>
      </c>
      <c r="I189" s="263">
        <v>0</v>
      </c>
      <c r="J189" s="263">
        <v>0</v>
      </c>
      <c r="K189" s="267">
        <v>8</v>
      </c>
    </row>
    <row r="190" spans="1:11">
      <c r="A190" s="9" t="s">
        <v>11633</v>
      </c>
      <c r="B190" s="16">
        <v>52</v>
      </c>
      <c r="C190" s="9"/>
      <c r="D190" s="271" t="s">
        <v>9376</v>
      </c>
      <c r="E190" s="263">
        <v>0</v>
      </c>
      <c r="F190" s="263">
        <v>0</v>
      </c>
      <c r="G190" s="263">
        <v>8</v>
      </c>
      <c r="H190" s="263">
        <v>0</v>
      </c>
      <c r="I190" s="263">
        <v>0</v>
      </c>
      <c r="J190" s="263">
        <v>0</v>
      </c>
      <c r="K190" s="267">
        <v>8</v>
      </c>
    </row>
    <row r="191" spans="1:11">
      <c r="A191" s="9" t="s">
        <v>11634</v>
      </c>
      <c r="B191" s="16">
        <v>52</v>
      </c>
      <c r="C191" s="9"/>
      <c r="D191" s="271" t="s">
        <v>9377</v>
      </c>
      <c r="E191" s="263">
        <v>0</v>
      </c>
      <c r="F191" s="263">
        <v>0</v>
      </c>
      <c r="G191" s="263">
        <v>8</v>
      </c>
      <c r="H191" s="263">
        <v>0</v>
      </c>
      <c r="I191" s="263">
        <v>0</v>
      </c>
      <c r="J191" s="263">
        <v>0</v>
      </c>
      <c r="K191" s="267">
        <v>8</v>
      </c>
    </row>
    <row r="192" spans="1:11">
      <c r="A192" s="9" t="s">
        <v>11635</v>
      </c>
      <c r="B192" s="16">
        <v>52</v>
      </c>
      <c r="C192" s="9"/>
      <c r="D192" s="271" t="s">
        <v>9378</v>
      </c>
      <c r="E192" s="263">
        <v>0</v>
      </c>
      <c r="F192" s="263">
        <v>0</v>
      </c>
      <c r="G192" s="263">
        <v>8</v>
      </c>
      <c r="H192" s="263">
        <v>0</v>
      </c>
      <c r="I192" s="263">
        <v>0</v>
      </c>
      <c r="J192" s="263">
        <v>0</v>
      </c>
      <c r="K192" s="267">
        <v>8</v>
      </c>
    </row>
    <row r="193" spans="1:11">
      <c r="B193" s="16">
        <v>52</v>
      </c>
      <c r="C193" s="9"/>
      <c r="D193" s="271"/>
      <c r="E193" s="263"/>
      <c r="F193" s="263"/>
      <c r="G193" s="263"/>
      <c r="H193" s="263"/>
      <c r="I193" s="263"/>
      <c r="J193" s="263"/>
      <c r="K193" s="267">
        <v>0</v>
      </c>
    </row>
    <row r="194" spans="1:11">
      <c r="B194" s="16">
        <v>52</v>
      </c>
      <c r="C194" s="9"/>
      <c r="D194" s="272" t="s">
        <v>3674</v>
      </c>
      <c r="E194" s="273">
        <v>24</v>
      </c>
      <c r="F194" s="273">
        <v>0</v>
      </c>
      <c r="G194" s="273">
        <v>24</v>
      </c>
      <c r="H194" s="273">
        <v>24</v>
      </c>
      <c r="I194" s="273">
        <v>0</v>
      </c>
      <c r="J194" s="273">
        <v>24</v>
      </c>
      <c r="K194" s="273">
        <v>96</v>
      </c>
    </row>
    <row r="195" spans="1:11">
      <c r="C195" s="9"/>
      <c r="D195" s="271"/>
      <c r="E195" s="263"/>
      <c r="F195" s="263"/>
      <c r="G195" s="263"/>
      <c r="H195" s="263"/>
      <c r="I195" s="263"/>
      <c r="J195" s="263"/>
      <c r="K195" s="267">
        <v>0</v>
      </c>
    </row>
    <row r="196" spans="1:11">
      <c r="A196" s="9" t="s">
        <v>11636</v>
      </c>
      <c r="B196" s="16">
        <v>56</v>
      </c>
      <c r="C196" s="9"/>
      <c r="D196" s="271" t="s">
        <v>9379</v>
      </c>
      <c r="E196" s="263">
        <v>0</v>
      </c>
      <c r="F196" s="263">
        <v>0</v>
      </c>
      <c r="G196" s="263">
        <v>12</v>
      </c>
      <c r="H196" s="263">
        <v>0</v>
      </c>
      <c r="I196" s="263">
        <v>0</v>
      </c>
      <c r="J196" s="263">
        <v>0</v>
      </c>
      <c r="K196" s="267">
        <v>12</v>
      </c>
    </row>
    <row r="197" spans="1:11">
      <c r="A197" s="9" t="s">
        <v>11637</v>
      </c>
      <c r="B197" s="16">
        <v>56</v>
      </c>
      <c r="C197" s="9"/>
      <c r="D197" s="271" t="s">
        <v>9380</v>
      </c>
      <c r="E197" s="263">
        <v>12</v>
      </c>
      <c r="F197" s="263">
        <v>0</v>
      </c>
      <c r="G197" s="263">
        <v>0</v>
      </c>
      <c r="H197" s="263">
        <v>0</v>
      </c>
      <c r="I197" s="263">
        <v>0</v>
      </c>
      <c r="J197" s="263">
        <v>0</v>
      </c>
      <c r="K197" s="267">
        <v>12</v>
      </c>
    </row>
    <row r="198" spans="1:11">
      <c r="B198" s="16">
        <v>56</v>
      </c>
      <c r="C198" s="9"/>
      <c r="D198" s="271"/>
      <c r="E198" s="263"/>
      <c r="F198" s="263"/>
      <c r="G198" s="263"/>
      <c r="H198" s="263"/>
      <c r="I198" s="263"/>
      <c r="J198" s="263"/>
      <c r="K198" s="267">
        <v>0</v>
      </c>
    </row>
    <row r="199" spans="1:11">
      <c r="B199" s="16">
        <v>56</v>
      </c>
      <c r="C199" s="9"/>
      <c r="D199" s="272" t="s">
        <v>3674</v>
      </c>
      <c r="E199" s="273">
        <v>12</v>
      </c>
      <c r="F199" s="273">
        <v>0</v>
      </c>
      <c r="G199" s="273">
        <v>12</v>
      </c>
      <c r="H199" s="273">
        <v>0</v>
      </c>
      <c r="I199" s="273">
        <v>0</v>
      </c>
      <c r="J199" s="273">
        <v>0</v>
      </c>
      <c r="K199" s="273">
        <v>24</v>
      </c>
    </row>
    <row r="200" spans="1:11">
      <c r="C200" s="9"/>
      <c r="D200" s="271"/>
      <c r="E200" s="263"/>
      <c r="F200" s="263"/>
      <c r="G200" s="263"/>
      <c r="H200" s="263"/>
      <c r="I200" s="263"/>
      <c r="J200" s="263"/>
      <c r="K200" s="267">
        <v>0</v>
      </c>
    </row>
    <row r="201" spans="1:11">
      <c r="B201" s="16">
        <v>0</v>
      </c>
      <c r="C201" s="9"/>
      <c r="D201" s="269" t="s">
        <v>13084</v>
      </c>
      <c r="E201" s="270">
        <v>36</v>
      </c>
      <c r="F201" s="270">
        <v>0</v>
      </c>
      <c r="G201" s="270">
        <v>36</v>
      </c>
      <c r="H201" s="270">
        <v>24</v>
      </c>
      <c r="I201" s="270">
        <v>0</v>
      </c>
      <c r="J201" s="270">
        <v>24</v>
      </c>
      <c r="K201" s="270">
        <v>120</v>
      </c>
    </row>
    <row r="202" spans="1:11">
      <c r="C202" s="9"/>
      <c r="D202" s="271"/>
      <c r="E202" s="263"/>
      <c r="F202" s="263"/>
      <c r="G202" s="263"/>
      <c r="H202" s="263"/>
      <c r="I202" s="263"/>
      <c r="J202" s="263"/>
      <c r="K202" s="267">
        <v>0</v>
      </c>
    </row>
    <row r="203" spans="1:11">
      <c r="C203" s="9"/>
      <c r="D203" s="271"/>
      <c r="E203" s="263"/>
      <c r="F203" s="263"/>
      <c r="G203" s="263"/>
      <c r="H203" s="263"/>
      <c r="I203" s="263"/>
      <c r="J203" s="263"/>
      <c r="K203" s="267">
        <v>0</v>
      </c>
    </row>
    <row r="204" spans="1:11">
      <c r="C204" s="9"/>
      <c r="D204" s="271" t="s">
        <v>4276</v>
      </c>
      <c r="E204" s="263"/>
      <c r="F204" s="263"/>
      <c r="G204" s="263"/>
      <c r="H204" s="263"/>
      <c r="I204" s="263"/>
      <c r="J204" s="263"/>
      <c r="K204" s="267">
        <v>0</v>
      </c>
    </row>
    <row r="205" spans="1:11">
      <c r="C205" s="9"/>
      <c r="D205" s="271"/>
      <c r="E205" s="263"/>
      <c r="F205" s="263"/>
      <c r="G205" s="263"/>
      <c r="H205" s="263"/>
      <c r="I205" s="263"/>
      <c r="J205" s="263"/>
      <c r="K205" s="267">
        <v>0</v>
      </c>
    </row>
    <row r="206" spans="1:11">
      <c r="A206" s="9" t="s">
        <v>11638</v>
      </c>
      <c r="B206" s="16">
        <v>57</v>
      </c>
      <c r="C206" s="9"/>
      <c r="D206" s="271" t="s">
        <v>9947</v>
      </c>
      <c r="E206" s="263">
        <v>8</v>
      </c>
      <c r="F206" s="263">
        <v>0</v>
      </c>
      <c r="G206" s="263">
        <v>0</v>
      </c>
      <c r="H206" s="263">
        <v>0</v>
      </c>
      <c r="I206" s="263">
        <v>0</v>
      </c>
      <c r="J206" s="263">
        <v>0</v>
      </c>
      <c r="K206" s="267">
        <v>8</v>
      </c>
    </row>
    <row r="207" spans="1:11">
      <c r="A207" s="9" t="s">
        <v>11639</v>
      </c>
      <c r="B207" s="16">
        <v>57</v>
      </c>
      <c r="C207" s="9"/>
      <c r="D207" s="271" t="s">
        <v>9948</v>
      </c>
      <c r="E207" s="263">
        <v>8</v>
      </c>
      <c r="F207" s="263">
        <v>0</v>
      </c>
      <c r="G207" s="263">
        <v>0</v>
      </c>
      <c r="H207" s="263">
        <v>0</v>
      </c>
      <c r="I207" s="263">
        <v>0</v>
      </c>
      <c r="J207" s="263">
        <v>0</v>
      </c>
      <c r="K207" s="267">
        <v>8</v>
      </c>
    </row>
    <row r="208" spans="1:11">
      <c r="A208" s="9" t="s">
        <v>11640</v>
      </c>
      <c r="B208" s="16">
        <v>57</v>
      </c>
      <c r="C208" s="9"/>
      <c r="D208" s="271" t="s">
        <v>9949</v>
      </c>
      <c r="E208" s="263">
        <v>0</v>
      </c>
      <c r="F208" s="263">
        <v>0</v>
      </c>
      <c r="G208" s="263">
        <v>8</v>
      </c>
      <c r="H208" s="263">
        <v>0</v>
      </c>
      <c r="I208" s="263">
        <v>0</v>
      </c>
      <c r="J208" s="263">
        <v>0</v>
      </c>
      <c r="K208" s="267">
        <v>8</v>
      </c>
    </row>
    <row r="209" spans="1:11">
      <c r="A209" s="9" t="s">
        <v>11641</v>
      </c>
      <c r="B209" s="16">
        <v>57</v>
      </c>
      <c r="C209" s="9"/>
      <c r="D209" s="271" t="s">
        <v>9950</v>
      </c>
      <c r="E209" s="263">
        <v>0</v>
      </c>
      <c r="F209" s="263">
        <v>0</v>
      </c>
      <c r="G209" s="263">
        <v>8</v>
      </c>
      <c r="H209" s="263">
        <v>0</v>
      </c>
      <c r="I209" s="263">
        <v>0</v>
      </c>
      <c r="J209" s="263">
        <v>0</v>
      </c>
      <c r="K209" s="267">
        <v>8</v>
      </c>
    </row>
    <row r="210" spans="1:11">
      <c r="A210" s="9" t="s">
        <v>11642</v>
      </c>
      <c r="B210" s="16">
        <v>57</v>
      </c>
      <c r="C210" s="9"/>
      <c r="D210" s="271" t="s">
        <v>9951</v>
      </c>
      <c r="E210" s="263">
        <v>0</v>
      </c>
      <c r="F210" s="263">
        <v>0</v>
      </c>
      <c r="G210" s="263">
        <v>12</v>
      </c>
      <c r="H210" s="263">
        <v>0</v>
      </c>
      <c r="I210" s="263">
        <v>0</v>
      </c>
      <c r="J210" s="263">
        <v>0</v>
      </c>
      <c r="K210" s="267">
        <v>12</v>
      </c>
    </row>
    <row r="211" spans="1:11">
      <c r="A211" s="9" t="s">
        <v>11643</v>
      </c>
      <c r="B211" s="16">
        <v>57</v>
      </c>
      <c r="C211" s="9"/>
      <c r="D211" s="271" t="s">
        <v>9952</v>
      </c>
      <c r="E211" s="263">
        <v>0</v>
      </c>
      <c r="F211" s="263">
        <v>0</v>
      </c>
      <c r="G211" s="263">
        <v>0</v>
      </c>
      <c r="H211" s="263">
        <v>0</v>
      </c>
      <c r="I211" s="263">
        <v>0</v>
      </c>
      <c r="J211" s="263">
        <v>8</v>
      </c>
      <c r="K211" s="267">
        <v>8</v>
      </c>
    </row>
    <row r="212" spans="1:11">
      <c r="A212" s="9" t="s">
        <v>11644</v>
      </c>
      <c r="B212" s="16">
        <v>57</v>
      </c>
      <c r="C212" s="9"/>
      <c r="D212" s="271" t="s">
        <v>9953</v>
      </c>
      <c r="E212" s="263">
        <v>0</v>
      </c>
      <c r="F212" s="263">
        <v>0</v>
      </c>
      <c r="G212" s="263">
        <v>0</v>
      </c>
      <c r="H212" s="263">
        <v>0</v>
      </c>
      <c r="I212" s="263">
        <v>0</v>
      </c>
      <c r="J212" s="263">
        <v>12</v>
      </c>
      <c r="K212" s="267">
        <v>12</v>
      </c>
    </row>
    <row r="213" spans="1:11" ht="31.5">
      <c r="A213" s="9" t="s">
        <v>11645</v>
      </c>
      <c r="B213" s="16">
        <v>57</v>
      </c>
      <c r="C213" s="9"/>
      <c r="D213" s="271" t="s">
        <v>9954</v>
      </c>
      <c r="E213" s="263">
        <v>0</v>
      </c>
      <c r="F213" s="263">
        <v>0</v>
      </c>
      <c r="G213" s="263">
        <v>0</v>
      </c>
      <c r="H213" s="263">
        <v>0</v>
      </c>
      <c r="I213" s="263">
        <v>0</v>
      </c>
      <c r="J213" s="263">
        <v>8</v>
      </c>
      <c r="K213" s="267">
        <v>8</v>
      </c>
    </row>
    <row r="214" spans="1:11" ht="31.5">
      <c r="A214" s="9" t="s">
        <v>11646</v>
      </c>
      <c r="B214" s="16">
        <v>57</v>
      </c>
      <c r="C214" s="9"/>
      <c r="D214" s="271" t="s">
        <v>9955</v>
      </c>
      <c r="E214" s="263">
        <v>0</v>
      </c>
      <c r="F214" s="263">
        <v>0</v>
      </c>
      <c r="G214" s="263">
        <v>0</v>
      </c>
      <c r="H214" s="263">
        <v>0</v>
      </c>
      <c r="I214" s="263">
        <v>0</v>
      </c>
      <c r="J214" s="263">
        <v>8</v>
      </c>
      <c r="K214" s="267">
        <v>8</v>
      </c>
    </row>
    <row r="215" spans="1:11" ht="31.5">
      <c r="A215" s="9" t="s">
        <v>11647</v>
      </c>
      <c r="B215" s="16">
        <v>57</v>
      </c>
      <c r="C215" s="9"/>
      <c r="D215" s="271" t="s">
        <v>9956</v>
      </c>
      <c r="E215" s="263">
        <v>0</v>
      </c>
      <c r="F215" s="263">
        <v>0</v>
      </c>
      <c r="G215" s="263">
        <v>0</v>
      </c>
      <c r="H215" s="263">
        <v>8</v>
      </c>
      <c r="I215" s="263">
        <v>0</v>
      </c>
      <c r="J215" s="263">
        <v>0</v>
      </c>
      <c r="K215" s="267">
        <v>8</v>
      </c>
    </row>
    <row r="216" spans="1:11" ht="31.5">
      <c r="A216" s="9" t="s">
        <v>11648</v>
      </c>
      <c r="B216" s="16">
        <v>57</v>
      </c>
      <c r="C216" s="9"/>
      <c r="D216" s="271" t="s">
        <v>9957</v>
      </c>
      <c r="E216" s="263">
        <v>0</v>
      </c>
      <c r="F216" s="263">
        <v>0</v>
      </c>
      <c r="G216" s="263">
        <v>0</v>
      </c>
      <c r="H216" s="263">
        <v>8</v>
      </c>
      <c r="I216" s="263">
        <v>0</v>
      </c>
      <c r="J216" s="263">
        <v>0</v>
      </c>
      <c r="K216" s="267">
        <v>8</v>
      </c>
    </row>
    <row r="217" spans="1:11">
      <c r="B217" s="16">
        <v>57</v>
      </c>
      <c r="C217" s="9"/>
      <c r="D217" s="271"/>
      <c r="E217" s="263"/>
      <c r="F217" s="263"/>
      <c r="G217" s="263"/>
      <c r="H217" s="263"/>
      <c r="I217" s="263"/>
      <c r="J217" s="263"/>
      <c r="K217" s="267">
        <v>0</v>
      </c>
    </row>
    <row r="218" spans="1:11">
      <c r="B218" s="16">
        <v>57</v>
      </c>
      <c r="C218" s="9"/>
      <c r="D218" s="272" t="s">
        <v>3674</v>
      </c>
      <c r="E218" s="273">
        <v>16</v>
      </c>
      <c r="F218" s="273">
        <v>0</v>
      </c>
      <c r="G218" s="273">
        <v>28</v>
      </c>
      <c r="H218" s="273">
        <v>16</v>
      </c>
      <c r="I218" s="273">
        <v>0</v>
      </c>
      <c r="J218" s="273">
        <v>36</v>
      </c>
      <c r="K218" s="273">
        <v>96</v>
      </c>
    </row>
    <row r="219" spans="1:11">
      <c r="C219" s="9"/>
      <c r="D219" s="271"/>
      <c r="E219" s="263"/>
      <c r="F219" s="263"/>
      <c r="G219" s="263"/>
      <c r="H219" s="263"/>
      <c r="I219" s="263"/>
      <c r="J219" s="263"/>
      <c r="K219" s="267">
        <v>0</v>
      </c>
    </row>
    <row r="220" spans="1:11">
      <c r="A220" s="9" t="s">
        <v>11649</v>
      </c>
      <c r="B220" s="16">
        <v>66</v>
      </c>
      <c r="C220" s="9"/>
      <c r="D220" s="271" t="s">
        <v>9958</v>
      </c>
      <c r="E220" s="263">
        <v>8</v>
      </c>
      <c r="F220" s="263">
        <v>0</v>
      </c>
      <c r="G220" s="263">
        <v>0</v>
      </c>
      <c r="H220" s="263">
        <v>0</v>
      </c>
      <c r="I220" s="263">
        <v>0</v>
      </c>
      <c r="J220" s="263">
        <v>0</v>
      </c>
      <c r="K220" s="267">
        <v>8</v>
      </c>
    </row>
    <row r="221" spans="1:11">
      <c r="A221" s="9" t="s">
        <v>11650</v>
      </c>
      <c r="B221" s="16">
        <v>66</v>
      </c>
      <c r="C221" s="9"/>
      <c r="D221" s="271" t="s">
        <v>9959</v>
      </c>
      <c r="E221" s="263">
        <v>8</v>
      </c>
      <c r="F221" s="263">
        <v>0</v>
      </c>
      <c r="G221" s="263">
        <v>0</v>
      </c>
      <c r="H221" s="263">
        <v>0</v>
      </c>
      <c r="I221" s="263">
        <v>0</v>
      </c>
      <c r="J221" s="263">
        <v>0</v>
      </c>
      <c r="K221" s="267">
        <v>8</v>
      </c>
    </row>
    <row r="222" spans="1:11">
      <c r="A222" s="9" t="s">
        <v>11651</v>
      </c>
      <c r="B222" s="16">
        <v>66</v>
      </c>
      <c r="C222" s="9"/>
      <c r="D222" s="271" t="s">
        <v>9960</v>
      </c>
      <c r="E222" s="263">
        <v>0</v>
      </c>
      <c r="F222" s="263">
        <v>0</v>
      </c>
      <c r="G222" s="263">
        <v>8</v>
      </c>
      <c r="H222" s="263">
        <v>0</v>
      </c>
      <c r="I222" s="263">
        <v>0</v>
      </c>
      <c r="J222" s="263">
        <v>0</v>
      </c>
      <c r="K222" s="267">
        <v>8</v>
      </c>
    </row>
    <row r="223" spans="1:11">
      <c r="A223" s="9" t="s">
        <v>11652</v>
      </c>
      <c r="B223" s="16">
        <v>66</v>
      </c>
      <c r="C223" s="9"/>
      <c r="D223" s="271" t="s">
        <v>9961</v>
      </c>
      <c r="E223" s="263">
        <v>0</v>
      </c>
      <c r="F223" s="263">
        <v>0</v>
      </c>
      <c r="G223" s="263">
        <v>8</v>
      </c>
      <c r="H223" s="263">
        <v>0</v>
      </c>
      <c r="I223" s="263">
        <v>0</v>
      </c>
      <c r="J223" s="263">
        <v>0</v>
      </c>
      <c r="K223" s="267">
        <v>8</v>
      </c>
    </row>
    <row r="224" spans="1:11">
      <c r="A224" s="9" t="s">
        <v>11653</v>
      </c>
      <c r="B224" s="16">
        <v>66</v>
      </c>
      <c r="C224" s="9"/>
      <c r="D224" s="271" t="s">
        <v>9962</v>
      </c>
      <c r="E224" s="263">
        <v>0</v>
      </c>
      <c r="F224" s="263">
        <v>0</v>
      </c>
      <c r="G224" s="263">
        <v>0</v>
      </c>
      <c r="H224" s="263">
        <v>12</v>
      </c>
      <c r="I224" s="263">
        <v>0</v>
      </c>
      <c r="J224" s="263">
        <v>0</v>
      </c>
      <c r="K224" s="267">
        <v>12</v>
      </c>
    </row>
    <row r="225" spans="1:11">
      <c r="A225" s="9" t="s">
        <v>11654</v>
      </c>
      <c r="B225" s="16">
        <v>66</v>
      </c>
      <c r="C225" s="9"/>
      <c r="D225" s="271" t="s">
        <v>9963</v>
      </c>
      <c r="E225" s="263">
        <v>8</v>
      </c>
      <c r="F225" s="263">
        <v>0</v>
      </c>
      <c r="G225" s="263">
        <v>0</v>
      </c>
      <c r="H225" s="263">
        <v>0</v>
      </c>
      <c r="I225" s="263">
        <v>0</v>
      </c>
      <c r="J225" s="263">
        <v>0</v>
      </c>
      <c r="K225" s="267">
        <v>8</v>
      </c>
    </row>
    <row r="226" spans="1:11">
      <c r="A226" s="9" t="s">
        <v>11655</v>
      </c>
      <c r="B226" s="16">
        <v>66</v>
      </c>
      <c r="C226" s="9"/>
      <c r="D226" s="271" t="s">
        <v>9964</v>
      </c>
      <c r="E226" s="263">
        <v>0</v>
      </c>
      <c r="F226" s="263">
        <v>0</v>
      </c>
      <c r="G226" s="263">
        <v>0</v>
      </c>
      <c r="H226" s="263">
        <v>8</v>
      </c>
      <c r="I226" s="263">
        <v>0</v>
      </c>
      <c r="J226" s="263">
        <v>0</v>
      </c>
      <c r="K226" s="267">
        <v>8</v>
      </c>
    </row>
    <row r="227" spans="1:11">
      <c r="A227" s="9" t="s">
        <v>11656</v>
      </c>
      <c r="B227" s="16">
        <v>66</v>
      </c>
      <c r="C227" s="9"/>
      <c r="D227" s="271" t="s">
        <v>9965</v>
      </c>
      <c r="E227" s="263">
        <v>0</v>
      </c>
      <c r="F227" s="263">
        <v>0</v>
      </c>
      <c r="G227" s="263">
        <v>0</v>
      </c>
      <c r="H227" s="263">
        <v>12</v>
      </c>
      <c r="I227" s="263">
        <v>0</v>
      </c>
      <c r="J227" s="263">
        <v>0</v>
      </c>
      <c r="K227" s="267">
        <v>12</v>
      </c>
    </row>
    <row r="228" spans="1:11">
      <c r="A228" s="9" t="s">
        <v>11657</v>
      </c>
      <c r="B228" s="16">
        <v>66</v>
      </c>
      <c r="C228" s="9"/>
      <c r="D228" s="271" t="s">
        <v>9966</v>
      </c>
      <c r="E228" s="263">
        <v>0</v>
      </c>
      <c r="F228" s="263">
        <v>0</v>
      </c>
      <c r="G228" s="263">
        <v>0</v>
      </c>
      <c r="H228" s="263">
        <v>0</v>
      </c>
      <c r="I228" s="263">
        <v>0</v>
      </c>
      <c r="J228" s="263">
        <v>8</v>
      </c>
      <c r="K228" s="267">
        <v>8</v>
      </c>
    </row>
    <row r="229" spans="1:11">
      <c r="A229" s="9" t="s">
        <v>11658</v>
      </c>
      <c r="B229" s="16">
        <v>66</v>
      </c>
      <c r="C229" s="9"/>
      <c r="D229" s="271" t="s">
        <v>9967</v>
      </c>
      <c r="E229" s="263">
        <v>0</v>
      </c>
      <c r="F229" s="263">
        <v>0</v>
      </c>
      <c r="G229" s="263">
        <v>0</v>
      </c>
      <c r="H229" s="263">
        <v>0</v>
      </c>
      <c r="I229" s="263">
        <v>0</v>
      </c>
      <c r="J229" s="263">
        <v>8</v>
      </c>
      <c r="K229" s="267">
        <v>8</v>
      </c>
    </row>
    <row r="230" spans="1:11">
      <c r="A230" s="9" t="s">
        <v>11659</v>
      </c>
      <c r="B230" s="16">
        <v>66</v>
      </c>
      <c r="C230" s="9"/>
      <c r="D230" s="271" t="s">
        <v>9968</v>
      </c>
      <c r="E230" s="263">
        <v>0</v>
      </c>
      <c r="F230" s="263">
        <v>0</v>
      </c>
      <c r="G230" s="263">
        <v>0</v>
      </c>
      <c r="H230" s="263">
        <v>0</v>
      </c>
      <c r="I230" s="263">
        <v>0</v>
      </c>
      <c r="J230" s="263">
        <v>8</v>
      </c>
      <c r="K230" s="267">
        <v>8</v>
      </c>
    </row>
    <row r="231" spans="1:11">
      <c r="A231" s="9" t="s">
        <v>11660</v>
      </c>
      <c r="B231" s="16">
        <v>66</v>
      </c>
      <c r="C231" s="9"/>
      <c r="D231" s="271" t="s">
        <v>9969</v>
      </c>
      <c r="E231" s="263">
        <v>0</v>
      </c>
      <c r="F231" s="263">
        <v>0</v>
      </c>
      <c r="G231" s="263">
        <v>0</v>
      </c>
      <c r="H231" s="263">
        <v>0</v>
      </c>
      <c r="I231" s="263">
        <v>0</v>
      </c>
      <c r="J231" s="263">
        <v>8</v>
      </c>
      <c r="K231" s="267">
        <v>8</v>
      </c>
    </row>
    <row r="232" spans="1:11">
      <c r="A232" s="9" t="s">
        <v>11661</v>
      </c>
      <c r="B232" s="16">
        <v>66</v>
      </c>
      <c r="C232" s="9"/>
      <c r="D232" s="271" t="s">
        <v>9970</v>
      </c>
      <c r="E232" s="263">
        <v>0</v>
      </c>
      <c r="F232" s="263">
        <v>8</v>
      </c>
      <c r="G232" s="263">
        <v>0</v>
      </c>
      <c r="H232" s="263">
        <v>0</v>
      </c>
      <c r="I232" s="263">
        <v>0</v>
      </c>
      <c r="J232" s="263">
        <v>0</v>
      </c>
      <c r="K232" s="267">
        <v>8</v>
      </c>
    </row>
    <row r="233" spans="1:11">
      <c r="B233" s="16">
        <v>66</v>
      </c>
      <c r="C233" s="9"/>
      <c r="D233" s="271"/>
      <c r="E233" s="263"/>
      <c r="F233" s="263"/>
      <c r="G233" s="263"/>
      <c r="H233" s="263"/>
      <c r="I233" s="263"/>
      <c r="J233" s="263"/>
      <c r="K233" s="267">
        <v>0</v>
      </c>
    </row>
    <row r="234" spans="1:11">
      <c r="B234" s="16">
        <v>66</v>
      </c>
      <c r="C234" s="9"/>
      <c r="D234" s="272" t="s">
        <v>3674</v>
      </c>
      <c r="E234" s="273">
        <v>24</v>
      </c>
      <c r="F234" s="273">
        <v>8</v>
      </c>
      <c r="G234" s="273">
        <v>16</v>
      </c>
      <c r="H234" s="273">
        <v>32</v>
      </c>
      <c r="I234" s="273">
        <v>0</v>
      </c>
      <c r="J234" s="273">
        <v>32</v>
      </c>
      <c r="K234" s="273">
        <v>112</v>
      </c>
    </row>
    <row r="235" spans="1:11">
      <c r="C235" s="9"/>
      <c r="D235" s="271"/>
      <c r="E235" s="263"/>
      <c r="F235" s="263"/>
      <c r="G235" s="263"/>
      <c r="H235" s="263"/>
      <c r="I235" s="263"/>
      <c r="J235" s="263"/>
      <c r="K235" s="267">
        <v>0</v>
      </c>
    </row>
    <row r="236" spans="1:11">
      <c r="A236" s="9" t="s">
        <v>11662</v>
      </c>
      <c r="B236" s="16">
        <v>67</v>
      </c>
      <c r="C236" s="9"/>
      <c r="D236" s="271" t="s">
        <v>9971</v>
      </c>
      <c r="E236" s="263">
        <v>0</v>
      </c>
      <c r="F236" s="263">
        <v>0</v>
      </c>
      <c r="G236" s="263">
        <v>0</v>
      </c>
      <c r="H236" s="263">
        <v>8</v>
      </c>
      <c r="I236" s="263">
        <v>0</v>
      </c>
      <c r="J236" s="263">
        <v>0</v>
      </c>
      <c r="K236" s="267">
        <v>8</v>
      </c>
    </row>
    <row r="237" spans="1:11">
      <c r="A237" s="9" t="s">
        <v>11663</v>
      </c>
      <c r="B237" s="16">
        <v>67</v>
      </c>
      <c r="C237" s="9"/>
      <c r="D237" s="271" t="s">
        <v>9972</v>
      </c>
      <c r="E237" s="263">
        <v>0</v>
      </c>
      <c r="F237" s="263">
        <v>0</v>
      </c>
      <c r="G237" s="263">
        <v>8</v>
      </c>
      <c r="H237" s="263">
        <v>0</v>
      </c>
      <c r="I237" s="263">
        <v>0</v>
      </c>
      <c r="J237" s="263">
        <v>0</v>
      </c>
      <c r="K237" s="267">
        <v>8</v>
      </c>
    </row>
    <row r="238" spans="1:11">
      <c r="A238" s="9" t="s">
        <v>11664</v>
      </c>
      <c r="B238" s="16">
        <v>67</v>
      </c>
      <c r="C238" s="9"/>
      <c r="D238" s="271" t="s">
        <v>9973</v>
      </c>
      <c r="E238" s="263">
        <v>0</v>
      </c>
      <c r="F238" s="263">
        <v>0</v>
      </c>
      <c r="G238" s="263">
        <v>16</v>
      </c>
      <c r="H238" s="263">
        <v>0</v>
      </c>
      <c r="I238" s="263">
        <v>0</v>
      </c>
      <c r="J238" s="263">
        <v>0</v>
      </c>
      <c r="K238" s="267">
        <v>16</v>
      </c>
    </row>
    <row r="239" spans="1:11">
      <c r="A239" s="9" t="s">
        <v>11665</v>
      </c>
      <c r="B239" s="16">
        <v>67</v>
      </c>
      <c r="C239" s="9"/>
      <c r="D239" s="271" t="s">
        <v>9974</v>
      </c>
      <c r="E239" s="263">
        <v>0</v>
      </c>
      <c r="F239" s="263">
        <v>0</v>
      </c>
      <c r="G239" s="263">
        <v>0</v>
      </c>
      <c r="H239" s="263">
        <v>0</v>
      </c>
      <c r="I239" s="263">
        <v>0</v>
      </c>
      <c r="J239" s="263">
        <v>8</v>
      </c>
      <c r="K239" s="267">
        <v>8</v>
      </c>
    </row>
    <row r="240" spans="1:11">
      <c r="A240" s="9" t="s">
        <v>11666</v>
      </c>
      <c r="B240" s="16">
        <v>67</v>
      </c>
      <c r="C240" s="9"/>
      <c r="D240" s="271" t="s">
        <v>9975</v>
      </c>
      <c r="E240" s="263">
        <v>0</v>
      </c>
      <c r="F240" s="263">
        <v>0</v>
      </c>
      <c r="G240" s="263">
        <v>0</v>
      </c>
      <c r="H240" s="263">
        <v>0</v>
      </c>
      <c r="I240" s="263">
        <v>0</v>
      </c>
      <c r="J240" s="263">
        <v>20</v>
      </c>
      <c r="K240" s="267">
        <v>20</v>
      </c>
    </row>
    <row r="241" spans="1:11">
      <c r="A241" s="9" t="s">
        <v>11667</v>
      </c>
      <c r="B241" s="16">
        <v>67</v>
      </c>
      <c r="C241" s="9"/>
      <c r="D241" s="271" t="s">
        <v>9976</v>
      </c>
      <c r="E241" s="263">
        <v>0</v>
      </c>
      <c r="F241" s="263">
        <v>0</v>
      </c>
      <c r="G241" s="263">
        <v>0</v>
      </c>
      <c r="H241" s="263">
        <v>0</v>
      </c>
      <c r="I241" s="263">
        <v>0</v>
      </c>
      <c r="J241" s="263">
        <v>8</v>
      </c>
      <c r="K241" s="267">
        <v>8</v>
      </c>
    </row>
    <row r="242" spans="1:11">
      <c r="A242" s="9" t="s">
        <v>11668</v>
      </c>
      <c r="B242" s="16">
        <v>67</v>
      </c>
      <c r="C242" s="9"/>
      <c r="D242" s="271" t="s">
        <v>9977</v>
      </c>
      <c r="E242" s="263">
        <v>8</v>
      </c>
      <c r="F242" s="263">
        <v>0</v>
      </c>
      <c r="G242" s="263">
        <v>0</v>
      </c>
      <c r="H242" s="263">
        <v>0</v>
      </c>
      <c r="I242" s="263">
        <v>0</v>
      </c>
      <c r="J242" s="263">
        <v>0</v>
      </c>
      <c r="K242" s="267">
        <v>8</v>
      </c>
    </row>
    <row r="243" spans="1:11">
      <c r="A243" s="9" t="s">
        <v>11669</v>
      </c>
      <c r="B243" s="16">
        <v>67</v>
      </c>
      <c r="C243" s="9"/>
      <c r="D243" s="271" t="s">
        <v>9978</v>
      </c>
      <c r="E243" s="263">
        <v>0</v>
      </c>
      <c r="F243" s="263">
        <v>8</v>
      </c>
      <c r="G243" s="263">
        <v>0</v>
      </c>
      <c r="H243" s="263">
        <v>0</v>
      </c>
      <c r="I243" s="263">
        <v>0</v>
      </c>
      <c r="J243" s="263">
        <v>0</v>
      </c>
      <c r="K243" s="267">
        <v>8</v>
      </c>
    </row>
    <row r="244" spans="1:11">
      <c r="B244" s="16">
        <v>67</v>
      </c>
      <c r="C244" s="9"/>
      <c r="D244" s="271"/>
      <c r="E244" s="263"/>
      <c r="F244" s="263"/>
      <c r="G244" s="263"/>
      <c r="H244" s="263"/>
      <c r="I244" s="263"/>
      <c r="J244" s="263"/>
      <c r="K244" s="267">
        <v>0</v>
      </c>
    </row>
    <row r="245" spans="1:11">
      <c r="B245" s="16">
        <v>67</v>
      </c>
      <c r="C245" s="9"/>
      <c r="D245" s="272" t="s">
        <v>3674</v>
      </c>
      <c r="E245" s="273">
        <v>8</v>
      </c>
      <c r="F245" s="273">
        <v>8</v>
      </c>
      <c r="G245" s="273">
        <v>24</v>
      </c>
      <c r="H245" s="273">
        <v>8</v>
      </c>
      <c r="I245" s="273">
        <v>0</v>
      </c>
      <c r="J245" s="273">
        <v>36</v>
      </c>
      <c r="K245" s="273">
        <v>84</v>
      </c>
    </row>
    <row r="246" spans="1:11">
      <c r="C246" s="9"/>
      <c r="D246" s="271"/>
      <c r="E246" s="263"/>
      <c r="F246" s="263"/>
      <c r="G246" s="263"/>
      <c r="H246" s="263"/>
      <c r="I246" s="263"/>
      <c r="J246" s="263"/>
      <c r="K246" s="267">
        <v>0</v>
      </c>
    </row>
    <row r="247" spans="1:11" ht="31.5">
      <c r="A247" s="9" t="s">
        <v>11670</v>
      </c>
      <c r="B247" s="16">
        <v>68</v>
      </c>
      <c r="C247" s="9"/>
      <c r="D247" s="271" t="s">
        <v>9979</v>
      </c>
      <c r="E247" s="263">
        <v>0</v>
      </c>
      <c r="F247" s="263">
        <v>0</v>
      </c>
      <c r="G247" s="263">
        <v>0</v>
      </c>
      <c r="H247" s="263">
        <v>0</v>
      </c>
      <c r="I247" s="263">
        <v>0</v>
      </c>
      <c r="J247" s="263">
        <v>16</v>
      </c>
      <c r="K247" s="267">
        <v>16</v>
      </c>
    </row>
    <row r="248" spans="1:11">
      <c r="A248" s="9" t="s">
        <v>11671</v>
      </c>
      <c r="B248" s="16">
        <v>68</v>
      </c>
      <c r="C248" s="9"/>
      <c r="D248" s="271" t="s">
        <v>9980</v>
      </c>
      <c r="E248" s="263">
        <v>8</v>
      </c>
      <c r="F248" s="263">
        <v>0</v>
      </c>
      <c r="G248" s="263">
        <v>0</v>
      </c>
      <c r="H248" s="263">
        <v>0</v>
      </c>
      <c r="I248" s="263">
        <v>0</v>
      </c>
      <c r="J248" s="263">
        <v>0</v>
      </c>
      <c r="K248" s="267">
        <v>8</v>
      </c>
    </row>
    <row r="249" spans="1:11">
      <c r="A249" s="9" t="s">
        <v>11672</v>
      </c>
      <c r="B249" s="16">
        <v>68</v>
      </c>
      <c r="C249" s="9"/>
      <c r="D249" s="271" t="s">
        <v>9981</v>
      </c>
      <c r="E249" s="263">
        <v>8</v>
      </c>
      <c r="F249" s="263">
        <v>0</v>
      </c>
      <c r="G249" s="263">
        <v>0</v>
      </c>
      <c r="H249" s="263">
        <v>0</v>
      </c>
      <c r="I249" s="263">
        <v>0</v>
      </c>
      <c r="J249" s="263">
        <v>0</v>
      </c>
      <c r="K249" s="267">
        <v>8</v>
      </c>
    </row>
    <row r="250" spans="1:11">
      <c r="A250" s="9" t="s">
        <v>11673</v>
      </c>
      <c r="B250" s="16">
        <v>68</v>
      </c>
      <c r="C250" s="9"/>
      <c r="D250" s="271" t="s">
        <v>9982</v>
      </c>
      <c r="E250" s="263">
        <v>0</v>
      </c>
      <c r="F250" s="263">
        <v>0</v>
      </c>
      <c r="G250" s="263">
        <v>0</v>
      </c>
      <c r="H250" s="263">
        <v>0</v>
      </c>
      <c r="I250" s="263">
        <v>0</v>
      </c>
      <c r="J250" s="263">
        <v>8</v>
      </c>
      <c r="K250" s="267">
        <v>8</v>
      </c>
    </row>
    <row r="251" spans="1:11">
      <c r="A251" s="9" t="s">
        <v>11674</v>
      </c>
      <c r="B251" s="16">
        <v>68</v>
      </c>
      <c r="C251" s="9"/>
      <c r="D251" s="271" t="s">
        <v>9983</v>
      </c>
      <c r="E251" s="263">
        <v>0</v>
      </c>
      <c r="F251" s="263">
        <v>0</v>
      </c>
      <c r="G251" s="263">
        <v>0</v>
      </c>
      <c r="H251" s="263">
        <v>0</v>
      </c>
      <c r="I251" s="263">
        <v>0</v>
      </c>
      <c r="J251" s="263">
        <v>8</v>
      </c>
      <c r="K251" s="267">
        <v>8</v>
      </c>
    </row>
    <row r="252" spans="1:11">
      <c r="A252" s="9" t="s">
        <v>11675</v>
      </c>
      <c r="B252" s="16">
        <v>68</v>
      </c>
      <c r="C252" s="9"/>
      <c r="D252" s="271" t="s">
        <v>9984</v>
      </c>
      <c r="E252" s="263">
        <v>0</v>
      </c>
      <c r="F252" s="263">
        <v>0</v>
      </c>
      <c r="G252" s="263">
        <v>0</v>
      </c>
      <c r="H252" s="263">
        <v>0</v>
      </c>
      <c r="I252" s="263">
        <v>0</v>
      </c>
      <c r="J252" s="263">
        <v>8</v>
      </c>
      <c r="K252" s="267">
        <v>8</v>
      </c>
    </row>
    <row r="253" spans="1:11">
      <c r="A253" s="9" t="s">
        <v>11676</v>
      </c>
      <c r="B253" s="16">
        <v>68</v>
      </c>
      <c r="C253" s="9"/>
      <c r="D253" s="271" t="s">
        <v>9985</v>
      </c>
      <c r="E253" s="263">
        <v>0</v>
      </c>
      <c r="F253" s="263">
        <v>0</v>
      </c>
      <c r="G253" s="263">
        <v>0</v>
      </c>
      <c r="H253" s="263">
        <v>0</v>
      </c>
      <c r="I253" s="263">
        <v>0</v>
      </c>
      <c r="J253" s="263">
        <v>8</v>
      </c>
      <c r="K253" s="267">
        <v>8</v>
      </c>
    </row>
    <row r="254" spans="1:11">
      <c r="B254" s="16">
        <v>68</v>
      </c>
      <c r="C254" s="9"/>
      <c r="D254" s="271"/>
      <c r="E254" s="263"/>
      <c r="F254" s="263"/>
      <c r="G254" s="263"/>
      <c r="H254" s="263"/>
      <c r="I254" s="263"/>
      <c r="J254" s="263"/>
      <c r="K254" s="267">
        <v>0</v>
      </c>
    </row>
    <row r="255" spans="1:11">
      <c r="B255" s="16">
        <v>68</v>
      </c>
      <c r="C255" s="9"/>
      <c r="D255" s="272" t="s">
        <v>3674</v>
      </c>
      <c r="E255" s="273">
        <v>16</v>
      </c>
      <c r="F255" s="273">
        <v>0</v>
      </c>
      <c r="G255" s="273">
        <v>0</v>
      </c>
      <c r="H255" s="273">
        <v>0</v>
      </c>
      <c r="I255" s="273">
        <v>0</v>
      </c>
      <c r="J255" s="273">
        <v>48</v>
      </c>
      <c r="K255" s="273">
        <v>64</v>
      </c>
    </row>
    <row r="256" spans="1:11">
      <c r="C256" s="9"/>
      <c r="D256" s="271"/>
      <c r="E256" s="263"/>
      <c r="F256" s="263"/>
      <c r="G256" s="263"/>
      <c r="H256" s="263"/>
      <c r="I256" s="263"/>
      <c r="J256" s="263"/>
      <c r="K256" s="267">
        <v>0</v>
      </c>
    </row>
    <row r="257" spans="1:11">
      <c r="B257" s="16">
        <v>0</v>
      </c>
      <c r="C257" s="9"/>
      <c r="D257" s="269" t="s">
        <v>13085</v>
      </c>
      <c r="E257" s="270">
        <v>64</v>
      </c>
      <c r="F257" s="270">
        <v>16</v>
      </c>
      <c r="G257" s="270">
        <v>68</v>
      </c>
      <c r="H257" s="270">
        <v>56</v>
      </c>
      <c r="I257" s="270">
        <v>0</v>
      </c>
      <c r="J257" s="270">
        <v>152</v>
      </c>
      <c r="K257" s="270">
        <v>356</v>
      </c>
    </row>
    <row r="258" spans="1:11">
      <c r="C258" s="9"/>
      <c r="D258" s="271"/>
      <c r="E258" s="263"/>
      <c r="F258" s="263"/>
      <c r="G258" s="263"/>
      <c r="H258" s="263"/>
      <c r="I258" s="263"/>
      <c r="J258" s="263"/>
      <c r="K258" s="267">
        <v>0</v>
      </c>
    </row>
    <row r="259" spans="1:11">
      <c r="C259" s="9"/>
      <c r="D259" s="271" t="s">
        <v>4277</v>
      </c>
      <c r="E259" s="263"/>
      <c r="F259" s="263"/>
      <c r="G259" s="263"/>
      <c r="H259" s="263"/>
      <c r="I259" s="263"/>
      <c r="J259" s="263"/>
      <c r="K259" s="267">
        <v>0</v>
      </c>
    </row>
    <row r="260" spans="1:11">
      <c r="C260" s="9"/>
      <c r="D260" s="271"/>
      <c r="E260" s="263"/>
      <c r="F260" s="263"/>
      <c r="G260" s="263"/>
      <c r="H260" s="263"/>
      <c r="I260" s="263"/>
      <c r="J260" s="263"/>
      <c r="K260" s="267">
        <v>0</v>
      </c>
    </row>
    <row r="261" spans="1:11">
      <c r="A261" s="9" t="s">
        <v>11677</v>
      </c>
      <c r="B261" s="16">
        <v>42</v>
      </c>
      <c r="C261" s="9"/>
      <c r="D261" s="271" t="s">
        <v>7854</v>
      </c>
      <c r="E261" s="263">
        <v>0</v>
      </c>
      <c r="F261" s="263">
        <v>0</v>
      </c>
      <c r="G261" s="263">
        <v>0</v>
      </c>
      <c r="H261" s="263">
        <v>0</v>
      </c>
      <c r="I261" s="263">
        <v>0</v>
      </c>
      <c r="J261" s="263">
        <v>8</v>
      </c>
      <c r="K261" s="267">
        <v>8</v>
      </c>
    </row>
    <row r="262" spans="1:11">
      <c r="A262" s="9" t="s">
        <v>11678</v>
      </c>
      <c r="B262" s="16">
        <v>42</v>
      </c>
      <c r="C262" s="9"/>
      <c r="D262" s="271" t="s">
        <v>7855</v>
      </c>
      <c r="E262" s="263">
        <v>0</v>
      </c>
      <c r="F262" s="263">
        <v>0</v>
      </c>
      <c r="G262" s="263">
        <v>0</v>
      </c>
      <c r="H262" s="263">
        <v>0</v>
      </c>
      <c r="I262" s="263">
        <v>0</v>
      </c>
      <c r="J262" s="263">
        <v>8</v>
      </c>
      <c r="K262" s="267">
        <v>8</v>
      </c>
    </row>
    <row r="263" spans="1:11">
      <c r="A263" s="9" t="s">
        <v>11679</v>
      </c>
      <c r="B263" s="16">
        <v>42</v>
      </c>
      <c r="C263" s="9"/>
      <c r="D263" s="271" t="s">
        <v>7856</v>
      </c>
      <c r="E263" s="263">
        <v>0</v>
      </c>
      <c r="F263" s="263">
        <v>0</v>
      </c>
      <c r="G263" s="263">
        <v>8</v>
      </c>
      <c r="H263" s="263">
        <v>0</v>
      </c>
      <c r="I263" s="263">
        <v>0</v>
      </c>
      <c r="J263" s="263">
        <v>0</v>
      </c>
      <c r="K263" s="267">
        <v>8</v>
      </c>
    </row>
    <row r="264" spans="1:11">
      <c r="A264" s="9" t="s">
        <v>11680</v>
      </c>
      <c r="B264" s="16">
        <v>42</v>
      </c>
      <c r="C264" s="9"/>
      <c r="D264" s="271" t="s">
        <v>7857</v>
      </c>
      <c r="E264" s="263">
        <v>16</v>
      </c>
      <c r="F264" s="263">
        <v>0</v>
      </c>
      <c r="G264" s="263">
        <v>0</v>
      </c>
      <c r="H264" s="263">
        <v>0</v>
      </c>
      <c r="I264" s="263">
        <v>0</v>
      </c>
      <c r="J264" s="263">
        <v>0</v>
      </c>
      <c r="K264" s="267">
        <v>16</v>
      </c>
    </row>
    <row r="265" spans="1:11">
      <c r="A265" s="9" t="s">
        <v>11681</v>
      </c>
      <c r="B265" s="16">
        <v>42</v>
      </c>
      <c r="C265" s="9"/>
      <c r="D265" s="271" t="s">
        <v>7858</v>
      </c>
      <c r="E265" s="263">
        <v>12</v>
      </c>
      <c r="F265" s="263">
        <v>0</v>
      </c>
      <c r="G265" s="263">
        <v>0</v>
      </c>
      <c r="H265" s="263">
        <v>0</v>
      </c>
      <c r="I265" s="263">
        <v>0</v>
      </c>
      <c r="J265" s="263">
        <v>0</v>
      </c>
      <c r="K265" s="267">
        <v>12</v>
      </c>
    </row>
    <row r="266" spans="1:11">
      <c r="A266" s="9" t="s">
        <v>11682</v>
      </c>
      <c r="B266" s="16">
        <v>42</v>
      </c>
      <c r="C266" s="9"/>
      <c r="D266" s="271" t="s">
        <v>7859</v>
      </c>
      <c r="E266" s="263">
        <v>0</v>
      </c>
      <c r="F266" s="263">
        <v>0</v>
      </c>
      <c r="G266" s="263">
        <v>0</v>
      </c>
      <c r="H266" s="263">
        <v>8</v>
      </c>
      <c r="I266" s="263">
        <v>0</v>
      </c>
      <c r="J266" s="263">
        <v>0</v>
      </c>
      <c r="K266" s="267">
        <v>8</v>
      </c>
    </row>
    <row r="267" spans="1:11">
      <c r="B267" s="16">
        <v>42</v>
      </c>
      <c r="C267" s="9"/>
      <c r="D267" s="271"/>
      <c r="E267" s="263"/>
      <c r="F267" s="263"/>
      <c r="G267" s="263"/>
      <c r="H267" s="263"/>
      <c r="I267" s="263"/>
      <c r="J267" s="263"/>
      <c r="K267" s="267">
        <v>0</v>
      </c>
    </row>
    <row r="268" spans="1:11">
      <c r="B268" s="16">
        <v>42</v>
      </c>
      <c r="C268" s="9"/>
      <c r="D268" s="272" t="s">
        <v>3674</v>
      </c>
      <c r="E268" s="273">
        <v>28</v>
      </c>
      <c r="F268" s="273">
        <v>0</v>
      </c>
      <c r="G268" s="273">
        <v>8</v>
      </c>
      <c r="H268" s="273">
        <v>8</v>
      </c>
      <c r="I268" s="273">
        <v>0</v>
      </c>
      <c r="J268" s="273">
        <v>16</v>
      </c>
      <c r="K268" s="273">
        <v>60</v>
      </c>
    </row>
    <row r="269" spans="1:11">
      <c r="C269" s="9"/>
      <c r="D269" s="271"/>
      <c r="E269" s="263"/>
      <c r="F269" s="263"/>
      <c r="G269" s="263"/>
      <c r="H269" s="263"/>
      <c r="I269" s="263"/>
      <c r="J269" s="263"/>
      <c r="K269" s="267">
        <v>0</v>
      </c>
    </row>
    <row r="270" spans="1:11">
      <c r="A270" s="9" t="s">
        <v>11683</v>
      </c>
      <c r="B270" s="16">
        <v>43</v>
      </c>
      <c r="C270" s="9"/>
      <c r="D270" s="271" t="s">
        <v>7860</v>
      </c>
      <c r="E270" s="263">
        <v>12</v>
      </c>
      <c r="F270" s="263">
        <v>0</v>
      </c>
      <c r="G270" s="263">
        <v>0</v>
      </c>
      <c r="H270" s="263">
        <v>0</v>
      </c>
      <c r="I270" s="263">
        <v>0</v>
      </c>
      <c r="J270" s="263">
        <v>0</v>
      </c>
      <c r="K270" s="267">
        <v>12</v>
      </c>
    </row>
    <row r="271" spans="1:11">
      <c r="A271" s="9" t="s">
        <v>11684</v>
      </c>
      <c r="B271" s="16">
        <v>43</v>
      </c>
      <c r="C271" s="9"/>
      <c r="D271" s="271" t="s">
        <v>7861</v>
      </c>
      <c r="E271" s="263">
        <v>8</v>
      </c>
      <c r="F271" s="263">
        <v>0</v>
      </c>
      <c r="G271" s="263">
        <v>0</v>
      </c>
      <c r="H271" s="263">
        <v>0</v>
      </c>
      <c r="I271" s="263">
        <v>0</v>
      </c>
      <c r="J271" s="263">
        <v>0</v>
      </c>
      <c r="K271" s="267">
        <v>8</v>
      </c>
    </row>
    <row r="272" spans="1:11">
      <c r="A272" s="9" t="s">
        <v>11685</v>
      </c>
      <c r="B272" s="16">
        <v>43</v>
      </c>
      <c r="C272" s="9"/>
      <c r="D272" s="271" t="s">
        <v>7862</v>
      </c>
      <c r="E272" s="263">
        <v>16</v>
      </c>
      <c r="F272" s="263">
        <v>0</v>
      </c>
      <c r="G272" s="263">
        <v>0</v>
      </c>
      <c r="H272" s="263">
        <v>0</v>
      </c>
      <c r="I272" s="263">
        <v>0</v>
      </c>
      <c r="J272" s="263">
        <v>0</v>
      </c>
      <c r="K272" s="267">
        <v>16</v>
      </c>
    </row>
    <row r="273" spans="1:11">
      <c r="A273" s="9" t="s">
        <v>11686</v>
      </c>
      <c r="B273" s="16">
        <v>43</v>
      </c>
      <c r="C273" s="9"/>
      <c r="D273" s="271" t="s">
        <v>7863</v>
      </c>
      <c r="E273" s="263">
        <v>12</v>
      </c>
      <c r="F273" s="263">
        <v>0</v>
      </c>
      <c r="G273" s="263">
        <v>0</v>
      </c>
      <c r="H273" s="263">
        <v>0</v>
      </c>
      <c r="I273" s="263">
        <v>0</v>
      </c>
      <c r="J273" s="263">
        <v>0</v>
      </c>
      <c r="K273" s="267">
        <v>12</v>
      </c>
    </row>
    <row r="274" spans="1:11">
      <c r="A274" s="9" t="s">
        <v>11687</v>
      </c>
      <c r="B274" s="16">
        <v>43</v>
      </c>
      <c r="C274" s="9"/>
      <c r="D274" s="271" t="s">
        <v>7864</v>
      </c>
      <c r="E274" s="263">
        <v>12</v>
      </c>
      <c r="F274" s="263">
        <v>0</v>
      </c>
      <c r="G274" s="263">
        <v>0</v>
      </c>
      <c r="H274" s="263">
        <v>0</v>
      </c>
      <c r="I274" s="263">
        <v>0</v>
      </c>
      <c r="J274" s="263">
        <v>0</v>
      </c>
      <c r="K274" s="267">
        <v>12</v>
      </c>
    </row>
    <row r="275" spans="1:11">
      <c r="A275" s="9" t="s">
        <v>11688</v>
      </c>
      <c r="B275" s="16">
        <v>43</v>
      </c>
      <c r="C275" s="9"/>
      <c r="D275" s="271" t="s">
        <v>7865</v>
      </c>
      <c r="E275" s="263">
        <v>0</v>
      </c>
      <c r="F275" s="263">
        <v>0</v>
      </c>
      <c r="G275" s="263">
        <v>0</v>
      </c>
      <c r="H275" s="263">
        <v>0</v>
      </c>
      <c r="I275" s="263">
        <v>0</v>
      </c>
      <c r="J275" s="263">
        <v>12</v>
      </c>
      <c r="K275" s="267">
        <v>12</v>
      </c>
    </row>
    <row r="276" spans="1:11">
      <c r="A276" s="9" t="s">
        <v>11689</v>
      </c>
      <c r="B276" s="16">
        <v>43</v>
      </c>
      <c r="C276" s="9"/>
      <c r="D276" s="271" t="s">
        <v>7866</v>
      </c>
      <c r="E276" s="263">
        <v>0</v>
      </c>
      <c r="F276" s="263">
        <v>0</v>
      </c>
      <c r="G276" s="263">
        <v>0</v>
      </c>
      <c r="H276" s="263">
        <v>0</v>
      </c>
      <c r="I276" s="263">
        <v>0</v>
      </c>
      <c r="J276" s="263">
        <v>12</v>
      </c>
      <c r="K276" s="267">
        <v>12</v>
      </c>
    </row>
    <row r="277" spans="1:11">
      <c r="B277" s="16">
        <v>43</v>
      </c>
      <c r="C277" s="9"/>
      <c r="D277" s="271"/>
      <c r="E277" s="263"/>
      <c r="F277" s="263"/>
      <c r="G277" s="263"/>
      <c r="H277" s="263"/>
      <c r="I277" s="263"/>
      <c r="J277" s="263"/>
      <c r="K277" s="267">
        <v>0</v>
      </c>
    </row>
    <row r="278" spans="1:11">
      <c r="B278" s="16">
        <v>43</v>
      </c>
      <c r="C278" s="9"/>
      <c r="D278" s="272" t="s">
        <v>3674</v>
      </c>
      <c r="E278" s="273">
        <v>60</v>
      </c>
      <c r="F278" s="273">
        <v>0</v>
      </c>
      <c r="G278" s="273">
        <v>0</v>
      </c>
      <c r="H278" s="273">
        <v>0</v>
      </c>
      <c r="I278" s="273">
        <v>0</v>
      </c>
      <c r="J278" s="273">
        <v>24</v>
      </c>
      <c r="K278" s="273">
        <v>84</v>
      </c>
    </row>
    <row r="279" spans="1:11">
      <c r="C279" s="9"/>
      <c r="D279" s="271"/>
      <c r="E279" s="263"/>
      <c r="F279" s="263"/>
      <c r="G279" s="263"/>
      <c r="H279" s="263"/>
      <c r="I279" s="263"/>
      <c r="J279" s="263"/>
      <c r="K279" s="267">
        <v>0</v>
      </c>
    </row>
    <row r="280" spans="1:11">
      <c r="A280" s="9" t="s">
        <v>11690</v>
      </c>
      <c r="B280" s="16">
        <v>44</v>
      </c>
      <c r="C280" s="9"/>
      <c r="D280" s="271" t="s">
        <v>7867</v>
      </c>
      <c r="E280" s="263">
        <v>8</v>
      </c>
      <c r="F280" s="263">
        <v>0</v>
      </c>
      <c r="G280" s="263">
        <v>0</v>
      </c>
      <c r="H280" s="263">
        <v>0</v>
      </c>
      <c r="I280" s="263">
        <v>0</v>
      </c>
      <c r="J280" s="263">
        <v>0</v>
      </c>
      <c r="K280" s="267">
        <v>8</v>
      </c>
    </row>
    <row r="281" spans="1:11">
      <c r="A281" s="9" t="s">
        <v>11691</v>
      </c>
      <c r="B281" s="16">
        <v>44</v>
      </c>
      <c r="C281" s="9"/>
      <c r="D281" s="271" t="s">
        <v>7868</v>
      </c>
      <c r="E281" s="263">
        <v>8</v>
      </c>
      <c r="F281" s="263">
        <v>0</v>
      </c>
      <c r="G281" s="263">
        <v>0</v>
      </c>
      <c r="H281" s="263">
        <v>0</v>
      </c>
      <c r="I281" s="263">
        <v>0</v>
      </c>
      <c r="J281" s="263">
        <v>0</v>
      </c>
      <c r="K281" s="267">
        <v>8</v>
      </c>
    </row>
    <row r="282" spans="1:11">
      <c r="A282" s="9" t="s">
        <v>11692</v>
      </c>
      <c r="B282" s="16">
        <v>44</v>
      </c>
      <c r="C282" s="9"/>
      <c r="D282" s="271" t="s">
        <v>7869</v>
      </c>
      <c r="E282" s="263">
        <v>4</v>
      </c>
      <c r="F282" s="263">
        <v>0</v>
      </c>
      <c r="G282" s="263">
        <v>0</v>
      </c>
      <c r="H282" s="263">
        <v>0</v>
      </c>
      <c r="I282" s="263">
        <v>0</v>
      </c>
      <c r="J282" s="263">
        <v>0</v>
      </c>
      <c r="K282" s="267">
        <v>4</v>
      </c>
    </row>
    <row r="283" spans="1:11">
      <c r="A283" s="9" t="s">
        <v>11693</v>
      </c>
      <c r="B283" s="16">
        <v>44</v>
      </c>
      <c r="C283" s="9"/>
      <c r="D283" s="271" t="s">
        <v>7870</v>
      </c>
      <c r="E283" s="263">
        <v>4</v>
      </c>
      <c r="F283" s="263">
        <v>0</v>
      </c>
      <c r="G283" s="263">
        <v>0</v>
      </c>
      <c r="H283" s="263">
        <v>0</v>
      </c>
      <c r="I283" s="263">
        <v>0</v>
      </c>
      <c r="J283" s="263">
        <v>0</v>
      </c>
      <c r="K283" s="267">
        <v>4</v>
      </c>
    </row>
    <row r="284" spans="1:11">
      <c r="A284" s="9" t="s">
        <v>11694</v>
      </c>
      <c r="B284" s="16">
        <v>44</v>
      </c>
      <c r="C284" s="9"/>
      <c r="D284" s="271" t="s">
        <v>7871</v>
      </c>
      <c r="E284" s="263">
        <v>0</v>
      </c>
      <c r="F284" s="263">
        <v>0</v>
      </c>
      <c r="G284" s="263">
        <v>8</v>
      </c>
      <c r="H284" s="263">
        <v>0</v>
      </c>
      <c r="I284" s="263">
        <v>0</v>
      </c>
      <c r="J284" s="263">
        <v>0</v>
      </c>
      <c r="K284" s="267">
        <v>8</v>
      </c>
    </row>
    <row r="285" spans="1:11">
      <c r="A285" s="9" t="s">
        <v>11695</v>
      </c>
      <c r="B285" s="16">
        <v>44</v>
      </c>
      <c r="C285" s="9"/>
      <c r="D285" s="271" t="s">
        <v>7872</v>
      </c>
      <c r="E285" s="263">
        <v>0</v>
      </c>
      <c r="F285" s="263">
        <v>0</v>
      </c>
      <c r="G285" s="263">
        <v>8</v>
      </c>
      <c r="H285" s="263">
        <v>0</v>
      </c>
      <c r="I285" s="263">
        <v>0</v>
      </c>
      <c r="J285" s="263">
        <v>0</v>
      </c>
      <c r="K285" s="267">
        <v>8</v>
      </c>
    </row>
    <row r="286" spans="1:11">
      <c r="A286" s="9" t="s">
        <v>11696</v>
      </c>
      <c r="B286" s="16">
        <v>44</v>
      </c>
      <c r="C286" s="9"/>
      <c r="D286" s="271" t="s">
        <v>7873</v>
      </c>
      <c r="E286" s="263">
        <v>0</v>
      </c>
      <c r="F286" s="263">
        <v>0</v>
      </c>
      <c r="G286" s="263">
        <v>8</v>
      </c>
      <c r="H286" s="263">
        <v>0</v>
      </c>
      <c r="I286" s="263">
        <v>0</v>
      </c>
      <c r="J286" s="263">
        <v>0</v>
      </c>
      <c r="K286" s="267">
        <v>8</v>
      </c>
    </row>
    <row r="287" spans="1:11">
      <c r="B287" s="16">
        <v>44</v>
      </c>
      <c r="C287" s="9"/>
      <c r="D287" s="271"/>
      <c r="E287" s="263"/>
      <c r="F287" s="263"/>
      <c r="G287" s="263"/>
      <c r="H287" s="263"/>
      <c r="I287" s="263"/>
      <c r="J287" s="263"/>
      <c r="K287" s="267">
        <v>0</v>
      </c>
    </row>
    <row r="288" spans="1:11">
      <c r="B288" s="16">
        <v>44</v>
      </c>
      <c r="C288" s="9"/>
      <c r="D288" s="272" t="s">
        <v>3674</v>
      </c>
      <c r="E288" s="273">
        <v>24</v>
      </c>
      <c r="F288" s="273">
        <v>0</v>
      </c>
      <c r="G288" s="273">
        <v>24</v>
      </c>
      <c r="H288" s="273">
        <v>0</v>
      </c>
      <c r="I288" s="273">
        <v>0</v>
      </c>
      <c r="J288" s="273">
        <v>0</v>
      </c>
      <c r="K288" s="273">
        <v>48</v>
      </c>
    </row>
    <row r="289" spans="1:11">
      <c r="C289" s="9"/>
      <c r="D289" s="271"/>
      <c r="E289" s="263"/>
      <c r="F289" s="263"/>
      <c r="G289" s="263"/>
      <c r="H289" s="263"/>
      <c r="I289" s="263"/>
      <c r="J289" s="263"/>
      <c r="K289" s="267">
        <v>0</v>
      </c>
    </row>
    <row r="290" spans="1:11">
      <c r="A290" s="9" t="s">
        <v>11697</v>
      </c>
      <c r="B290" s="16">
        <v>45</v>
      </c>
      <c r="C290" s="9"/>
      <c r="D290" s="271" t="s">
        <v>7874</v>
      </c>
      <c r="E290" s="263">
        <v>8</v>
      </c>
      <c r="F290" s="263">
        <v>0</v>
      </c>
      <c r="G290" s="263">
        <v>0</v>
      </c>
      <c r="H290" s="263">
        <v>0</v>
      </c>
      <c r="I290" s="263">
        <v>0</v>
      </c>
      <c r="J290" s="263">
        <v>0</v>
      </c>
      <c r="K290" s="267">
        <v>8</v>
      </c>
    </row>
    <row r="291" spans="1:11">
      <c r="A291" s="9" t="s">
        <v>11698</v>
      </c>
      <c r="B291" s="16">
        <v>45</v>
      </c>
      <c r="C291" s="9"/>
      <c r="D291" s="271" t="s">
        <v>7875</v>
      </c>
      <c r="E291" s="263">
        <v>8</v>
      </c>
      <c r="F291" s="263">
        <v>0</v>
      </c>
      <c r="G291" s="263">
        <v>0</v>
      </c>
      <c r="H291" s="263">
        <v>0</v>
      </c>
      <c r="I291" s="263">
        <v>0</v>
      </c>
      <c r="J291" s="263">
        <v>0</v>
      </c>
      <c r="K291" s="267">
        <v>8</v>
      </c>
    </row>
    <row r="292" spans="1:11">
      <c r="A292" s="9" t="s">
        <v>11699</v>
      </c>
      <c r="B292" s="16">
        <v>45</v>
      </c>
      <c r="C292" s="9"/>
      <c r="D292" s="271" t="s">
        <v>7876</v>
      </c>
      <c r="E292" s="263">
        <v>8</v>
      </c>
      <c r="F292" s="263">
        <v>0</v>
      </c>
      <c r="G292" s="263">
        <v>0</v>
      </c>
      <c r="H292" s="263">
        <v>0</v>
      </c>
      <c r="I292" s="263">
        <v>0</v>
      </c>
      <c r="J292" s="263">
        <v>0</v>
      </c>
      <c r="K292" s="267">
        <v>8</v>
      </c>
    </row>
    <row r="293" spans="1:11">
      <c r="A293" s="9" t="s">
        <v>11700</v>
      </c>
      <c r="B293" s="16">
        <v>45</v>
      </c>
      <c r="C293" s="9"/>
      <c r="D293" s="271" t="s">
        <v>7877</v>
      </c>
      <c r="E293" s="263">
        <v>0</v>
      </c>
      <c r="F293" s="263">
        <v>0</v>
      </c>
      <c r="G293" s="263">
        <v>0</v>
      </c>
      <c r="H293" s="263">
        <v>0</v>
      </c>
      <c r="I293" s="263">
        <v>0</v>
      </c>
      <c r="J293" s="263">
        <v>20</v>
      </c>
      <c r="K293" s="267">
        <v>20</v>
      </c>
    </row>
    <row r="294" spans="1:11">
      <c r="A294" s="9" t="s">
        <v>11701</v>
      </c>
      <c r="B294" s="16">
        <v>45</v>
      </c>
      <c r="C294" s="9"/>
      <c r="D294" s="271" t="s">
        <v>7878</v>
      </c>
      <c r="E294" s="263">
        <v>0</v>
      </c>
      <c r="F294" s="263">
        <v>0</v>
      </c>
      <c r="G294" s="263">
        <v>0</v>
      </c>
      <c r="H294" s="263">
        <v>0</v>
      </c>
      <c r="I294" s="263">
        <v>0</v>
      </c>
      <c r="J294" s="263">
        <v>8</v>
      </c>
      <c r="K294" s="267">
        <v>8</v>
      </c>
    </row>
    <row r="295" spans="1:11">
      <c r="A295" s="9" t="s">
        <v>11702</v>
      </c>
      <c r="B295" s="16">
        <v>45</v>
      </c>
      <c r="C295" s="9"/>
      <c r="D295" s="271" t="s">
        <v>7879</v>
      </c>
      <c r="E295" s="263">
        <v>0</v>
      </c>
      <c r="F295" s="263">
        <v>0</v>
      </c>
      <c r="G295" s="263">
        <v>0</v>
      </c>
      <c r="H295" s="263">
        <v>0</v>
      </c>
      <c r="I295" s="263">
        <v>0</v>
      </c>
      <c r="J295" s="263">
        <v>8</v>
      </c>
      <c r="K295" s="267">
        <v>8</v>
      </c>
    </row>
    <row r="296" spans="1:11">
      <c r="A296" s="9" t="s">
        <v>11703</v>
      </c>
      <c r="B296" s="16">
        <v>45</v>
      </c>
      <c r="C296" s="9"/>
      <c r="D296" s="271" t="s">
        <v>7880</v>
      </c>
      <c r="E296" s="263">
        <v>0</v>
      </c>
      <c r="F296" s="263">
        <v>0</v>
      </c>
      <c r="G296" s="263">
        <v>0</v>
      </c>
      <c r="H296" s="263">
        <v>0</v>
      </c>
      <c r="I296" s="263">
        <v>0</v>
      </c>
      <c r="J296" s="263">
        <v>8</v>
      </c>
      <c r="K296" s="267">
        <v>8</v>
      </c>
    </row>
    <row r="297" spans="1:11">
      <c r="B297" s="16">
        <v>45</v>
      </c>
      <c r="C297" s="9"/>
      <c r="D297" s="271"/>
      <c r="E297" s="263"/>
      <c r="F297" s="263"/>
      <c r="G297" s="263"/>
      <c r="H297" s="263"/>
      <c r="I297" s="263"/>
      <c r="J297" s="263"/>
      <c r="K297" s="267">
        <v>0</v>
      </c>
    </row>
    <row r="298" spans="1:11">
      <c r="B298" s="16">
        <v>45</v>
      </c>
      <c r="C298" s="9"/>
      <c r="D298" s="272" t="s">
        <v>3674</v>
      </c>
      <c r="E298" s="273">
        <v>24</v>
      </c>
      <c r="F298" s="273">
        <v>0</v>
      </c>
      <c r="G298" s="273">
        <v>0</v>
      </c>
      <c r="H298" s="273">
        <v>0</v>
      </c>
      <c r="I298" s="273">
        <v>0</v>
      </c>
      <c r="J298" s="273">
        <v>44</v>
      </c>
      <c r="K298" s="273">
        <v>68</v>
      </c>
    </row>
    <row r="299" spans="1:11">
      <c r="C299" s="9"/>
      <c r="D299" s="271"/>
      <c r="E299" s="263"/>
      <c r="F299" s="263"/>
      <c r="G299" s="263"/>
      <c r="H299" s="263"/>
      <c r="I299" s="263"/>
      <c r="J299" s="263"/>
      <c r="K299" s="267">
        <v>0</v>
      </c>
    </row>
    <row r="300" spans="1:11">
      <c r="B300" s="16">
        <v>0</v>
      </c>
      <c r="C300" s="9"/>
      <c r="D300" s="269" t="s">
        <v>13086</v>
      </c>
      <c r="E300" s="270">
        <v>136</v>
      </c>
      <c r="F300" s="270">
        <v>0</v>
      </c>
      <c r="G300" s="270">
        <v>32</v>
      </c>
      <c r="H300" s="270">
        <v>8</v>
      </c>
      <c r="I300" s="270">
        <v>0</v>
      </c>
      <c r="J300" s="270">
        <v>84</v>
      </c>
      <c r="K300" s="270">
        <v>260</v>
      </c>
    </row>
    <row r="301" spans="1:11">
      <c r="C301" s="9"/>
      <c r="D301" s="271"/>
      <c r="E301" s="263"/>
      <c r="F301" s="263"/>
      <c r="G301" s="263"/>
      <c r="H301" s="263"/>
      <c r="I301" s="263"/>
      <c r="J301" s="263"/>
      <c r="K301" s="267">
        <v>0</v>
      </c>
    </row>
    <row r="302" spans="1:11">
      <c r="C302" s="9"/>
      <c r="D302" s="271" t="s">
        <v>4278</v>
      </c>
      <c r="E302" s="263"/>
      <c r="F302" s="263"/>
      <c r="G302" s="263"/>
      <c r="H302" s="263"/>
      <c r="I302" s="263"/>
      <c r="J302" s="263"/>
      <c r="K302" s="267">
        <v>0</v>
      </c>
    </row>
    <row r="303" spans="1:11">
      <c r="C303" s="9"/>
      <c r="D303" s="271"/>
      <c r="E303" s="263"/>
      <c r="F303" s="263"/>
      <c r="G303" s="263"/>
      <c r="H303" s="263"/>
      <c r="I303" s="263"/>
      <c r="J303" s="263"/>
      <c r="K303" s="267">
        <v>0</v>
      </c>
    </row>
    <row r="304" spans="1:11">
      <c r="A304" s="9" t="s">
        <v>11704</v>
      </c>
      <c r="B304" s="16">
        <v>64</v>
      </c>
      <c r="C304" s="9"/>
      <c r="D304" s="271" t="s">
        <v>8266</v>
      </c>
      <c r="E304" s="263">
        <v>0</v>
      </c>
      <c r="F304" s="263">
        <v>4</v>
      </c>
      <c r="G304" s="263">
        <v>0</v>
      </c>
      <c r="H304" s="263">
        <v>0</v>
      </c>
      <c r="I304" s="263">
        <v>0</v>
      </c>
      <c r="J304" s="263">
        <v>0</v>
      </c>
      <c r="K304" s="267">
        <v>4</v>
      </c>
    </row>
    <row r="305" spans="1:11">
      <c r="A305" s="9" t="s">
        <v>11705</v>
      </c>
      <c r="B305" s="16">
        <v>64</v>
      </c>
      <c r="C305" s="9"/>
      <c r="D305" s="271" t="s">
        <v>8267</v>
      </c>
      <c r="E305" s="263">
        <v>0</v>
      </c>
      <c r="F305" s="263">
        <v>4</v>
      </c>
      <c r="G305" s="263">
        <v>0</v>
      </c>
      <c r="H305" s="263">
        <v>0</v>
      </c>
      <c r="I305" s="263">
        <v>0</v>
      </c>
      <c r="J305" s="263">
        <v>0</v>
      </c>
      <c r="K305" s="267">
        <v>4</v>
      </c>
    </row>
    <row r="306" spans="1:11">
      <c r="A306" s="9" t="s">
        <v>11706</v>
      </c>
      <c r="B306" s="16">
        <v>64</v>
      </c>
      <c r="C306" s="9"/>
      <c r="D306" s="271" t="s">
        <v>8268</v>
      </c>
      <c r="E306" s="263">
        <v>4</v>
      </c>
      <c r="F306" s="263">
        <v>0</v>
      </c>
      <c r="G306" s="263">
        <v>0</v>
      </c>
      <c r="H306" s="263">
        <v>0</v>
      </c>
      <c r="I306" s="263">
        <v>0</v>
      </c>
      <c r="J306" s="263">
        <v>0</v>
      </c>
      <c r="K306" s="267">
        <v>4</v>
      </c>
    </row>
    <row r="307" spans="1:11">
      <c r="A307" s="9" t="s">
        <v>11707</v>
      </c>
      <c r="B307" s="16">
        <v>64</v>
      </c>
      <c r="C307" s="9"/>
      <c r="D307" s="271" t="s">
        <v>8269</v>
      </c>
      <c r="E307" s="263">
        <v>4</v>
      </c>
      <c r="F307" s="263">
        <v>0</v>
      </c>
      <c r="G307" s="263">
        <v>0</v>
      </c>
      <c r="H307" s="263">
        <v>0</v>
      </c>
      <c r="I307" s="263">
        <v>0</v>
      </c>
      <c r="J307" s="263">
        <v>0</v>
      </c>
      <c r="K307" s="267">
        <v>4</v>
      </c>
    </row>
    <row r="308" spans="1:11">
      <c r="A308" s="9" t="s">
        <v>11708</v>
      </c>
      <c r="B308" s="16">
        <v>64</v>
      </c>
      <c r="C308" s="9"/>
      <c r="D308" s="271" t="s">
        <v>8270</v>
      </c>
      <c r="E308" s="263">
        <v>4</v>
      </c>
      <c r="F308" s="263">
        <v>0</v>
      </c>
      <c r="G308" s="263">
        <v>0</v>
      </c>
      <c r="H308" s="263">
        <v>0</v>
      </c>
      <c r="I308" s="263">
        <v>0</v>
      </c>
      <c r="J308" s="263">
        <v>0</v>
      </c>
      <c r="K308" s="267">
        <v>4</v>
      </c>
    </row>
    <row r="309" spans="1:11">
      <c r="A309" s="9" t="s">
        <v>11709</v>
      </c>
      <c r="B309" s="16">
        <v>64</v>
      </c>
      <c r="C309" s="9"/>
      <c r="D309" s="271" t="s">
        <v>8271</v>
      </c>
      <c r="E309" s="263">
        <v>4</v>
      </c>
      <c r="F309" s="263">
        <v>0</v>
      </c>
      <c r="G309" s="263">
        <v>0</v>
      </c>
      <c r="H309" s="263">
        <v>0</v>
      </c>
      <c r="I309" s="263">
        <v>0</v>
      </c>
      <c r="J309" s="263">
        <v>0</v>
      </c>
      <c r="K309" s="267">
        <v>4</v>
      </c>
    </row>
    <row r="310" spans="1:11">
      <c r="A310" s="9" t="s">
        <v>11710</v>
      </c>
      <c r="B310" s="16">
        <v>64</v>
      </c>
      <c r="C310" s="9"/>
      <c r="D310" s="271" t="s">
        <v>8272</v>
      </c>
      <c r="E310" s="263">
        <v>4</v>
      </c>
      <c r="F310" s="263">
        <v>0</v>
      </c>
      <c r="G310" s="263">
        <v>0</v>
      </c>
      <c r="H310" s="263">
        <v>0</v>
      </c>
      <c r="I310" s="263">
        <v>0</v>
      </c>
      <c r="J310" s="263">
        <v>0</v>
      </c>
      <c r="K310" s="267">
        <v>4</v>
      </c>
    </row>
    <row r="311" spans="1:11">
      <c r="A311" s="9" t="s">
        <v>11711</v>
      </c>
      <c r="B311" s="16">
        <v>64</v>
      </c>
      <c r="C311" s="9"/>
      <c r="D311" s="271" t="s">
        <v>8273</v>
      </c>
      <c r="E311" s="263">
        <v>2.4000000000000004</v>
      </c>
      <c r="F311" s="263">
        <v>0</v>
      </c>
      <c r="G311" s="263">
        <v>0</v>
      </c>
      <c r="H311" s="263">
        <v>0</v>
      </c>
      <c r="I311" s="263">
        <v>0</v>
      </c>
      <c r="J311" s="263">
        <v>0</v>
      </c>
      <c r="K311" s="267">
        <v>2.4000000000000004</v>
      </c>
    </row>
    <row r="312" spans="1:11">
      <c r="A312" s="9" t="s">
        <v>11712</v>
      </c>
      <c r="B312" s="16">
        <v>64</v>
      </c>
      <c r="C312" s="9"/>
      <c r="D312" s="271" t="s">
        <v>8274</v>
      </c>
      <c r="E312" s="263">
        <v>5.6000000000000005</v>
      </c>
      <c r="F312" s="263">
        <v>0</v>
      </c>
      <c r="G312" s="263">
        <v>0</v>
      </c>
      <c r="H312" s="263">
        <v>0</v>
      </c>
      <c r="I312" s="263">
        <v>0</v>
      </c>
      <c r="J312" s="263">
        <v>0</v>
      </c>
      <c r="K312" s="267">
        <v>5.6000000000000005</v>
      </c>
    </row>
    <row r="313" spans="1:11">
      <c r="A313" s="9" t="s">
        <v>11713</v>
      </c>
      <c r="B313" s="16">
        <v>64</v>
      </c>
      <c r="C313" s="9"/>
      <c r="D313" s="271" t="s">
        <v>8275</v>
      </c>
      <c r="E313" s="263">
        <v>8</v>
      </c>
      <c r="F313" s="263">
        <v>0</v>
      </c>
      <c r="G313" s="263">
        <v>0</v>
      </c>
      <c r="H313" s="263">
        <v>0</v>
      </c>
      <c r="I313" s="263">
        <v>0</v>
      </c>
      <c r="J313" s="263">
        <v>0</v>
      </c>
      <c r="K313" s="267">
        <v>8</v>
      </c>
    </row>
    <row r="314" spans="1:11">
      <c r="A314" s="9" t="s">
        <v>11714</v>
      </c>
      <c r="B314" s="16">
        <v>64</v>
      </c>
      <c r="C314" s="9"/>
      <c r="D314" s="271" t="s">
        <v>8276</v>
      </c>
      <c r="E314" s="263">
        <v>4</v>
      </c>
      <c r="F314" s="263">
        <v>0</v>
      </c>
      <c r="G314" s="263">
        <v>0</v>
      </c>
      <c r="H314" s="263">
        <v>0</v>
      </c>
      <c r="I314" s="263">
        <v>0</v>
      </c>
      <c r="J314" s="263">
        <v>0</v>
      </c>
      <c r="K314" s="267">
        <v>4</v>
      </c>
    </row>
    <row r="315" spans="1:11">
      <c r="A315" s="9" t="s">
        <v>11715</v>
      </c>
      <c r="B315" s="16">
        <v>64</v>
      </c>
      <c r="C315" s="9"/>
      <c r="D315" s="271" t="s">
        <v>8277</v>
      </c>
      <c r="E315" s="263">
        <v>0</v>
      </c>
      <c r="F315" s="263">
        <v>5.6000000000000005</v>
      </c>
      <c r="G315" s="263">
        <v>0</v>
      </c>
      <c r="H315" s="263">
        <v>0</v>
      </c>
      <c r="I315" s="263">
        <v>0</v>
      </c>
      <c r="J315" s="263">
        <v>0</v>
      </c>
      <c r="K315" s="267">
        <v>5.6000000000000005</v>
      </c>
    </row>
    <row r="316" spans="1:11">
      <c r="A316" s="9" t="s">
        <v>11716</v>
      </c>
      <c r="B316" s="16">
        <v>64</v>
      </c>
      <c r="C316" s="9"/>
      <c r="D316" s="271" t="s">
        <v>8278</v>
      </c>
      <c r="E316" s="263">
        <v>0</v>
      </c>
      <c r="F316" s="263">
        <v>4</v>
      </c>
      <c r="G316" s="263">
        <v>0</v>
      </c>
      <c r="H316" s="263">
        <v>0</v>
      </c>
      <c r="I316" s="263">
        <v>0</v>
      </c>
      <c r="J316" s="263">
        <v>0</v>
      </c>
      <c r="K316" s="267">
        <v>4</v>
      </c>
    </row>
    <row r="317" spans="1:11">
      <c r="A317" s="9" t="s">
        <v>11717</v>
      </c>
      <c r="B317" s="16">
        <v>64</v>
      </c>
      <c r="C317" s="9"/>
      <c r="D317" s="271" t="s">
        <v>8279</v>
      </c>
      <c r="E317" s="263">
        <v>0</v>
      </c>
      <c r="F317" s="263">
        <v>0</v>
      </c>
      <c r="G317" s="263">
        <v>0</v>
      </c>
      <c r="H317" s="263">
        <v>0</v>
      </c>
      <c r="I317" s="263">
        <v>0</v>
      </c>
      <c r="J317" s="263">
        <v>8</v>
      </c>
      <c r="K317" s="267">
        <v>8</v>
      </c>
    </row>
    <row r="318" spans="1:11">
      <c r="A318" s="9" t="s">
        <v>11718</v>
      </c>
      <c r="B318" s="16">
        <v>64</v>
      </c>
      <c r="C318" s="9"/>
      <c r="D318" s="271" t="s">
        <v>8280</v>
      </c>
      <c r="E318" s="263">
        <v>0</v>
      </c>
      <c r="F318" s="263">
        <v>0</v>
      </c>
      <c r="G318" s="263">
        <v>0</v>
      </c>
      <c r="H318" s="263">
        <v>0</v>
      </c>
      <c r="I318" s="263">
        <v>0</v>
      </c>
      <c r="J318" s="263">
        <v>8</v>
      </c>
      <c r="K318" s="267">
        <v>8</v>
      </c>
    </row>
    <row r="319" spans="1:11">
      <c r="A319" s="9" t="s">
        <v>11719</v>
      </c>
      <c r="B319" s="16">
        <v>64</v>
      </c>
      <c r="C319" s="9"/>
      <c r="D319" s="271" t="s">
        <v>8281</v>
      </c>
      <c r="E319" s="263">
        <v>8</v>
      </c>
      <c r="F319" s="263">
        <v>0</v>
      </c>
      <c r="G319" s="263">
        <v>0</v>
      </c>
      <c r="H319" s="263">
        <v>0</v>
      </c>
      <c r="I319" s="263">
        <v>0</v>
      </c>
      <c r="J319" s="263">
        <v>0</v>
      </c>
      <c r="K319" s="267">
        <v>8</v>
      </c>
    </row>
    <row r="320" spans="1:11">
      <c r="A320" s="9" t="s">
        <v>11720</v>
      </c>
      <c r="B320" s="16">
        <v>64</v>
      </c>
      <c r="C320" s="9"/>
      <c r="D320" s="271" t="s">
        <v>8282</v>
      </c>
      <c r="E320" s="263">
        <v>8</v>
      </c>
      <c r="F320" s="263">
        <v>0</v>
      </c>
      <c r="G320" s="263">
        <v>0</v>
      </c>
      <c r="H320" s="263">
        <v>0</v>
      </c>
      <c r="I320" s="263">
        <v>0</v>
      </c>
      <c r="J320" s="263">
        <v>0</v>
      </c>
      <c r="K320" s="267">
        <v>8</v>
      </c>
    </row>
    <row r="321" spans="1:11">
      <c r="B321" s="16">
        <v>64</v>
      </c>
      <c r="C321" s="9"/>
      <c r="D321" s="272" t="s">
        <v>3674</v>
      </c>
      <c r="E321" s="273">
        <v>56</v>
      </c>
      <c r="F321" s="273">
        <v>17.600000000000001</v>
      </c>
      <c r="G321" s="273">
        <v>0</v>
      </c>
      <c r="H321" s="273">
        <v>0</v>
      </c>
      <c r="I321" s="273">
        <v>0</v>
      </c>
      <c r="J321" s="273">
        <v>16</v>
      </c>
      <c r="K321" s="273">
        <v>89.6</v>
      </c>
    </row>
    <row r="322" spans="1:11">
      <c r="A322" s="9" t="s">
        <v>11721</v>
      </c>
      <c r="B322" s="16">
        <v>70</v>
      </c>
      <c r="C322" s="9"/>
      <c r="D322" s="271" t="s">
        <v>8283</v>
      </c>
      <c r="E322" s="263">
        <v>4</v>
      </c>
      <c r="F322" s="263">
        <v>0</v>
      </c>
      <c r="G322" s="263">
        <v>0</v>
      </c>
      <c r="H322" s="263">
        <v>0</v>
      </c>
      <c r="I322" s="263">
        <v>0</v>
      </c>
      <c r="J322" s="263">
        <v>0</v>
      </c>
      <c r="K322" s="267">
        <v>4</v>
      </c>
    </row>
    <row r="323" spans="1:11">
      <c r="A323" s="9" t="s">
        <v>11722</v>
      </c>
      <c r="B323" s="16">
        <v>70</v>
      </c>
      <c r="C323" s="9"/>
      <c r="D323" s="271" t="s">
        <v>8284</v>
      </c>
      <c r="E323" s="263">
        <v>0</v>
      </c>
      <c r="F323" s="263">
        <v>0</v>
      </c>
      <c r="G323" s="263">
        <v>0</v>
      </c>
      <c r="H323" s="263">
        <v>0</v>
      </c>
      <c r="I323" s="263">
        <v>0</v>
      </c>
      <c r="J323" s="263">
        <v>5.6000000000000005</v>
      </c>
      <c r="K323" s="267">
        <v>5.6000000000000005</v>
      </c>
    </row>
    <row r="324" spans="1:11">
      <c r="A324" s="9" t="s">
        <v>11723</v>
      </c>
      <c r="B324" s="16">
        <v>70</v>
      </c>
      <c r="C324" s="9"/>
      <c r="D324" s="271" t="s">
        <v>8285</v>
      </c>
      <c r="E324" s="263">
        <v>0</v>
      </c>
      <c r="F324" s="263">
        <v>0</v>
      </c>
      <c r="G324" s="263">
        <v>0</v>
      </c>
      <c r="H324" s="263">
        <v>0</v>
      </c>
      <c r="I324" s="263">
        <v>0</v>
      </c>
      <c r="J324" s="263">
        <v>4.8000000000000007</v>
      </c>
      <c r="K324" s="267">
        <v>4.8000000000000007</v>
      </c>
    </row>
    <row r="325" spans="1:11">
      <c r="A325" s="9" t="s">
        <v>11724</v>
      </c>
      <c r="B325" s="16">
        <v>70</v>
      </c>
      <c r="C325" s="9"/>
      <c r="D325" s="271" t="s">
        <v>8286</v>
      </c>
      <c r="E325" s="263">
        <v>8</v>
      </c>
      <c r="F325" s="263">
        <v>0</v>
      </c>
      <c r="G325" s="263">
        <v>0</v>
      </c>
      <c r="H325" s="263">
        <v>0</v>
      </c>
      <c r="I325" s="263">
        <v>0</v>
      </c>
      <c r="J325" s="263">
        <v>0</v>
      </c>
      <c r="K325" s="267">
        <v>8</v>
      </c>
    </row>
    <row r="326" spans="1:11">
      <c r="A326" s="9" t="s">
        <v>11725</v>
      </c>
      <c r="B326" s="16">
        <v>70</v>
      </c>
      <c r="C326" s="9"/>
      <c r="D326" s="271" t="s">
        <v>8287</v>
      </c>
      <c r="E326" s="263">
        <v>5.6000000000000005</v>
      </c>
      <c r="F326" s="263">
        <v>0</v>
      </c>
      <c r="G326" s="263">
        <v>0</v>
      </c>
      <c r="H326" s="263">
        <v>0</v>
      </c>
      <c r="I326" s="263">
        <v>0</v>
      </c>
      <c r="J326" s="263">
        <v>0</v>
      </c>
      <c r="K326" s="267">
        <v>5.6000000000000005</v>
      </c>
    </row>
    <row r="327" spans="1:11">
      <c r="A327" s="9" t="s">
        <v>11726</v>
      </c>
      <c r="B327" s="16">
        <v>70</v>
      </c>
      <c r="C327" s="9"/>
      <c r="D327" s="271" t="s">
        <v>8288</v>
      </c>
      <c r="E327" s="263">
        <v>4</v>
      </c>
      <c r="F327" s="263">
        <v>0</v>
      </c>
      <c r="G327" s="263">
        <v>0</v>
      </c>
      <c r="H327" s="263">
        <v>0</v>
      </c>
      <c r="I327" s="263">
        <v>0</v>
      </c>
      <c r="J327" s="263">
        <v>0</v>
      </c>
      <c r="K327" s="267">
        <v>4</v>
      </c>
    </row>
    <row r="328" spans="1:11">
      <c r="A328" s="9" t="s">
        <v>11727</v>
      </c>
      <c r="B328" s="16">
        <v>70</v>
      </c>
      <c r="C328" s="9"/>
      <c r="D328" s="271" t="s">
        <v>8289</v>
      </c>
      <c r="E328" s="263">
        <v>2.4000000000000004</v>
      </c>
      <c r="F328" s="263">
        <v>0</v>
      </c>
      <c r="G328" s="263">
        <v>0</v>
      </c>
      <c r="H328" s="263">
        <v>0</v>
      </c>
      <c r="I328" s="263">
        <v>0</v>
      </c>
      <c r="J328" s="263">
        <v>0</v>
      </c>
      <c r="K328" s="267">
        <v>2.4000000000000004</v>
      </c>
    </row>
    <row r="329" spans="1:11">
      <c r="A329" s="9" t="s">
        <v>11728</v>
      </c>
      <c r="B329" s="16">
        <v>70</v>
      </c>
      <c r="C329" s="9"/>
      <c r="D329" s="271" t="s">
        <v>8290</v>
      </c>
      <c r="E329" s="263">
        <v>4.8000000000000007</v>
      </c>
      <c r="F329" s="263">
        <v>0</v>
      </c>
      <c r="G329" s="263">
        <v>0</v>
      </c>
      <c r="H329" s="263">
        <v>0</v>
      </c>
      <c r="I329" s="263">
        <v>0</v>
      </c>
      <c r="J329" s="263">
        <v>0</v>
      </c>
      <c r="K329" s="267">
        <v>4.8000000000000007</v>
      </c>
    </row>
    <row r="330" spans="1:11">
      <c r="A330" s="9" t="s">
        <v>11729</v>
      </c>
      <c r="B330" s="16">
        <v>70</v>
      </c>
      <c r="C330" s="9"/>
      <c r="D330" s="271" t="s">
        <v>8291</v>
      </c>
      <c r="E330" s="263">
        <v>0</v>
      </c>
      <c r="F330" s="263">
        <v>5.6000000000000005</v>
      </c>
      <c r="G330" s="263">
        <v>0</v>
      </c>
      <c r="H330" s="263">
        <v>0</v>
      </c>
      <c r="I330" s="263">
        <v>0</v>
      </c>
      <c r="J330" s="263">
        <v>0</v>
      </c>
      <c r="K330" s="267">
        <v>5.6000000000000005</v>
      </c>
    </row>
    <row r="331" spans="1:11">
      <c r="A331" s="9" t="s">
        <v>11730</v>
      </c>
      <c r="B331" s="16">
        <v>70</v>
      </c>
      <c r="C331" s="9"/>
      <c r="D331" s="271" t="s">
        <v>8292</v>
      </c>
      <c r="E331" s="263">
        <v>8</v>
      </c>
      <c r="F331" s="263">
        <v>0</v>
      </c>
      <c r="G331" s="263">
        <v>0</v>
      </c>
      <c r="H331" s="263">
        <v>0</v>
      </c>
      <c r="I331" s="263">
        <v>0</v>
      </c>
      <c r="J331" s="263">
        <v>0</v>
      </c>
      <c r="K331" s="267">
        <v>8</v>
      </c>
    </row>
    <row r="332" spans="1:11">
      <c r="A332" s="9" t="s">
        <v>11731</v>
      </c>
      <c r="B332" s="16">
        <v>70</v>
      </c>
      <c r="C332" s="9"/>
      <c r="D332" s="271" t="s">
        <v>8293</v>
      </c>
      <c r="E332" s="263">
        <v>0</v>
      </c>
      <c r="F332" s="263">
        <v>0</v>
      </c>
      <c r="G332" s="263">
        <v>0</v>
      </c>
      <c r="H332" s="263">
        <v>0</v>
      </c>
      <c r="I332" s="263">
        <v>0</v>
      </c>
      <c r="J332" s="263">
        <v>6.4</v>
      </c>
      <c r="K332" s="267">
        <v>6.4</v>
      </c>
    </row>
    <row r="333" spans="1:11">
      <c r="A333" s="9" t="s">
        <v>11732</v>
      </c>
      <c r="B333" s="16">
        <v>70</v>
      </c>
      <c r="C333" s="9"/>
      <c r="D333" s="271" t="s">
        <v>8294</v>
      </c>
      <c r="E333" s="263">
        <v>8</v>
      </c>
      <c r="F333" s="263">
        <v>0</v>
      </c>
      <c r="G333" s="263">
        <v>0</v>
      </c>
      <c r="H333" s="263">
        <v>0</v>
      </c>
      <c r="I333" s="263">
        <v>0</v>
      </c>
      <c r="J333" s="263">
        <v>0</v>
      </c>
      <c r="K333" s="267">
        <v>8</v>
      </c>
    </row>
    <row r="334" spans="1:11">
      <c r="A334" s="9" t="s">
        <v>11733</v>
      </c>
      <c r="B334" s="16">
        <v>70</v>
      </c>
      <c r="C334" s="9"/>
      <c r="D334" s="271" t="s">
        <v>8295</v>
      </c>
      <c r="E334" s="263">
        <v>4.8000000000000007</v>
      </c>
      <c r="F334" s="263">
        <v>0</v>
      </c>
      <c r="G334" s="263">
        <v>0</v>
      </c>
      <c r="H334" s="263">
        <v>0</v>
      </c>
      <c r="I334" s="263">
        <v>0</v>
      </c>
      <c r="J334" s="263">
        <v>0</v>
      </c>
      <c r="K334" s="267">
        <v>4.8000000000000007</v>
      </c>
    </row>
    <row r="335" spans="1:11">
      <c r="A335" s="9" t="s">
        <v>11734</v>
      </c>
      <c r="B335" s="16">
        <v>70</v>
      </c>
      <c r="C335" s="9"/>
      <c r="D335" s="271" t="s">
        <v>8296</v>
      </c>
      <c r="E335" s="263">
        <v>0</v>
      </c>
      <c r="F335" s="263">
        <v>4</v>
      </c>
      <c r="G335" s="263">
        <v>0</v>
      </c>
      <c r="H335" s="263">
        <v>0</v>
      </c>
      <c r="I335" s="263">
        <v>0</v>
      </c>
      <c r="J335" s="263">
        <v>0</v>
      </c>
      <c r="K335" s="267">
        <v>4</v>
      </c>
    </row>
    <row r="336" spans="1:11">
      <c r="B336" s="16">
        <v>70</v>
      </c>
      <c r="C336" s="9"/>
      <c r="D336" s="271"/>
      <c r="E336" s="263"/>
      <c r="F336" s="263"/>
      <c r="G336" s="263"/>
      <c r="H336" s="263"/>
      <c r="I336" s="263"/>
      <c r="J336" s="263"/>
      <c r="K336" s="267">
        <v>0</v>
      </c>
    </row>
    <row r="337" spans="1:11">
      <c r="B337" s="16">
        <v>70</v>
      </c>
      <c r="C337" s="9"/>
      <c r="D337" s="272" t="s">
        <v>3674</v>
      </c>
      <c r="E337" s="273">
        <v>49.599999999999994</v>
      </c>
      <c r="F337" s="273">
        <v>9.6000000000000014</v>
      </c>
      <c r="G337" s="273">
        <v>0</v>
      </c>
      <c r="H337" s="273">
        <v>0</v>
      </c>
      <c r="I337" s="273">
        <v>0</v>
      </c>
      <c r="J337" s="273">
        <v>16.800000000000004</v>
      </c>
      <c r="K337" s="273">
        <v>76</v>
      </c>
    </row>
    <row r="338" spans="1:11">
      <c r="C338" s="9"/>
      <c r="D338" s="271"/>
      <c r="E338" s="263"/>
      <c r="F338" s="263"/>
      <c r="G338" s="263"/>
      <c r="H338" s="263"/>
      <c r="I338" s="263"/>
      <c r="J338" s="263"/>
      <c r="K338" s="267">
        <v>0</v>
      </c>
    </row>
    <row r="339" spans="1:11">
      <c r="A339" s="9" t="s">
        <v>11735</v>
      </c>
      <c r="B339" s="16">
        <v>71</v>
      </c>
      <c r="C339" s="9"/>
      <c r="D339" s="271" t="s">
        <v>8297</v>
      </c>
      <c r="E339" s="263">
        <v>8</v>
      </c>
      <c r="F339" s="263">
        <v>0</v>
      </c>
      <c r="G339" s="263">
        <v>0</v>
      </c>
      <c r="H339" s="263">
        <v>0</v>
      </c>
      <c r="I339" s="263">
        <v>0</v>
      </c>
      <c r="J339" s="263">
        <v>0</v>
      </c>
      <c r="K339" s="267">
        <v>8</v>
      </c>
    </row>
    <row r="340" spans="1:11">
      <c r="A340" s="9" t="s">
        <v>11736</v>
      </c>
      <c r="B340" s="16">
        <v>71</v>
      </c>
      <c r="C340" s="9"/>
      <c r="D340" s="271" t="s">
        <v>8298</v>
      </c>
      <c r="E340" s="263">
        <v>8</v>
      </c>
      <c r="F340" s="263">
        <v>0</v>
      </c>
      <c r="G340" s="263">
        <v>0</v>
      </c>
      <c r="H340" s="263">
        <v>0</v>
      </c>
      <c r="I340" s="263">
        <v>0</v>
      </c>
      <c r="J340" s="263">
        <v>0</v>
      </c>
      <c r="K340" s="267">
        <v>8</v>
      </c>
    </row>
    <row r="341" spans="1:11">
      <c r="A341" s="9" t="s">
        <v>11737</v>
      </c>
      <c r="B341" s="16">
        <v>71</v>
      </c>
      <c r="C341" s="9"/>
      <c r="D341" s="271" t="s">
        <v>8299</v>
      </c>
      <c r="E341" s="263">
        <v>5.6000000000000005</v>
      </c>
      <c r="F341" s="263">
        <v>0</v>
      </c>
      <c r="G341" s="263">
        <v>0</v>
      </c>
      <c r="H341" s="263">
        <v>0</v>
      </c>
      <c r="I341" s="263">
        <v>0</v>
      </c>
      <c r="J341" s="263">
        <v>0</v>
      </c>
      <c r="K341" s="267">
        <v>5.6000000000000005</v>
      </c>
    </row>
    <row r="342" spans="1:11">
      <c r="A342" s="9" t="s">
        <v>11738</v>
      </c>
      <c r="B342" s="16">
        <v>71</v>
      </c>
      <c r="C342" s="9"/>
      <c r="D342" s="271" t="s">
        <v>8300</v>
      </c>
      <c r="E342" s="263">
        <v>4</v>
      </c>
      <c r="F342" s="263">
        <v>0</v>
      </c>
      <c r="G342" s="263">
        <v>0</v>
      </c>
      <c r="H342" s="263">
        <v>0</v>
      </c>
      <c r="I342" s="263">
        <v>0</v>
      </c>
      <c r="J342" s="263">
        <v>0</v>
      </c>
      <c r="K342" s="267">
        <v>4</v>
      </c>
    </row>
    <row r="343" spans="1:11">
      <c r="A343" s="9" t="s">
        <v>11739</v>
      </c>
      <c r="B343" s="16">
        <v>71</v>
      </c>
      <c r="C343" s="9"/>
      <c r="D343" s="271" t="s">
        <v>8301</v>
      </c>
      <c r="E343" s="263">
        <v>0</v>
      </c>
      <c r="F343" s="263">
        <v>4</v>
      </c>
      <c r="G343" s="263">
        <v>0</v>
      </c>
      <c r="H343" s="263">
        <v>0</v>
      </c>
      <c r="I343" s="263">
        <v>0</v>
      </c>
      <c r="J343" s="263">
        <v>0</v>
      </c>
      <c r="K343" s="267">
        <v>4</v>
      </c>
    </row>
    <row r="344" spans="1:11">
      <c r="A344" s="9" t="s">
        <v>11740</v>
      </c>
      <c r="B344" s="16">
        <v>71</v>
      </c>
      <c r="C344" s="9"/>
      <c r="D344" s="271" t="s">
        <v>8302</v>
      </c>
      <c r="E344" s="263">
        <v>8</v>
      </c>
      <c r="F344" s="263">
        <v>0</v>
      </c>
      <c r="G344" s="263">
        <v>0</v>
      </c>
      <c r="H344" s="263">
        <v>0</v>
      </c>
      <c r="I344" s="263">
        <v>0</v>
      </c>
      <c r="J344" s="263">
        <v>0</v>
      </c>
      <c r="K344" s="267">
        <v>8</v>
      </c>
    </row>
    <row r="345" spans="1:11">
      <c r="A345" s="9" t="s">
        <v>11741</v>
      </c>
      <c r="B345" s="16">
        <v>71</v>
      </c>
      <c r="C345" s="9"/>
      <c r="D345" s="271" t="s">
        <v>8303</v>
      </c>
      <c r="E345" s="263">
        <v>8</v>
      </c>
      <c r="F345" s="263">
        <v>0</v>
      </c>
      <c r="G345" s="263">
        <v>0</v>
      </c>
      <c r="H345" s="263">
        <v>0</v>
      </c>
      <c r="I345" s="263">
        <v>0</v>
      </c>
      <c r="J345" s="263">
        <v>0</v>
      </c>
      <c r="K345" s="267">
        <v>8</v>
      </c>
    </row>
    <row r="346" spans="1:11">
      <c r="A346" s="9" t="s">
        <v>11742</v>
      </c>
      <c r="B346" s="16">
        <v>71</v>
      </c>
      <c r="C346" s="9"/>
      <c r="D346" s="271" t="s">
        <v>8304</v>
      </c>
      <c r="E346" s="263">
        <v>4</v>
      </c>
      <c r="F346" s="263">
        <v>0</v>
      </c>
      <c r="G346" s="263">
        <v>0</v>
      </c>
      <c r="H346" s="263">
        <v>0</v>
      </c>
      <c r="I346" s="263">
        <v>0</v>
      </c>
      <c r="J346" s="263">
        <v>0</v>
      </c>
      <c r="K346" s="267">
        <v>4</v>
      </c>
    </row>
    <row r="347" spans="1:11">
      <c r="A347" s="9" t="s">
        <v>11743</v>
      </c>
      <c r="B347" s="16">
        <v>71</v>
      </c>
      <c r="C347" s="9"/>
      <c r="D347" s="271" t="s">
        <v>8305</v>
      </c>
      <c r="E347" s="263">
        <v>4</v>
      </c>
      <c r="F347" s="263">
        <v>0</v>
      </c>
      <c r="G347" s="263">
        <v>0</v>
      </c>
      <c r="H347" s="263">
        <v>0</v>
      </c>
      <c r="I347" s="263">
        <v>0</v>
      </c>
      <c r="J347" s="263">
        <v>0</v>
      </c>
      <c r="K347" s="267">
        <v>4</v>
      </c>
    </row>
    <row r="348" spans="1:11">
      <c r="A348" s="9" t="s">
        <v>11744</v>
      </c>
      <c r="B348" s="16">
        <v>71</v>
      </c>
      <c r="C348" s="9"/>
      <c r="D348" s="271" t="s">
        <v>8306</v>
      </c>
      <c r="E348" s="263">
        <v>0</v>
      </c>
      <c r="F348" s="263">
        <v>4</v>
      </c>
      <c r="G348" s="263">
        <v>0</v>
      </c>
      <c r="H348" s="263">
        <v>0</v>
      </c>
      <c r="I348" s="263">
        <v>0</v>
      </c>
      <c r="J348" s="263">
        <v>0</v>
      </c>
      <c r="K348" s="267">
        <v>4</v>
      </c>
    </row>
    <row r="349" spans="1:11">
      <c r="B349" s="16">
        <v>71</v>
      </c>
      <c r="C349" s="9"/>
      <c r="D349" s="271"/>
      <c r="E349" s="263"/>
      <c r="F349" s="263"/>
      <c r="G349" s="263"/>
      <c r="H349" s="263"/>
      <c r="I349" s="263"/>
      <c r="J349" s="263"/>
      <c r="K349" s="267">
        <v>0</v>
      </c>
    </row>
    <row r="350" spans="1:11">
      <c r="B350" s="16">
        <v>71</v>
      </c>
      <c r="C350" s="9"/>
      <c r="D350" s="272" t="s">
        <v>3674</v>
      </c>
      <c r="E350" s="273">
        <v>49.6</v>
      </c>
      <c r="F350" s="273">
        <v>8</v>
      </c>
      <c r="G350" s="273">
        <v>0</v>
      </c>
      <c r="H350" s="273">
        <v>0</v>
      </c>
      <c r="I350" s="273">
        <v>0</v>
      </c>
      <c r="J350" s="273">
        <v>0</v>
      </c>
      <c r="K350" s="273">
        <v>57.6</v>
      </c>
    </row>
    <row r="351" spans="1:11">
      <c r="C351" s="9"/>
      <c r="D351" s="271"/>
      <c r="E351" s="263"/>
      <c r="F351" s="263"/>
      <c r="G351" s="263"/>
      <c r="H351" s="263"/>
      <c r="I351" s="263"/>
      <c r="J351" s="263"/>
      <c r="K351" s="267">
        <v>0</v>
      </c>
    </row>
    <row r="352" spans="1:11">
      <c r="A352" s="9" t="s">
        <v>11745</v>
      </c>
      <c r="B352" s="16">
        <v>72</v>
      </c>
      <c r="C352" s="9"/>
      <c r="D352" s="271" t="s">
        <v>8307</v>
      </c>
      <c r="E352" s="263">
        <v>4</v>
      </c>
      <c r="F352" s="263">
        <v>0</v>
      </c>
      <c r="G352" s="263">
        <v>0</v>
      </c>
      <c r="H352" s="263">
        <v>0</v>
      </c>
      <c r="I352" s="263">
        <v>0</v>
      </c>
      <c r="J352" s="263">
        <v>0</v>
      </c>
      <c r="K352" s="267">
        <v>4</v>
      </c>
    </row>
    <row r="353" spans="1:11">
      <c r="A353" s="9" t="s">
        <v>11746</v>
      </c>
      <c r="B353" s="16">
        <v>72</v>
      </c>
      <c r="C353" s="9"/>
      <c r="D353" s="271" t="s">
        <v>8308</v>
      </c>
      <c r="E353" s="263">
        <v>8</v>
      </c>
      <c r="F353" s="263">
        <v>0</v>
      </c>
      <c r="G353" s="263">
        <v>0</v>
      </c>
      <c r="H353" s="263">
        <v>0</v>
      </c>
      <c r="I353" s="263">
        <v>0</v>
      </c>
      <c r="J353" s="263">
        <v>0</v>
      </c>
      <c r="K353" s="267">
        <v>8</v>
      </c>
    </row>
    <row r="354" spans="1:11">
      <c r="A354" s="9" t="s">
        <v>11747</v>
      </c>
      <c r="B354" s="16">
        <v>72</v>
      </c>
      <c r="C354" s="9"/>
      <c r="D354" s="271" t="s">
        <v>8309</v>
      </c>
      <c r="E354" s="263">
        <v>0</v>
      </c>
      <c r="F354" s="263">
        <v>0</v>
      </c>
      <c r="G354" s="263">
        <v>0</v>
      </c>
      <c r="H354" s="263">
        <v>0</v>
      </c>
      <c r="I354" s="263">
        <v>0</v>
      </c>
      <c r="J354" s="263">
        <v>4</v>
      </c>
      <c r="K354" s="267">
        <v>4</v>
      </c>
    </row>
    <row r="355" spans="1:11">
      <c r="A355" s="9" t="s">
        <v>11748</v>
      </c>
      <c r="B355" s="16">
        <v>72</v>
      </c>
      <c r="C355" s="9"/>
      <c r="D355" s="271" t="s">
        <v>8310</v>
      </c>
      <c r="E355" s="263">
        <v>0</v>
      </c>
      <c r="F355" s="263">
        <v>0</v>
      </c>
      <c r="G355" s="263">
        <v>0</v>
      </c>
      <c r="H355" s="263">
        <v>0</v>
      </c>
      <c r="I355" s="263">
        <v>0</v>
      </c>
      <c r="J355" s="263">
        <v>8</v>
      </c>
      <c r="K355" s="267">
        <v>8</v>
      </c>
    </row>
    <row r="356" spans="1:11">
      <c r="A356" s="9" t="s">
        <v>11749</v>
      </c>
      <c r="B356" s="16">
        <v>72</v>
      </c>
      <c r="C356" s="9"/>
      <c r="D356" s="271" t="s">
        <v>8311</v>
      </c>
      <c r="E356" s="263">
        <v>0</v>
      </c>
      <c r="F356" s="263">
        <v>0</v>
      </c>
      <c r="G356" s="263">
        <v>0</v>
      </c>
      <c r="H356" s="263">
        <v>0</v>
      </c>
      <c r="I356" s="263">
        <v>0</v>
      </c>
      <c r="J356" s="263">
        <v>4</v>
      </c>
      <c r="K356" s="267">
        <v>4</v>
      </c>
    </row>
    <row r="357" spans="1:11">
      <c r="A357" s="9" t="s">
        <v>11750</v>
      </c>
      <c r="B357" s="16">
        <v>72</v>
      </c>
      <c r="C357" s="9"/>
      <c r="D357" s="271" t="s">
        <v>8312</v>
      </c>
      <c r="E357" s="263">
        <v>0</v>
      </c>
      <c r="F357" s="263">
        <v>4</v>
      </c>
      <c r="G357" s="263">
        <v>0</v>
      </c>
      <c r="H357" s="263">
        <v>0</v>
      </c>
      <c r="I357" s="263">
        <v>0</v>
      </c>
      <c r="J357" s="263">
        <v>0</v>
      </c>
      <c r="K357" s="267">
        <v>4</v>
      </c>
    </row>
    <row r="358" spans="1:11">
      <c r="A358" s="9" t="s">
        <v>11751</v>
      </c>
      <c r="B358" s="16">
        <v>72</v>
      </c>
      <c r="C358" s="9"/>
      <c r="D358" s="271" t="s">
        <v>8313</v>
      </c>
      <c r="E358" s="263">
        <v>8</v>
      </c>
      <c r="F358" s="263">
        <v>0</v>
      </c>
      <c r="G358" s="263">
        <v>0</v>
      </c>
      <c r="H358" s="263">
        <v>0</v>
      </c>
      <c r="I358" s="263">
        <v>0</v>
      </c>
      <c r="J358" s="263">
        <v>0</v>
      </c>
      <c r="K358" s="267">
        <v>8</v>
      </c>
    </row>
    <row r="359" spans="1:11">
      <c r="A359" s="9" t="s">
        <v>11752</v>
      </c>
      <c r="B359" s="16">
        <v>72</v>
      </c>
      <c r="C359" s="9"/>
      <c r="D359" s="271" t="s">
        <v>8314</v>
      </c>
      <c r="E359" s="263">
        <v>4</v>
      </c>
      <c r="F359" s="263">
        <v>0</v>
      </c>
      <c r="G359" s="263">
        <v>0</v>
      </c>
      <c r="H359" s="263">
        <v>0</v>
      </c>
      <c r="I359" s="263">
        <v>0</v>
      </c>
      <c r="J359" s="263">
        <v>0</v>
      </c>
      <c r="K359" s="267">
        <v>4</v>
      </c>
    </row>
    <row r="360" spans="1:11">
      <c r="A360" s="9" t="s">
        <v>11753</v>
      </c>
      <c r="B360" s="16">
        <v>72</v>
      </c>
      <c r="C360" s="9"/>
      <c r="D360" s="271" t="s">
        <v>8315</v>
      </c>
      <c r="E360" s="263">
        <v>0</v>
      </c>
      <c r="F360" s="263">
        <v>0</v>
      </c>
      <c r="G360" s="263">
        <v>0</v>
      </c>
      <c r="H360" s="263">
        <v>0</v>
      </c>
      <c r="I360" s="263">
        <v>0</v>
      </c>
      <c r="J360" s="263">
        <v>8</v>
      </c>
      <c r="K360" s="267">
        <v>8</v>
      </c>
    </row>
    <row r="361" spans="1:11">
      <c r="A361" s="9" t="s">
        <v>11754</v>
      </c>
      <c r="B361" s="16">
        <v>72</v>
      </c>
      <c r="C361" s="9"/>
      <c r="D361" s="271" t="s">
        <v>8316</v>
      </c>
      <c r="E361" s="263">
        <v>0</v>
      </c>
      <c r="F361" s="263">
        <v>0</v>
      </c>
      <c r="G361" s="263">
        <v>0</v>
      </c>
      <c r="H361" s="263">
        <v>0</v>
      </c>
      <c r="I361" s="263">
        <v>0</v>
      </c>
      <c r="J361" s="263">
        <v>8</v>
      </c>
      <c r="K361" s="267">
        <v>8</v>
      </c>
    </row>
    <row r="362" spans="1:11">
      <c r="A362" s="9" t="s">
        <v>11755</v>
      </c>
      <c r="B362" s="16">
        <v>72</v>
      </c>
      <c r="C362" s="9"/>
      <c r="D362" s="271" t="s">
        <v>8317</v>
      </c>
      <c r="E362" s="263">
        <v>0</v>
      </c>
      <c r="F362" s="263">
        <v>4</v>
      </c>
      <c r="G362" s="263">
        <v>0</v>
      </c>
      <c r="H362" s="263">
        <v>0</v>
      </c>
      <c r="I362" s="263">
        <v>0</v>
      </c>
      <c r="J362" s="263">
        <v>0</v>
      </c>
      <c r="K362" s="267">
        <v>4</v>
      </c>
    </row>
    <row r="363" spans="1:11">
      <c r="B363" s="16">
        <v>72</v>
      </c>
      <c r="C363" s="9"/>
      <c r="D363" s="271"/>
      <c r="E363" s="263"/>
      <c r="F363" s="263"/>
      <c r="G363" s="263"/>
      <c r="H363" s="263"/>
      <c r="I363" s="263"/>
      <c r="J363" s="263"/>
      <c r="K363" s="267">
        <v>0</v>
      </c>
    </row>
    <row r="364" spans="1:11">
      <c r="B364" s="16">
        <v>72</v>
      </c>
      <c r="C364" s="9"/>
      <c r="D364" s="272" t="s">
        <v>3674</v>
      </c>
      <c r="E364" s="273">
        <v>24</v>
      </c>
      <c r="F364" s="273">
        <v>8</v>
      </c>
      <c r="G364" s="273">
        <v>0</v>
      </c>
      <c r="H364" s="273">
        <v>0</v>
      </c>
      <c r="I364" s="273">
        <v>0</v>
      </c>
      <c r="J364" s="273">
        <v>32</v>
      </c>
      <c r="K364" s="273">
        <v>64</v>
      </c>
    </row>
    <row r="365" spans="1:11">
      <c r="C365" s="9"/>
      <c r="D365" s="271"/>
      <c r="E365" s="263"/>
      <c r="F365" s="263"/>
      <c r="G365" s="263"/>
      <c r="H365" s="263"/>
      <c r="I365" s="263"/>
      <c r="J365" s="263"/>
      <c r="K365" s="267">
        <v>0</v>
      </c>
    </row>
    <row r="366" spans="1:11">
      <c r="B366" s="16">
        <v>0</v>
      </c>
      <c r="C366" s="9"/>
      <c r="D366" s="269" t="s">
        <v>13087</v>
      </c>
      <c r="E366" s="270">
        <v>179.2</v>
      </c>
      <c r="F366" s="270">
        <v>43.2</v>
      </c>
      <c r="G366" s="270">
        <v>0</v>
      </c>
      <c r="H366" s="270">
        <v>0</v>
      </c>
      <c r="I366" s="270">
        <v>0</v>
      </c>
      <c r="J366" s="270">
        <v>64.800000000000011</v>
      </c>
      <c r="K366" s="270">
        <v>287.2</v>
      </c>
    </row>
    <row r="367" spans="1:11">
      <c r="C367" s="9"/>
      <c r="D367" s="271"/>
      <c r="E367" s="263"/>
      <c r="F367" s="263"/>
      <c r="G367" s="263"/>
      <c r="H367" s="263"/>
      <c r="I367" s="263"/>
      <c r="J367" s="263"/>
      <c r="K367" s="267">
        <v>0</v>
      </c>
    </row>
    <row r="368" spans="1:11">
      <c r="C368" s="9"/>
      <c r="D368" s="271"/>
      <c r="E368" s="263"/>
      <c r="F368" s="263"/>
      <c r="G368" s="263"/>
      <c r="H368" s="263"/>
      <c r="I368" s="263"/>
      <c r="J368" s="263"/>
      <c r="K368" s="267">
        <v>0</v>
      </c>
    </row>
    <row r="369" spans="1:11">
      <c r="C369" s="9"/>
      <c r="D369" s="271" t="s">
        <v>4279</v>
      </c>
      <c r="E369" s="263"/>
      <c r="F369" s="263"/>
      <c r="G369" s="263"/>
      <c r="H369" s="263"/>
      <c r="I369" s="263"/>
      <c r="J369" s="263"/>
      <c r="K369" s="267">
        <v>0</v>
      </c>
    </row>
    <row r="370" spans="1:11">
      <c r="C370" s="9"/>
      <c r="D370" s="271"/>
      <c r="E370" s="263"/>
      <c r="F370" s="263"/>
      <c r="G370" s="263"/>
      <c r="H370" s="263"/>
      <c r="I370" s="263"/>
      <c r="J370" s="263"/>
      <c r="K370" s="267">
        <v>0</v>
      </c>
    </row>
    <row r="371" spans="1:11">
      <c r="A371" s="9" t="s">
        <v>11756</v>
      </c>
      <c r="B371" s="16">
        <v>69</v>
      </c>
      <c r="C371" s="9"/>
      <c r="D371" s="271" t="s">
        <v>8173</v>
      </c>
      <c r="E371" s="263">
        <v>8</v>
      </c>
      <c r="F371" s="263">
        <v>0</v>
      </c>
      <c r="G371" s="263">
        <v>0</v>
      </c>
      <c r="H371" s="263">
        <v>0</v>
      </c>
      <c r="I371" s="263">
        <v>0</v>
      </c>
      <c r="J371" s="263">
        <v>0</v>
      </c>
      <c r="K371" s="267">
        <v>8</v>
      </c>
    </row>
    <row r="372" spans="1:11">
      <c r="A372" s="9" t="s">
        <v>11757</v>
      </c>
      <c r="B372" s="16">
        <v>69</v>
      </c>
      <c r="C372" s="9"/>
      <c r="D372" s="271" t="s">
        <v>8174</v>
      </c>
      <c r="E372" s="263">
        <v>8</v>
      </c>
      <c r="F372" s="263">
        <v>0</v>
      </c>
      <c r="G372" s="263">
        <v>0</v>
      </c>
      <c r="H372" s="263">
        <v>0</v>
      </c>
      <c r="I372" s="263">
        <v>0</v>
      </c>
      <c r="J372" s="263">
        <v>0</v>
      </c>
      <c r="K372" s="267">
        <v>8</v>
      </c>
    </row>
    <row r="373" spans="1:11">
      <c r="A373" s="9" t="s">
        <v>11758</v>
      </c>
      <c r="B373" s="16">
        <v>69</v>
      </c>
      <c r="C373" s="9"/>
      <c r="D373" s="271" t="s">
        <v>8175</v>
      </c>
      <c r="E373" s="263">
        <v>8</v>
      </c>
      <c r="F373" s="263">
        <v>0</v>
      </c>
      <c r="G373" s="263">
        <v>0</v>
      </c>
      <c r="H373" s="263">
        <v>0</v>
      </c>
      <c r="I373" s="263">
        <v>0</v>
      </c>
      <c r="J373" s="263">
        <v>0</v>
      </c>
      <c r="K373" s="267">
        <v>8</v>
      </c>
    </row>
    <row r="374" spans="1:11">
      <c r="A374" s="9" t="s">
        <v>11759</v>
      </c>
      <c r="B374" s="16">
        <v>69</v>
      </c>
      <c r="C374" s="9"/>
      <c r="D374" s="271" t="s">
        <v>8176</v>
      </c>
      <c r="E374" s="263">
        <v>8</v>
      </c>
      <c r="F374" s="263">
        <v>0</v>
      </c>
      <c r="G374" s="263">
        <v>0</v>
      </c>
      <c r="H374" s="263">
        <v>0</v>
      </c>
      <c r="I374" s="263">
        <v>0</v>
      </c>
      <c r="J374" s="263">
        <v>0</v>
      </c>
      <c r="K374" s="267">
        <v>8</v>
      </c>
    </row>
    <row r="375" spans="1:11">
      <c r="A375" s="9" t="s">
        <v>11760</v>
      </c>
      <c r="B375" s="16">
        <v>69</v>
      </c>
      <c r="C375" s="9"/>
      <c r="D375" s="271" t="s">
        <v>8177</v>
      </c>
      <c r="E375" s="263">
        <v>8</v>
      </c>
      <c r="F375" s="263">
        <v>0</v>
      </c>
      <c r="G375" s="263">
        <v>0</v>
      </c>
      <c r="H375" s="263">
        <v>0</v>
      </c>
      <c r="I375" s="263">
        <v>0</v>
      </c>
      <c r="J375" s="263">
        <v>0</v>
      </c>
      <c r="K375" s="267">
        <v>8</v>
      </c>
    </row>
    <row r="376" spans="1:11">
      <c r="A376" s="9" t="s">
        <v>11761</v>
      </c>
      <c r="B376" s="16">
        <v>69</v>
      </c>
      <c r="C376" s="9"/>
      <c r="D376" s="271" t="s">
        <v>8178</v>
      </c>
      <c r="E376" s="263">
        <v>4</v>
      </c>
      <c r="F376" s="263">
        <v>0</v>
      </c>
      <c r="G376" s="263">
        <v>0</v>
      </c>
      <c r="H376" s="263">
        <v>0</v>
      </c>
      <c r="I376" s="263">
        <v>0</v>
      </c>
      <c r="J376" s="263">
        <v>0</v>
      </c>
      <c r="K376" s="267">
        <v>4</v>
      </c>
    </row>
    <row r="377" spans="1:11">
      <c r="A377" s="9" t="s">
        <v>11762</v>
      </c>
      <c r="B377" s="16">
        <v>69</v>
      </c>
      <c r="C377" s="9"/>
      <c r="D377" s="271" t="s">
        <v>8179</v>
      </c>
      <c r="E377" s="263">
        <v>8</v>
      </c>
      <c r="F377" s="263">
        <v>0</v>
      </c>
      <c r="G377" s="263">
        <v>0</v>
      </c>
      <c r="H377" s="263">
        <v>0</v>
      </c>
      <c r="I377" s="263">
        <v>0</v>
      </c>
      <c r="J377" s="263">
        <v>0</v>
      </c>
      <c r="K377" s="267">
        <v>8</v>
      </c>
    </row>
    <row r="378" spans="1:11">
      <c r="A378" s="9" t="s">
        <v>11763</v>
      </c>
      <c r="B378" s="16">
        <v>69</v>
      </c>
      <c r="C378" s="9"/>
      <c r="D378" s="271" t="s">
        <v>8180</v>
      </c>
      <c r="E378" s="263">
        <v>0</v>
      </c>
      <c r="F378" s="263">
        <v>0</v>
      </c>
      <c r="G378" s="263">
        <v>8</v>
      </c>
      <c r="H378" s="263">
        <v>0</v>
      </c>
      <c r="I378" s="263">
        <v>0</v>
      </c>
      <c r="J378" s="263">
        <v>0</v>
      </c>
      <c r="K378" s="267">
        <v>8</v>
      </c>
    </row>
    <row r="379" spans="1:11">
      <c r="A379" s="9" t="s">
        <v>11764</v>
      </c>
      <c r="B379" s="16">
        <v>69</v>
      </c>
      <c r="C379" s="9"/>
      <c r="D379" s="271" t="s">
        <v>8181</v>
      </c>
      <c r="E379" s="263">
        <v>0</v>
      </c>
      <c r="F379" s="263">
        <v>0</v>
      </c>
      <c r="G379" s="263">
        <v>0</v>
      </c>
      <c r="H379" s="263">
        <v>0</v>
      </c>
      <c r="I379" s="263">
        <v>0</v>
      </c>
      <c r="J379" s="263">
        <v>8</v>
      </c>
      <c r="K379" s="267">
        <v>8</v>
      </c>
    </row>
    <row r="380" spans="1:11">
      <c r="B380" s="16">
        <v>69</v>
      </c>
      <c r="C380" s="9"/>
      <c r="D380" s="271"/>
      <c r="E380" s="263"/>
      <c r="F380" s="263"/>
      <c r="G380" s="263"/>
      <c r="H380" s="263"/>
      <c r="I380" s="263"/>
      <c r="J380" s="263"/>
      <c r="K380" s="267">
        <v>0</v>
      </c>
    </row>
    <row r="381" spans="1:11">
      <c r="B381" s="16">
        <v>69</v>
      </c>
      <c r="C381" s="9"/>
      <c r="D381" s="272" t="s">
        <v>3674</v>
      </c>
      <c r="E381" s="273">
        <v>52</v>
      </c>
      <c r="F381" s="273">
        <v>0</v>
      </c>
      <c r="G381" s="273">
        <v>8</v>
      </c>
      <c r="H381" s="273">
        <v>0</v>
      </c>
      <c r="I381" s="273">
        <v>0</v>
      </c>
      <c r="J381" s="273">
        <v>8</v>
      </c>
      <c r="K381" s="273">
        <v>68</v>
      </c>
    </row>
    <row r="382" spans="1:11">
      <c r="C382" s="9"/>
      <c r="D382" s="271"/>
      <c r="E382" s="263"/>
      <c r="F382" s="263"/>
      <c r="G382" s="263"/>
      <c r="H382" s="263"/>
      <c r="I382" s="263"/>
      <c r="J382" s="263"/>
      <c r="K382" s="267">
        <v>0</v>
      </c>
    </row>
    <row r="383" spans="1:11">
      <c r="A383" s="9" t="s">
        <v>11765</v>
      </c>
      <c r="B383" s="16">
        <v>73</v>
      </c>
      <c r="C383" s="9"/>
      <c r="D383" s="271" t="s">
        <v>8182</v>
      </c>
      <c r="E383" s="263">
        <v>0</v>
      </c>
      <c r="F383" s="263">
        <v>0</v>
      </c>
      <c r="G383" s="263">
        <v>18.400000000000002</v>
      </c>
      <c r="H383" s="263">
        <v>0</v>
      </c>
      <c r="I383" s="263">
        <v>0</v>
      </c>
      <c r="J383" s="263">
        <v>0</v>
      </c>
      <c r="K383" s="267">
        <v>18.400000000000002</v>
      </c>
    </row>
    <row r="384" spans="1:11">
      <c r="A384" s="9" t="s">
        <v>11766</v>
      </c>
      <c r="B384" s="16">
        <v>73</v>
      </c>
      <c r="C384" s="9"/>
      <c r="D384" s="271" t="s">
        <v>8183</v>
      </c>
      <c r="E384" s="263">
        <v>0</v>
      </c>
      <c r="F384" s="263">
        <v>0</v>
      </c>
      <c r="G384" s="263">
        <v>12.8</v>
      </c>
      <c r="H384" s="263">
        <v>0</v>
      </c>
      <c r="I384" s="263">
        <v>0</v>
      </c>
      <c r="J384" s="263">
        <v>0</v>
      </c>
      <c r="K384" s="267">
        <v>12.8</v>
      </c>
    </row>
    <row r="385" spans="1:11">
      <c r="B385" s="16">
        <v>73</v>
      </c>
      <c r="C385" s="9"/>
      <c r="D385" s="271"/>
      <c r="E385" s="263"/>
      <c r="F385" s="263"/>
      <c r="G385" s="263"/>
      <c r="H385" s="263"/>
      <c r="I385" s="263"/>
      <c r="J385" s="263"/>
      <c r="K385" s="267">
        <v>0</v>
      </c>
    </row>
    <row r="386" spans="1:11">
      <c r="B386" s="16">
        <v>73</v>
      </c>
      <c r="C386" s="9"/>
      <c r="D386" s="272" t="s">
        <v>3674</v>
      </c>
      <c r="E386" s="273">
        <v>0</v>
      </c>
      <c r="F386" s="273">
        <v>0</v>
      </c>
      <c r="G386" s="273">
        <v>31.200000000000003</v>
      </c>
      <c r="H386" s="273">
        <v>0</v>
      </c>
      <c r="I386" s="273">
        <v>0</v>
      </c>
      <c r="J386" s="273">
        <v>0</v>
      </c>
      <c r="K386" s="273">
        <v>31.200000000000003</v>
      </c>
    </row>
    <row r="387" spans="1:11">
      <c r="C387" s="9"/>
      <c r="D387" s="271"/>
      <c r="E387" s="263"/>
      <c r="F387" s="263"/>
      <c r="G387" s="263"/>
      <c r="H387" s="263"/>
      <c r="I387" s="263"/>
      <c r="J387" s="263"/>
      <c r="K387" s="267">
        <v>0</v>
      </c>
    </row>
    <row r="388" spans="1:11">
      <c r="A388" s="9" t="s">
        <v>11767</v>
      </c>
      <c r="B388" s="16">
        <v>74</v>
      </c>
      <c r="C388" s="9"/>
      <c r="D388" s="271" t="s">
        <v>8184</v>
      </c>
      <c r="E388" s="263">
        <v>16</v>
      </c>
      <c r="F388" s="263">
        <v>0</v>
      </c>
      <c r="G388" s="263">
        <v>0</v>
      </c>
      <c r="H388" s="263">
        <v>0</v>
      </c>
      <c r="I388" s="263">
        <v>0</v>
      </c>
      <c r="J388" s="263">
        <v>0</v>
      </c>
      <c r="K388" s="267">
        <v>16</v>
      </c>
    </row>
    <row r="389" spans="1:11">
      <c r="A389" s="9" t="s">
        <v>11768</v>
      </c>
      <c r="B389" s="16">
        <v>74</v>
      </c>
      <c r="C389" s="9"/>
      <c r="D389" s="271" t="s">
        <v>8185</v>
      </c>
      <c r="E389" s="263">
        <v>16</v>
      </c>
      <c r="F389" s="263">
        <v>0</v>
      </c>
      <c r="G389" s="263">
        <v>0</v>
      </c>
      <c r="H389" s="263">
        <v>0</v>
      </c>
      <c r="I389" s="263">
        <v>0</v>
      </c>
      <c r="J389" s="263">
        <v>0</v>
      </c>
      <c r="K389" s="267">
        <v>16</v>
      </c>
    </row>
    <row r="390" spans="1:11">
      <c r="A390" s="9" t="s">
        <v>11769</v>
      </c>
      <c r="B390" s="16">
        <v>74</v>
      </c>
      <c r="C390" s="9"/>
      <c r="D390" s="271" t="s">
        <v>8186</v>
      </c>
      <c r="E390" s="263">
        <v>16</v>
      </c>
      <c r="F390" s="263">
        <v>0</v>
      </c>
      <c r="G390" s="263">
        <v>0</v>
      </c>
      <c r="H390" s="263">
        <v>0</v>
      </c>
      <c r="I390" s="263">
        <v>0</v>
      </c>
      <c r="J390" s="263">
        <v>0</v>
      </c>
      <c r="K390" s="267">
        <v>16</v>
      </c>
    </row>
    <row r="391" spans="1:11">
      <c r="A391" s="9" t="s">
        <v>11770</v>
      </c>
      <c r="B391" s="16">
        <v>74</v>
      </c>
      <c r="C391" s="9"/>
      <c r="D391" s="271" t="s">
        <v>8187</v>
      </c>
      <c r="E391" s="263">
        <v>0</v>
      </c>
      <c r="F391" s="263">
        <v>0</v>
      </c>
      <c r="G391" s="263">
        <v>12</v>
      </c>
      <c r="H391" s="263">
        <v>0</v>
      </c>
      <c r="I391" s="263">
        <v>0</v>
      </c>
      <c r="J391" s="263">
        <v>0</v>
      </c>
      <c r="K391" s="267">
        <v>12</v>
      </c>
    </row>
    <row r="392" spans="1:11">
      <c r="B392" s="16">
        <v>74</v>
      </c>
      <c r="C392" s="9"/>
      <c r="D392" s="271"/>
      <c r="E392" s="263"/>
      <c r="F392" s="263"/>
      <c r="G392" s="263"/>
      <c r="H392" s="263"/>
      <c r="I392" s="263"/>
      <c r="J392" s="263"/>
      <c r="K392" s="267">
        <v>0</v>
      </c>
    </row>
    <row r="393" spans="1:11">
      <c r="B393" s="16">
        <v>74</v>
      </c>
      <c r="C393" s="9"/>
      <c r="D393" s="272" t="s">
        <v>3674</v>
      </c>
      <c r="E393" s="273">
        <v>48</v>
      </c>
      <c r="F393" s="273">
        <v>0</v>
      </c>
      <c r="G393" s="273">
        <v>12</v>
      </c>
      <c r="H393" s="273">
        <v>0</v>
      </c>
      <c r="I393" s="273">
        <v>0</v>
      </c>
      <c r="J393" s="273">
        <v>0</v>
      </c>
      <c r="K393" s="273">
        <v>60</v>
      </c>
    </row>
    <row r="394" spans="1:11">
      <c r="C394" s="9"/>
      <c r="D394" s="271"/>
      <c r="E394" s="263"/>
      <c r="F394" s="263"/>
      <c r="G394" s="263"/>
      <c r="H394" s="263"/>
      <c r="I394" s="263"/>
      <c r="J394" s="263"/>
      <c r="K394" s="267">
        <v>0</v>
      </c>
    </row>
    <row r="395" spans="1:11">
      <c r="A395" s="9" t="s">
        <v>11771</v>
      </c>
      <c r="B395" s="16">
        <v>75</v>
      </c>
      <c r="C395" s="9"/>
      <c r="D395" s="271" t="s">
        <v>8188</v>
      </c>
      <c r="E395" s="263">
        <v>16</v>
      </c>
      <c r="F395" s="263">
        <v>0</v>
      </c>
      <c r="G395" s="263">
        <v>0</v>
      </c>
      <c r="H395" s="263">
        <v>0</v>
      </c>
      <c r="I395" s="263">
        <v>0</v>
      </c>
      <c r="J395" s="263">
        <v>0</v>
      </c>
      <c r="K395" s="267">
        <v>16</v>
      </c>
    </row>
    <row r="396" spans="1:11">
      <c r="A396" s="9" t="s">
        <v>11772</v>
      </c>
      <c r="B396" s="16">
        <v>75</v>
      </c>
      <c r="C396" s="9"/>
      <c r="D396" s="271" t="s">
        <v>8189</v>
      </c>
      <c r="E396" s="263">
        <v>12</v>
      </c>
      <c r="F396" s="263">
        <v>0</v>
      </c>
      <c r="G396" s="263">
        <v>0</v>
      </c>
      <c r="H396" s="263">
        <v>0</v>
      </c>
      <c r="I396" s="263">
        <v>0</v>
      </c>
      <c r="J396" s="263">
        <v>0</v>
      </c>
      <c r="K396" s="267">
        <v>12</v>
      </c>
    </row>
    <row r="397" spans="1:11">
      <c r="A397" s="9" t="s">
        <v>11773</v>
      </c>
      <c r="B397" s="16">
        <v>75</v>
      </c>
      <c r="C397" s="9"/>
      <c r="D397" s="271" t="s">
        <v>8190</v>
      </c>
      <c r="E397" s="263">
        <v>12</v>
      </c>
      <c r="F397" s="263">
        <v>0</v>
      </c>
      <c r="G397" s="263">
        <v>0</v>
      </c>
      <c r="H397" s="263">
        <v>0</v>
      </c>
      <c r="I397" s="263">
        <v>0</v>
      </c>
      <c r="J397" s="263">
        <v>0</v>
      </c>
      <c r="K397" s="267">
        <v>12</v>
      </c>
    </row>
    <row r="398" spans="1:11">
      <c r="A398" s="9" t="s">
        <v>11774</v>
      </c>
      <c r="B398" s="16">
        <v>75</v>
      </c>
      <c r="C398" s="9"/>
      <c r="D398" s="271" t="s">
        <v>8191</v>
      </c>
      <c r="E398" s="263">
        <v>12</v>
      </c>
      <c r="F398" s="263">
        <v>0</v>
      </c>
      <c r="G398" s="263">
        <v>0</v>
      </c>
      <c r="H398" s="263">
        <v>0</v>
      </c>
      <c r="I398" s="263">
        <v>0</v>
      </c>
      <c r="J398" s="263">
        <v>0</v>
      </c>
      <c r="K398" s="267">
        <v>12</v>
      </c>
    </row>
    <row r="399" spans="1:11">
      <c r="A399" s="9" t="s">
        <v>11775</v>
      </c>
      <c r="B399" s="16">
        <v>75</v>
      </c>
      <c r="C399" s="9"/>
      <c r="D399" s="271" t="s">
        <v>8192</v>
      </c>
      <c r="E399" s="263">
        <v>0</v>
      </c>
      <c r="F399" s="263">
        <v>8</v>
      </c>
      <c r="G399" s="263">
        <v>0</v>
      </c>
      <c r="H399" s="263">
        <v>0</v>
      </c>
      <c r="I399" s="263">
        <v>0</v>
      </c>
      <c r="J399" s="263">
        <v>0</v>
      </c>
      <c r="K399" s="267">
        <v>8</v>
      </c>
    </row>
    <row r="400" spans="1:11">
      <c r="B400" s="16">
        <v>75</v>
      </c>
      <c r="C400" s="9"/>
      <c r="D400" s="271"/>
      <c r="E400" s="263"/>
      <c r="F400" s="263"/>
      <c r="G400" s="263"/>
      <c r="H400" s="263"/>
      <c r="I400" s="263"/>
      <c r="J400" s="263"/>
      <c r="K400" s="267">
        <v>0</v>
      </c>
    </row>
    <row r="401" spans="1:11">
      <c r="B401" s="16">
        <v>75</v>
      </c>
      <c r="C401" s="9"/>
      <c r="D401" s="272" t="s">
        <v>3674</v>
      </c>
      <c r="E401" s="273">
        <v>52</v>
      </c>
      <c r="F401" s="273">
        <v>8</v>
      </c>
      <c r="G401" s="273">
        <v>0</v>
      </c>
      <c r="H401" s="273">
        <v>0</v>
      </c>
      <c r="I401" s="273">
        <v>0</v>
      </c>
      <c r="J401" s="273">
        <v>0</v>
      </c>
      <c r="K401" s="273">
        <v>60</v>
      </c>
    </row>
    <row r="402" spans="1:11">
      <c r="C402" s="9"/>
      <c r="D402" s="271"/>
      <c r="E402" s="263"/>
      <c r="F402" s="263"/>
      <c r="G402" s="263"/>
      <c r="H402" s="263"/>
      <c r="I402" s="263"/>
      <c r="J402" s="263"/>
      <c r="K402" s="267">
        <v>0</v>
      </c>
    </row>
    <row r="403" spans="1:11">
      <c r="A403" s="9" t="s">
        <v>11776</v>
      </c>
      <c r="B403" s="16">
        <v>76</v>
      </c>
      <c r="C403" s="9"/>
      <c r="D403" s="271" t="s">
        <v>8193</v>
      </c>
      <c r="E403" s="263">
        <v>8</v>
      </c>
      <c r="F403" s="263">
        <v>0</v>
      </c>
      <c r="G403" s="263">
        <v>0</v>
      </c>
      <c r="H403" s="263">
        <v>0</v>
      </c>
      <c r="I403" s="263">
        <v>0</v>
      </c>
      <c r="J403" s="263">
        <v>0</v>
      </c>
      <c r="K403" s="267">
        <v>8</v>
      </c>
    </row>
    <row r="404" spans="1:11">
      <c r="A404" s="9" t="s">
        <v>11777</v>
      </c>
      <c r="B404" s="16">
        <v>76</v>
      </c>
      <c r="C404" s="9"/>
      <c r="D404" s="271" t="s">
        <v>8194</v>
      </c>
      <c r="E404" s="263">
        <v>8</v>
      </c>
      <c r="F404" s="263">
        <v>0</v>
      </c>
      <c r="G404" s="263">
        <v>0</v>
      </c>
      <c r="H404" s="263">
        <v>0</v>
      </c>
      <c r="I404" s="263">
        <v>0</v>
      </c>
      <c r="J404" s="263">
        <v>0</v>
      </c>
      <c r="K404" s="267">
        <v>8</v>
      </c>
    </row>
    <row r="405" spans="1:11">
      <c r="A405" s="9" t="s">
        <v>11778</v>
      </c>
      <c r="B405" s="16">
        <v>76</v>
      </c>
      <c r="C405" s="9"/>
      <c r="D405" s="271" t="s">
        <v>8195</v>
      </c>
      <c r="E405" s="263">
        <v>8</v>
      </c>
      <c r="F405" s="263">
        <v>0</v>
      </c>
      <c r="G405" s="263">
        <v>0</v>
      </c>
      <c r="H405" s="263">
        <v>0</v>
      </c>
      <c r="I405" s="263">
        <v>0</v>
      </c>
      <c r="J405" s="263">
        <v>0</v>
      </c>
      <c r="K405" s="267">
        <v>8</v>
      </c>
    </row>
    <row r="406" spans="1:11">
      <c r="A406" s="9" t="s">
        <v>11779</v>
      </c>
      <c r="B406" s="16">
        <v>76</v>
      </c>
      <c r="C406" s="9"/>
      <c r="D406" s="271" t="s">
        <v>8196</v>
      </c>
      <c r="E406" s="263">
        <v>8</v>
      </c>
      <c r="F406" s="263">
        <v>0</v>
      </c>
      <c r="G406" s="263">
        <v>0</v>
      </c>
      <c r="H406" s="263">
        <v>0</v>
      </c>
      <c r="I406" s="263">
        <v>0</v>
      </c>
      <c r="J406" s="263">
        <v>0</v>
      </c>
      <c r="K406" s="267">
        <v>8</v>
      </c>
    </row>
    <row r="407" spans="1:11">
      <c r="A407" s="9" t="s">
        <v>11780</v>
      </c>
      <c r="B407" s="16">
        <v>76</v>
      </c>
      <c r="C407" s="9"/>
      <c r="D407" s="271" t="s">
        <v>8197</v>
      </c>
      <c r="E407" s="263">
        <v>8</v>
      </c>
      <c r="F407" s="263">
        <v>0</v>
      </c>
      <c r="G407" s="263">
        <v>0</v>
      </c>
      <c r="H407" s="263">
        <v>0</v>
      </c>
      <c r="I407" s="263">
        <v>0</v>
      </c>
      <c r="J407" s="263">
        <v>0</v>
      </c>
      <c r="K407" s="267">
        <v>8</v>
      </c>
    </row>
    <row r="408" spans="1:11">
      <c r="A408" s="9" t="s">
        <v>11781</v>
      </c>
      <c r="B408" s="16">
        <v>76</v>
      </c>
      <c r="C408" s="9"/>
      <c r="D408" s="271" t="s">
        <v>8198</v>
      </c>
      <c r="E408" s="263">
        <v>0</v>
      </c>
      <c r="F408" s="263">
        <v>0</v>
      </c>
      <c r="G408" s="263">
        <v>8</v>
      </c>
      <c r="H408" s="263">
        <v>0</v>
      </c>
      <c r="I408" s="263">
        <v>0</v>
      </c>
      <c r="J408" s="263">
        <v>0</v>
      </c>
      <c r="K408" s="267">
        <v>8</v>
      </c>
    </row>
    <row r="409" spans="1:11">
      <c r="A409" s="9" t="s">
        <v>11782</v>
      </c>
      <c r="B409" s="16">
        <v>76</v>
      </c>
      <c r="C409" s="9"/>
      <c r="D409" s="271" t="s">
        <v>8199</v>
      </c>
      <c r="E409" s="263">
        <v>0</v>
      </c>
      <c r="F409" s="263">
        <v>0</v>
      </c>
      <c r="G409" s="263">
        <v>16</v>
      </c>
      <c r="H409" s="263">
        <v>0</v>
      </c>
      <c r="I409" s="263">
        <v>0</v>
      </c>
      <c r="J409" s="263">
        <v>0</v>
      </c>
      <c r="K409" s="267">
        <v>16</v>
      </c>
    </row>
    <row r="410" spans="1:11">
      <c r="A410" s="9" t="s">
        <v>11783</v>
      </c>
      <c r="B410" s="16">
        <v>76</v>
      </c>
      <c r="C410" s="9"/>
      <c r="D410" s="271" t="s">
        <v>8200</v>
      </c>
      <c r="E410" s="263">
        <v>0</v>
      </c>
      <c r="F410" s="263">
        <v>0</v>
      </c>
      <c r="G410" s="263">
        <v>12.8</v>
      </c>
      <c r="H410" s="263">
        <v>0</v>
      </c>
      <c r="I410" s="263">
        <v>0</v>
      </c>
      <c r="J410" s="263">
        <v>0</v>
      </c>
      <c r="K410" s="267">
        <v>12.8</v>
      </c>
    </row>
    <row r="411" spans="1:11">
      <c r="B411" s="16">
        <v>76</v>
      </c>
      <c r="C411" s="9"/>
      <c r="D411" s="271"/>
      <c r="E411" s="263"/>
      <c r="F411" s="263"/>
      <c r="G411" s="263"/>
      <c r="H411" s="263"/>
      <c r="I411" s="263"/>
      <c r="J411" s="263"/>
      <c r="K411" s="267">
        <v>0</v>
      </c>
    </row>
    <row r="412" spans="1:11">
      <c r="B412" s="16">
        <v>76</v>
      </c>
      <c r="C412" s="9"/>
      <c r="D412" s="272" t="s">
        <v>3674</v>
      </c>
      <c r="E412" s="273">
        <v>40</v>
      </c>
      <c r="F412" s="273">
        <v>0</v>
      </c>
      <c r="G412" s="273">
        <v>36.799999999999997</v>
      </c>
      <c r="H412" s="273">
        <v>0</v>
      </c>
      <c r="I412" s="273">
        <v>0</v>
      </c>
      <c r="J412" s="273">
        <v>0</v>
      </c>
      <c r="K412" s="273">
        <v>76.8</v>
      </c>
    </row>
    <row r="413" spans="1:11">
      <c r="C413" s="9"/>
      <c r="D413" s="271"/>
      <c r="E413" s="263"/>
      <c r="F413" s="263"/>
      <c r="G413" s="263"/>
      <c r="H413" s="263"/>
      <c r="I413" s="263"/>
      <c r="J413" s="263"/>
      <c r="K413" s="267">
        <v>0</v>
      </c>
    </row>
    <row r="414" spans="1:11">
      <c r="B414" s="16">
        <v>0</v>
      </c>
      <c r="C414" s="9"/>
      <c r="D414" s="269" t="s">
        <v>13088</v>
      </c>
      <c r="E414" s="270">
        <v>192</v>
      </c>
      <c r="F414" s="270">
        <v>8</v>
      </c>
      <c r="G414" s="270">
        <v>88</v>
      </c>
      <c r="H414" s="270">
        <v>0</v>
      </c>
      <c r="I414" s="270">
        <v>0</v>
      </c>
      <c r="J414" s="270">
        <v>8</v>
      </c>
      <c r="K414" s="270">
        <v>296</v>
      </c>
    </row>
    <row r="415" spans="1:11">
      <c r="C415" s="9"/>
      <c r="D415" s="271" t="s">
        <v>4280</v>
      </c>
      <c r="E415" s="263"/>
      <c r="F415" s="263"/>
      <c r="G415" s="263"/>
      <c r="H415" s="263"/>
      <c r="I415" s="263"/>
      <c r="J415" s="263"/>
      <c r="K415" s="267">
        <v>0</v>
      </c>
    </row>
    <row r="416" spans="1:11">
      <c r="C416" s="9"/>
      <c r="D416" s="271"/>
      <c r="E416" s="263"/>
      <c r="F416" s="263"/>
      <c r="G416" s="263"/>
      <c r="H416" s="263"/>
      <c r="I416" s="263"/>
      <c r="J416" s="263"/>
      <c r="K416" s="267">
        <v>0</v>
      </c>
    </row>
    <row r="417" spans="1:11">
      <c r="A417" s="9" t="s">
        <v>11784</v>
      </c>
      <c r="B417" s="16">
        <v>41</v>
      </c>
      <c r="C417" s="9"/>
      <c r="D417" s="271" t="s">
        <v>8130</v>
      </c>
      <c r="E417" s="263">
        <v>11.200000000000001</v>
      </c>
      <c r="F417" s="263">
        <v>0</v>
      </c>
      <c r="G417" s="263">
        <v>0</v>
      </c>
      <c r="H417" s="263">
        <v>0</v>
      </c>
      <c r="I417" s="263">
        <v>0</v>
      </c>
      <c r="J417" s="263">
        <v>0</v>
      </c>
      <c r="K417" s="267">
        <v>11.200000000000001</v>
      </c>
    </row>
    <row r="418" spans="1:11">
      <c r="B418" s="16">
        <v>41</v>
      </c>
      <c r="C418" s="9"/>
      <c r="D418" s="271"/>
      <c r="E418" s="263"/>
      <c r="F418" s="263"/>
      <c r="G418" s="263"/>
      <c r="H418" s="263"/>
      <c r="I418" s="263"/>
      <c r="J418" s="263"/>
      <c r="K418" s="267">
        <v>0</v>
      </c>
    </row>
    <row r="419" spans="1:11">
      <c r="B419" s="16">
        <v>41</v>
      </c>
      <c r="C419" s="9"/>
      <c r="D419" s="272" t="s">
        <v>3674</v>
      </c>
      <c r="E419" s="273">
        <v>11.200000000000001</v>
      </c>
      <c r="F419" s="273">
        <v>0</v>
      </c>
      <c r="G419" s="273">
        <v>0</v>
      </c>
      <c r="H419" s="273">
        <v>0</v>
      </c>
      <c r="I419" s="273">
        <v>0</v>
      </c>
      <c r="J419" s="273">
        <v>0</v>
      </c>
      <c r="K419" s="273">
        <v>11.200000000000001</v>
      </c>
    </row>
    <row r="420" spans="1:11">
      <c r="C420" s="9"/>
      <c r="D420" s="271"/>
      <c r="E420" s="263"/>
      <c r="F420" s="263"/>
      <c r="G420" s="263"/>
      <c r="H420" s="263"/>
      <c r="I420" s="263"/>
      <c r="J420" s="263"/>
      <c r="K420" s="267">
        <v>0</v>
      </c>
    </row>
    <row r="421" spans="1:11">
      <c r="A421" s="9" t="s">
        <v>11785</v>
      </c>
      <c r="B421" s="16">
        <v>46</v>
      </c>
      <c r="C421" s="9"/>
      <c r="D421" s="271" t="s">
        <v>8131</v>
      </c>
      <c r="E421" s="263">
        <v>4</v>
      </c>
      <c r="F421" s="263">
        <v>0</v>
      </c>
      <c r="G421" s="263">
        <v>0</v>
      </c>
      <c r="H421" s="263">
        <v>0</v>
      </c>
      <c r="I421" s="263">
        <v>0</v>
      </c>
      <c r="J421" s="263">
        <v>0</v>
      </c>
      <c r="K421" s="267">
        <v>4</v>
      </c>
    </row>
    <row r="422" spans="1:11">
      <c r="B422" s="16">
        <v>46</v>
      </c>
      <c r="C422" s="9"/>
      <c r="D422" s="271"/>
      <c r="E422" s="263"/>
      <c r="F422" s="263"/>
      <c r="G422" s="263"/>
      <c r="H422" s="263"/>
      <c r="I422" s="263"/>
      <c r="J422" s="263"/>
      <c r="K422" s="267">
        <v>0</v>
      </c>
    </row>
    <row r="423" spans="1:11">
      <c r="B423" s="16">
        <v>46</v>
      </c>
      <c r="C423" s="9"/>
      <c r="D423" s="272" t="s">
        <v>3674</v>
      </c>
      <c r="E423" s="273">
        <v>4</v>
      </c>
      <c r="F423" s="273">
        <v>0</v>
      </c>
      <c r="G423" s="273">
        <v>0</v>
      </c>
      <c r="H423" s="273">
        <v>0</v>
      </c>
      <c r="I423" s="273">
        <v>0</v>
      </c>
      <c r="J423" s="273">
        <v>0</v>
      </c>
      <c r="K423" s="273">
        <v>4</v>
      </c>
    </row>
    <row r="424" spans="1:11">
      <c r="C424" s="9"/>
      <c r="D424" s="271"/>
      <c r="E424" s="263"/>
      <c r="F424" s="263"/>
      <c r="G424" s="263"/>
      <c r="H424" s="263"/>
      <c r="I424" s="263"/>
      <c r="J424" s="263"/>
      <c r="K424" s="267">
        <v>0</v>
      </c>
    </row>
    <row r="425" spans="1:11">
      <c r="A425" s="9" t="s">
        <v>11786</v>
      </c>
      <c r="B425" s="16">
        <v>61</v>
      </c>
      <c r="C425" s="9"/>
      <c r="D425" s="271" t="s">
        <v>8132</v>
      </c>
      <c r="E425" s="263">
        <v>8</v>
      </c>
      <c r="F425" s="263">
        <v>0</v>
      </c>
      <c r="G425" s="263">
        <v>0</v>
      </c>
      <c r="H425" s="263">
        <v>0</v>
      </c>
      <c r="I425" s="263">
        <v>0</v>
      </c>
      <c r="J425" s="263">
        <v>0</v>
      </c>
      <c r="K425" s="267">
        <v>8</v>
      </c>
    </row>
    <row r="426" spans="1:11">
      <c r="B426" s="16">
        <v>61</v>
      </c>
      <c r="C426" s="9"/>
      <c r="D426" s="271"/>
      <c r="E426" s="263"/>
      <c r="F426" s="263"/>
      <c r="G426" s="263"/>
      <c r="H426" s="263"/>
      <c r="I426" s="263"/>
      <c r="J426" s="263"/>
      <c r="K426" s="267">
        <v>0</v>
      </c>
    </row>
    <row r="427" spans="1:11">
      <c r="B427" s="16">
        <v>61</v>
      </c>
      <c r="C427" s="9"/>
      <c r="D427" s="272" t="s">
        <v>3674</v>
      </c>
      <c r="E427" s="273">
        <v>8</v>
      </c>
      <c r="F427" s="273">
        <v>0</v>
      </c>
      <c r="G427" s="273">
        <v>0</v>
      </c>
      <c r="H427" s="273">
        <v>0</v>
      </c>
      <c r="I427" s="273">
        <v>0</v>
      </c>
      <c r="J427" s="273">
        <v>0</v>
      </c>
      <c r="K427" s="273">
        <v>8</v>
      </c>
    </row>
    <row r="428" spans="1:11">
      <c r="C428" s="9"/>
      <c r="D428" s="271"/>
      <c r="E428" s="263"/>
      <c r="F428" s="263"/>
      <c r="G428" s="263"/>
      <c r="H428" s="263"/>
      <c r="I428" s="263"/>
      <c r="J428" s="263"/>
      <c r="K428" s="267">
        <v>0</v>
      </c>
    </row>
    <row r="429" spans="1:11">
      <c r="A429" s="9" t="s">
        <v>11787</v>
      </c>
      <c r="B429" s="16">
        <v>62</v>
      </c>
      <c r="C429" s="9"/>
      <c r="D429" s="271" t="s">
        <v>8133</v>
      </c>
      <c r="E429" s="263">
        <v>0</v>
      </c>
      <c r="F429" s="263">
        <v>0</v>
      </c>
      <c r="G429" s="263">
        <v>4.8000000000000007</v>
      </c>
      <c r="H429" s="263">
        <v>0</v>
      </c>
      <c r="I429" s="263">
        <v>0</v>
      </c>
      <c r="J429" s="263">
        <v>0</v>
      </c>
      <c r="K429" s="267">
        <v>4.8000000000000007</v>
      </c>
    </row>
    <row r="430" spans="1:11">
      <c r="B430" s="16">
        <v>62</v>
      </c>
      <c r="C430" s="9"/>
      <c r="D430" s="271"/>
      <c r="E430" s="263"/>
      <c r="F430" s="263"/>
      <c r="G430" s="263"/>
      <c r="H430" s="263"/>
      <c r="I430" s="263"/>
      <c r="J430" s="263"/>
      <c r="K430" s="267">
        <v>0</v>
      </c>
    </row>
    <row r="431" spans="1:11">
      <c r="B431" s="16">
        <v>62</v>
      </c>
      <c r="C431" s="9"/>
      <c r="D431" s="272" t="s">
        <v>3674</v>
      </c>
      <c r="E431" s="273">
        <v>0</v>
      </c>
      <c r="F431" s="273">
        <v>0</v>
      </c>
      <c r="G431" s="273">
        <v>4.8000000000000007</v>
      </c>
      <c r="H431" s="273">
        <v>0</v>
      </c>
      <c r="I431" s="273">
        <v>0</v>
      </c>
      <c r="J431" s="273">
        <v>0</v>
      </c>
      <c r="K431" s="273">
        <v>4.8000000000000007</v>
      </c>
    </row>
    <row r="432" spans="1:11">
      <c r="C432" s="9"/>
      <c r="D432" s="271"/>
      <c r="E432" s="263"/>
      <c r="F432" s="263"/>
      <c r="G432" s="263"/>
      <c r="H432" s="263"/>
      <c r="I432" s="263"/>
      <c r="J432" s="263"/>
      <c r="K432" s="267">
        <v>0</v>
      </c>
    </row>
    <row r="433" spans="2:11">
      <c r="B433" s="16">
        <v>0</v>
      </c>
      <c r="C433" s="9"/>
      <c r="D433" s="269" t="s">
        <v>13089</v>
      </c>
      <c r="E433" s="270">
        <v>23.200000000000003</v>
      </c>
      <c r="F433" s="270">
        <v>0</v>
      </c>
      <c r="G433" s="270">
        <v>4.8000000000000007</v>
      </c>
      <c r="H433" s="270">
        <v>0</v>
      </c>
      <c r="I433" s="270">
        <v>0</v>
      </c>
      <c r="J433" s="270">
        <v>0</v>
      </c>
      <c r="K433" s="270">
        <v>28.000000000000004</v>
      </c>
    </row>
  </sheetData>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&amp;C&amp;"Wingdings 2,Regular"¢  &amp;R&amp;"Arial,Bold"&amp;A  :  &amp;P / 16                         </oddFooter>
  </headerFooter>
  <rowBreaks count="12" manualBreakCount="12">
    <brk id="31" max="10" man="1"/>
    <brk id="63" max="17" man="1"/>
    <brk id="119" max="17" man="1"/>
    <brk id="178" max="17" man="1"/>
    <brk id="203" max="17" man="1"/>
    <brk id="227" max="17" man="1"/>
    <brk id="258" max="17" man="1"/>
    <brk id="289" max="17" man="1"/>
    <brk id="321" max="17" man="1"/>
    <brk id="351" max="17" man="1"/>
    <brk id="382" max="17" man="1"/>
    <brk id="414"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78">
    <tabColor rgb="FF7030A0"/>
  </sheetPr>
  <dimension ref="A1:K1014"/>
  <sheetViews>
    <sheetView showZeros="0"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cols>
    <col min="1" max="1" width="20.83203125" style="9" customWidth="1"/>
    <col min="2" max="2" width="6.83203125" style="16" customWidth="1"/>
    <col min="3" max="3" width="7.83203125" style="245" customWidth="1"/>
    <col min="4" max="4" width="78.83203125" style="245" customWidth="1"/>
    <col min="5" max="11" width="10.83203125" style="245" customWidth="1"/>
    <col min="12" max="16384" width="9.1640625" style="258"/>
  </cols>
  <sheetData>
    <row r="1" spans="1:11">
      <c r="A1" s="16" t="s">
        <v>234</v>
      </c>
      <c r="B1" s="16" t="s">
        <v>506</v>
      </c>
      <c r="C1" s="16" t="s">
        <v>281</v>
      </c>
      <c r="D1" s="257" t="s">
        <v>12616</v>
      </c>
      <c r="E1" s="257" t="s">
        <v>4251</v>
      </c>
      <c r="F1" s="257" t="s">
        <v>4252</v>
      </c>
      <c r="G1" s="257" t="s">
        <v>4253</v>
      </c>
      <c r="H1" s="257" t="s">
        <v>4254</v>
      </c>
      <c r="I1" s="257" t="s">
        <v>4255</v>
      </c>
      <c r="J1" s="257" t="s">
        <v>4256</v>
      </c>
      <c r="K1" s="257" t="s">
        <v>3668</v>
      </c>
    </row>
    <row r="2" spans="1:11">
      <c r="C2" s="9"/>
      <c r="D2" s="241"/>
      <c r="E2" s="241"/>
      <c r="F2" s="241"/>
      <c r="G2" s="241"/>
      <c r="H2" s="241"/>
      <c r="I2" s="241"/>
      <c r="J2" s="241"/>
      <c r="K2" s="241"/>
    </row>
    <row r="3" spans="1:11">
      <c r="C3" s="9"/>
      <c r="D3" s="241"/>
      <c r="E3" s="241"/>
      <c r="F3" s="241"/>
      <c r="G3" s="241"/>
      <c r="H3" s="241"/>
      <c r="I3" s="241"/>
      <c r="J3" s="241"/>
      <c r="K3" s="241"/>
    </row>
    <row r="4" spans="1:11">
      <c r="C4" s="9"/>
      <c r="D4" s="241" t="s">
        <v>4257</v>
      </c>
      <c r="E4" s="259" t="s">
        <v>613</v>
      </c>
      <c r="F4" s="260" t="s">
        <v>614</v>
      </c>
      <c r="G4" s="259" t="s">
        <v>77</v>
      </c>
      <c r="H4" s="260" t="s">
        <v>199</v>
      </c>
      <c r="I4" s="259" t="s">
        <v>321</v>
      </c>
      <c r="J4" s="260" t="s">
        <v>322</v>
      </c>
      <c r="K4" s="259"/>
    </row>
    <row r="5" spans="1:11">
      <c r="C5" s="9"/>
      <c r="D5" s="241"/>
      <c r="E5" s="241"/>
      <c r="F5" s="241"/>
      <c r="G5" s="241"/>
      <c r="H5" s="241"/>
      <c r="I5" s="241"/>
      <c r="J5" s="241"/>
      <c r="K5" s="241"/>
    </row>
    <row r="6" spans="1:11">
      <c r="A6" s="261" t="s">
        <v>234</v>
      </c>
      <c r="B6" s="261" t="s">
        <v>4258</v>
      </c>
      <c r="C6" s="261" t="s">
        <v>4259</v>
      </c>
      <c r="D6" s="262" t="s">
        <v>12616</v>
      </c>
      <c r="E6" s="259" t="s">
        <v>4287</v>
      </c>
      <c r="F6" s="260" t="s">
        <v>4288</v>
      </c>
      <c r="G6" s="259" t="s">
        <v>4289</v>
      </c>
      <c r="H6" s="260" t="s">
        <v>4290</v>
      </c>
      <c r="I6" s="259" t="s">
        <v>4291</v>
      </c>
      <c r="J6" s="260" t="s">
        <v>4292</v>
      </c>
      <c r="K6" s="259" t="s">
        <v>146</v>
      </c>
    </row>
    <row r="7" spans="1:11">
      <c r="C7" s="9"/>
      <c r="D7" s="241"/>
      <c r="E7" s="263"/>
      <c r="F7" s="263"/>
      <c r="G7" s="263"/>
      <c r="H7" s="263"/>
      <c r="I7" s="263"/>
      <c r="J7" s="263"/>
      <c r="K7" s="263"/>
    </row>
    <row r="8" spans="1:11">
      <c r="B8" s="16">
        <v>1</v>
      </c>
      <c r="C8" s="264">
        <v>5</v>
      </c>
      <c r="D8" s="265" t="s">
        <v>13075</v>
      </c>
      <c r="E8" s="266">
        <v>78</v>
      </c>
      <c r="F8" s="266">
        <v>24</v>
      </c>
      <c r="G8" s="266">
        <v>54</v>
      </c>
      <c r="H8" s="266">
        <v>30</v>
      </c>
      <c r="I8" s="266">
        <v>18</v>
      </c>
      <c r="J8" s="266">
        <v>46</v>
      </c>
      <c r="K8" s="267">
        <v>250</v>
      </c>
    </row>
    <row r="9" spans="1:11">
      <c r="B9" s="16">
        <v>2</v>
      </c>
      <c r="C9" s="264">
        <v>5</v>
      </c>
      <c r="D9" s="265" t="s">
        <v>13076</v>
      </c>
      <c r="E9" s="266">
        <v>38</v>
      </c>
      <c r="F9" s="266">
        <v>16</v>
      </c>
      <c r="G9" s="266">
        <v>29</v>
      </c>
      <c r="H9" s="266">
        <v>8</v>
      </c>
      <c r="I9" s="266">
        <v>0</v>
      </c>
      <c r="J9" s="266">
        <v>45</v>
      </c>
      <c r="K9" s="267">
        <v>136</v>
      </c>
    </row>
    <row r="10" spans="1:11">
      <c r="B10" s="16">
        <v>3</v>
      </c>
      <c r="C10" s="264">
        <v>6</v>
      </c>
      <c r="D10" s="265" t="s">
        <v>13077</v>
      </c>
      <c r="E10" s="266">
        <v>82</v>
      </c>
      <c r="F10" s="266">
        <v>37</v>
      </c>
      <c r="G10" s="266">
        <v>31</v>
      </c>
      <c r="H10" s="266">
        <v>42</v>
      </c>
      <c r="I10" s="266">
        <v>0</v>
      </c>
      <c r="J10" s="266">
        <v>108</v>
      </c>
      <c r="K10" s="267">
        <v>300</v>
      </c>
    </row>
    <row r="11" spans="1:11">
      <c r="B11" s="16">
        <v>4</v>
      </c>
      <c r="C11" s="264">
        <v>5</v>
      </c>
      <c r="D11" s="265" t="s">
        <v>13078</v>
      </c>
      <c r="E11" s="266">
        <v>54</v>
      </c>
      <c r="F11" s="266">
        <v>14</v>
      </c>
      <c r="G11" s="266">
        <v>5</v>
      </c>
      <c r="H11" s="266">
        <v>5</v>
      </c>
      <c r="I11" s="266">
        <v>0</v>
      </c>
      <c r="J11" s="266">
        <v>10</v>
      </c>
      <c r="K11" s="267">
        <v>88</v>
      </c>
    </row>
    <row r="12" spans="1:11">
      <c r="B12" s="16">
        <v>5</v>
      </c>
      <c r="C12" s="264">
        <v>5</v>
      </c>
      <c r="D12" s="265" t="s">
        <v>13079</v>
      </c>
      <c r="E12" s="266">
        <v>70.5</v>
      </c>
      <c r="F12" s="266">
        <v>25</v>
      </c>
      <c r="G12" s="266">
        <v>43.25</v>
      </c>
      <c r="H12" s="266">
        <v>55.25</v>
      </c>
      <c r="I12" s="266">
        <v>9</v>
      </c>
      <c r="J12" s="266">
        <v>47</v>
      </c>
      <c r="K12" s="267">
        <v>250</v>
      </c>
    </row>
    <row r="13" spans="1:11">
      <c r="B13" s="16">
        <v>6</v>
      </c>
      <c r="C13" s="264">
        <v>6</v>
      </c>
      <c r="D13" s="265" t="s">
        <v>13080</v>
      </c>
      <c r="E13" s="266">
        <v>105</v>
      </c>
      <c r="F13" s="266">
        <v>25</v>
      </c>
      <c r="G13" s="266">
        <v>55</v>
      </c>
      <c r="H13" s="266">
        <v>10</v>
      </c>
      <c r="I13" s="266">
        <v>20</v>
      </c>
      <c r="J13" s="266">
        <v>85</v>
      </c>
      <c r="K13" s="267">
        <v>300</v>
      </c>
    </row>
    <row r="14" spans="1:11">
      <c r="B14" s="16">
        <v>7</v>
      </c>
      <c r="C14" s="264">
        <v>5</v>
      </c>
      <c r="D14" s="265" t="s">
        <v>13081</v>
      </c>
      <c r="E14" s="266">
        <v>50</v>
      </c>
      <c r="F14" s="266">
        <v>7</v>
      </c>
      <c r="G14" s="266">
        <v>10</v>
      </c>
      <c r="H14" s="266">
        <v>15</v>
      </c>
      <c r="I14" s="266">
        <v>0</v>
      </c>
      <c r="J14" s="266">
        <v>40</v>
      </c>
      <c r="K14" s="267">
        <v>122</v>
      </c>
    </row>
    <row r="15" spans="1:11">
      <c r="B15" s="16">
        <v>8</v>
      </c>
      <c r="C15" s="264">
        <v>6</v>
      </c>
      <c r="D15" s="265" t="s">
        <v>13082</v>
      </c>
      <c r="E15" s="266">
        <v>57</v>
      </c>
      <c r="F15" s="266">
        <v>35</v>
      </c>
      <c r="G15" s="266">
        <v>24</v>
      </c>
      <c r="H15" s="266">
        <v>76</v>
      </c>
      <c r="I15" s="266">
        <v>15</v>
      </c>
      <c r="J15" s="266">
        <v>93</v>
      </c>
      <c r="K15" s="267">
        <v>300</v>
      </c>
    </row>
    <row r="16" spans="1:11">
      <c r="B16" s="16">
        <v>9</v>
      </c>
      <c r="C16" s="264">
        <v>6</v>
      </c>
      <c r="D16" s="265" t="s">
        <v>13083</v>
      </c>
      <c r="E16" s="266">
        <v>127</v>
      </c>
      <c r="F16" s="266">
        <v>29</v>
      </c>
      <c r="G16" s="266">
        <v>54</v>
      </c>
      <c r="H16" s="266">
        <v>8</v>
      </c>
      <c r="I16" s="266">
        <v>15</v>
      </c>
      <c r="J16" s="266">
        <v>67</v>
      </c>
      <c r="K16" s="267">
        <v>300</v>
      </c>
    </row>
    <row r="17" spans="2:11">
      <c r="B17" s="16">
        <v>10</v>
      </c>
      <c r="C17" s="264">
        <v>5</v>
      </c>
      <c r="D17" s="265" t="s">
        <v>13084</v>
      </c>
      <c r="E17" s="266">
        <v>96</v>
      </c>
      <c r="F17" s="266">
        <v>49</v>
      </c>
      <c r="G17" s="266">
        <v>22</v>
      </c>
      <c r="H17" s="266">
        <v>41</v>
      </c>
      <c r="I17" s="266">
        <v>12</v>
      </c>
      <c r="J17" s="266">
        <v>30</v>
      </c>
      <c r="K17" s="267">
        <v>250</v>
      </c>
    </row>
    <row r="18" spans="2:11">
      <c r="B18" s="16">
        <v>11</v>
      </c>
      <c r="C18" s="264">
        <v>4</v>
      </c>
      <c r="D18" s="265" t="s">
        <v>13085</v>
      </c>
      <c r="E18" s="266">
        <v>91.5</v>
      </c>
      <c r="F18" s="266">
        <v>0</v>
      </c>
      <c r="G18" s="266">
        <v>5</v>
      </c>
      <c r="H18" s="266">
        <v>11.5</v>
      </c>
      <c r="I18" s="266">
        <v>0</v>
      </c>
      <c r="J18" s="266">
        <v>66</v>
      </c>
      <c r="K18" s="267">
        <v>174</v>
      </c>
    </row>
    <row r="19" spans="2:11">
      <c r="B19" s="16">
        <v>12</v>
      </c>
      <c r="C19" s="264">
        <v>4</v>
      </c>
      <c r="D19" s="265" t="s">
        <v>13086</v>
      </c>
      <c r="E19" s="266">
        <v>20</v>
      </c>
      <c r="F19" s="266">
        <v>25</v>
      </c>
      <c r="G19" s="266">
        <v>10</v>
      </c>
      <c r="H19" s="266">
        <v>20</v>
      </c>
      <c r="I19" s="266">
        <v>0</v>
      </c>
      <c r="J19" s="266">
        <v>10</v>
      </c>
      <c r="K19" s="267">
        <v>85</v>
      </c>
    </row>
    <row r="20" spans="2:11">
      <c r="B20" s="16">
        <v>13</v>
      </c>
      <c r="C20" s="264">
        <v>4</v>
      </c>
      <c r="D20" s="265" t="s">
        <v>13087</v>
      </c>
      <c r="E20" s="266">
        <v>0</v>
      </c>
      <c r="F20" s="266">
        <v>0</v>
      </c>
      <c r="G20" s="266">
        <v>0</v>
      </c>
      <c r="H20" s="266">
        <v>0</v>
      </c>
      <c r="I20" s="266">
        <v>0</v>
      </c>
      <c r="J20" s="266">
        <v>0</v>
      </c>
      <c r="K20" s="267">
        <v>0</v>
      </c>
    </row>
    <row r="21" spans="2:11">
      <c r="B21" s="16">
        <v>14</v>
      </c>
      <c r="C21" s="264">
        <v>5</v>
      </c>
      <c r="D21" s="265" t="s">
        <v>13088</v>
      </c>
      <c r="E21" s="266">
        <v>105</v>
      </c>
      <c r="F21" s="266">
        <v>39</v>
      </c>
      <c r="G21" s="266">
        <v>8</v>
      </c>
      <c r="H21" s="266">
        <v>6</v>
      </c>
      <c r="I21" s="266">
        <v>5</v>
      </c>
      <c r="J21" s="266">
        <v>27</v>
      </c>
      <c r="K21" s="267">
        <v>190</v>
      </c>
    </row>
    <row r="22" spans="2:11">
      <c r="B22" s="16">
        <v>14</v>
      </c>
      <c r="C22" s="264">
        <v>5</v>
      </c>
      <c r="D22" s="265" t="s">
        <v>13089</v>
      </c>
      <c r="E22" s="266">
        <v>124</v>
      </c>
      <c r="F22" s="266">
        <v>30</v>
      </c>
      <c r="G22" s="266">
        <v>14</v>
      </c>
      <c r="H22" s="266">
        <v>11</v>
      </c>
      <c r="I22" s="266">
        <v>8</v>
      </c>
      <c r="J22" s="266">
        <v>51</v>
      </c>
      <c r="K22" s="267">
        <v>238</v>
      </c>
    </row>
    <row r="23" spans="2:11">
      <c r="C23" s="264"/>
      <c r="D23" s="265"/>
      <c r="E23" s="266"/>
      <c r="F23" s="266"/>
      <c r="G23" s="266"/>
      <c r="H23" s="266"/>
      <c r="I23" s="266"/>
      <c r="J23" s="266"/>
      <c r="K23" s="267"/>
    </row>
    <row r="24" spans="2:11">
      <c r="C24" s="268">
        <v>76</v>
      </c>
      <c r="D24" s="269" t="s">
        <v>13091</v>
      </c>
      <c r="E24" s="270">
        <v>1098</v>
      </c>
      <c r="F24" s="270">
        <v>355</v>
      </c>
      <c r="G24" s="270">
        <v>364.25</v>
      </c>
      <c r="H24" s="270">
        <v>338.75</v>
      </c>
      <c r="I24" s="270">
        <v>102</v>
      </c>
      <c r="J24" s="270">
        <v>725</v>
      </c>
      <c r="K24" s="270">
        <v>2983</v>
      </c>
    </row>
    <row r="25" spans="2:11">
      <c r="C25" s="9"/>
      <c r="D25" s="271"/>
      <c r="E25" s="263"/>
      <c r="F25" s="263"/>
      <c r="G25" s="263"/>
      <c r="H25" s="263"/>
      <c r="I25" s="263"/>
      <c r="J25" s="263"/>
      <c r="K25" s="263"/>
    </row>
    <row r="26" spans="2:11">
      <c r="C26" s="9"/>
      <c r="D26" s="271"/>
      <c r="E26" s="263"/>
      <c r="F26" s="263"/>
      <c r="G26" s="263"/>
      <c r="H26" s="263"/>
      <c r="I26" s="263"/>
      <c r="J26" s="263"/>
      <c r="K26" s="263"/>
    </row>
    <row r="27" spans="2:11">
      <c r="C27" s="9"/>
      <c r="D27" s="271"/>
      <c r="E27" s="263"/>
      <c r="F27" s="263"/>
      <c r="G27" s="263"/>
      <c r="H27" s="263"/>
      <c r="I27" s="263"/>
      <c r="J27" s="263"/>
      <c r="K27" s="263"/>
    </row>
    <row r="28" spans="2:11">
      <c r="C28" s="9"/>
      <c r="D28" s="271"/>
      <c r="E28" s="263"/>
      <c r="F28" s="263"/>
      <c r="G28" s="263"/>
      <c r="H28" s="263"/>
      <c r="I28" s="263"/>
      <c r="J28" s="263"/>
      <c r="K28" s="263"/>
    </row>
    <row r="29" spans="2:11">
      <c r="C29" s="9"/>
      <c r="D29" s="271"/>
      <c r="E29" s="263"/>
      <c r="F29" s="263"/>
      <c r="G29" s="263"/>
      <c r="H29" s="263"/>
      <c r="I29" s="263"/>
      <c r="J29" s="263"/>
      <c r="K29" s="263"/>
    </row>
    <row r="30" spans="2:11">
      <c r="C30" s="9"/>
      <c r="D30" s="271"/>
      <c r="E30" s="263"/>
      <c r="F30" s="263"/>
      <c r="G30" s="263"/>
      <c r="H30" s="263"/>
      <c r="I30" s="263"/>
      <c r="J30" s="263"/>
      <c r="K30" s="263"/>
    </row>
    <row r="31" spans="2:11">
      <c r="C31" s="9"/>
      <c r="D31" s="271"/>
      <c r="E31" s="263"/>
      <c r="F31" s="263"/>
      <c r="G31" s="263"/>
      <c r="H31" s="263"/>
      <c r="I31" s="263"/>
      <c r="J31" s="263"/>
      <c r="K31" s="263"/>
    </row>
    <row r="32" spans="2:11">
      <c r="C32" s="9"/>
      <c r="D32" s="271" t="s">
        <v>4266</v>
      </c>
      <c r="E32" s="263"/>
      <c r="F32" s="263"/>
      <c r="G32" s="263"/>
      <c r="H32" s="263"/>
      <c r="I32" s="263"/>
      <c r="J32" s="263"/>
      <c r="K32" s="267">
        <v>0</v>
      </c>
    </row>
    <row r="33" spans="1:11">
      <c r="C33" s="9"/>
      <c r="D33" s="271"/>
      <c r="E33" s="263"/>
      <c r="F33" s="263"/>
      <c r="G33" s="263"/>
      <c r="H33" s="263"/>
      <c r="I33" s="263"/>
      <c r="J33" s="263"/>
      <c r="K33" s="267">
        <v>0</v>
      </c>
    </row>
    <row r="34" spans="1:11">
      <c r="A34" s="9" t="s">
        <v>11788</v>
      </c>
      <c r="B34" s="16">
        <v>6</v>
      </c>
      <c r="C34" s="9"/>
      <c r="D34" s="271" t="s">
        <v>9098</v>
      </c>
      <c r="E34" s="263"/>
      <c r="F34" s="263">
        <v>5</v>
      </c>
      <c r="G34" s="263"/>
      <c r="H34" s="263"/>
      <c r="I34" s="263"/>
      <c r="J34" s="263"/>
      <c r="K34" s="267">
        <v>5</v>
      </c>
    </row>
    <row r="35" spans="1:11">
      <c r="A35" s="9" t="s">
        <v>11789</v>
      </c>
      <c r="B35" s="16">
        <v>6</v>
      </c>
      <c r="C35" s="9"/>
      <c r="D35" s="271" t="s">
        <v>9099</v>
      </c>
      <c r="E35" s="263">
        <v>5</v>
      </c>
      <c r="F35" s="263"/>
      <c r="G35" s="263"/>
      <c r="H35" s="263"/>
      <c r="I35" s="263"/>
      <c r="J35" s="263"/>
      <c r="K35" s="267">
        <v>5</v>
      </c>
    </row>
    <row r="36" spans="1:11">
      <c r="A36" s="9" t="s">
        <v>11790</v>
      </c>
      <c r="B36" s="16">
        <v>6</v>
      </c>
      <c r="C36" s="9"/>
      <c r="D36" s="271" t="s">
        <v>9100</v>
      </c>
      <c r="E36" s="263"/>
      <c r="F36" s="263">
        <v>5</v>
      </c>
      <c r="G36" s="263"/>
      <c r="H36" s="263"/>
      <c r="I36" s="263"/>
      <c r="J36" s="263"/>
      <c r="K36" s="267">
        <v>5</v>
      </c>
    </row>
    <row r="37" spans="1:11">
      <c r="A37" s="9" t="s">
        <v>11791</v>
      </c>
      <c r="B37" s="16">
        <v>6</v>
      </c>
      <c r="C37" s="9"/>
      <c r="D37" s="271" t="s">
        <v>9101</v>
      </c>
      <c r="E37" s="263"/>
      <c r="F37" s="263"/>
      <c r="G37" s="263"/>
      <c r="H37" s="263">
        <v>5</v>
      </c>
      <c r="I37" s="263"/>
      <c r="J37" s="263"/>
      <c r="K37" s="267">
        <v>5</v>
      </c>
    </row>
    <row r="38" spans="1:11">
      <c r="A38" s="9" t="s">
        <v>11792</v>
      </c>
      <c r="B38" s="16">
        <v>6</v>
      </c>
      <c r="C38" s="9"/>
      <c r="D38" s="271" t="s">
        <v>9102</v>
      </c>
      <c r="E38" s="263"/>
      <c r="F38" s="263"/>
      <c r="G38" s="263">
        <v>4</v>
      </c>
      <c r="H38" s="263"/>
      <c r="I38" s="263"/>
      <c r="J38" s="263"/>
      <c r="K38" s="267">
        <v>4</v>
      </c>
    </row>
    <row r="39" spans="1:11">
      <c r="A39" s="9" t="s">
        <v>11793</v>
      </c>
      <c r="B39" s="16">
        <v>6</v>
      </c>
      <c r="C39" s="9"/>
      <c r="D39" s="271" t="s">
        <v>9103</v>
      </c>
      <c r="E39" s="263"/>
      <c r="F39" s="263"/>
      <c r="G39" s="263"/>
      <c r="H39" s="263"/>
      <c r="I39" s="263"/>
      <c r="J39" s="263">
        <v>3</v>
      </c>
      <c r="K39" s="267">
        <v>3</v>
      </c>
    </row>
    <row r="40" spans="1:11">
      <c r="A40" s="9" t="s">
        <v>11794</v>
      </c>
      <c r="B40" s="16">
        <v>6</v>
      </c>
      <c r="C40" s="9"/>
      <c r="D40" s="271" t="s">
        <v>9104</v>
      </c>
      <c r="E40" s="263"/>
      <c r="F40" s="263"/>
      <c r="G40" s="263"/>
      <c r="H40" s="263"/>
      <c r="I40" s="263"/>
      <c r="J40" s="263">
        <v>5</v>
      </c>
      <c r="K40" s="267">
        <v>5</v>
      </c>
    </row>
    <row r="41" spans="1:11">
      <c r="A41" s="9" t="s">
        <v>11795</v>
      </c>
      <c r="B41" s="16">
        <v>6</v>
      </c>
      <c r="C41" s="9"/>
      <c r="D41" s="271" t="s">
        <v>9105</v>
      </c>
      <c r="E41" s="263"/>
      <c r="F41" s="263"/>
      <c r="G41" s="263"/>
      <c r="H41" s="263"/>
      <c r="I41" s="263"/>
      <c r="J41" s="263">
        <v>3</v>
      </c>
      <c r="K41" s="267">
        <v>3</v>
      </c>
    </row>
    <row r="42" spans="1:11">
      <c r="A42" s="9" t="s">
        <v>11796</v>
      </c>
      <c r="B42" s="16">
        <v>6</v>
      </c>
      <c r="C42" s="9"/>
      <c r="D42" s="271" t="s">
        <v>9106</v>
      </c>
      <c r="E42" s="263"/>
      <c r="F42" s="263"/>
      <c r="G42" s="263"/>
      <c r="H42" s="263"/>
      <c r="I42" s="263"/>
      <c r="J42" s="263">
        <v>5</v>
      </c>
      <c r="K42" s="267">
        <v>5</v>
      </c>
    </row>
    <row r="43" spans="1:11">
      <c r="A43" s="9" t="s">
        <v>11797</v>
      </c>
      <c r="B43" s="16">
        <v>6</v>
      </c>
      <c r="C43" s="9"/>
      <c r="D43" s="271" t="s">
        <v>9107</v>
      </c>
      <c r="E43" s="263"/>
      <c r="F43" s="263"/>
      <c r="G43" s="263"/>
      <c r="H43" s="263">
        <v>5</v>
      </c>
      <c r="I43" s="263"/>
      <c r="J43" s="263"/>
      <c r="K43" s="267">
        <v>5</v>
      </c>
    </row>
    <row r="44" spans="1:11">
      <c r="A44" s="9" t="s">
        <v>11798</v>
      </c>
      <c r="B44" s="16">
        <v>6</v>
      </c>
      <c r="C44" s="9"/>
      <c r="D44" s="271" t="s">
        <v>9108</v>
      </c>
      <c r="E44" s="263"/>
      <c r="F44" s="263"/>
      <c r="G44" s="263"/>
      <c r="H44" s="263">
        <v>5</v>
      </c>
      <c r="I44" s="263"/>
      <c r="J44" s="263"/>
      <c r="K44" s="267">
        <v>5</v>
      </c>
    </row>
    <row r="45" spans="1:11">
      <c r="B45" s="16">
        <v>6</v>
      </c>
      <c r="C45" s="9"/>
      <c r="D45" s="271"/>
      <c r="E45" s="263"/>
      <c r="F45" s="263"/>
      <c r="G45" s="263"/>
      <c r="H45" s="263"/>
      <c r="I45" s="263"/>
      <c r="J45" s="263"/>
      <c r="K45" s="267">
        <v>0</v>
      </c>
    </row>
    <row r="46" spans="1:11">
      <c r="B46" s="16">
        <v>6</v>
      </c>
      <c r="C46" s="9"/>
      <c r="D46" s="272" t="s">
        <v>3674</v>
      </c>
      <c r="E46" s="273">
        <v>5</v>
      </c>
      <c r="F46" s="273">
        <v>10</v>
      </c>
      <c r="G46" s="273">
        <v>4</v>
      </c>
      <c r="H46" s="273">
        <v>15</v>
      </c>
      <c r="I46" s="273">
        <v>0</v>
      </c>
      <c r="J46" s="273">
        <v>16</v>
      </c>
      <c r="K46" s="273">
        <v>50</v>
      </c>
    </row>
    <row r="47" spans="1:11">
      <c r="C47" s="9"/>
      <c r="D47" s="271"/>
      <c r="E47" s="263"/>
      <c r="F47" s="263"/>
      <c r="G47" s="263"/>
      <c r="H47" s="263"/>
      <c r="I47" s="263"/>
      <c r="J47" s="263"/>
      <c r="K47" s="267">
        <v>0</v>
      </c>
    </row>
    <row r="48" spans="1:11">
      <c r="A48" s="9" t="s">
        <v>11799</v>
      </c>
      <c r="B48" s="16">
        <v>7</v>
      </c>
      <c r="C48" s="9"/>
      <c r="D48" s="271" t="s">
        <v>9109</v>
      </c>
      <c r="E48" s="263"/>
      <c r="F48" s="263"/>
      <c r="G48" s="263"/>
      <c r="H48" s="263"/>
      <c r="I48" s="263"/>
      <c r="J48" s="263">
        <v>4.5</v>
      </c>
      <c r="K48" s="267">
        <v>4.5</v>
      </c>
    </row>
    <row r="49" spans="1:11">
      <c r="A49" s="9" t="s">
        <v>11800</v>
      </c>
      <c r="B49" s="16">
        <v>7</v>
      </c>
      <c r="C49" s="9"/>
      <c r="D49" s="271" t="s">
        <v>9110</v>
      </c>
      <c r="E49" s="263"/>
      <c r="F49" s="263"/>
      <c r="G49" s="263"/>
      <c r="H49" s="263"/>
      <c r="I49" s="263"/>
      <c r="J49" s="263">
        <v>5</v>
      </c>
      <c r="K49" s="267">
        <v>5</v>
      </c>
    </row>
    <row r="50" spans="1:11">
      <c r="A50" s="9" t="s">
        <v>11801</v>
      </c>
      <c r="B50" s="16">
        <v>7</v>
      </c>
      <c r="C50" s="9"/>
      <c r="D50" s="271" t="s">
        <v>9111</v>
      </c>
      <c r="E50" s="263"/>
      <c r="F50" s="263"/>
      <c r="G50" s="263"/>
      <c r="H50" s="263"/>
      <c r="I50" s="263"/>
      <c r="J50" s="263">
        <v>3.5</v>
      </c>
      <c r="K50" s="267">
        <v>3.5</v>
      </c>
    </row>
    <row r="51" spans="1:11">
      <c r="A51" s="9" t="s">
        <v>11802</v>
      </c>
      <c r="B51" s="16">
        <v>7</v>
      </c>
      <c r="C51" s="9"/>
      <c r="D51" s="271" t="s">
        <v>9112</v>
      </c>
      <c r="E51" s="263"/>
      <c r="F51" s="263"/>
      <c r="G51" s="263"/>
      <c r="H51" s="263"/>
      <c r="I51" s="263"/>
      <c r="J51" s="263">
        <v>5</v>
      </c>
      <c r="K51" s="267">
        <v>5</v>
      </c>
    </row>
    <row r="52" spans="1:11">
      <c r="A52" s="9" t="s">
        <v>11803</v>
      </c>
      <c r="B52" s="16">
        <v>7</v>
      </c>
      <c r="C52" s="9"/>
      <c r="D52" s="271" t="s">
        <v>9113</v>
      </c>
      <c r="E52" s="263"/>
      <c r="F52" s="263"/>
      <c r="G52" s="263"/>
      <c r="H52" s="263"/>
      <c r="I52" s="263"/>
      <c r="J52" s="263">
        <v>4</v>
      </c>
      <c r="K52" s="267">
        <v>4</v>
      </c>
    </row>
    <row r="53" spans="1:11">
      <c r="A53" s="9" t="s">
        <v>11804</v>
      </c>
      <c r="B53" s="16">
        <v>7</v>
      </c>
      <c r="C53" s="9"/>
      <c r="D53" s="271" t="s">
        <v>9114</v>
      </c>
      <c r="E53" s="263">
        <v>4</v>
      </c>
      <c r="F53" s="263"/>
      <c r="G53" s="263"/>
      <c r="H53" s="263"/>
      <c r="I53" s="263"/>
      <c r="J53" s="263"/>
      <c r="K53" s="267">
        <v>4</v>
      </c>
    </row>
    <row r="54" spans="1:11">
      <c r="A54" s="9" t="s">
        <v>11805</v>
      </c>
      <c r="B54" s="16">
        <v>7</v>
      </c>
      <c r="C54" s="9"/>
      <c r="D54" s="271" t="s">
        <v>9115</v>
      </c>
      <c r="E54" s="263"/>
      <c r="F54" s="263"/>
      <c r="G54" s="263"/>
      <c r="H54" s="263"/>
      <c r="I54" s="263">
        <v>5</v>
      </c>
      <c r="J54" s="263"/>
      <c r="K54" s="267">
        <v>5</v>
      </c>
    </row>
    <row r="55" spans="1:11">
      <c r="A55" s="9" t="s">
        <v>11806</v>
      </c>
      <c r="B55" s="16">
        <v>7</v>
      </c>
      <c r="C55" s="9"/>
      <c r="D55" s="271" t="s">
        <v>9116</v>
      </c>
      <c r="E55" s="263"/>
      <c r="F55" s="263"/>
      <c r="G55" s="263"/>
      <c r="H55" s="263"/>
      <c r="I55" s="263">
        <v>3</v>
      </c>
      <c r="J55" s="263"/>
      <c r="K55" s="267">
        <v>3</v>
      </c>
    </row>
    <row r="56" spans="1:11">
      <c r="A56" s="9" t="s">
        <v>11807</v>
      </c>
      <c r="B56" s="16">
        <v>7</v>
      </c>
      <c r="C56" s="9"/>
      <c r="D56" s="271" t="s">
        <v>9117</v>
      </c>
      <c r="E56" s="263">
        <v>5</v>
      </c>
      <c r="F56" s="263"/>
      <c r="G56" s="263"/>
      <c r="H56" s="263"/>
      <c r="I56" s="263"/>
      <c r="J56" s="263"/>
      <c r="K56" s="267">
        <v>5</v>
      </c>
    </row>
    <row r="57" spans="1:11">
      <c r="A57" s="9" t="s">
        <v>11808</v>
      </c>
      <c r="B57" s="16">
        <v>7</v>
      </c>
      <c r="C57" s="9"/>
      <c r="D57" s="271" t="s">
        <v>9118</v>
      </c>
      <c r="E57" s="263">
        <v>3</v>
      </c>
      <c r="F57" s="263"/>
      <c r="G57" s="263"/>
      <c r="H57" s="263"/>
      <c r="I57" s="263"/>
      <c r="J57" s="263"/>
      <c r="K57" s="267">
        <v>3</v>
      </c>
    </row>
    <row r="58" spans="1:11">
      <c r="A58" s="9" t="s">
        <v>11809</v>
      </c>
      <c r="B58" s="16">
        <v>7</v>
      </c>
      <c r="C58" s="9"/>
      <c r="D58" s="271" t="s">
        <v>9119</v>
      </c>
      <c r="E58" s="263"/>
      <c r="F58" s="263"/>
      <c r="G58" s="263"/>
      <c r="H58" s="263"/>
      <c r="I58" s="263">
        <v>5</v>
      </c>
      <c r="J58" s="263"/>
      <c r="K58" s="267">
        <v>5</v>
      </c>
    </row>
    <row r="59" spans="1:11">
      <c r="A59" s="9" t="s">
        <v>11810</v>
      </c>
      <c r="B59" s="16">
        <v>7</v>
      </c>
      <c r="C59" s="9"/>
      <c r="D59" s="271" t="s">
        <v>9120</v>
      </c>
      <c r="E59" s="263"/>
      <c r="F59" s="263"/>
      <c r="G59" s="263"/>
      <c r="H59" s="263"/>
      <c r="I59" s="263"/>
      <c r="J59" s="263">
        <v>3</v>
      </c>
      <c r="K59" s="267">
        <v>3</v>
      </c>
    </row>
    <row r="60" spans="1:11">
      <c r="B60" s="16">
        <v>7</v>
      </c>
      <c r="C60" s="9"/>
      <c r="D60" s="271"/>
      <c r="E60" s="263"/>
      <c r="F60" s="263"/>
      <c r="G60" s="263"/>
      <c r="H60" s="263"/>
      <c r="I60" s="263"/>
      <c r="J60" s="263"/>
      <c r="K60" s="267">
        <v>0</v>
      </c>
    </row>
    <row r="61" spans="1:11">
      <c r="B61" s="16">
        <v>7</v>
      </c>
      <c r="C61" s="9"/>
      <c r="D61" s="272" t="s">
        <v>3674</v>
      </c>
      <c r="E61" s="273">
        <v>12</v>
      </c>
      <c r="F61" s="273">
        <v>0</v>
      </c>
      <c r="G61" s="273">
        <v>0</v>
      </c>
      <c r="H61" s="273">
        <v>0</v>
      </c>
      <c r="I61" s="273">
        <v>13</v>
      </c>
      <c r="J61" s="273">
        <v>25</v>
      </c>
      <c r="K61" s="273">
        <v>50</v>
      </c>
    </row>
    <row r="62" spans="1:11">
      <c r="C62" s="9"/>
      <c r="D62" s="271"/>
      <c r="E62" s="263"/>
      <c r="F62" s="263"/>
      <c r="G62" s="263"/>
      <c r="H62" s="263"/>
      <c r="I62" s="263"/>
      <c r="J62" s="263"/>
      <c r="K62" s="267">
        <v>0</v>
      </c>
    </row>
    <row r="63" spans="1:11">
      <c r="A63" s="9" t="s">
        <v>11811</v>
      </c>
      <c r="B63" s="16">
        <v>8</v>
      </c>
      <c r="C63" s="9"/>
      <c r="D63" s="271" t="s">
        <v>9121</v>
      </c>
      <c r="E63" s="263">
        <v>5</v>
      </c>
      <c r="F63" s="263"/>
      <c r="G63" s="263"/>
      <c r="H63" s="263"/>
      <c r="I63" s="263"/>
      <c r="J63" s="263"/>
      <c r="K63" s="267">
        <v>5</v>
      </c>
    </row>
    <row r="64" spans="1:11">
      <c r="A64" s="9" t="s">
        <v>11812</v>
      </c>
      <c r="B64" s="16">
        <v>8</v>
      </c>
      <c r="C64" s="9"/>
      <c r="D64" s="271" t="s">
        <v>9122</v>
      </c>
      <c r="E64" s="263">
        <v>5</v>
      </c>
      <c r="F64" s="263"/>
      <c r="G64" s="263"/>
      <c r="H64" s="263"/>
      <c r="I64" s="263"/>
      <c r="J64" s="263"/>
      <c r="K64" s="267">
        <v>5</v>
      </c>
    </row>
    <row r="65" spans="1:11">
      <c r="A65" s="9" t="s">
        <v>11813</v>
      </c>
      <c r="B65" s="16">
        <v>8</v>
      </c>
      <c r="C65" s="9"/>
      <c r="D65" s="271" t="s">
        <v>9123</v>
      </c>
      <c r="E65" s="263"/>
      <c r="F65" s="263">
        <v>2</v>
      </c>
      <c r="G65" s="263"/>
      <c r="H65" s="263"/>
      <c r="I65" s="263"/>
      <c r="J65" s="263"/>
      <c r="K65" s="267">
        <v>2</v>
      </c>
    </row>
    <row r="66" spans="1:11">
      <c r="A66" s="9" t="s">
        <v>11814</v>
      </c>
      <c r="B66" s="16">
        <v>8</v>
      </c>
      <c r="C66" s="9"/>
      <c r="D66" s="271" t="s">
        <v>9124</v>
      </c>
      <c r="E66" s="263"/>
      <c r="F66" s="263"/>
      <c r="G66" s="263">
        <v>5</v>
      </c>
      <c r="H66" s="263"/>
      <c r="I66" s="263"/>
      <c r="J66" s="263"/>
      <c r="K66" s="267">
        <v>5</v>
      </c>
    </row>
    <row r="67" spans="1:11">
      <c r="A67" s="9" t="s">
        <v>11815</v>
      </c>
      <c r="B67" s="16">
        <v>8</v>
      </c>
      <c r="C67" s="9"/>
      <c r="D67" s="271" t="s">
        <v>9125</v>
      </c>
      <c r="E67" s="263"/>
      <c r="F67" s="263"/>
      <c r="G67" s="263">
        <v>5</v>
      </c>
      <c r="H67" s="263"/>
      <c r="I67" s="263"/>
      <c r="J67" s="263"/>
      <c r="K67" s="267">
        <v>5</v>
      </c>
    </row>
    <row r="68" spans="1:11">
      <c r="A68" s="9" t="s">
        <v>11816</v>
      </c>
      <c r="B68" s="16">
        <v>8</v>
      </c>
      <c r="C68" s="9"/>
      <c r="D68" s="271" t="s">
        <v>9126</v>
      </c>
      <c r="E68" s="263">
        <v>3</v>
      </c>
      <c r="F68" s="263"/>
      <c r="G68" s="263"/>
      <c r="H68" s="263"/>
      <c r="I68" s="263"/>
      <c r="J68" s="263"/>
      <c r="K68" s="267">
        <v>3</v>
      </c>
    </row>
    <row r="69" spans="1:11">
      <c r="A69" s="9" t="s">
        <v>11817</v>
      </c>
      <c r="B69" s="16">
        <v>8</v>
      </c>
      <c r="C69" s="9"/>
      <c r="D69" s="271" t="s">
        <v>9127</v>
      </c>
      <c r="E69" s="263">
        <v>5</v>
      </c>
      <c r="F69" s="263"/>
      <c r="G69" s="263"/>
      <c r="H69" s="263"/>
      <c r="I69" s="263"/>
      <c r="J69" s="263"/>
      <c r="K69" s="267">
        <v>5</v>
      </c>
    </row>
    <row r="70" spans="1:11">
      <c r="A70" s="9" t="s">
        <v>11818</v>
      </c>
      <c r="B70" s="16">
        <v>8</v>
      </c>
      <c r="C70" s="9"/>
      <c r="D70" s="271" t="s">
        <v>9128</v>
      </c>
      <c r="E70" s="263">
        <v>5</v>
      </c>
      <c r="F70" s="263"/>
      <c r="G70" s="263"/>
      <c r="H70" s="263"/>
      <c r="I70" s="263"/>
      <c r="J70" s="263"/>
      <c r="K70" s="267">
        <v>5</v>
      </c>
    </row>
    <row r="71" spans="1:11">
      <c r="A71" s="9" t="s">
        <v>11819</v>
      </c>
      <c r="B71" s="16">
        <v>8</v>
      </c>
      <c r="C71" s="9"/>
      <c r="D71" s="271" t="s">
        <v>9129</v>
      </c>
      <c r="E71" s="263"/>
      <c r="F71" s="263"/>
      <c r="G71" s="263">
        <v>2</v>
      </c>
      <c r="H71" s="263"/>
      <c r="I71" s="263"/>
      <c r="J71" s="263"/>
      <c r="K71" s="267">
        <v>2</v>
      </c>
    </row>
    <row r="72" spans="1:11">
      <c r="A72" s="9" t="s">
        <v>11820</v>
      </c>
      <c r="B72" s="16">
        <v>8</v>
      </c>
      <c r="C72" s="9"/>
      <c r="D72" s="271" t="s">
        <v>9130</v>
      </c>
      <c r="E72" s="263"/>
      <c r="F72" s="263"/>
      <c r="G72" s="263"/>
      <c r="H72" s="263">
        <v>5</v>
      </c>
      <c r="I72" s="263"/>
      <c r="J72" s="263"/>
      <c r="K72" s="267">
        <v>5</v>
      </c>
    </row>
    <row r="73" spans="1:11">
      <c r="A73" s="9" t="s">
        <v>11821</v>
      </c>
      <c r="B73" s="16">
        <v>8</v>
      </c>
      <c r="C73" s="9"/>
      <c r="D73" s="271" t="s">
        <v>9131</v>
      </c>
      <c r="E73" s="263">
        <v>3</v>
      </c>
      <c r="F73" s="263"/>
      <c r="G73" s="263"/>
      <c r="H73" s="263"/>
      <c r="I73" s="263"/>
      <c r="J73" s="263"/>
      <c r="K73" s="267">
        <v>3</v>
      </c>
    </row>
    <row r="74" spans="1:11">
      <c r="A74" s="9" t="s">
        <v>11822</v>
      </c>
      <c r="B74" s="16">
        <v>8</v>
      </c>
      <c r="C74" s="9"/>
      <c r="D74" s="271" t="s">
        <v>9132</v>
      </c>
      <c r="E74" s="263"/>
      <c r="F74" s="263"/>
      <c r="G74" s="263">
        <v>5</v>
      </c>
      <c r="H74" s="263"/>
      <c r="I74" s="263"/>
      <c r="J74" s="263"/>
      <c r="K74" s="267">
        <v>5</v>
      </c>
    </row>
    <row r="75" spans="1:11">
      <c r="B75" s="16">
        <v>8</v>
      </c>
      <c r="C75" s="9"/>
      <c r="D75" s="271"/>
      <c r="E75" s="263"/>
      <c r="F75" s="263"/>
      <c r="G75" s="263"/>
      <c r="H75" s="263"/>
      <c r="I75" s="263"/>
      <c r="J75" s="263"/>
      <c r="K75" s="267">
        <v>0</v>
      </c>
    </row>
    <row r="76" spans="1:11">
      <c r="B76" s="16">
        <v>8</v>
      </c>
      <c r="C76" s="9"/>
      <c r="D76" s="272" t="s">
        <v>3674</v>
      </c>
      <c r="E76" s="273">
        <v>26</v>
      </c>
      <c r="F76" s="273">
        <v>2</v>
      </c>
      <c r="G76" s="273">
        <v>17</v>
      </c>
      <c r="H76" s="273">
        <v>5</v>
      </c>
      <c r="I76" s="273">
        <v>0</v>
      </c>
      <c r="J76" s="273">
        <v>0</v>
      </c>
      <c r="K76" s="273">
        <v>50</v>
      </c>
    </row>
    <row r="77" spans="1:11">
      <c r="C77" s="9"/>
      <c r="D77" s="271"/>
      <c r="E77" s="263"/>
      <c r="F77" s="263"/>
      <c r="G77" s="263"/>
      <c r="H77" s="263"/>
      <c r="I77" s="263"/>
      <c r="J77" s="263"/>
      <c r="K77" s="267">
        <v>0</v>
      </c>
    </row>
    <row r="78" spans="1:11">
      <c r="A78" s="9" t="s">
        <v>11823</v>
      </c>
      <c r="B78" s="16">
        <v>9</v>
      </c>
      <c r="C78" s="9"/>
      <c r="D78" s="271" t="s">
        <v>9133</v>
      </c>
      <c r="E78" s="263">
        <v>5</v>
      </c>
      <c r="F78" s="263"/>
      <c r="G78" s="263"/>
      <c r="H78" s="263"/>
      <c r="I78" s="263"/>
      <c r="J78" s="263"/>
      <c r="K78" s="267">
        <v>5</v>
      </c>
    </row>
    <row r="79" spans="1:11">
      <c r="A79" s="9" t="s">
        <v>11824</v>
      </c>
      <c r="B79" s="16">
        <v>9</v>
      </c>
      <c r="C79" s="9"/>
      <c r="D79" s="271" t="s">
        <v>9134</v>
      </c>
      <c r="E79" s="263">
        <v>3</v>
      </c>
      <c r="F79" s="263"/>
      <c r="G79" s="263"/>
      <c r="H79" s="263"/>
      <c r="I79" s="263"/>
      <c r="J79" s="263"/>
      <c r="K79" s="267">
        <v>3</v>
      </c>
    </row>
    <row r="80" spans="1:11">
      <c r="A80" s="9" t="s">
        <v>11825</v>
      </c>
      <c r="B80" s="16">
        <v>9</v>
      </c>
      <c r="C80" s="9"/>
      <c r="D80" s="271" t="s">
        <v>9135</v>
      </c>
      <c r="E80" s="263">
        <v>2</v>
      </c>
      <c r="F80" s="263"/>
      <c r="G80" s="263"/>
      <c r="H80" s="263"/>
      <c r="I80" s="263"/>
      <c r="J80" s="263"/>
      <c r="K80" s="267">
        <v>2</v>
      </c>
    </row>
    <row r="81" spans="1:11">
      <c r="A81" s="9" t="s">
        <v>11826</v>
      </c>
      <c r="B81" s="16">
        <v>9</v>
      </c>
      <c r="C81" s="9"/>
      <c r="D81" s="271" t="s">
        <v>9136</v>
      </c>
      <c r="E81" s="263">
        <v>5</v>
      </c>
      <c r="F81" s="263"/>
      <c r="G81" s="263"/>
      <c r="H81" s="263"/>
      <c r="I81" s="263"/>
      <c r="J81" s="263"/>
      <c r="K81" s="267">
        <v>5</v>
      </c>
    </row>
    <row r="82" spans="1:11">
      <c r="A82" s="9" t="s">
        <v>11827</v>
      </c>
      <c r="B82" s="16">
        <v>9</v>
      </c>
      <c r="C82" s="9"/>
      <c r="D82" s="271" t="s">
        <v>9137</v>
      </c>
      <c r="E82" s="263">
        <v>5</v>
      </c>
      <c r="F82" s="263"/>
      <c r="G82" s="263"/>
      <c r="H82" s="263"/>
      <c r="I82" s="263"/>
      <c r="J82" s="263"/>
      <c r="K82" s="267">
        <v>5</v>
      </c>
    </row>
    <row r="83" spans="1:11">
      <c r="A83" s="9" t="s">
        <v>11828</v>
      </c>
      <c r="B83" s="16">
        <v>9</v>
      </c>
      <c r="C83" s="9"/>
      <c r="D83" s="271" t="s">
        <v>9138</v>
      </c>
      <c r="E83" s="263">
        <v>5</v>
      </c>
      <c r="F83" s="263"/>
      <c r="G83" s="263"/>
      <c r="H83" s="263"/>
      <c r="I83" s="263"/>
      <c r="J83" s="263"/>
      <c r="K83" s="267">
        <v>5</v>
      </c>
    </row>
    <row r="84" spans="1:11">
      <c r="A84" s="9" t="s">
        <v>11829</v>
      </c>
      <c r="B84" s="16">
        <v>9</v>
      </c>
      <c r="C84" s="9"/>
      <c r="D84" s="271" t="s">
        <v>9139</v>
      </c>
      <c r="E84" s="263"/>
      <c r="F84" s="263"/>
      <c r="G84" s="263">
        <v>5</v>
      </c>
      <c r="H84" s="263"/>
      <c r="I84" s="263"/>
      <c r="J84" s="263"/>
      <c r="K84" s="267">
        <v>5</v>
      </c>
    </row>
    <row r="85" spans="1:11">
      <c r="A85" s="9" t="s">
        <v>11830</v>
      </c>
      <c r="B85" s="16">
        <v>9</v>
      </c>
      <c r="C85" s="9"/>
      <c r="D85" s="271" t="s">
        <v>9140</v>
      </c>
      <c r="E85" s="263"/>
      <c r="F85" s="263">
        <v>5</v>
      </c>
      <c r="G85" s="263"/>
      <c r="H85" s="263"/>
      <c r="I85" s="263"/>
      <c r="J85" s="263"/>
      <c r="K85" s="267">
        <v>5</v>
      </c>
    </row>
    <row r="86" spans="1:11">
      <c r="A86" s="9" t="s">
        <v>11831</v>
      </c>
      <c r="B86" s="16">
        <v>9</v>
      </c>
      <c r="C86" s="9"/>
      <c r="D86" s="271" t="s">
        <v>9141</v>
      </c>
      <c r="E86" s="263"/>
      <c r="F86" s="263">
        <v>2</v>
      </c>
      <c r="G86" s="263"/>
      <c r="H86" s="263"/>
      <c r="I86" s="263"/>
      <c r="J86" s="263"/>
      <c r="K86" s="267">
        <v>2</v>
      </c>
    </row>
    <row r="87" spans="1:11">
      <c r="A87" s="9" t="s">
        <v>11832</v>
      </c>
      <c r="B87" s="16">
        <v>9</v>
      </c>
      <c r="C87" s="9"/>
      <c r="D87" s="271" t="s">
        <v>9142</v>
      </c>
      <c r="E87" s="263"/>
      <c r="F87" s="263"/>
      <c r="G87" s="263">
        <v>3</v>
      </c>
      <c r="H87" s="263"/>
      <c r="I87" s="263"/>
      <c r="J87" s="263"/>
      <c r="K87" s="267">
        <v>3</v>
      </c>
    </row>
    <row r="88" spans="1:11">
      <c r="A88" s="9" t="s">
        <v>11833</v>
      </c>
      <c r="B88" s="16">
        <v>9</v>
      </c>
      <c r="C88" s="9"/>
      <c r="D88" s="271" t="s">
        <v>9143</v>
      </c>
      <c r="E88" s="263"/>
      <c r="F88" s="263"/>
      <c r="G88" s="263">
        <v>2.5</v>
      </c>
      <c r="H88" s="263"/>
      <c r="I88" s="263"/>
      <c r="J88" s="263"/>
      <c r="K88" s="267">
        <v>2.5</v>
      </c>
    </row>
    <row r="89" spans="1:11">
      <c r="A89" s="9" t="s">
        <v>11834</v>
      </c>
      <c r="B89" s="16">
        <v>9</v>
      </c>
      <c r="C89" s="9"/>
      <c r="D89" s="271" t="s">
        <v>9144</v>
      </c>
      <c r="E89" s="263"/>
      <c r="F89" s="263"/>
      <c r="G89" s="263">
        <v>2.5</v>
      </c>
      <c r="H89" s="263"/>
      <c r="I89" s="263"/>
      <c r="J89" s="263"/>
      <c r="K89" s="267">
        <v>2.5</v>
      </c>
    </row>
    <row r="90" spans="1:11">
      <c r="A90" s="9" t="s">
        <v>11835</v>
      </c>
      <c r="B90" s="16">
        <v>9</v>
      </c>
      <c r="C90" s="9"/>
      <c r="D90" s="271" t="s">
        <v>9145</v>
      </c>
      <c r="E90" s="263"/>
      <c r="F90" s="263"/>
      <c r="G90" s="263"/>
      <c r="H90" s="263">
        <v>2.5</v>
      </c>
      <c r="I90" s="263"/>
      <c r="J90" s="263"/>
      <c r="K90" s="267">
        <v>2.5</v>
      </c>
    </row>
    <row r="91" spans="1:11">
      <c r="A91" s="9" t="s">
        <v>11836</v>
      </c>
      <c r="B91" s="16">
        <v>9</v>
      </c>
      <c r="C91" s="9"/>
      <c r="D91" s="271" t="s">
        <v>9146</v>
      </c>
      <c r="E91" s="263"/>
      <c r="F91" s="263"/>
      <c r="G91" s="263"/>
      <c r="H91" s="263">
        <v>2.5</v>
      </c>
      <c r="I91" s="263"/>
      <c r="J91" s="263"/>
      <c r="K91" s="267">
        <v>2.5</v>
      </c>
    </row>
    <row r="92" spans="1:11">
      <c r="B92" s="16">
        <v>9</v>
      </c>
      <c r="C92" s="9"/>
      <c r="D92" s="271"/>
      <c r="E92" s="263"/>
      <c r="F92" s="263"/>
      <c r="G92" s="263"/>
      <c r="H92" s="263"/>
      <c r="I92" s="263"/>
      <c r="J92" s="263"/>
      <c r="K92" s="267">
        <v>0</v>
      </c>
    </row>
    <row r="93" spans="1:11">
      <c r="B93" s="16">
        <v>9</v>
      </c>
      <c r="C93" s="9"/>
      <c r="D93" s="272" t="s">
        <v>3674</v>
      </c>
      <c r="E93" s="273">
        <v>25</v>
      </c>
      <c r="F93" s="273">
        <v>7</v>
      </c>
      <c r="G93" s="273">
        <v>13</v>
      </c>
      <c r="H93" s="273">
        <v>5</v>
      </c>
      <c r="I93" s="273">
        <v>0</v>
      </c>
      <c r="J93" s="273">
        <v>0</v>
      </c>
      <c r="K93" s="273">
        <v>50</v>
      </c>
    </row>
    <row r="94" spans="1:11">
      <c r="C94" s="9"/>
      <c r="D94" s="271"/>
      <c r="E94" s="263"/>
      <c r="F94" s="263"/>
      <c r="G94" s="263"/>
      <c r="H94" s="263"/>
      <c r="I94" s="263"/>
      <c r="J94" s="263"/>
      <c r="K94" s="267">
        <v>0</v>
      </c>
    </row>
    <row r="95" spans="1:11">
      <c r="A95" s="9" t="s">
        <v>11837</v>
      </c>
      <c r="B95" s="16">
        <v>10</v>
      </c>
      <c r="C95" s="9"/>
      <c r="D95" s="271" t="s">
        <v>9155</v>
      </c>
      <c r="E95" s="263"/>
      <c r="F95" s="263"/>
      <c r="G95" s="263"/>
      <c r="H95" s="263"/>
      <c r="I95" s="263">
        <v>5</v>
      </c>
      <c r="J95" s="263"/>
      <c r="K95" s="267">
        <v>5</v>
      </c>
    </row>
    <row r="96" spans="1:11">
      <c r="A96" s="9" t="s">
        <v>11838</v>
      </c>
      <c r="B96" s="16">
        <v>10</v>
      </c>
      <c r="C96" s="9"/>
      <c r="D96" s="271" t="s">
        <v>9147</v>
      </c>
      <c r="E96" s="263"/>
      <c r="F96" s="263">
        <v>5</v>
      </c>
      <c r="G96" s="263"/>
      <c r="H96" s="263"/>
      <c r="I96" s="263"/>
      <c r="J96" s="263"/>
      <c r="K96" s="267">
        <v>5</v>
      </c>
    </row>
    <row r="97" spans="1:11">
      <c r="A97" s="9" t="s">
        <v>11839</v>
      </c>
      <c r="B97" s="16">
        <v>10</v>
      </c>
      <c r="C97" s="9"/>
      <c r="D97" s="271" t="s">
        <v>12632</v>
      </c>
      <c r="E97" s="263"/>
      <c r="F97" s="263"/>
      <c r="G97" s="263">
        <v>5</v>
      </c>
      <c r="H97" s="263"/>
      <c r="I97" s="263"/>
      <c r="J97" s="263"/>
      <c r="K97" s="267">
        <v>5</v>
      </c>
    </row>
    <row r="98" spans="1:11">
      <c r="A98" s="9" t="s">
        <v>11840</v>
      </c>
      <c r="B98" s="16">
        <v>10</v>
      </c>
      <c r="C98" s="9"/>
      <c r="D98" s="271" t="s">
        <v>9148</v>
      </c>
      <c r="E98" s="263"/>
      <c r="F98" s="263"/>
      <c r="G98" s="263">
        <v>5</v>
      </c>
      <c r="H98" s="263"/>
      <c r="I98" s="263"/>
      <c r="J98" s="263"/>
      <c r="K98" s="267">
        <v>5</v>
      </c>
    </row>
    <row r="99" spans="1:11">
      <c r="A99" s="9" t="s">
        <v>11841</v>
      </c>
      <c r="B99" s="16">
        <v>10</v>
      </c>
      <c r="C99" s="9"/>
      <c r="D99" s="271" t="s">
        <v>9149</v>
      </c>
      <c r="E99" s="263"/>
      <c r="F99" s="263"/>
      <c r="G99" s="263">
        <v>5</v>
      </c>
      <c r="H99" s="263"/>
      <c r="I99" s="263"/>
      <c r="J99" s="263"/>
      <c r="K99" s="267">
        <v>5</v>
      </c>
    </row>
    <row r="100" spans="1:11">
      <c r="A100" s="9" t="s">
        <v>11842</v>
      </c>
      <c r="B100" s="16">
        <v>10</v>
      </c>
      <c r="C100" s="9"/>
      <c r="D100" s="271" t="s">
        <v>9150</v>
      </c>
      <c r="E100" s="263">
        <v>5</v>
      </c>
      <c r="F100" s="263"/>
      <c r="G100" s="263"/>
      <c r="H100" s="263"/>
      <c r="I100" s="263"/>
      <c r="J100" s="263"/>
      <c r="K100" s="267">
        <v>5</v>
      </c>
    </row>
    <row r="101" spans="1:11">
      <c r="A101" s="9" t="s">
        <v>11843</v>
      </c>
      <c r="B101" s="16">
        <v>10</v>
      </c>
      <c r="C101" s="9"/>
      <c r="D101" s="271" t="s">
        <v>9151</v>
      </c>
      <c r="E101" s="263">
        <v>5</v>
      </c>
      <c r="F101" s="263"/>
      <c r="G101" s="263"/>
      <c r="H101" s="263"/>
      <c r="I101" s="263"/>
      <c r="J101" s="263"/>
      <c r="K101" s="267">
        <v>5</v>
      </c>
    </row>
    <row r="102" spans="1:11">
      <c r="A102" s="9" t="s">
        <v>11844</v>
      </c>
      <c r="B102" s="16">
        <v>10</v>
      </c>
      <c r="C102" s="9"/>
      <c r="D102" s="271" t="s">
        <v>9152</v>
      </c>
      <c r="E102" s="263"/>
      <c r="F102" s="263"/>
      <c r="G102" s="263"/>
      <c r="H102" s="263">
        <v>5</v>
      </c>
      <c r="I102" s="263"/>
      <c r="J102" s="263"/>
      <c r="K102" s="267">
        <v>5</v>
      </c>
    </row>
    <row r="103" spans="1:11">
      <c r="A103" s="9" t="s">
        <v>11845</v>
      </c>
      <c r="B103" s="16">
        <v>10</v>
      </c>
      <c r="C103" s="9"/>
      <c r="D103" s="271" t="s">
        <v>9153</v>
      </c>
      <c r="E103" s="263"/>
      <c r="F103" s="263"/>
      <c r="G103" s="263"/>
      <c r="H103" s="263"/>
      <c r="I103" s="263"/>
      <c r="J103" s="263">
        <v>5</v>
      </c>
      <c r="K103" s="267">
        <v>5</v>
      </c>
    </row>
    <row r="104" spans="1:11">
      <c r="A104" s="9" t="s">
        <v>11846</v>
      </c>
      <c r="B104" s="16">
        <v>10</v>
      </c>
      <c r="C104" s="9"/>
      <c r="D104" s="271" t="s">
        <v>9154</v>
      </c>
      <c r="E104" s="263"/>
      <c r="F104" s="263"/>
      <c r="G104" s="263">
        <v>5</v>
      </c>
      <c r="H104" s="263"/>
      <c r="I104" s="263"/>
      <c r="J104" s="263"/>
      <c r="K104" s="267">
        <v>5</v>
      </c>
    </row>
    <row r="105" spans="1:11">
      <c r="B105" s="16">
        <v>10</v>
      </c>
      <c r="C105" s="9"/>
      <c r="D105" s="271"/>
      <c r="E105" s="263"/>
      <c r="F105" s="263"/>
      <c r="G105" s="263"/>
      <c r="H105" s="263"/>
      <c r="I105" s="263"/>
      <c r="J105" s="263"/>
      <c r="K105" s="267">
        <v>0</v>
      </c>
    </row>
    <row r="106" spans="1:11">
      <c r="B106" s="16">
        <v>10</v>
      </c>
      <c r="C106" s="9"/>
      <c r="D106" s="272" t="s">
        <v>3674</v>
      </c>
      <c r="E106" s="273">
        <v>10</v>
      </c>
      <c r="F106" s="273">
        <v>5</v>
      </c>
      <c r="G106" s="273">
        <v>20</v>
      </c>
      <c r="H106" s="273">
        <v>5</v>
      </c>
      <c r="I106" s="273">
        <v>5</v>
      </c>
      <c r="J106" s="273">
        <v>5</v>
      </c>
      <c r="K106" s="273">
        <v>50</v>
      </c>
    </row>
    <row r="107" spans="1:11">
      <c r="C107" s="9"/>
      <c r="D107" s="271"/>
      <c r="E107" s="263"/>
      <c r="F107" s="263"/>
      <c r="G107" s="263"/>
      <c r="H107" s="263"/>
      <c r="I107" s="263"/>
      <c r="J107" s="263"/>
      <c r="K107" s="267">
        <v>0</v>
      </c>
    </row>
    <row r="108" spans="1:11">
      <c r="B108" s="16">
        <v>0</v>
      </c>
      <c r="C108" s="9"/>
      <c r="D108" s="269" t="s">
        <v>13075</v>
      </c>
      <c r="E108" s="270">
        <v>78</v>
      </c>
      <c r="F108" s="270">
        <v>24</v>
      </c>
      <c r="G108" s="270">
        <v>54</v>
      </c>
      <c r="H108" s="270">
        <v>30</v>
      </c>
      <c r="I108" s="270">
        <v>18</v>
      </c>
      <c r="J108" s="270">
        <v>46</v>
      </c>
      <c r="K108" s="270">
        <v>250</v>
      </c>
    </row>
    <row r="109" spans="1:11">
      <c r="C109" s="9"/>
      <c r="D109" s="271"/>
      <c r="E109" s="263"/>
      <c r="F109" s="263"/>
      <c r="G109" s="263"/>
      <c r="H109" s="263"/>
      <c r="I109" s="263"/>
      <c r="J109" s="263"/>
      <c r="K109" s="267">
        <v>0</v>
      </c>
    </row>
    <row r="110" spans="1:11">
      <c r="C110" s="9"/>
      <c r="D110" s="271"/>
      <c r="E110" s="263"/>
      <c r="F110" s="263"/>
      <c r="G110" s="263"/>
      <c r="H110" s="263"/>
      <c r="I110" s="263"/>
      <c r="J110" s="263"/>
      <c r="K110" s="267">
        <v>0</v>
      </c>
    </row>
    <row r="111" spans="1:11">
      <c r="C111" s="9"/>
      <c r="D111" s="271" t="s">
        <v>4267</v>
      </c>
      <c r="E111" s="263"/>
      <c r="F111" s="263"/>
      <c r="G111" s="263"/>
      <c r="H111" s="263"/>
      <c r="I111" s="263"/>
      <c r="J111" s="263"/>
      <c r="K111" s="267">
        <v>0</v>
      </c>
    </row>
    <row r="112" spans="1:11">
      <c r="C112" s="9"/>
      <c r="D112" s="271"/>
      <c r="E112" s="263"/>
      <c r="F112" s="263"/>
      <c r="G112" s="263"/>
      <c r="H112" s="263"/>
      <c r="I112" s="263"/>
      <c r="J112" s="263"/>
      <c r="K112" s="267">
        <v>0</v>
      </c>
    </row>
    <row r="113" spans="1:11">
      <c r="A113" s="9" t="s">
        <v>11847</v>
      </c>
      <c r="B113" s="16">
        <v>26</v>
      </c>
      <c r="C113" s="9"/>
      <c r="D113" s="271" t="s">
        <v>10031</v>
      </c>
      <c r="E113" s="263"/>
      <c r="F113" s="263">
        <v>0</v>
      </c>
      <c r="G113" s="263">
        <v>0</v>
      </c>
      <c r="H113" s="263">
        <v>3</v>
      </c>
      <c r="I113" s="263">
        <v>0</v>
      </c>
      <c r="J113" s="263">
        <v>0</v>
      </c>
      <c r="K113" s="267">
        <v>3</v>
      </c>
    </row>
    <row r="114" spans="1:11">
      <c r="A114" s="9" t="s">
        <v>11848</v>
      </c>
      <c r="B114" s="16">
        <v>26</v>
      </c>
      <c r="C114" s="9"/>
      <c r="D114" s="271" t="s">
        <v>10032</v>
      </c>
      <c r="E114" s="263"/>
      <c r="F114" s="263">
        <v>0</v>
      </c>
      <c r="G114" s="263">
        <v>0</v>
      </c>
      <c r="H114" s="263">
        <v>2</v>
      </c>
      <c r="I114" s="263">
        <v>0</v>
      </c>
      <c r="J114" s="263">
        <v>0</v>
      </c>
      <c r="K114" s="267">
        <v>2</v>
      </c>
    </row>
    <row r="115" spans="1:11" ht="31.5">
      <c r="A115" s="9" t="s">
        <v>11849</v>
      </c>
      <c r="B115" s="16">
        <v>26</v>
      </c>
      <c r="C115" s="9"/>
      <c r="D115" s="271" t="s">
        <v>10033</v>
      </c>
      <c r="E115" s="263"/>
      <c r="F115" s="263">
        <v>0</v>
      </c>
      <c r="G115" s="263">
        <v>0</v>
      </c>
      <c r="H115" s="263">
        <v>0</v>
      </c>
      <c r="I115" s="263">
        <v>0</v>
      </c>
      <c r="J115" s="263">
        <v>1</v>
      </c>
      <c r="K115" s="267">
        <v>1</v>
      </c>
    </row>
    <row r="116" spans="1:11" ht="31.5">
      <c r="A116" s="9" t="s">
        <v>11850</v>
      </c>
      <c r="B116" s="16">
        <v>26</v>
      </c>
      <c r="C116" s="9"/>
      <c r="D116" s="271" t="s">
        <v>10034</v>
      </c>
      <c r="E116" s="263">
        <v>3</v>
      </c>
      <c r="F116" s="263">
        <v>0</v>
      </c>
      <c r="G116" s="263">
        <v>0</v>
      </c>
      <c r="H116" s="263">
        <v>0</v>
      </c>
      <c r="I116" s="263">
        <v>0</v>
      </c>
      <c r="J116" s="263">
        <v>0</v>
      </c>
      <c r="K116" s="267">
        <v>3</v>
      </c>
    </row>
    <row r="117" spans="1:11" ht="31.5">
      <c r="A117" s="9" t="s">
        <v>11851</v>
      </c>
      <c r="B117" s="16">
        <v>26</v>
      </c>
      <c r="C117" s="9"/>
      <c r="D117" s="271" t="s">
        <v>10035</v>
      </c>
      <c r="E117" s="263">
        <v>3</v>
      </c>
      <c r="F117" s="263">
        <v>0</v>
      </c>
      <c r="G117" s="263">
        <v>0</v>
      </c>
      <c r="H117" s="263">
        <v>0</v>
      </c>
      <c r="I117" s="263">
        <v>0</v>
      </c>
      <c r="J117" s="263">
        <v>0</v>
      </c>
      <c r="K117" s="267">
        <v>3</v>
      </c>
    </row>
    <row r="118" spans="1:11" ht="31.5">
      <c r="A118" s="9" t="s">
        <v>11852</v>
      </c>
      <c r="B118" s="16">
        <v>26</v>
      </c>
      <c r="C118" s="9"/>
      <c r="D118" s="271" t="s">
        <v>10036</v>
      </c>
      <c r="E118" s="263"/>
      <c r="F118" s="263">
        <v>0</v>
      </c>
      <c r="G118" s="263">
        <v>0</v>
      </c>
      <c r="H118" s="263">
        <v>3</v>
      </c>
      <c r="I118" s="263">
        <v>0</v>
      </c>
      <c r="J118" s="263">
        <v>0</v>
      </c>
      <c r="K118" s="267">
        <v>3</v>
      </c>
    </row>
    <row r="119" spans="1:11">
      <c r="A119" s="9" t="s">
        <v>11853</v>
      </c>
      <c r="B119" s="16">
        <v>26</v>
      </c>
      <c r="C119" s="9"/>
      <c r="D119" s="271" t="s">
        <v>10037</v>
      </c>
      <c r="E119" s="263"/>
      <c r="F119" s="263">
        <v>0</v>
      </c>
      <c r="G119" s="263">
        <v>3</v>
      </c>
      <c r="H119" s="263">
        <v>0</v>
      </c>
      <c r="I119" s="263">
        <v>0</v>
      </c>
      <c r="J119" s="263">
        <v>0</v>
      </c>
      <c r="K119" s="267">
        <v>3</v>
      </c>
    </row>
    <row r="120" spans="1:11" ht="31.5">
      <c r="A120" s="9" t="s">
        <v>11854</v>
      </c>
      <c r="B120" s="16">
        <v>26</v>
      </c>
      <c r="C120" s="9"/>
      <c r="D120" s="271" t="s">
        <v>10046</v>
      </c>
      <c r="E120" s="263"/>
      <c r="F120" s="263">
        <v>2</v>
      </c>
      <c r="G120" s="263">
        <v>0</v>
      </c>
      <c r="H120" s="263">
        <v>0</v>
      </c>
      <c r="I120" s="263">
        <v>0</v>
      </c>
      <c r="J120" s="263">
        <v>0</v>
      </c>
      <c r="K120" s="267">
        <v>2</v>
      </c>
    </row>
    <row r="121" spans="1:11" ht="31.5">
      <c r="A121" s="9" t="s">
        <v>11855</v>
      </c>
      <c r="B121" s="16">
        <v>26</v>
      </c>
      <c r="C121" s="9"/>
      <c r="D121" s="271" t="s">
        <v>10038</v>
      </c>
      <c r="E121" s="263"/>
      <c r="F121" s="263">
        <v>2</v>
      </c>
      <c r="G121" s="263">
        <v>0</v>
      </c>
      <c r="H121" s="263">
        <v>0</v>
      </c>
      <c r="I121" s="263">
        <v>0</v>
      </c>
      <c r="J121" s="263">
        <v>0</v>
      </c>
      <c r="K121" s="267">
        <v>2</v>
      </c>
    </row>
    <row r="122" spans="1:11">
      <c r="A122" s="9" t="s">
        <v>11856</v>
      </c>
      <c r="B122" s="16">
        <v>26</v>
      </c>
      <c r="C122" s="9"/>
      <c r="D122" s="271" t="s">
        <v>10039</v>
      </c>
      <c r="E122" s="263"/>
      <c r="F122" s="263">
        <v>2</v>
      </c>
      <c r="G122" s="263">
        <v>0</v>
      </c>
      <c r="H122" s="263">
        <v>0</v>
      </c>
      <c r="I122" s="263">
        <v>0</v>
      </c>
      <c r="J122" s="263">
        <v>0</v>
      </c>
      <c r="K122" s="267">
        <v>2</v>
      </c>
    </row>
    <row r="123" spans="1:11">
      <c r="B123" s="16">
        <v>26</v>
      </c>
      <c r="C123" s="9"/>
      <c r="D123" s="271"/>
      <c r="E123" s="263"/>
      <c r="F123" s="263"/>
      <c r="G123" s="263"/>
      <c r="H123" s="263"/>
      <c r="I123" s="263"/>
      <c r="J123" s="263"/>
      <c r="K123" s="267">
        <v>0</v>
      </c>
    </row>
    <row r="124" spans="1:11">
      <c r="B124" s="16">
        <v>26</v>
      </c>
      <c r="C124" s="9"/>
      <c r="D124" s="272" t="s">
        <v>3674</v>
      </c>
      <c r="E124" s="273">
        <v>6</v>
      </c>
      <c r="F124" s="273">
        <v>6</v>
      </c>
      <c r="G124" s="273">
        <v>3</v>
      </c>
      <c r="H124" s="273">
        <v>8</v>
      </c>
      <c r="I124" s="273">
        <v>0</v>
      </c>
      <c r="J124" s="273">
        <v>1</v>
      </c>
      <c r="K124" s="273">
        <v>24</v>
      </c>
    </row>
    <row r="125" spans="1:11">
      <c r="C125" s="9"/>
      <c r="D125" s="271"/>
      <c r="E125" s="263"/>
      <c r="F125" s="263"/>
      <c r="G125" s="263"/>
      <c r="H125" s="263"/>
      <c r="I125" s="263"/>
      <c r="J125" s="263"/>
      <c r="K125" s="267">
        <v>0</v>
      </c>
    </row>
    <row r="126" spans="1:11">
      <c r="A126" s="9" t="s">
        <v>11857</v>
      </c>
      <c r="B126" s="16">
        <v>27</v>
      </c>
      <c r="C126" s="9"/>
      <c r="D126" s="271" t="s">
        <v>10047</v>
      </c>
      <c r="E126" s="263">
        <v>0</v>
      </c>
      <c r="F126" s="263">
        <v>0</v>
      </c>
      <c r="G126" s="263">
        <v>3</v>
      </c>
      <c r="H126" s="263">
        <v>0</v>
      </c>
      <c r="I126" s="263">
        <v>0</v>
      </c>
      <c r="J126" s="263">
        <v>0</v>
      </c>
      <c r="K126" s="267">
        <v>3</v>
      </c>
    </row>
    <row r="127" spans="1:11">
      <c r="A127" s="9" t="s">
        <v>11858</v>
      </c>
      <c r="B127" s="16">
        <v>27</v>
      </c>
      <c r="C127" s="9"/>
      <c r="D127" s="271" t="s">
        <v>10048</v>
      </c>
      <c r="E127" s="263">
        <v>0</v>
      </c>
      <c r="F127" s="263">
        <v>0</v>
      </c>
      <c r="G127" s="263">
        <v>3</v>
      </c>
      <c r="H127" s="263">
        <v>0</v>
      </c>
      <c r="I127" s="263">
        <v>0</v>
      </c>
      <c r="J127" s="263">
        <v>0</v>
      </c>
      <c r="K127" s="267">
        <v>3</v>
      </c>
    </row>
    <row r="128" spans="1:11">
      <c r="A128" s="9" t="s">
        <v>11859</v>
      </c>
      <c r="B128" s="16">
        <v>27</v>
      </c>
      <c r="C128" s="9"/>
      <c r="D128" s="271" t="s">
        <v>10040</v>
      </c>
      <c r="E128" s="263">
        <v>3</v>
      </c>
      <c r="F128" s="263">
        <v>0</v>
      </c>
      <c r="G128" s="263">
        <v>0</v>
      </c>
      <c r="H128" s="263">
        <v>0</v>
      </c>
      <c r="I128" s="263">
        <v>0</v>
      </c>
      <c r="J128" s="263">
        <v>0</v>
      </c>
      <c r="K128" s="267">
        <v>3</v>
      </c>
    </row>
    <row r="129" spans="1:11">
      <c r="A129" s="9" t="s">
        <v>11860</v>
      </c>
      <c r="B129" s="16">
        <v>27</v>
      </c>
      <c r="C129" s="9"/>
      <c r="D129" s="271" t="s">
        <v>10041</v>
      </c>
      <c r="E129" s="263">
        <v>0</v>
      </c>
      <c r="F129" s="263">
        <v>0</v>
      </c>
      <c r="G129" s="263">
        <v>0</v>
      </c>
      <c r="H129" s="263">
        <v>0</v>
      </c>
      <c r="I129" s="263">
        <v>0</v>
      </c>
      <c r="J129" s="263">
        <v>3</v>
      </c>
      <c r="K129" s="267">
        <v>3</v>
      </c>
    </row>
    <row r="130" spans="1:11">
      <c r="A130" s="9" t="s">
        <v>11861</v>
      </c>
      <c r="B130" s="16">
        <v>27</v>
      </c>
      <c r="C130" s="9"/>
      <c r="D130" s="271" t="s">
        <v>10042</v>
      </c>
      <c r="E130" s="263">
        <v>0</v>
      </c>
      <c r="F130" s="263">
        <v>0</v>
      </c>
      <c r="G130" s="263">
        <v>0</v>
      </c>
      <c r="H130" s="263">
        <v>0</v>
      </c>
      <c r="I130" s="263">
        <v>0</v>
      </c>
      <c r="J130" s="263">
        <v>3</v>
      </c>
      <c r="K130" s="267">
        <v>3</v>
      </c>
    </row>
    <row r="131" spans="1:11">
      <c r="A131" s="9" t="s">
        <v>11862</v>
      </c>
      <c r="B131" s="16">
        <v>27</v>
      </c>
      <c r="C131" s="9"/>
      <c r="D131" s="271" t="s">
        <v>10043</v>
      </c>
      <c r="E131" s="263">
        <v>0</v>
      </c>
      <c r="F131" s="263">
        <v>0</v>
      </c>
      <c r="G131" s="263">
        <v>0</v>
      </c>
      <c r="H131" s="263">
        <v>0</v>
      </c>
      <c r="I131" s="263">
        <v>0</v>
      </c>
      <c r="J131" s="263">
        <v>4</v>
      </c>
      <c r="K131" s="267">
        <v>4</v>
      </c>
    </row>
    <row r="132" spans="1:11">
      <c r="A132" s="9" t="s">
        <v>11863</v>
      </c>
      <c r="B132" s="16">
        <v>27</v>
      </c>
      <c r="C132" s="9"/>
      <c r="D132" s="271" t="s">
        <v>10044</v>
      </c>
      <c r="E132" s="263">
        <v>0</v>
      </c>
      <c r="F132" s="263">
        <v>0</v>
      </c>
      <c r="G132" s="263">
        <v>0</v>
      </c>
      <c r="H132" s="263">
        <v>0</v>
      </c>
      <c r="I132" s="263">
        <v>0</v>
      </c>
      <c r="J132" s="263">
        <v>4</v>
      </c>
      <c r="K132" s="267">
        <v>4</v>
      </c>
    </row>
    <row r="133" spans="1:11">
      <c r="A133" s="9" t="s">
        <v>11864</v>
      </c>
      <c r="B133" s="16">
        <v>27</v>
      </c>
      <c r="C133" s="9"/>
      <c r="D133" s="271" t="s">
        <v>10045</v>
      </c>
      <c r="E133" s="263">
        <v>0</v>
      </c>
      <c r="F133" s="263">
        <v>0</v>
      </c>
      <c r="G133" s="263">
        <v>0</v>
      </c>
      <c r="H133" s="263">
        <v>0</v>
      </c>
      <c r="I133" s="263">
        <v>0</v>
      </c>
      <c r="J133" s="263">
        <v>5</v>
      </c>
      <c r="K133" s="267">
        <v>5</v>
      </c>
    </row>
    <row r="134" spans="1:11">
      <c r="B134" s="16">
        <v>27</v>
      </c>
      <c r="C134" s="9"/>
      <c r="D134" s="271"/>
      <c r="E134" s="263"/>
      <c r="F134" s="263"/>
      <c r="G134" s="263"/>
      <c r="H134" s="263"/>
      <c r="I134" s="263"/>
      <c r="J134" s="263"/>
      <c r="K134" s="267">
        <v>0</v>
      </c>
    </row>
    <row r="135" spans="1:11">
      <c r="B135" s="16">
        <v>27</v>
      </c>
      <c r="C135" s="9"/>
      <c r="D135" s="272" t="s">
        <v>3674</v>
      </c>
      <c r="E135" s="273">
        <v>3</v>
      </c>
      <c r="F135" s="273">
        <v>0</v>
      </c>
      <c r="G135" s="273">
        <v>6</v>
      </c>
      <c r="H135" s="273">
        <v>0</v>
      </c>
      <c r="I135" s="273">
        <v>0</v>
      </c>
      <c r="J135" s="273">
        <v>19</v>
      </c>
      <c r="K135" s="273">
        <v>28</v>
      </c>
    </row>
    <row r="136" spans="1:11">
      <c r="C136" s="9"/>
      <c r="D136" s="271"/>
      <c r="E136" s="263"/>
      <c r="F136" s="263"/>
      <c r="G136" s="263"/>
      <c r="H136" s="263"/>
      <c r="I136" s="263"/>
      <c r="J136" s="263"/>
      <c r="K136" s="267">
        <v>0</v>
      </c>
    </row>
    <row r="137" spans="1:11">
      <c r="A137" s="9" t="s">
        <v>11865</v>
      </c>
      <c r="B137" s="16">
        <v>28</v>
      </c>
      <c r="C137" s="9"/>
      <c r="D137" s="271" t="s">
        <v>10049</v>
      </c>
      <c r="E137" s="263">
        <v>0</v>
      </c>
      <c r="F137" s="263">
        <v>0</v>
      </c>
      <c r="G137" s="263">
        <v>5</v>
      </c>
      <c r="H137" s="263">
        <v>0</v>
      </c>
      <c r="I137" s="263">
        <v>0</v>
      </c>
      <c r="J137" s="263">
        <v>0</v>
      </c>
      <c r="K137" s="267">
        <v>5</v>
      </c>
    </row>
    <row r="138" spans="1:11">
      <c r="A138" s="9" t="s">
        <v>11866</v>
      </c>
      <c r="B138" s="16">
        <v>28</v>
      </c>
      <c r="C138" s="9"/>
      <c r="D138" s="271" t="s">
        <v>9627</v>
      </c>
      <c r="E138" s="263">
        <v>0</v>
      </c>
      <c r="F138" s="263">
        <v>0</v>
      </c>
      <c r="G138" s="263">
        <v>5</v>
      </c>
      <c r="H138" s="263">
        <v>0</v>
      </c>
      <c r="I138" s="263">
        <v>0</v>
      </c>
      <c r="J138" s="263">
        <v>0</v>
      </c>
      <c r="K138" s="267">
        <v>5</v>
      </c>
    </row>
    <row r="139" spans="1:11">
      <c r="A139" s="9" t="s">
        <v>11867</v>
      </c>
      <c r="B139" s="16">
        <v>28</v>
      </c>
      <c r="C139" s="9"/>
      <c r="D139" s="271" t="s">
        <v>9628</v>
      </c>
      <c r="E139" s="263">
        <v>0</v>
      </c>
      <c r="F139" s="263">
        <v>0</v>
      </c>
      <c r="G139" s="263">
        <v>5</v>
      </c>
      <c r="H139" s="263">
        <v>0</v>
      </c>
      <c r="I139" s="263">
        <v>0</v>
      </c>
      <c r="J139" s="263">
        <v>0</v>
      </c>
      <c r="K139" s="267">
        <v>5</v>
      </c>
    </row>
    <row r="140" spans="1:11">
      <c r="A140" s="9" t="s">
        <v>11868</v>
      </c>
      <c r="B140" s="16">
        <v>28</v>
      </c>
      <c r="C140" s="9"/>
      <c r="D140" s="271" t="s">
        <v>9629</v>
      </c>
      <c r="E140" s="263">
        <v>0</v>
      </c>
      <c r="F140" s="263">
        <v>0</v>
      </c>
      <c r="G140" s="263">
        <v>5</v>
      </c>
      <c r="H140" s="263">
        <v>0</v>
      </c>
      <c r="I140" s="263">
        <v>0</v>
      </c>
      <c r="J140" s="263">
        <v>0</v>
      </c>
      <c r="K140" s="267">
        <v>5</v>
      </c>
    </row>
    <row r="141" spans="1:11">
      <c r="A141" s="9" t="s">
        <v>11869</v>
      </c>
      <c r="B141" s="16">
        <v>28</v>
      </c>
      <c r="C141" s="9"/>
      <c r="D141" s="271" t="s">
        <v>10050</v>
      </c>
      <c r="E141" s="263">
        <v>0</v>
      </c>
      <c r="F141" s="263">
        <v>10</v>
      </c>
      <c r="G141" s="263">
        <v>0</v>
      </c>
      <c r="H141" s="263">
        <v>0</v>
      </c>
      <c r="I141" s="263">
        <v>0</v>
      </c>
      <c r="J141" s="263">
        <v>0</v>
      </c>
      <c r="K141" s="267">
        <v>10</v>
      </c>
    </row>
    <row r="142" spans="1:11">
      <c r="B142" s="16">
        <v>28</v>
      </c>
      <c r="C142" s="9"/>
      <c r="D142" s="271"/>
      <c r="E142" s="263"/>
      <c r="F142" s="263"/>
      <c r="G142" s="263"/>
      <c r="H142" s="263"/>
      <c r="I142" s="263"/>
      <c r="J142" s="263"/>
      <c r="K142" s="267">
        <v>0</v>
      </c>
    </row>
    <row r="143" spans="1:11">
      <c r="B143" s="16">
        <v>28</v>
      </c>
      <c r="C143" s="9"/>
      <c r="D143" s="272" t="s">
        <v>3674</v>
      </c>
      <c r="E143" s="273">
        <v>0</v>
      </c>
      <c r="F143" s="273">
        <v>10</v>
      </c>
      <c r="G143" s="273">
        <v>20</v>
      </c>
      <c r="H143" s="273">
        <v>0</v>
      </c>
      <c r="I143" s="273">
        <v>0</v>
      </c>
      <c r="J143" s="273">
        <v>0</v>
      </c>
      <c r="K143" s="273">
        <v>30</v>
      </c>
    </row>
    <row r="144" spans="1:11">
      <c r="C144" s="9"/>
      <c r="D144" s="271"/>
      <c r="E144" s="263"/>
      <c r="F144" s="263"/>
      <c r="G144" s="263"/>
      <c r="H144" s="263"/>
      <c r="I144" s="263"/>
      <c r="J144" s="263"/>
      <c r="K144" s="267">
        <v>0</v>
      </c>
    </row>
    <row r="145" spans="1:11">
      <c r="A145" s="9" t="s">
        <v>11870</v>
      </c>
      <c r="B145" s="16">
        <v>29</v>
      </c>
      <c r="C145" s="9"/>
      <c r="D145" s="271" t="s">
        <v>9630</v>
      </c>
      <c r="E145" s="263">
        <v>5</v>
      </c>
      <c r="F145" s="263">
        <v>0</v>
      </c>
      <c r="G145" s="263">
        <v>0</v>
      </c>
      <c r="H145" s="263">
        <v>0</v>
      </c>
      <c r="I145" s="263">
        <v>0</v>
      </c>
      <c r="J145" s="263">
        <v>0</v>
      </c>
      <c r="K145" s="267">
        <v>5</v>
      </c>
    </row>
    <row r="146" spans="1:11">
      <c r="A146" s="9" t="s">
        <v>11871</v>
      </c>
      <c r="B146" s="16">
        <v>29</v>
      </c>
      <c r="C146" s="9"/>
      <c r="D146" s="271" t="s">
        <v>9631</v>
      </c>
      <c r="E146" s="263">
        <v>5</v>
      </c>
      <c r="F146" s="263">
        <v>0</v>
      </c>
      <c r="G146" s="263">
        <v>0</v>
      </c>
      <c r="H146" s="263">
        <v>0</v>
      </c>
      <c r="I146" s="263">
        <v>0</v>
      </c>
      <c r="J146" s="263">
        <v>0</v>
      </c>
      <c r="K146" s="267">
        <v>5</v>
      </c>
    </row>
    <row r="147" spans="1:11">
      <c r="A147" s="9" t="s">
        <v>11872</v>
      </c>
      <c r="B147" s="16">
        <v>29</v>
      </c>
      <c r="C147" s="9"/>
      <c r="D147" s="271" t="s">
        <v>9632</v>
      </c>
      <c r="E147" s="263">
        <v>5</v>
      </c>
      <c r="F147" s="263">
        <v>0</v>
      </c>
      <c r="G147" s="263">
        <v>0</v>
      </c>
      <c r="H147" s="263">
        <v>0</v>
      </c>
      <c r="I147" s="263">
        <v>0</v>
      </c>
      <c r="J147" s="263">
        <v>0</v>
      </c>
      <c r="K147" s="267">
        <v>5</v>
      </c>
    </row>
    <row r="148" spans="1:11">
      <c r="A148" s="9" t="s">
        <v>11873</v>
      </c>
      <c r="B148" s="16">
        <v>29</v>
      </c>
      <c r="C148" s="9"/>
      <c r="D148" s="271" t="s">
        <v>9633</v>
      </c>
      <c r="E148" s="263">
        <v>5</v>
      </c>
      <c r="F148" s="263">
        <v>0</v>
      </c>
      <c r="G148" s="263">
        <v>0</v>
      </c>
      <c r="H148" s="263">
        <v>0</v>
      </c>
      <c r="I148" s="263">
        <v>0</v>
      </c>
      <c r="J148" s="263">
        <v>0</v>
      </c>
      <c r="K148" s="267">
        <v>5</v>
      </c>
    </row>
    <row r="149" spans="1:11">
      <c r="A149" s="9" t="s">
        <v>11874</v>
      </c>
      <c r="B149" s="16">
        <v>29</v>
      </c>
      <c r="C149" s="9"/>
      <c r="D149" s="271" t="s">
        <v>9634</v>
      </c>
      <c r="E149" s="263">
        <v>0</v>
      </c>
      <c r="F149" s="263">
        <v>0</v>
      </c>
      <c r="G149" s="263">
        <v>0</v>
      </c>
      <c r="H149" s="263">
        <v>0</v>
      </c>
      <c r="I149" s="263">
        <v>0</v>
      </c>
      <c r="J149" s="263">
        <v>5</v>
      </c>
      <c r="K149" s="267">
        <v>5</v>
      </c>
    </row>
    <row r="150" spans="1:11">
      <c r="B150" s="16">
        <v>29</v>
      </c>
      <c r="C150" s="9"/>
      <c r="D150" s="271"/>
      <c r="E150" s="263"/>
      <c r="F150" s="263"/>
      <c r="G150" s="263"/>
      <c r="H150" s="263"/>
      <c r="I150" s="263"/>
      <c r="J150" s="263"/>
      <c r="K150" s="267">
        <v>0</v>
      </c>
    </row>
    <row r="151" spans="1:11">
      <c r="B151" s="16">
        <v>29</v>
      </c>
      <c r="C151" s="9"/>
      <c r="D151" s="272" t="s">
        <v>3674</v>
      </c>
      <c r="E151" s="273">
        <v>20</v>
      </c>
      <c r="F151" s="273">
        <v>0</v>
      </c>
      <c r="G151" s="273">
        <v>0</v>
      </c>
      <c r="H151" s="273">
        <v>0</v>
      </c>
      <c r="I151" s="273">
        <v>0</v>
      </c>
      <c r="J151" s="273">
        <v>5</v>
      </c>
      <c r="K151" s="273">
        <v>25</v>
      </c>
    </row>
    <row r="152" spans="1:11">
      <c r="C152" s="9"/>
      <c r="D152" s="271"/>
      <c r="E152" s="263"/>
      <c r="F152" s="263"/>
      <c r="G152" s="263"/>
      <c r="H152" s="263"/>
      <c r="I152" s="263"/>
      <c r="J152" s="263"/>
      <c r="K152" s="267">
        <v>0</v>
      </c>
    </row>
    <row r="153" spans="1:11">
      <c r="A153" s="9" t="s">
        <v>11875</v>
      </c>
      <c r="B153" s="16">
        <v>34</v>
      </c>
      <c r="C153" s="9"/>
      <c r="D153" s="271" t="s">
        <v>10051</v>
      </c>
      <c r="E153" s="263">
        <v>3</v>
      </c>
      <c r="F153" s="263">
        <v>0</v>
      </c>
      <c r="G153" s="263">
        <v>0</v>
      </c>
      <c r="H153" s="263">
        <v>0</v>
      </c>
      <c r="I153" s="263">
        <v>0</v>
      </c>
      <c r="J153" s="263">
        <v>0</v>
      </c>
      <c r="K153" s="267">
        <v>3</v>
      </c>
    </row>
    <row r="154" spans="1:11">
      <c r="A154" s="9" t="s">
        <v>11876</v>
      </c>
      <c r="B154" s="16">
        <v>34</v>
      </c>
      <c r="C154" s="9"/>
      <c r="D154" s="271" t="s">
        <v>10052</v>
      </c>
      <c r="E154" s="263">
        <v>0</v>
      </c>
      <c r="F154" s="263">
        <v>0</v>
      </c>
      <c r="G154" s="263">
        <v>0</v>
      </c>
      <c r="H154" s="263">
        <v>0</v>
      </c>
      <c r="I154" s="263">
        <v>0</v>
      </c>
      <c r="J154" s="263">
        <v>3.5</v>
      </c>
      <c r="K154" s="267">
        <v>3.5</v>
      </c>
    </row>
    <row r="155" spans="1:11">
      <c r="A155" s="9" t="s">
        <v>11877</v>
      </c>
      <c r="B155" s="16">
        <v>34</v>
      </c>
      <c r="C155" s="9"/>
      <c r="D155" s="271" t="s">
        <v>10053</v>
      </c>
      <c r="E155" s="263">
        <v>0</v>
      </c>
      <c r="F155" s="263">
        <v>0</v>
      </c>
      <c r="G155" s="263">
        <v>0</v>
      </c>
      <c r="H155" s="263">
        <v>0</v>
      </c>
      <c r="I155" s="263">
        <v>0</v>
      </c>
      <c r="J155" s="263">
        <v>7.5</v>
      </c>
      <c r="K155" s="267">
        <v>7.5</v>
      </c>
    </row>
    <row r="156" spans="1:11">
      <c r="A156" s="9" t="s">
        <v>11878</v>
      </c>
      <c r="B156" s="16">
        <v>34</v>
      </c>
      <c r="C156" s="9"/>
      <c r="D156" s="271" t="s">
        <v>10054</v>
      </c>
      <c r="E156" s="263">
        <v>3</v>
      </c>
      <c r="F156" s="263">
        <v>0</v>
      </c>
      <c r="G156" s="263">
        <v>0</v>
      </c>
      <c r="H156" s="263">
        <v>0</v>
      </c>
      <c r="I156" s="263">
        <v>0</v>
      </c>
      <c r="J156" s="263">
        <v>0</v>
      </c>
      <c r="K156" s="267">
        <v>3</v>
      </c>
    </row>
    <row r="157" spans="1:11">
      <c r="A157" s="9" t="s">
        <v>11879</v>
      </c>
      <c r="B157" s="16">
        <v>34</v>
      </c>
      <c r="C157" s="9"/>
      <c r="D157" s="271" t="s">
        <v>10055</v>
      </c>
      <c r="E157" s="263">
        <v>0</v>
      </c>
      <c r="F157" s="263">
        <v>0</v>
      </c>
      <c r="G157" s="263">
        <v>0</v>
      </c>
      <c r="H157" s="263">
        <v>0</v>
      </c>
      <c r="I157" s="263">
        <v>0</v>
      </c>
      <c r="J157" s="263">
        <v>2</v>
      </c>
      <c r="K157" s="267">
        <v>2</v>
      </c>
    </row>
    <row r="158" spans="1:11">
      <c r="A158" s="9" t="s">
        <v>11880</v>
      </c>
      <c r="B158" s="16">
        <v>34</v>
      </c>
      <c r="C158" s="9"/>
      <c r="D158" s="271" t="s">
        <v>10056</v>
      </c>
      <c r="E158" s="263">
        <v>0</v>
      </c>
      <c r="F158" s="263">
        <v>0</v>
      </c>
      <c r="G158" s="263">
        <v>0</v>
      </c>
      <c r="H158" s="263">
        <v>0</v>
      </c>
      <c r="I158" s="263">
        <v>0</v>
      </c>
      <c r="J158" s="263">
        <v>7</v>
      </c>
      <c r="K158" s="267">
        <v>7</v>
      </c>
    </row>
    <row r="159" spans="1:11">
      <c r="A159" s="9" t="s">
        <v>11881</v>
      </c>
      <c r="B159" s="16">
        <v>34</v>
      </c>
      <c r="C159" s="9"/>
      <c r="D159" s="271" t="s">
        <v>10057</v>
      </c>
      <c r="E159" s="263">
        <v>3</v>
      </c>
      <c r="F159" s="263">
        <v>0</v>
      </c>
      <c r="G159" s="263">
        <v>0</v>
      </c>
      <c r="H159" s="263">
        <v>0</v>
      </c>
      <c r="I159" s="263">
        <v>0</v>
      </c>
      <c r="J159" s="263">
        <v>0</v>
      </c>
      <c r="K159" s="267">
        <v>3</v>
      </c>
    </row>
    <row r="160" spans="1:11">
      <c r="B160" s="16">
        <v>34</v>
      </c>
      <c r="C160" s="9"/>
      <c r="D160" s="271"/>
      <c r="E160" s="263"/>
      <c r="F160" s="263"/>
      <c r="G160" s="263"/>
      <c r="H160" s="263"/>
      <c r="I160" s="263"/>
      <c r="J160" s="263"/>
      <c r="K160" s="267">
        <v>0</v>
      </c>
    </row>
    <row r="161" spans="1:11">
      <c r="B161" s="16">
        <v>34</v>
      </c>
      <c r="C161" s="9"/>
      <c r="D161" s="272" t="s">
        <v>3674</v>
      </c>
      <c r="E161" s="273">
        <v>9</v>
      </c>
      <c r="F161" s="273">
        <v>0</v>
      </c>
      <c r="G161" s="273">
        <v>0</v>
      </c>
      <c r="H161" s="273">
        <v>0</v>
      </c>
      <c r="I161" s="273">
        <v>0</v>
      </c>
      <c r="J161" s="273">
        <v>20</v>
      </c>
      <c r="K161" s="273">
        <v>29</v>
      </c>
    </row>
    <row r="162" spans="1:11">
      <c r="C162" s="9"/>
      <c r="D162" s="271"/>
      <c r="E162" s="263"/>
      <c r="F162" s="263"/>
      <c r="G162" s="263"/>
      <c r="H162" s="263"/>
      <c r="I162" s="263"/>
      <c r="J162" s="263"/>
      <c r="K162" s="267">
        <v>0</v>
      </c>
    </row>
    <row r="163" spans="1:11">
      <c r="B163" s="16">
        <v>0</v>
      </c>
      <c r="C163" s="9"/>
      <c r="D163" s="269" t="s">
        <v>13076</v>
      </c>
      <c r="E163" s="270">
        <v>38</v>
      </c>
      <c r="F163" s="270">
        <v>16</v>
      </c>
      <c r="G163" s="270">
        <v>29</v>
      </c>
      <c r="H163" s="270">
        <v>8</v>
      </c>
      <c r="I163" s="270">
        <v>0</v>
      </c>
      <c r="J163" s="270">
        <v>45</v>
      </c>
      <c r="K163" s="270">
        <v>136</v>
      </c>
    </row>
    <row r="164" spans="1:11">
      <c r="C164" s="9"/>
      <c r="D164" s="271"/>
      <c r="E164" s="263"/>
      <c r="F164" s="263"/>
      <c r="G164" s="263"/>
      <c r="H164" s="263"/>
      <c r="I164" s="263"/>
      <c r="J164" s="263"/>
      <c r="K164" s="267">
        <v>0</v>
      </c>
    </row>
    <row r="165" spans="1:11">
      <c r="C165" s="9"/>
      <c r="D165" s="271"/>
      <c r="E165" s="263"/>
      <c r="F165" s="263"/>
      <c r="G165" s="263"/>
      <c r="H165" s="263"/>
      <c r="I165" s="263"/>
      <c r="J165" s="263"/>
      <c r="K165" s="267">
        <v>0</v>
      </c>
    </row>
    <row r="166" spans="1:11">
      <c r="C166" s="9"/>
      <c r="D166" s="271" t="s">
        <v>4268</v>
      </c>
      <c r="E166" s="263"/>
      <c r="F166" s="263"/>
      <c r="G166" s="263"/>
      <c r="H166" s="263"/>
      <c r="I166" s="263"/>
      <c r="J166" s="263"/>
      <c r="K166" s="267">
        <v>0</v>
      </c>
    </row>
    <row r="167" spans="1:11">
      <c r="C167" s="9"/>
      <c r="D167" s="271"/>
      <c r="E167" s="263"/>
      <c r="F167" s="263"/>
      <c r="G167" s="263"/>
      <c r="H167" s="263"/>
      <c r="I167" s="263"/>
      <c r="J167" s="263"/>
      <c r="K167" s="267">
        <v>0</v>
      </c>
    </row>
    <row r="168" spans="1:11">
      <c r="A168" s="9" t="s">
        <v>11882</v>
      </c>
      <c r="B168" s="16">
        <v>11</v>
      </c>
      <c r="C168" s="9"/>
      <c r="D168" s="271" t="s">
        <v>8878</v>
      </c>
      <c r="E168" s="263">
        <v>5</v>
      </c>
      <c r="F168" s="263">
        <v>0</v>
      </c>
      <c r="G168" s="263">
        <v>0</v>
      </c>
      <c r="H168" s="263">
        <v>0</v>
      </c>
      <c r="I168" s="263">
        <v>0</v>
      </c>
      <c r="J168" s="263">
        <v>0</v>
      </c>
      <c r="K168" s="267">
        <v>5</v>
      </c>
    </row>
    <row r="169" spans="1:11">
      <c r="A169" s="9" t="s">
        <v>11883</v>
      </c>
      <c r="B169" s="16">
        <v>11</v>
      </c>
      <c r="C169" s="9"/>
      <c r="D169" s="271" t="s">
        <v>8879</v>
      </c>
      <c r="E169" s="263">
        <v>0</v>
      </c>
      <c r="F169" s="263">
        <v>0</v>
      </c>
      <c r="G169" s="263">
        <v>0</v>
      </c>
      <c r="H169" s="263">
        <v>0</v>
      </c>
      <c r="I169" s="263">
        <v>0</v>
      </c>
      <c r="J169" s="263">
        <v>5</v>
      </c>
      <c r="K169" s="267">
        <v>5</v>
      </c>
    </row>
    <row r="170" spans="1:11">
      <c r="A170" s="9" t="s">
        <v>11884</v>
      </c>
      <c r="B170" s="16">
        <v>11</v>
      </c>
      <c r="C170" s="9"/>
      <c r="D170" s="271" t="s">
        <v>8880</v>
      </c>
      <c r="E170" s="263">
        <v>0</v>
      </c>
      <c r="F170" s="263">
        <v>0</v>
      </c>
      <c r="G170" s="263">
        <v>0</v>
      </c>
      <c r="H170" s="263">
        <v>5</v>
      </c>
      <c r="I170" s="263">
        <v>0</v>
      </c>
      <c r="J170" s="263">
        <v>0</v>
      </c>
      <c r="K170" s="267">
        <v>5</v>
      </c>
    </row>
    <row r="171" spans="1:11">
      <c r="A171" s="9" t="s">
        <v>11885</v>
      </c>
      <c r="B171" s="16">
        <v>11</v>
      </c>
      <c r="C171" s="9"/>
      <c r="D171" s="271" t="s">
        <v>8881</v>
      </c>
      <c r="E171" s="263">
        <v>0</v>
      </c>
      <c r="F171" s="263">
        <v>0</v>
      </c>
      <c r="G171" s="263">
        <v>5</v>
      </c>
      <c r="H171" s="263">
        <v>0</v>
      </c>
      <c r="I171" s="263">
        <v>0</v>
      </c>
      <c r="J171" s="263">
        <v>0</v>
      </c>
      <c r="K171" s="267">
        <v>5</v>
      </c>
    </row>
    <row r="172" spans="1:11">
      <c r="A172" s="9" t="s">
        <v>11886</v>
      </c>
      <c r="B172" s="16">
        <v>11</v>
      </c>
      <c r="C172" s="9"/>
      <c r="D172" s="271" t="s">
        <v>8882</v>
      </c>
      <c r="E172" s="263">
        <v>0</v>
      </c>
      <c r="F172" s="263">
        <v>0</v>
      </c>
      <c r="G172" s="263">
        <v>5</v>
      </c>
      <c r="H172" s="263">
        <v>0</v>
      </c>
      <c r="I172" s="263">
        <v>0</v>
      </c>
      <c r="J172" s="263">
        <v>0</v>
      </c>
      <c r="K172" s="267">
        <v>5</v>
      </c>
    </row>
    <row r="173" spans="1:11">
      <c r="A173" s="9" t="s">
        <v>11887</v>
      </c>
      <c r="B173" s="16">
        <v>11</v>
      </c>
      <c r="C173" s="9"/>
      <c r="D173" s="271" t="s">
        <v>8883</v>
      </c>
      <c r="E173" s="263">
        <v>5</v>
      </c>
      <c r="F173" s="263">
        <v>0</v>
      </c>
      <c r="G173" s="263">
        <v>0</v>
      </c>
      <c r="H173" s="263">
        <v>0</v>
      </c>
      <c r="I173" s="263">
        <v>0</v>
      </c>
      <c r="J173" s="263">
        <v>0</v>
      </c>
      <c r="K173" s="267">
        <v>5</v>
      </c>
    </row>
    <row r="174" spans="1:11">
      <c r="A174" s="9" t="s">
        <v>11888</v>
      </c>
      <c r="B174" s="16">
        <v>11</v>
      </c>
      <c r="C174" s="9"/>
      <c r="D174" s="271" t="s">
        <v>8884</v>
      </c>
      <c r="E174" s="263">
        <v>0</v>
      </c>
      <c r="F174" s="263">
        <v>5</v>
      </c>
      <c r="G174" s="263">
        <v>0</v>
      </c>
      <c r="H174" s="263">
        <v>0</v>
      </c>
      <c r="I174" s="263">
        <v>0</v>
      </c>
      <c r="J174" s="263">
        <v>0</v>
      </c>
      <c r="K174" s="267">
        <v>5</v>
      </c>
    </row>
    <row r="175" spans="1:11">
      <c r="A175" s="9" t="s">
        <v>11889</v>
      </c>
      <c r="B175" s="16">
        <v>11</v>
      </c>
      <c r="C175" s="9"/>
      <c r="D175" s="271" t="s">
        <v>8885</v>
      </c>
      <c r="E175" s="263">
        <v>5</v>
      </c>
      <c r="F175" s="263">
        <v>0</v>
      </c>
      <c r="G175" s="263">
        <v>0</v>
      </c>
      <c r="H175" s="263">
        <v>0</v>
      </c>
      <c r="I175" s="263">
        <v>0</v>
      </c>
      <c r="J175" s="263">
        <v>0</v>
      </c>
      <c r="K175" s="267">
        <v>5</v>
      </c>
    </row>
    <row r="176" spans="1:11">
      <c r="A176" s="9" t="s">
        <v>11890</v>
      </c>
      <c r="B176" s="16">
        <v>11</v>
      </c>
      <c r="C176" s="9"/>
      <c r="D176" s="271" t="s">
        <v>8886</v>
      </c>
      <c r="E176" s="263">
        <v>5</v>
      </c>
      <c r="F176" s="263">
        <v>0</v>
      </c>
      <c r="G176" s="263">
        <v>0</v>
      </c>
      <c r="H176" s="263">
        <v>0</v>
      </c>
      <c r="I176" s="263">
        <v>0</v>
      </c>
      <c r="J176" s="263">
        <v>0</v>
      </c>
      <c r="K176" s="267">
        <v>5</v>
      </c>
    </row>
    <row r="177" spans="1:11">
      <c r="A177" s="9" t="s">
        <v>11891</v>
      </c>
      <c r="B177" s="16">
        <v>11</v>
      </c>
      <c r="C177" s="9"/>
      <c r="D177" s="271" t="s">
        <v>8887</v>
      </c>
      <c r="E177" s="263">
        <v>0</v>
      </c>
      <c r="F177" s="263">
        <v>0</v>
      </c>
      <c r="G177" s="263">
        <v>0</v>
      </c>
      <c r="H177" s="263">
        <v>0</v>
      </c>
      <c r="I177" s="263">
        <v>0</v>
      </c>
      <c r="J177" s="263">
        <v>5</v>
      </c>
      <c r="K177" s="267">
        <v>5</v>
      </c>
    </row>
    <row r="178" spans="1:11">
      <c r="B178" s="16">
        <v>11</v>
      </c>
      <c r="C178" s="9"/>
      <c r="D178" s="271"/>
      <c r="E178" s="263"/>
      <c r="F178" s="263"/>
      <c r="G178" s="263"/>
      <c r="H178" s="263"/>
      <c r="I178" s="263"/>
      <c r="J178" s="263"/>
      <c r="K178" s="267">
        <v>0</v>
      </c>
    </row>
    <row r="179" spans="1:11">
      <c r="B179" s="16">
        <v>11</v>
      </c>
      <c r="C179" s="9"/>
      <c r="D179" s="272" t="s">
        <v>3674</v>
      </c>
      <c r="E179" s="273">
        <v>20</v>
      </c>
      <c r="F179" s="273">
        <v>5</v>
      </c>
      <c r="G179" s="273">
        <v>10</v>
      </c>
      <c r="H179" s="273">
        <v>5</v>
      </c>
      <c r="I179" s="273">
        <v>0</v>
      </c>
      <c r="J179" s="273">
        <v>10</v>
      </c>
      <c r="K179" s="273">
        <v>50</v>
      </c>
    </row>
    <row r="180" spans="1:11">
      <c r="C180" s="9"/>
      <c r="D180" s="271"/>
      <c r="E180" s="263"/>
      <c r="F180" s="263"/>
      <c r="G180" s="263"/>
      <c r="H180" s="263"/>
      <c r="I180" s="263"/>
      <c r="J180" s="263"/>
      <c r="K180" s="267">
        <v>0</v>
      </c>
    </row>
    <row r="181" spans="1:11">
      <c r="A181" s="9" t="s">
        <v>11892</v>
      </c>
      <c r="B181" s="16">
        <v>12</v>
      </c>
      <c r="C181" s="9"/>
      <c r="D181" s="271" t="s">
        <v>8888</v>
      </c>
      <c r="E181" s="263">
        <v>0</v>
      </c>
      <c r="F181" s="263">
        <v>0</v>
      </c>
      <c r="G181" s="263">
        <v>4</v>
      </c>
      <c r="H181" s="263">
        <v>0</v>
      </c>
      <c r="I181" s="263">
        <v>0</v>
      </c>
      <c r="J181" s="263">
        <v>0</v>
      </c>
      <c r="K181" s="267">
        <v>4</v>
      </c>
    </row>
    <row r="182" spans="1:11">
      <c r="A182" s="9" t="s">
        <v>11893</v>
      </c>
      <c r="B182" s="16">
        <v>12</v>
      </c>
      <c r="C182" s="9"/>
      <c r="D182" s="271" t="s">
        <v>8889</v>
      </c>
      <c r="E182" s="263">
        <v>0</v>
      </c>
      <c r="F182" s="263">
        <v>0</v>
      </c>
      <c r="G182" s="263">
        <v>0</v>
      </c>
      <c r="H182" s="263">
        <v>0</v>
      </c>
      <c r="I182" s="263">
        <v>0</v>
      </c>
      <c r="J182" s="263">
        <v>4</v>
      </c>
      <c r="K182" s="267">
        <v>4</v>
      </c>
    </row>
    <row r="183" spans="1:11">
      <c r="A183" s="9" t="s">
        <v>11894</v>
      </c>
      <c r="B183" s="16">
        <v>12</v>
      </c>
      <c r="C183" s="9"/>
      <c r="D183" s="271" t="s">
        <v>8890</v>
      </c>
      <c r="E183" s="263">
        <v>4</v>
      </c>
      <c r="F183" s="263">
        <v>0</v>
      </c>
      <c r="G183" s="263">
        <v>0</v>
      </c>
      <c r="H183" s="263">
        <v>0</v>
      </c>
      <c r="I183" s="263">
        <v>0</v>
      </c>
      <c r="J183" s="263">
        <v>0</v>
      </c>
      <c r="K183" s="267">
        <v>4</v>
      </c>
    </row>
    <row r="184" spans="1:11">
      <c r="A184" s="9" t="s">
        <v>11895</v>
      </c>
      <c r="B184" s="16">
        <v>12</v>
      </c>
      <c r="C184" s="9"/>
      <c r="D184" s="271" t="s">
        <v>8891</v>
      </c>
      <c r="E184" s="263">
        <v>0</v>
      </c>
      <c r="F184" s="263">
        <v>0</v>
      </c>
      <c r="G184" s="263">
        <v>0</v>
      </c>
      <c r="H184" s="263">
        <v>0</v>
      </c>
      <c r="I184" s="263">
        <v>0</v>
      </c>
      <c r="J184" s="263">
        <v>5</v>
      </c>
      <c r="K184" s="267">
        <v>5</v>
      </c>
    </row>
    <row r="185" spans="1:11">
      <c r="A185" s="9" t="s">
        <v>11896</v>
      </c>
      <c r="B185" s="16">
        <v>12</v>
      </c>
      <c r="C185" s="9"/>
      <c r="D185" s="271" t="s">
        <v>8892</v>
      </c>
      <c r="E185" s="263">
        <v>0</v>
      </c>
      <c r="F185" s="263">
        <v>0</v>
      </c>
      <c r="G185" s="263">
        <v>0</v>
      </c>
      <c r="H185" s="263">
        <v>5</v>
      </c>
      <c r="I185" s="263">
        <v>0</v>
      </c>
      <c r="J185" s="263">
        <v>0</v>
      </c>
      <c r="K185" s="267">
        <v>5</v>
      </c>
    </row>
    <row r="186" spans="1:11">
      <c r="A186" s="9" t="s">
        <v>11897</v>
      </c>
      <c r="B186" s="16">
        <v>12</v>
      </c>
      <c r="C186" s="9"/>
      <c r="D186" s="271" t="s">
        <v>8893</v>
      </c>
      <c r="E186" s="263">
        <v>3</v>
      </c>
      <c r="F186" s="263">
        <v>0</v>
      </c>
      <c r="G186" s="263">
        <v>0</v>
      </c>
      <c r="H186" s="263">
        <v>0</v>
      </c>
      <c r="I186" s="263">
        <v>0</v>
      </c>
      <c r="J186" s="263">
        <v>0</v>
      </c>
      <c r="K186" s="267">
        <v>3</v>
      </c>
    </row>
    <row r="187" spans="1:11">
      <c r="A187" s="9" t="s">
        <v>11898</v>
      </c>
      <c r="B187" s="16">
        <v>12</v>
      </c>
      <c r="C187" s="9"/>
      <c r="D187" s="271" t="s">
        <v>8894</v>
      </c>
      <c r="E187" s="263">
        <v>0</v>
      </c>
      <c r="F187" s="263">
        <v>0</v>
      </c>
      <c r="G187" s="263">
        <v>0</v>
      </c>
      <c r="H187" s="263">
        <v>0</v>
      </c>
      <c r="I187" s="263">
        <v>0</v>
      </c>
      <c r="J187" s="263">
        <v>5</v>
      </c>
      <c r="K187" s="267">
        <v>5</v>
      </c>
    </row>
    <row r="188" spans="1:11">
      <c r="A188" s="9" t="s">
        <v>11899</v>
      </c>
      <c r="B188" s="16">
        <v>12</v>
      </c>
      <c r="C188" s="9"/>
      <c r="D188" s="271" t="s">
        <v>8895</v>
      </c>
      <c r="E188" s="263">
        <v>0</v>
      </c>
      <c r="F188" s="263">
        <v>5</v>
      </c>
      <c r="G188" s="263">
        <v>0</v>
      </c>
      <c r="H188" s="263">
        <v>0</v>
      </c>
      <c r="I188" s="263">
        <v>0</v>
      </c>
      <c r="J188" s="263">
        <v>0</v>
      </c>
      <c r="K188" s="267">
        <v>5</v>
      </c>
    </row>
    <row r="189" spans="1:11">
      <c r="A189" s="9" t="s">
        <v>11900</v>
      </c>
      <c r="B189" s="16">
        <v>12</v>
      </c>
      <c r="C189" s="9"/>
      <c r="D189" s="271" t="s">
        <v>8896</v>
      </c>
      <c r="E189" s="263">
        <v>0</v>
      </c>
      <c r="F189" s="263">
        <v>0</v>
      </c>
      <c r="G189" s="263">
        <v>0</v>
      </c>
      <c r="H189" s="263">
        <v>5</v>
      </c>
      <c r="I189" s="263">
        <v>0</v>
      </c>
      <c r="J189" s="263">
        <v>0</v>
      </c>
      <c r="K189" s="267">
        <v>5</v>
      </c>
    </row>
    <row r="190" spans="1:11">
      <c r="A190" s="9" t="s">
        <v>11901</v>
      </c>
      <c r="B190" s="16">
        <v>12</v>
      </c>
      <c r="C190" s="9"/>
      <c r="D190" s="271" t="s">
        <v>8897</v>
      </c>
      <c r="E190" s="263">
        <v>5</v>
      </c>
      <c r="F190" s="263">
        <v>0</v>
      </c>
      <c r="G190" s="263">
        <v>0</v>
      </c>
      <c r="H190" s="263">
        <v>0</v>
      </c>
      <c r="I190" s="263">
        <v>0</v>
      </c>
      <c r="J190" s="263">
        <v>0</v>
      </c>
      <c r="K190" s="267">
        <v>5</v>
      </c>
    </row>
    <row r="191" spans="1:11">
      <c r="A191" s="9" t="s">
        <v>11902</v>
      </c>
      <c r="B191" s="16">
        <v>12</v>
      </c>
      <c r="C191" s="9"/>
      <c r="D191" s="271" t="s">
        <v>8898</v>
      </c>
      <c r="E191" s="263">
        <v>5</v>
      </c>
      <c r="F191" s="263">
        <v>0</v>
      </c>
      <c r="G191" s="263">
        <v>0</v>
      </c>
      <c r="H191" s="263">
        <v>0</v>
      </c>
      <c r="I191" s="263">
        <v>0</v>
      </c>
      <c r="J191" s="263">
        <v>0</v>
      </c>
      <c r="K191" s="267">
        <v>5</v>
      </c>
    </row>
    <row r="192" spans="1:11">
      <c r="B192" s="16">
        <v>12</v>
      </c>
      <c r="C192" s="9"/>
      <c r="D192" s="271"/>
      <c r="E192" s="263"/>
      <c r="F192" s="263"/>
      <c r="G192" s="263"/>
      <c r="H192" s="263"/>
      <c r="I192" s="263"/>
      <c r="J192" s="263"/>
      <c r="K192" s="267">
        <v>0</v>
      </c>
    </row>
    <row r="193" spans="1:11">
      <c r="B193" s="16">
        <v>12</v>
      </c>
      <c r="C193" s="9"/>
      <c r="D193" s="272" t="s">
        <v>3674</v>
      </c>
      <c r="E193" s="273">
        <v>17</v>
      </c>
      <c r="F193" s="273">
        <v>5</v>
      </c>
      <c r="G193" s="273">
        <v>4</v>
      </c>
      <c r="H193" s="273">
        <v>10</v>
      </c>
      <c r="I193" s="273">
        <v>0</v>
      </c>
      <c r="J193" s="273">
        <v>14</v>
      </c>
      <c r="K193" s="273">
        <v>50</v>
      </c>
    </row>
    <row r="194" spans="1:11">
      <c r="C194" s="9"/>
      <c r="D194" s="271"/>
      <c r="E194" s="263"/>
      <c r="F194" s="263"/>
      <c r="G194" s="263"/>
      <c r="H194" s="263"/>
      <c r="I194" s="263"/>
      <c r="J194" s="263"/>
      <c r="K194" s="267">
        <v>0</v>
      </c>
    </row>
    <row r="195" spans="1:11">
      <c r="A195" s="9" t="s">
        <v>11903</v>
      </c>
      <c r="B195" s="16">
        <v>13</v>
      </c>
      <c r="C195" s="9"/>
      <c r="D195" s="271" t="s">
        <v>8899</v>
      </c>
      <c r="E195" s="263">
        <v>0</v>
      </c>
      <c r="F195" s="263">
        <v>0</v>
      </c>
      <c r="G195" s="263">
        <v>0</v>
      </c>
      <c r="H195" s="263">
        <v>4</v>
      </c>
      <c r="I195" s="263">
        <v>0</v>
      </c>
      <c r="J195" s="263">
        <v>0</v>
      </c>
      <c r="K195" s="267">
        <v>4</v>
      </c>
    </row>
    <row r="196" spans="1:11">
      <c r="A196" s="9" t="s">
        <v>11904</v>
      </c>
      <c r="B196" s="16">
        <v>13</v>
      </c>
      <c r="C196" s="9"/>
      <c r="D196" s="271" t="s">
        <v>8900</v>
      </c>
      <c r="E196" s="263">
        <v>0</v>
      </c>
      <c r="F196" s="263">
        <v>0</v>
      </c>
      <c r="G196" s="263">
        <v>0</v>
      </c>
      <c r="H196" s="263">
        <v>0</v>
      </c>
      <c r="I196" s="263">
        <v>0</v>
      </c>
      <c r="J196" s="263">
        <v>5</v>
      </c>
      <c r="K196" s="267">
        <v>5</v>
      </c>
    </row>
    <row r="197" spans="1:11">
      <c r="A197" s="9" t="s">
        <v>11905</v>
      </c>
      <c r="B197" s="16">
        <v>13</v>
      </c>
      <c r="C197" s="9"/>
      <c r="D197" s="271" t="s">
        <v>8901</v>
      </c>
      <c r="E197" s="263">
        <v>0</v>
      </c>
      <c r="F197" s="263">
        <v>5</v>
      </c>
      <c r="G197" s="263">
        <v>0</v>
      </c>
      <c r="H197" s="263">
        <v>0</v>
      </c>
      <c r="I197" s="263">
        <v>0</v>
      </c>
      <c r="J197" s="263">
        <v>0</v>
      </c>
      <c r="K197" s="267">
        <v>5</v>
      </c>
    </row>
    <row r="198" spans="1:11">
      <c r="A198" s="9" t="s">
        <v>11906</v>
      </c>
      <c r="B198" s="16">
        <v>13</v>
      </c>
      <c r="C198" s="9"/>
      <c r="D198" s="271" t="s">
        <v>8902</v>
      </c>
      <c r="E198" s="263">
        <v>3</v>
      </c>
      <c r="F198" s="263">
        <v>0</v>
      </c>
      <c r="G198" s="263">
        <v>0</v>
      </c>
      <c r="H198" s="263">
        <v>0</v>
      </c>
      <c r="I198" s="263">
        <v>0</v>
      </c>
      <c r="J198" s="263">
        <v>0</v>
      </c>
      <c r="K198" s="267">
        <v>3</v>
      </c>
    </row>
    <row r="199" spans="1:11">
      <c r="A199" s="9" t="s">
        <v>11907</v>
      </c>
      <c r="B199" s="16">
        <v>13</v>
      </c>
      <c r="C199" s="9"/>
      <c r="D199" s="271" t="s">
        <v>8903</v>
      </c>
      <c r="E199" s="263">
        <v>0</v>
      </c>
      <c r="F199" s="263">
        <v>0</v>
      </c>
      <c r="G199" s="263">
        <v>0</v>
      </c>
      <c r="H199" s="263">
        <v>0</v>
      </c>
      <c r="I199" s="263">
        <v>0</v>
      </c>
      <c r="J199" s="263">
        <v>5</v>
      </c>
      <c r="K199" s="267">
        <v>5</v>
      </c>
    </row>
    <row r="200" spans="1:11">
      <c r="A200" s="9" t="s">
        <v>11908</v>
      </c>
      <c r="B200" s="16">
        <v>13</v>
      </c>
      <c r="C200" s="9"/>
      <c r="D200" s="271" t="s">
        <v>8904</v>
      </c>
      <c r="E200" s="263">
        <v>0</v>
      </c>
      <c r="F200" s="263">
        <v>0</v>
      </c>
      <c r="G200" s="263">
        <v>0</v>
      </c>
      <c r="H200" s="263">
        <v>3</v>
      </c>
      <c r="I200" s="263">
        <v>0</v>
      </c>
      <c r="J200" s="263">
        <v>0</v>
      </c>
      <c r="K200" s="267">
        <v>3</v>
      </c>
    </row>
    <row r="201" spans="1:11" ht="31.5">
      <c r="A201" s="9" t="s">
        <v>11909</v>
      </c>
      <c r="B201" s="16">
        <v>13</v>
      </c>
      <c r="C201" s="9"/>
      <c r="D201" s="271" t="s">
        <v>8905</v>
      </c>
      <c r="E201" s="263">
        <v>0</v>
      </c>
      <c r="F201" s="263">
        <v>0</v>
      </c>
      <c r="G201" s="263">
        <v>0</v>
      </c>
      <c r="H201" s="263">
        <v>3</v>
      </c>
      <c r="I201" s="263">
        <v>0</v>
      </c>
      <c r="J201" s="263">
        <v>0</v>
      </c>
      <c r="K201" s="267">
        <v>3</v>
      </c>
    </row>
    <row r="202" spans="1:11">
      <c r="A202" s="9" t="s">
        <v>11910</v>
      </c>
      <c r="B202" s="16">
        <v>13</v>
      </c>
      <c r="C202" s="9"/>
      <c r="D202" s="271" t="s">
        <v>8906</v>
      </c>
      <c r="E202" s="263">
        <v>4</v>
      </c>
      <c r="F202" s="263">
        <v>0</v>
      </c>
      <c r="G202" s="263">
        <v>0</v>
      </c>
      <c r="H202" s="263">
        <v>0</v>
      </c>
      <c r="I202" s="263">
        <v>0</v>
      </c>
      <c r="J202" s="263">
        <v>0</v>
      </c>
      <c r="K202" s="267">
        <v>4</v>
      </c>
    </row>
    <row r="203" spans="1:11" ht="31.5">
      <c r="A203" s="9" t="s">
        <v>11911</v>
      </c>
      <c r="B203" s="16">
        <v>13</v>
      </c>
      <c r="C203" s="9"/>
      <c r="D203" s="271" t="s">
        <v>8907</v>
      </c>
      <c r="E203" s="263">
        <v>3</v>
      </c>
      <c r="F203" s="263">
        <v>0</v>
      </c>
      <c r="G203" s="263">
        <v>0</v>
      </c>
      <c r="H203" s="263">
        <v>0</v>
      </c>
      <c r="I203" s="263">
        <v>0</v>
      </c>
      <c r="J203" s="263">
        <v>0</v>
      </c>
      <c r="K203" s="267">
        <v>3</v>
      </c>
    </row>
    <row r="204" spans="1:11">
      <c r="A204" s="9" t="s">
        <v>11912</v>
      </c>
      <c r="B204" s="16">
        <v>13</v>
      </c>
      <c r="C204" s="9"/>
      <c r="D204" s="271" t="s">
        <v>8908</v>
      </c>
      <c r="E204" s="263">
        <v>0</v>
      </c>
      <c r="F204" s="263">
        <v>0</v>
      </c>
      <c r="G204" s="263">
        <v>5</v>
      </c>
      <c r="H204" s="263">
        <v>0</v>
      </c>
      <c r="I204" s="263">
        <v>0</v>
      </c>
      <c r="J204" s="263">
        <v>0</v>
      </c>
      <c r="K204" s="267">
        <v>5</v>
      </c>
    </row>
    <row r="205" spans="1:11">
      <c r="A205" s="9" t="s">
        <v>11913</v>
      </c>
      <c r="B205" s="16">
        <v>13</v>
      </c>
      <c r="C205" s="9"/>
      <c r="D205" s="271" t="s">
        <v>8909</v>
      </c>
      <c r="E205" s="263">
        <v>0</v>
      </c>
      <c r="F205" s="263">
        <v>0</v>
      </c>
      <c r="G205" s="263">
        <v>0</v>
      </c>
      <c r="H205" s="263">
        <v>0</v>
      </c>
      <c r="I205" s="263">
        <v>0</v>
      </c>
      <c r="J205" s="263">
        <v>5</v>
      </c>
      <c r="K205" s="267">
        <v>5</v>
      </c>
    </row>
    <row r="206" spans="1:11">
      <c r="A206" s="9" t="s">
        <v>11914</v>
      </c>
      <c r="B206" s="16">
        <v>13</v>
      </c>
      <c r="C206" s="9"/>
      <c r="D206" s="271" t="s">
        <v>8910</v>
      </c>
      <c r="E206" s="263">
        <v>0</v>
      </c>
      <c r="F206" s="263">
        <v>0</v>
      </c>
      <c r="G206" s="263">
        <v>0</v>
      </c>
      <c r="H206" s="263">
        <v>0</v>
      </c>
      <c r="I206" s="263">
        <v>0</v>
      </c>
      <c r="J206" s="263">
        <v>5</v>
      </c>
      <c r="K206" s="267">
        <v>5</v>
      </c>
    </row>
    <row r="207" spans="1:11">
      <c r="B207" s="16">
        <v>13</v>
      </c>
      <c r="C207" s="9"/>
      <c r="D207" s="271"/>
      <c r="E207" s="263"/>
      <c r="F207" s="263"/>
      <c r="G207" s="263"/>
      <c r="H207" s="263"/>
      <c r="I207" s="263"/>
      <c r="J207" s="263"/>
      <c r="K207" s="267">
        <v>0</v>
      </c>
    </row>
    <row r="208" spans="1:11">
      <c r="B208" s="16">
        <v>13</v>
      </c>
      <c r="C208" s="9"/>
      <c r="D208" s="272" t="s">
        <v>3674</v>
      </c>
      <c r="E208" s="273">
        <v>10</v>
      </c>
      <c r="F208" s="273">
        <v>5</v>
      </c>
      <c r="G208" s="273">
        <v>5</v>
      </c>
      <c r="H208" s="273">
        <v>10</v>
      </c>
      <c r="I208" s="273">
        <v>0</v>
      </c>
      <c r="J208" s="273">
        <v>20</v>
      </c>
      <c r="K208" s="273">
        <v>50</v>
      </c>
    </row>
    <row r="209" spans="1:11">
      <c r="C209" s="9"/>
      <c r="D209" s="271"/>
      <c r="E209" s="263"/>
      <c r="F209" s="263"/>
      <c r="G209" s="263"/>
      <c r="H209" s="263"/>
      <c r="I209" s="263"/>
      <c r="J209" s="263"/>
      <c r="K209" s="267">
        <v>0</v>
      </c>
    </row>
    <row r="210" spans="1:11">
      <c r="A210" s="9" t="s">
        <v>11915</v>
      </c>
      <c r="B210" s="16">
        <v>24</v>
      </c>
      <c r="C210" s="9"/>
      <c r="D210" s="271" t="s">
        <v>8911</v>
      </c>
      <c r="E210" s="263">
        <v>0</v>
      </c>
      <c r="F210" s="263">
        <v>0</v>
      </c>
      <c r="G210" s="263">
        <v>0</v>
      </c>
      <c r="H210" s="263">
        <v>5</v>
      </c>
      <c r="I210" s="263">
        <v>0</v>
      </c>
      <c r="J210" s="263">
        <v>0</v>
      </c>
      <c r="K210" s="267">
        <v>5</v>
      </c>
    </row>
    <row r="211" spans="1:11">
      <c r="A211" s="9" t="s">
        <v>11916</v>
      </c>
      <c r="B211" s="16">
        <v>24</v>
      </c>
      <c r="C211" s="9"/>
      <c r="D211" s="271" t="s">
        <v>8912</v>
      </c>
      <c r="E211" s="263">
        <v>0</v>
      </c>
      <c r="F211" s="263">
        <v>0</v>
      </c>
      <c r="G211" s="263">
        <v>0</v>
      </c>
      <c r="H211" s="263">
        <v>5</v>
      </c>
      <c r="I211" s="263">
        <v>0</v>
      </c>
      <c r="J211" s="263">
        <v>0</v>
      </c>
      <c r="K211" s="267">
        <v>5</v>
      </c>
    </row>
    <row r="212" spans="1:11">
      <c r="A212" s="9" t="s">
        <v>11917</v>
      </c>
      <c r="B212" s="16">
        <v>24</v>
      </c>
      <c r="C212" s="9"/>
      <c r="D212" s="271" t="s">
        <v>8913</v>
      </c>
      <c r="E212" s="263">
        <v>0</v>
      </c>
      <c r="F212" s="263">
        <v>0</v>
      </c>
      <c r="G212" s="263">
        <v>0</v>
      </c>
      <c r="H212" s="263">
        <v>0</v>
      </c>
      <c r="I212" s="263">
        <v>0</v>
      </c>
      <c r="J212" s="263">
        <v>5</v>
      </c>
      <c r="K212" s="267">
        <v>5</v>
      </c>
    </row>
    <row r="213" spans="1:11">
      <c r="A213" s="9" t="s">
        <v>11918</v>
      </c>
      <c r="B213" s="16">
        <v>24</v>
      </c>
      <c r="C213" s="9"/>
      <c r="D213" s="271" t="s">
        <v>8914</v>
      </c>
      <c r="E213" s="263">
        <v>0</v>
      </c>
      <c r="F213" s="263">
        <v>0</v>
      </c>
      <c r="G213" s="263">
        <v>0</v>
      </c>
      <c r="H213" s="263">
        <v>0</v>
      </c>
      <c r="I213" s="263">
        <v>0</v>
      </c>
      <c r="J213" s="263">
        <v>5</v>
      </c>
      <c r="K213" s="267">
        <v>5</v>
      </c>
    </row>
    <row r="214" spans="1:11">
      <c r="A214" s="9" t="s">
        <v>11919</v>
      </c>
      <c r="B214" s="16">
        <v>24</v>
      </c>
      <c r="C214" s="9"/>
      <c r="D214" s="271" t="s">
        <v>8915</v>
      </c>
      <c r="E214" s="263">
        <v>0</v>
      </c>
      <c r="F214" s="263">
        <v>5</v>
      </c>
      <c r="G214" s="263">
        <v>0</v>
      </c>
      <c r="H214" s="263">
        <v>0</v>
      </c>
      <c r="I214" s="263">
        <v>0</v>
      </c>
      <c r="J214" s="263">
        <v>0</v>
      </c>
      <c r="K214" s="267">
        <v>5</v>
      </c>
    </row>
    <row r="215" spans="1:11">
      <c r="A215" s="9" t="s">
        <v>11920</v>
      </c>
      <c r="B215" s="16">
        <v>24</v>
      </c>
      <c r="C215" s="9"/>
      <c r="D215" s="271" t="s">
        <v>8916</v>
      </c>
      <c r="E215" s="263">
        <v>0</v>
      </c>
      <c r="F215" s="263">
        <v>0</v>
      </c>
      <c r="G215" s="263">
        <v>0</v>
      </c>
      <c r="H215" s="263">
        <v>0</v>
      </c>
      <c r="I215" s="263">
        <v>0</v>
      </c>
      <c r="J215" s="263">
        <v>5</v>
      </c>
      <c r="K215" s="267">
        <v>5</v>
      </c>
    </row>
    <row r="216" spans="1:11">
      <c r="A216" s="9" t="s">
        <v>11921</v>
      </c>
      <c r="B216" s="16">
        <v>24</v>
      </c>
      <c r="C216" s="9"/>
      <c r="D216" s="271" t="s">
        <v>8917</v>
      </c>
      <c r="E216" s="263">
        <v>0</v>
      </c>
      <c r="F216" s="263">
        <v>0</v>
      </c>
      <c r="G216" s="263">
        <v>0</v>
      </c>
      <c r="H216" s="263">
        <v>0</v>
      </c>
      <c r="I216" s="263">
        <v>0</v>
      </c>
      <c r="J216" s="263">
        <v>5</v>
      </c>
      <c r="K216" s="267">
        <v>5</v>
      </c>
    </row>
    <row r="217" spans="1:11">
      <c r="A217" s="9" t="s">
        <v>11922</v>
      </c>
      <c r="B217" s="16">
        <v>24</v>
      </c>
      <c r="C217" s="9"/>
      <c r="D217" s="271" t="s">
        <v>8918</v>
      </c>
      <c r="E217" s="263">
        <v>0</v>
      </c>
      <c r="F217" s="263">
        <v>0</v>
      </c>
      <c r="G217" s="263">
        <v>0</v>
      </c>
      <c r="H217" s="263">
        <v>0</v>
      </c>
      <c r="I217" s="263">
        <v>0</v>
      </c>
      <c r="J217" s="263">
        <v>5</v>
      </c>
      <c r="K217" s="267">
        <v>5</v>
      </c>
    </row>
    <row r="218" spans="1:11">
      <c r="A218" s="9" t="s">
        <v>11923</v>
      </c>
      <c r="B218" s="16">
        <v>24</v>
      </c>
      <c r="C218" s="9"/>
      <c r="D218" s="271" t="s">
        <v>8919</v>
      </c>
      <c r="E218" s="263">
        <v>0</v>
      </c>
      <c r="F218" s="263">
        <v>0</v>
      </c>
      <c r="G218" s="263">
        <v>0</v>
      </c>
      <c r="H218" s="263">
        <v>0</v>
      </c>
      <c r="I218" s="263">
        <v>0</v>
      </c>
      <c r="J218" s="263">
        <v>5</v>
      </c>
      <c r="K218" s="267">
        <v>5</v>
      </c>
    </row>
    <row r="219" spans="1:11" ht="31.5">
      <c r="A219" s="9" t="s">
        <v>11924</v>
      </c>
      <c r="B219" s="16">
        <v>24</v>
      </c>
      <c r="C219" s="9"/>
      <c r="D219" s="271" t="s">
        <v>8920</v>
      </c>
      <c r="E219" s="263">
        <v>0</v>
      </c>
      <c r="F219" s="263">
        <v>0</v>
      </c>
      <c r="G219" s="263">
        <v>0</v>
      </c>
      <c r="H219" s="263">
        <v>0</v>
      </c>
      <c r="I219" s="263">
        <v>0</v>
      </c>
      <c r="J219" s="263">
        <v>5</v>
      </c>
      <c r="K219" s="267">
        <v>5</v>
      </c>
    </row>
    <row r="220" spans="1:11">
      <c r="B220" s="16">
        <v>24</v>
      </c>
      <c r="C220" s="9"/>
      <c r="D220" s="271"/>
      <c r="E220" s="263"/>
      <c r="F220" s="263"/>
      <c r="G220" s="263"/>
      <c r="H220" s="263"/>
      <c r="I220" s="263"/>
      <c r="J220" s="263"/>
      <c r="K220" s="267">
        <v>0</v>
      </c>
    </row>
    <row r="221" spans="1:11">
      <c r="B221" s="16">
        <v>24</v>
      </c>
      <c r="C221" s="9"/>
      <c r="D221" s="272" t="s">
        <v>3674</v>
      </c>
      <c r="E221" s="273">
        <v>0</v>
      </c>
      <c r="F221" s="273">
        <v>5</v>
      </c>
      <c r="G221" s="273">
        <v>0</v>
      </c>
      <c r="H221" s="273">
        <v>10</v>
      </c>
      <c r="I221" s="273">
        <v>0</v>
      </c>
      <c r="J221" s="273">
        <v>35</v>
      </c>
      <c r="K221" s="273">
        <v>50</v>
      </c>
    </row>
    <row r="222" spans="1:11">
      <c r="C222" s="9"/>
      <c r="D222" s="271"/>
      <c r="E222" s="263"/>
      <c r="F222" s="263"/>
      <c r="G222" s="263"/>
      <c r="H222" s="263"/>
      <c r="I222" s="263"/>
      <c r="J222" s="263"/>
      <c r="K222" s="267">
        <v>0</v>
      </c>
    </row>
    <row r="223" spans="1:11">
      <c r="A223" s="9" t="s">
        <v>11925</v>
      </c>
      <c r="B223" s="16">
        <v>25</v>
      </c>
      <c r="C223" s="9"/>
      <c r="D223" s="271" t="s">
        <v>8921</v>
      </c>
      <c r="E223" s="263">
        <v>0</v>
      </c>
      <c r="F223" s="263">
        <v>0</v>
      </c>
      <c r="G223" s="263">
        <v>0</v>
      </c>
      <c r="H223" s="263">
        <v>5</v>
      </c>
      <c r="I223" s="263">
        <v>0</v>
      </c>
      <c r="J223" s="263">
        <v>0</v>
      </c>
      <c r="K223" s="267">
        <v>5</v>
      </c>
    </row>
    <row r="224" spans="1:11">
      <c r="A224" s="9" t="s">
        <v>11926</v>
      </c>
      <c r="B224" s="16">
        <v>25</v>
      </c>
      <c r="C224" s="9"/>
      <c r="D224" s="271" t="s">
        <v>8922</v>
      </c>
      <c r="E224" s="263">
        <v>0</v>
      </c>
      <c r="F224" s="263">
        <v>0</v>
      </c>
      <c r="G224" s="263">
        <v>0</v>
      </c>
      <c r="H224" s="263">
        <v>0</v>
      </c>
      <c r="I224" s="263">
        <v>0</v>
      </c>
      <c r="J224" s="263">
        <v>5</v>
      </c>
      <c r="K224" s="267">
        <v>5</v>
      </c>
    </row>
    <row r="225" spans="1:11">
      <c r="A225" s="9" t="s">
        <v>11927</v>
      </c>
      <c r="B225" s="16">
        <v>25</v>
      </c>
      <c r="C225" s="9"/>
      <c r="D225" s="271" t="s">
        <v>8923</v>
      </c>
      <c r="E225" s="263">
        <v>0</v>
      </c>
      <c r="F225" s="263">
        <v>0</v>
      </c>
      <c r="G225" s="263">
        <v>0</v>
      </c>
      <c r="H225" s="263">
        <v>0</v>
      </c>
      <c r="I225" s="263">
        <v>0</v>
      </c>
      <c r="J225" s="263">
        <v>5</v>
      </c>
      <c r="K225" s="267">
        <v>5</v>
      </c>
    </row>
    <row r="226" spans="1:11">
      <c r="A226" s="9" t="s">
        <v>11928</v>
      </c>
      <c r="B226" s="16">
        <v>25</v>
      </c>
      <c r="C226" s="9"/>
      <c r="D226" s="271" t="s">
        <v>8924</v>
      </c>
      <c r="E226" s="263">
        <v>0</v>
      </c>
      <c r="F226" s="263">
        <v>0</v>
      </c>
      <c r="G226" s="263">
        <v>0</v>
      </c>
      <c r="H226" s="263">
        <v>0</v>
      </c>
      <c r="I226" s="263">
        <v>0</v>
      </c>
      <c r="J226" s="263">
        <v>5</v>
      </c>
      <c r="K226" s="267">
        <v>5</v>
      </c>
    </row>
    <row r="227" spans="1:11">
      <c r="A227" s="9" t="s">
        <v>11929</v>
      </c>
      <c r="B227" s="16">
        <v>25</v>
      </c>
      <c r="C227" s="9"/>
      <c r="D227" s="271" t="s">
        <v>8925</v>
      </c>
      <c r="E227" s="263">
        <v>0</v>
      </c>
      <c r="F227" s="263">
        <v>0</v>
      </c>
      <c r="G227" s="263">
        <v>0</v>
      </c>
      <c r="H227" s="263">
        <v>2</v>
      </c>
      <c r="I227" s="263">
        <v>0</v>
      </c>
      <c r="J227" s="263">
        <v>0</v>
      </c>
      <c r="K227" s="267">
        <v>2</v>
      </c>
    </row>
    <row r="228" spans="1:11">
      <c r="A228" s="9" t="s">
        <v>11930</v>
      </c>
      <c r="B228" s="16">
        <v>25</v>
      </c>
      <c r="C228" s="9"/>
      <c r="D228" s="271" t="s">
        <v>8926</v>
      </c>
      <c r="E228" s="263">
        <v>0</v>
      </c>
      <c r="F228" s="263">
        <v>0</v>
      </c>
      <c r="G228" s="263">
        <v>3</v>
      </c>
      <c r="H228" s="263">
        <v>0</v>
      </c>
      <c r="I228" s="263">
        <v>0</v>
      </c>
      <c r="J228" s="263">
        <v>0</v>
      </c>
      <c r="K228" s="267">
        <v>3</v>
      </c>
    </row>
    <row r="229" spans="1:11">
      <c r="A229" s="9" t="s">
        <v>11931</v>
      </c>
      <c r="B229" s="16">
        <v>25</v>
      </c>
      <c r="C229" s="9"/>
      <c r="D229" s="271" t="s">
        <v>8927</v>
      </c>
      <c r="E229" s="263">
        <v>0</v>
      </c>
      <c r="F229" s="263">
        <v>0</v>
      </c>
      <c r="G229" s="263">
        <v>0</v>
      </c>
      <c r="H229" s="263">
        <v>0</v>
      </c>
      <c r="I229" s="263">
        <v>0</v>
      </c>
      <c r="J229" s="263">
        <v>2</v>
      </c>
      <c r="K229" s="267">
        <v>2</v>
      </c>
    </row>
    <row r="230" spans="1:11">
      <c r="A230" s="9" t="s">
        <v>11932</v>
      </c>
      <c r="B230" s="16">
        <v>25</v>
      </c>
      <c r="C230" s="9"/>
      <c r="D230" s="271" t="s">
        <v>8933</v>
      </c>
      <c r="E230" s="263">
        <v>0</v>
      </c>
      <c r="F230" s="263">
        <v>2</v>
      </c>
      <c r="G230" s="263">
        <v>0</v>
      </c>
      <c r="H230" s="263">
        <v>0</v>
      </c>
      <c r="I230" s="263">
        <v>0</v>
      </c>
      <c r="J230" s="263">
        <v>0</v>
      </c>
      <c r="K230" s="267">
        <v>2</v>
      </c>
    </row>
    <row r="231" spans="1:11">
      <c r="A231" s="9" t="s">
        <v>11933</v>
      </c>
      <c r="B231" s="16">
        <v>25</v>
      </c>
      <c r="C231" s="9"/>
      <c r="D231" s="271" t="s">
        <v>8934</v>
      </c>
      <c r="E231" s="263">
        <v>5</v>
      </c>
      <c r="F231" s="263">
        <v>0</v>
      </c>
      <c r="G231" s="263">
        <v>0</v>
      </c>
      <c r="H231" s="263">
        <v>0</v>
      </c>
      <c r="I231" s="263">
        <v>0</v>
      </c>
      <c r="J231" s="263">
        <v>0</v>
      </c>
      <c r="K231" s="267">
        <v>5</v>
      </c>
    </row>
    <row r="232" spans="1:11">
      <c r="A232" s="9" t="s">
        <v>11934</v>
      </c>
      <c r="B232" s="16">
        <v>25</v>
      </c>
      <c r="C232" s="9"/>
      <c r="D232" s="271" t="s">
        <v>8928</v>
      </c>
      <c r="E232" s="263">
        <v>0</v>
      </c>
      <c r="F232" s="263">
        <v>0</v>
      </c>
      <c r="G232" s="263">
        <v>0</v>
      </c>
      <c r="H232" s="263">
        <v>0</v>
      </c>
      <c r="I232" s="263">
        <v>0</v>
      </c>
      <c r="J232" s="263">
        <v>5</v>
      </c>
      <c r="K232" s="267">
        <v>5</v>
      </c>
    </row>
    <row r="233" spans="1:11">
      <c r="A233" s="9" t="s">
        <v>11935</v>
      </c>
      <c r="B233" s="16">
        <v>25</v>
      </c>
      <c r="C233" s="9"/>
      <c r="D233" s="271" t="s">
        <v>8929</v>
      </c>
      <c r="E233" s="263">
        <v>0</v>
      </c>
      <c r="F233" s="263">
        <v>0</v>
      </c>
      <c r="G233" s="263">
        <v>1</v>
      </c>
      <c r="H233" s="263">
        <v>0</v>
      </c>
      <c r="I233" s="263">
        <v>0</v>
      </c>
      <c r="J233" s="263">
        <v>0</v>
      </c>
      <c r="K233" s="267">
        <v>1</v>
      </c>
    </row>
    <row r="234" spans="1:11">
      <c r="A234" s="9" t="s">
        <v>11936</v>
      </c>
      <c r="B234" s="16">
        <v>25</v>
      </c>
      <c r="C234" s="9"/>
      <c r="D234" s="271" t="s">
        <v>8930</v>
      </c>
      <c r="E234" s="263">
        <v>0</v>
      </c>
      <c r="F234" s="263">
        <v>0</v>
      </c>
      <c r="G234" s="263">
        <v>3</v>
      </c>
      <c r="H234" s="263">
        <v>0</v>
      </c>
      <c r="I234" s="263">
        <v>0</v>
      </c>
      <c r="J234" s="263">
        <v>0</v>
      </c>
      <c r="K234" s="267">
        <v>3</v>
      </c>
    </row>
    <row r="235" spans="1:11">
      <c r="A235" s="9" t="s">
        <v>11937</v>
      </c>
      <c r="B235" s="16">
        <v>25</v>
      </c>
      <c r="C235" s="9"/>
      <c r="D235" s="271" t="s">
        <v>8931</v>
      </c>
      <c r="E235" s="263">
        <v>0</v>
      </c>
      <c r="F235" s="263">
        <v>0</v>
      </c>
      <c r="G235" s="263">
        <v>5</v>
      </c>
      <c r="H235" s="263">
        <v>0</v>
      </c>
      <c r="I235" s="263">
        <v>0</v>
      </c>
      <c r="J235" s="263">
        <v>0</v>
      </c>
      <c r="K235" s="267">
        <v>5</v>
      </c>
    </row>
    <row r="236" spans="1:11">
      <c r="A236" s="9" t="s">
        <v>11938</v>
      </c>
      <c r="B236" s="16">
        <v>25</v>
      </c>
      <c r="C236" s="9"/>
      <c r="D236" s="271" t="s">
        <v>8932</v>
      </c>
      <c r="E236" s="263">
        <v>2</v>
      </c>
      <c r="F236" s="263">
        <v>0</v>
      </c>
      <c r="G236" s="263">
        <v>0</v>
      </c>
      <c r="H236" s="263">
        <v>0</v>
      </c>
      <c r="I236" s="263">
        <v>0</v>
      </c>
      <c r="J236" s="263">
        <v>0</v>
      </c>
      <c r="K236" s="267">
        <v>2</v>
      </c>
    </row>
    <row r="237" spans="1:11">
      <c r="B237" s="16">
        <v>25</v>
      </c>
      <c r="C237" s="9"/>
      <c r="D237" s="271"/>
      <c r="E237" s="263"/>
      <c r="F237" s="263"/>
      <c r="G237" s="263"/>
      <c r="H237" s="263"/>
      <c r="I237" s="263"/>
      <c r="J237" s="263"/>
      <c r="K237" s="267">
        <v>0</v>
      </c>
    </row>
    <row r="238" spans="1:11">
      <c r="B238" s="16">
        <v>25</v>
      </c>
      <c r="C238" s="9"/>
      <c r="D238" s="272" t="s">
        <v>3674</v>
      </c>
      <c r="E238" s="273">
        <v>7</v>
      </c>
      <c r="F238" s="273">
        <v>2</v>
      </c>
      <c r="G238" s="273">
        <v>12</v>
      </c>
      <c r="H238" s="273">
        <v>7</v>
      </c>
      <c r="I238" s="273">
        <v>0</v>
      </c>
      <c r="J238" s="273">
        <v>22</v>
      </c>
      <c r="K238" s="273">
        <v>50</v>
      </c>
    </row>
    <row r="239" spans="1:11">
      <c r="C239" s="9"/>
      <c r="D239" s="271"/>
      <c r="E239" s="263"/>
      <c r="F239" s="263"/>
      <c r="G239" s="263"/>
      <c r="H239" s="263"/>
      <c r="I239" s="263"/>
      <c r="J239" s="263"/>
      <c r="K239" s="267">
        <v>0</v>
      </c>
    </row>
    <row r="240" spans="1:11" ht="31.5">
      <c r="A240" s="9" t="s">
        <v>11939</v>
      </c>
      <c r="B240" s="16">
        <v>36</v>
      </c>
      <c r="C240" s="9"/>
      <c r="D240" s="271" t="s">
        <v>8935</v>
      </c>
      <c r="E240" s="263">
        <v>0</v>
      </c>
      <c r="F240" s="263">
        <v>0</v>
      </c>
      <c r="G240" s="263">
        <v>0</v>
      </c>
      <c r="H240" s="263">
        <v>0</v>
      </c>
      <c r="I240" s="263">
        <v>0</v>
      </c>
      <c r="J240" s="263">
        <v>2</v>
      </c>
      <c r="K240" s="267">
        <v>2</v>
      </c>
    </row>
    <row r="241" spans="1:11">
      <c r="A241" s="9" t="s">
        <v>11940</v>
      </c>
      <c r="B241" s="16">
        <v>36</v>
      </c>
      <c r="C241" s="9"/>
      <c r="D241" s="271" t="s">
        <v>8936</v>
      </c>
      <c r="E241" s="263">
        <v>2</v>
      </c>
      <c r="F241" s="263">
        <v>0</v>
      </c>
      <c r="G241" s="263">
        <v>0</v>
      </c>
      <c r="H241" s="263">
        <v>0</v>
      </c>
      <c r="I241" s="263">
        <v>0</v>
      </c>
      <c r="J241" s="263">
        <v>0</v>
      </c>
      <c r="K241" s="267">
        <v>2</v>
      </c>
    </row>
    <row r="242" spans="1:11">
      <c r="A242" s="9" t="s">
        <v>11941</v>
      </c>
      <c r="B242" s="16">
        <v>36</v>
      </c>
      <c r="C242" s="9"/>
      <c r="D242" s="271" t="s">
        <v>8937</v>
      </c>
      <c r="E242" s="263">
        <v>5</v>
      </c>
      <c r="F242" s="263">
        <v>0</v>
      </c>
      <c r="G242" s="263">
        <v>0</v>
      </c>
      <c r="H242" s="263">
        <v>0</v>
      </c>
      <c r="I242" s="263">
        <v>0</v>
      </c>
      <c r="J242" s="263">
        <v>0</v>
      </c>
      <c r="K242" s="267">
        <v>5</v>
      </c>
    </row>
    <row r="243" spans="1:11">
      <c r="A243" s="9" t="s">
        <v>11942</v>
      </c>
      <c r="B243" s="16">
        <v>36</v>
      </c>
      <c r="C243" s="9"/>
      <c r="D243" s="271" t="s">
        <v>8938</v>
      </c>
      <c r="E243" s="263">
        <v>0</v>
      </c>
      <c r="F243" s="263">
        <v>0</v>
      </c>
      <c r="G243" s="263">
        <v>0</v>
      </c>
      <c r="H243" s="263">
        <v>0</v>
      </c>
      <c r="I243" s="263">
        <v>0</v>
      </c>
      <c r="J243" s="263">
        <v>5</v>
      </c>
      <c r="K243" s="267">
        <v>5</v>
      </c>
    </row>
    <row r="244" spans="1:11" ht="31.5">
      <c r="A244" s="9" t="s">
        <v>11943</v>
      </c>
      <c r="B244" s="16">
        <v>36</v>
      </c>
      <c r="C244" s="9"/>
      <c r="D244" s="271" t="s">
        <v>8939</v>
      </c>
      <c r="E244" s="263">
        <v>2</v>
      </c>
      <c r="F244" s="263">
        <v>0</v>
      </c>
      <c r="G244" s="263">
        <v>0</v>
      </c>
      <c r="H244" s="263">
        <v>0</v>
      </c>
      <c r="I244" s="263">
        <v>0</v>
      </c>
      <c r="J244" s="263">
        <v>0</v>
      </c>
      <c r="K244" s="267">
        <v>2</v>
      </c>
    </row>
    <row r="245" spans="1:11">
      <c r="A245" s="9" t="s">
        <v>11944</v>
      </c>
      <c r="B245" s="16">
        <v>36</v>
      </c>
      <c r="C245" s="9"/>
      <c r="D245" s="271" t="s">
        <v>8940</v>
      </c>
      <c r="E245" s="263">
        <v>0</v>
      </c>
      <c r="F245" s="263">
        <v>2</v>
      </c>
      <c r="G245" s="263">
        <v>0</v>
      </c>
      <c r="H245" s="263">
        <v>0</v>
      </c>
      <c r="I245" s="263">
        <v>0</v>
      </c>
      <c r="J245" s="263">
        <v>0</v>
      </c>
      <c r="K245" s="267">
        <v>2</v>
      </c>
    </row>
    <row r="246" spans="1:11">
      <c r="A246" s="9" t="s">
        <v>11945</v>
      </c>
      <c r="B246" s="16">
        <v>36</v>
      </c>
      <c r="C246" s="9"/>
      <c r="D246" s="271" t="s">
        <v>8941</v>
      </c>
      <c r="E246" s="263">
        <v>0</v>
      </c>
      <c r="F246" s="263">
        <v>5</v>
      </c>
      <c r="G246" s="263">
        <v>0</v>
      </c>
      <c r="H246" s="263">
        <v>0</v>
      </c>
      <c r="I246" s="263">
        <v>0</v>
      </c>
      <c r="J246" s="263">
        <v>0</v>
      </c>
      <c r="K246" s="267">
        <v>5</v>
      </c>
    </row>
    <row r="247" spans="1:11">
      <c r="A247" s="9" t="s">
        <v>11946</v>
      </c>
      <c r="B247" s="16">
        <v>36</v>
      </c>
      <c r="C247" s="9"/>
      <c r="D247" s="271" t="s">
        <v>8942</v>
      </c>
      <c r="E247" s="263">
        <v>5</v>
      </c>
      <c r="F247" s="263">
        <v>0</v>
      </c>
      <c r="G247" s="263">
        <v>0</v>
      </c>
      <c r="H247" s="263">
        <v>0</v>
      </c>
      <c r="I247" s="263">
        <v>0</v>
      </c>
      <c r="J247" s="263">
        <v>0</v>
      </c>
      <c r="K247" s="267">
        <v>5</v>
      </c>
    </row>
    <row r="248" spans="1:11">
      <c r="A248" s="9" t="s">
        <v>11947</v>
      </c>
      <c r="B248" s="16">
        <v>36</v>
      </c>
      <c r="C248" s="9"/>
      <c r="D248" s="271" t="s">
        <v>8943</v>
      </c>
      <c r="E248" s="263">
        <v>5</v>
      </c>
      <c r="F248" s="263">
        <v>0</v>
      </c>
      <c r="G248" s="263">
        <v>0</v>
      </c>
      <c r="H248" s="263">
        <v>0</v>
      </c>
      <c r="I248" s="263">
        <v>0</v>
      </c>
      <c r="J248" s="263">
        <v>0</v>
      </c>
      <c r="K248" s="267">
        <v>5</v>
      </c>
    </row>
    <row r="249" spans="1:11">
      <c r="A249" s="9" t="s">
        <v>11948</v>
      </c>
      <c r="B249" s="16">
        <v>36</v>
      </c>
      <c r="C249" s="9"/>
      <c r="D249" s="271" t="s">
        <v>8944</v>
      </c>
      <c r="E249" s="263">
        <v>5</v>
      </c>
      <c r="F249" s="263">
        <v>0</v>
      </c>
      <c r="G249" s="263">
        <v>0</v>
      </c>
      <c r="H249" s="263">
        <v>0</v>
      </c>
      <c r="I249" s="263">
        <v>0</v>
      </c>
      <c r="J249" s="263">
        <v>0</v>
      </c>
      <c r="K249" s="267">
        <v>5</v>
      </c>
    </row>
    <row r="250" spans="1:11">
      <c r="A250" s="9" t="s">
        <v>11949</v>
      </c>
      <c r="B250" s="16">
        <v>36</v>
      </c>
      <c r="C250" s="9"/>
      <c r="D250" s="271" t="s">
        <v>8945</v>
      </c>
      <c r="E250" s="263">
        <v>0</v>
      </c>
      <c r="F250" s="263">
        <v>5</v>
      </c>
      <c r="G250" s="263">
        <v>0</v>
      </c>
      <c r="H250" s="263">
        <v>0</v>
      </c>
      <c r="I250" s="263">
        <v>0</v>
      </c>
      <c r="J250" s="263">
        <v>0</v>
      </c>
      <c r="K250" s="267">
        <v>5</v>
      </c>
    </row>
    <row r="251" spans="1:11">
      <c r="A251" s="9" t="s">
        <v>11950</v>
      </c>
      <c r="B251" s="16">
        <v>36</v>
      </c>
      <c r="C251" s="9"/>
      <c r="D251" s="271" t="s">
        <v>8946</v>
      </c>
      <c r="E251" s="263">
        <v>4</v>
      </c>
      <c r="F251" s="263">
        <v>0</v>
      </c>
      <c r="G251" s="263">
        <v>0</v>
      </c>
      <c r="H251" s="263">
        <v>0</v>
      </c>
      <c r="I251" s="263">
        <v>0</v>
      </c>
      <c r="J251" s="263">
        <v>0</v>
      </c>
      <c r="K251" s="267">
        <v>4</v>
      </c>
    </row>
    <row r="252" spans="1:11">
      <c r="A252" s="9" t="s">
        <v>11951</v>
      </c>
      <c r="B252" s="16">
        <v>36</v>
      </c>
      <c r="C252" s="9"/>
      <c r="D252" s="271" t="s">
        <v>8947</v>
      </c>
      <c r="E252" s="263">
        <v>0</v>
      </c>
      <c r="F252" s="263">
        <v>3</v>
      </c>
      <c r="G252" s="263">
        <v>0</v>
      </c>
      <c r="H252" s="263">
        <v>0</v>
      </c>
      <c r="I252" s="263">
        <v>0</v>
      </c>
      <c r="J252" s="263">
        <v>0</v>
      </c>
      <c r="K252" s="267">
        <v>3</v>
      </c>
    </row>
    <row r="253" spans="1:11">
      <c r="B253" s="16">
        <v>36</v>
      </c>
      <c r="C253" s="9"/>
      <c r="D253" s="271"/>
      <c r="E253" s="263"/>
      <c r="F253" s="263"/>
      <c r="G253" s="263"/>
      <c r="H253" s="263"/>
      <c r="I253" s="263"/>
      <c r="J253" s="263"/>
      <c r="K253" s="267">
        <v>0</v>
      </c>
    </row>
    <row r="254" spans="1:11">
      <c r="B254" s="16">
        <v>36</v>
      </c>
      <c r="C254" s="9"/>
      <c r="D254" s="272" t="s">
        <v>3674</v>
      </c>
      <c r="E254" s="273">
        <v>28</v>
      </c>
      <c r="F254" s="273">
        <v>15</v>
      </c>
      <c r="G254" s="273">
        <v>0</v>
      </c>
      <c r="H254" s="273">
        <v>0</v>
      </c>
      <c r="I254" s="273">
        <v>0</v>
      </c>
      <c r="J254" s="273">
        <v>7</v>
      </c>
      <c r="K254" s="273">
        <v>50</v>
      </c>
    </row>
    <row r="255" spans="1:11">
      <c r="C255" s="9"/>
      <c r="D255" s="271"/>
      <c r="E255" s="263"/>
      <c r="F255" s="263"/>
      <c r="G255" s="263"/>
      <c r="H255" s="263"/>
      <c r="I255" s="263"/>
      <c r="J255" s="263"/>
      <c r="K255" s="267">
        <v>0</v>
      </c>
    </row>
    <row r="256" spans="1:11">
      <c r="B256" s="16">
        <v>0</v>
      </c>
      <c r="C256" s="9"/>
      <c r="D256" s="269" t="s">
        <v>13077</v>
      </c>
      <c r="E256" s="270">
        <v>82</v>
      </c>
      <c r="F256" s="270">
        <v>37</v>
      </c>
      <c r="G256" s="270">
        <v>31</v>
      </c>
      <c r="H256" s="270">
        <v>42</v>
      </c>
      <c r="I256" s="270">
        <v>0</v>
      </c>
      <c r="J256" s="270">
        <v>108</v>
      </c>
      <c r="K256" s="270">
        <v>300</v>
      </c>
    </row>
    <row r="257" spans="1:11">
      <c r="C257" s="9"/>
      <c r="D257" s="271" t="s">
        <v>4269</v>
      </c>
      <c r="E257" s="263"/>
      <c r="F257" s="263"/>
      <c r="G257" s="263"/>
      <c r="H257" s="263"/>
      <c r="I257" s="263"/>
      <c r="J257" s="263"/>
      <c r="K257" s="267">
        <v>0</v>
      </c>
    </row>
    <row r="258" spans="1:11">
      <c r="C258" s="9"/>
      <c r="D258" s="271"/>
      <c r="E258" s="263"/>
      <c r="F258" s="263"/>
      <c r="G258" s="263"/>
      <c r="H258" s="263"/>
      <c r="I258" s="263"/>
      <c r="J258" s="263"/>
      <c r="K258" s="267">
        <v>0</v>
      </c>
    </row>
    <row r="259" spans="1:11">
      <c r="A259" s="9" t="s">
        <v>11952</v>
      </c>
      <c r="B259" s="16">
        <v>30</v>
      </c>
      <c r="C259" s="9"/>
      <c r="D259" s="271" t="s">
        <v>10177</v>
      </c>
      <c r="E259" s="263">
        <v>0</v>
      </c>
      <c r="F259" s="263">
        <v>0</v>
      </c>
      <c r="G259" s="263">
        <v>5</v>
      </c>
      <c r="H259" s="263">
        <v>0</v>
      </c>
      <c r="I259" s="263">
        <v>0</v>
      </c>
      <c r="J259" s="263">
        <v>0</v>
      </c>
      <c r="K259" s="267">
        <v>5</v>
      </c>
    </row>
    <row r="260" spans="1:11">
      <c r="A260" s="9" t="s">
        <v>11953</v>
      </c>
      <c r="B260" s="16">
        <v>30</v>
      </c>
      <c r="C260" s="9"/>
      <c r="D260" s="271" t="s">
        <v>10178</v>
      </c>
      <c r="E260" s="263">
        <v>5</v>
      </c>
      <c r="F260" s="263">
        <v>0</v>
      </c>
      <c r="G260" s="263">
        <v>0</v>
      </c>
      <c r="H260" s="263">
        <v>0</v>
      </c>
      <c r="I260" s="263">
        <v>0</v>
      </c>
      <c r="J260" s="263">
        <v>0</v>
      </c>
      <c r="K260" s="267">
        <v>5</v>
      </c>
    </row>
    <row r="261" spans="1:11">
      <c r="A261" s="9" t="s">
        <v>11954</v>
      </c>
      <c r="B261" s="16">
        <v>30</v>
      </c>
      <c r="C261" s="9"/>
      <c r="D261" s="271" t="s">
        <v>10179</v>
      </c>
      <c r="E261" s="263">
        <v>0</v>
      </c>
      <c r="F261" s="263">
        <v>5</v>
      </c>
      <c r="G261" s="263">
        <v>0</v>
      </c>
      <c r="H261" s="263">
        <v>0</v>
      </c>
      <c r="I261" s="263">
        <v>0</v>
      </c>
      <c r="J261" s="263">
        <v>0</v>
      </c>
      <c r="K261" s="267">
        <v>5</v>
      </c>
    </row>
    <row r="262" spans="1:11">
      <c r="A262" s="9" t="s">
        <v>11955</v>
      </c>
      <c r="B262" s="16">
        <v>30</v>
      </c>
      <c r="C262" s="9"/>
      <c r="D262" s="271" t="s">
        <v>10180</v>
      </c>
      <c r="E262" s="263">
        <v>5</v>
      </c>
      <c r="F262" s="263">
        <v>0</v>
      </c>
      <c r="G262" s="263">
        <v>0</v>
      </c>
      <c r="H262" s="263">
        <v>0</v>
      </c>
      <c r="I262" s="263">
        <v>0</v>
      </c>
      <c r="J262" s="263">
        <v>0</v>
      </c>
      <c r="K262" s="267">
        <v>5</v>
      </c>
    </row>
    <row r="263" spans="1:11">
      <c r="A263" s="9" t="s">
        <v>11956</v>
      </c>
      <c r="B263" s="16">
        <v>30</v>
      </c>
      <c r="C263" s="9"/>
      <c r="D263" s="271" t="s">
        <v>10181</v>
      </c>
      <c r="E263" s="263">
        <v>5</v>
      </c>
      <c r="F263" s="263">
        <v>0</v>
      </c>
      <c r="G263" s="263">
        <v>0</v>
      </c>
      <c r="H263" s="263">
        <v>0</v>
      </c>
      <c r="I263" s="263">
        <v>0</v>
      </c>
      <c r="J263" s="263">
        <v>0</v>
      </c>
      <c r="K263" s="267">
        <v>5</v>
      </c>
    </row>
    <row r="264" spans="1:11">
      <c r="A264" s="9" t="s">
        <v>11957</v>
      </c>
      <c r="B264" s="16">
        <v>30</v>
      </c>
      <c r="C264" s="9"/>
      <c r="D264" s="271" t="s">
        <v>10182</v>
      </c>
      <c r="E264" s="263">
        <v>5</v>
      </c>
      <c r="F264" s="263">
        <v>0</v>
      </c>
      <c r="G264" s="263">
        <v>0</v>
      </c>
      <c r="H264" s="263">
        <v>0</v>
      </c>
      <c r="I264" s="263">
        <v>0</v>
      </c>
      <c r="J264" s="263">
        <v>0</v>
      </c>
      <c r="K264" s="267">
        <v>5</v>
      </c>
    </row>
    <row r="265" spans="1:11">
      <c r="B265" s="16">
        <v>30</v>
      </c>
      <c r="C265" s="9"/>
      <c r="D265" s="271"/>
      <c r="E265" s="263"/>
      <c r="F265" s="263"/>
      <c r="G265" s="263"/>
      <c r="H265" s="263"/>
      <c r="I265" s="263"/>
      <c r="J265" s="263"/>
      <c r="K265" s="267">
        <v>0</v>
      </c>
    </row>
    <row r="266" spans="1:11">
      <c r="B266" s="16">
        <v>30</v>
      </c>
      <c r="C266" s="9"/>
      <c r="D266" s="272" t="s">
        <v>3674</v>
      </c>
      <c r="E266" s="273">
        <v>20</v>
      </c>
      <c r="F266" s="273">
        <v>5</v>
      </c>
      <c r="G266" s="273">
        <v>5</v>
      </c>
      <c r="H266" s="273">
        <v>0</v>
      </c>
      <c r="I266" s="273">
        <v>0</v>
      </c>
      <c r="J266" s="273">
        <v>0</v>
      </c>
      <c r="K266" s="273">
        <v>30</v>
      </c>
    </row>
    <row r="267" spans="1:11">
      <c r="C267" s="9"/>
      <c r="D267" s="271"/>
      <c r="E267" s="263"/>
      <c r="F267" s="263"/>
      <c r="G267" s="263"/>
      <c r="H267" s="263"/>
      <c r="I267" s="263"/>
      <c r="J267" s="263"/>
      <c r="K267" s="267">
        <v>0</v>
      </c>
    </row>
    <row r="268" spans="1:11">
      <c r="A268" s="9" t="s">
        <v>11958</v>
      </c>
      <c r="B268" s="16">
        <v>31</v>
      </c>
      <c r="C268" s="9"/>
      <c r="D268" s="271" t="s">
        <v>10183</v>
      </c>
      <c r="E268" s="263">
        <v>5</v>
      </c>
      <c r="F268" s="263">
        <v>0</v>
      </c>
      <c r="G268" s="263">
        <v>0</v>
      </c>
      <c r="H268" s="263">
        <v>0</v>
      </c>
      <c r="I268" s="263">
        <v>0</v>
      </c>
      <c r="J268" s="263">
        <v>0</v>
      </c>
      <c r="K268" s="267">
        <v>5</v>
      </c>
    </row>
    <row r="269" spans="1:11">
      <c r="A269" s="9" t="s">
        <v>11959</v>
      </c>
      <c r="B269" s="16">
        <v>31</v>
      </c>
      <c r="C269" s="9"/>
      <c r="D269" s="271" t="s">
        <v>10184</v>
      </c>
      <c r="E269" s="263">
        <v>5</v>
      </c>
      <c r="F269" s="263">
        <v>0</v>
      </c>
      <c r="G269" s="263">
        <v>0</v>
      </c>
      <c r="H269" s="263">
        <v>0</v>
      </c>
      <c r="I269" s="263">
        <v>0</v>
      </c>
      <c r="J269" s="263">
        <v>0</v>
      </c>
      <c r="K269" s="267">
        <v>5</v>
      </c>
    </row>
    <row r="270" spans="1:11">
      <c r="B270" s="16">
        <v>31</v>
      </c>
      <c r="C270" s="9"/>
      <c r="D270" s="271"/>
      <c r="E270" s="263"/>
      <c r="F270" s="263"/>
      <c r="G270" s="263"/>
      <c r="H270" s="263"/>
      <c r="I270" s="263"/>
      <c r="J270" s="263"/>
      <c r="K270" s="267">
        <v>0</v>
      </c>
    </row>
    <row r="271" spans="1:11">
      <c r="B271" s="16">
        <v>31</v>
      </c>
      <c r="C271" s="9"/>
      <c r="D271" s="272" t="s">
        <v>3674</v>
      </c>
      <c r="E271" s="273">
        <v>10</v>
      </c>
      <c r="F271" s="273">
        <v>0</v>
      </c>
      <c r="G271" s="273">
        <v>0</v>
      </c>
      <c r="H271" s="273">
        <v>0</v>
      </c>
      <c r="I271" s="273">
        <v>0</v>
      </c>
      <c r="J271" s="273">
        <v>0</v>
      </c>
      <c r="K271" s="273">
        <v>10</v>
      </c>
    </row>
    <row r="272" spans="1:11">
      <c r="C272" s="9"/>
      <c r="D272" s="271"/>
      <c r="E272" s="263"/>
      <c r="F272" s="263"/>
      <c r="G272" s="263"/>
      <c r="H272" s="263"/>
      <c r="I272" s="263"/>
      <c r="J272" s="263"/>
      <c r="K272" s="267">
        <v>0</v>
      </c>
    </row>
    <row r="273" spans="1:11">
      <c r="A273" s="9" t="s">
        <v>11960</v>
      </c>
      <c r="B273" s="16">
        <v>32</v>
      </c>
      <c r="C273" s="9"/>
      <c r="D273" s="271" t="s">
        <v>10185</v>
      </c>
      <c r="E273" s="263">
        <v>0</v>
      </c>
      <c r="F273" s="263">
        <v>0</v>
      </c>
      <c r="G273" s="263">
        <v>0</v>
      </c>
      <c r="H273" s="263">
        <v>5</v>
      </c>
      <c r="I273" s="263">
        <v>0</v>
      </c>
      <c r="J273" s="263">
        <v>0</v>
      </c>
      <c r="K273" s="267">
        <v>5</v>
      </c>
    </row>
    <row r="274" spans="1:11">
      <c r="A274" s="9" t="s">
        <v>11961</v>
      </c>
      <c r="B274" s="16">
        <v>32</v>
      </c>
      <c r="C274" s="9"/>
      <c r="D274" s="271" t="s">
        <v>10186</v>
      </c>
      <c r="E274" s="263">
        <v>0</v>
      </c>
      <c r="F274" s="263">
        <v>0</v>
      </c>
      <c r="G274" s="263">
        <v>0</v>
      </c>
      <c r="H274" s="263">
        <v>0</v>
      </c>
      <c r="I274" s="263">
        <v>0</v>
      </c>
      <c r="J274" s="263">
        <v>5</v>
      </c>
      <c r="K274" s="267">
        <v>5</v>
      </c>
    </row>
    <row r="275" spans="1:11">
      <c r="B275" s="16">
        <v>32</v>
      </c>
      <c r="C275" s="9"/>
      <c r="D275" s="271"/>
      <c r="E275" s="263"/>
      <c r="F275" s="263"/>
      <c r="G275" s="263"/>
      <c r="H275" s="263"/>
      <c r="I275" s="263"/>
      <c r="J275" s="263"/>
      <c r="K275" s="267">
        <v>0</v>
      </c>
    </row>
    <row r="276" spans="1:11">
      <c r="B276" s="16">
        <v>32</v>
      </c>
      <c r="C276" s="9"/>
      <c r="D276" s="272" t="s">
        <v>3674</v>
      </c>
      <c r="E276" s="273">
        <v>0</v>
      </c>
      <c r="F276" s="273">
        <v>0</v>
      </c>
      <c r="G276" s="273">
        <v>0</v>
      </c>
      <c r="H276" s="273">
        <v>5</v>
      </c>
      <c r="I276" s="273">
        <v>0</v>
      </c>
      <c r="J276" s="273">
        <v>5</v>
      </c>
      <c r="K276" s="273">
        <v>10</v>
      </c>
    </row>
    <row r="277" spans="1:11">
      <c r="C277" s="9"/>
      <c r="D277" s="271"/>
      <c r="E277" s="263"/>
      <c r="F277" s="263"/>
      <c r="G277" s="263"/>
      <c r="H277" s="263"/>
      <c r="I277" s="263"/>
      <c r="J277" s="263"/>
      <c r="K277" s="267">
        <v>0</v>
      </c>
    </row>
    <row r="278" spans="1:11" ht="31.5">
      <c r="A278" s="9" t="s">
        <v>11962</v>
      </c>
      <c r="B278" s="16">
        <v>33</v>
      </c>
      <c r="C278" s="9"/>
      <c r="D278" s="271" t="s">
        <v>10187</v>
      </c>
      <c r="E278" s="263">
        <v>0</v>
      </c>
      <c r="F278" s="263">
        <v>0</v>
      </c>
      <c r="G278" s="263">
        <v>0</v>
      </c>
      <c r="H278" s="263">
        <v>0</v>
      </c>
      <c r="I278" s="263">
        <v>0</v>
      </c>
      <c r="J278" s="263">
        <v>5</v>
      </c>
      <c r="K278" s="267">
        <v>5</v>
      </c>
    </row>
    <row r="279" spans="1:11">
      <c r="A279" s="9" t="s">
        <v>11963</v>
      </c>
      <c r="B279" s="16">
        <v>33</v>
      </c>
      <c r="C279" s="9"/>
      <c r="D279" s="271" t="s">
        <v>10188</v>
      </c>
      <c r="E279" s="263">
        <v>5</v>
      </c>
      <c r="F279" s="263">
        <v>0</v>
      </c>
      <c r="G279" s="263">
        <v>0</v>
      </c>
      <c r="H279" s="263">
        <v>0</v>
      </c>
      <c r="I279" s="263">
        <v>0</v>
      </c>
      <c r="J279" s="263">
        <v>0</v>
      </c>
      <c r="K279" s="267">
        <v>5</v>
      </c>
    </row>
    <row r="280" spans="1:11">
      <c r="A280" s="9" t="s">
        <v>11964</v>
      </c>
      <c r="B280" s="16">
        <v>33</v>
      </c>
      <c r="C280" s="9"/>
      <c r="D280" s="271" t="s">
        <v>10189</v>
      </c>
      <c r="E280" s="263">
        <v>5</v>
      </c>
      <c r="F280" s="263">
        <v>0</v>
      </c>
      <c r="G280" s="263">
        <v>0</v>
      </c>
      <c r="H280" s="263">
        <v>0</v>
      </c>
      <c r="I280" s="263">
        <v>0</v>
      </c>
      <c r="J280" s="263">
        <v>0</v>
      </c>
      <c r="K280" s="267">
        <v>5</v>
      </c>
    </row>
    <row r="281" spans="1:11">
      <c r="B281" s="16">
        <v>33</v>
      </c>
      <c r="C281" s="9"/>
      <c r="D281" s="271"/>
      <c r="E281" s="263"/>
      <c r="F281" s="263"/>
      <c r="G281" s="263"/>
      <c r="H281" s="263"/>
      <c r="I281" s="263"/>
      <c r="J281" s="263"/>
      <c r="K281" s="267">
        <v>0</v>
      </c>
    </row>
    <row r="282" spans="1:11">
      <c r="B282" s="16">
        <v>33</v>
      </c>
      <c r="C282" s="9"/>
      <c r="D282" s="272" t="s">
        <v>3674</v>
      </c>
      <c r="E282" s="273">
        <v>10</v>
      </c>
      <c r="F282" s="273">
        <v>0</v>
      </c>
      <c r="G282" s="273">
        <v>0</v>
      </c>
      <c r="H282" s="273">
        <v>0</v>
      </c>
      <c r="I282" s="273">
        <v>0</v>
      </c>
      <c r="J282" s="273">
        <v>5</v>
      </c>
      <c r="K282" s="273">
        <v>15</v>
      </c>
    </row>
    <row r="283" spans="1:11">
      <c r="C283" s="9"/>
      <c r="D283" s="271"/>
      <c r="E283" s="263"/>
      <c r="F283" s="263"/>
      <c r="G283" s="263"/>
      <c r="H283" s="263"/>
      <c r="I283" s="263"/>
      <c r="J283" s="263"/>
      <c r="K283" s="267">
        <v>0</v>
      </c>
    </row>
    <row r="284" spans="1:11">
      <c r="A284" s="9" t="s">
        <v>11965</v>
      </c>
      <c r="B284" s="16">
        <v>35</v>
      </c>
      <c r="C284" s="9"/>
      <c r="D284" s="271" t="s">
        <v>10190</v>
      </c>
      <c r="E284" s="263">
        <v>5</v>
      </c>
      <c r="F284" s="263">
        <v>0</v>
      </c>
      <c r="G284" s="263">
        <v>0</v>
      </c>
      <c r="H284" s="263">
        <v>0</v>
      </c>
      <c r="I284" s="263">
        <v>0</v>
      </c>
      <c r="J284" s="263">
        <v>0</v>
      </c>
      <c r="K284" s="267">
        <v>5</v>
      </c>
    </row>
    <row r="285" spans="1:11">
      <c r="A285" s="9" t="s">
        <v>11966</v>
      </c>
      <c r="B285" s="16">
        <v>35</v>
      </c>
      <c r="C285" s="9"/>
      <c r="D285" s="271" t="s">
        <v>10191</v>
      </c>
      <c r="E285" s="263">
        <v>5</v>
      </c>
      <c r="F285" s="263">
        <v>0</v>
      </c>
      <c r="G285" s="263">
        <v>0</v>
      </c>
      <c r="H285" s="263">
        <v>0</v>
      </c>
      <c r="I285" s="263">
        <v>0</v>
      </c>
      <c r="J285" s="263">
        <v>0</v>
      </c>
      <c r="K285" s="267">
        <v>5</v>
      </c>
    </row>
    <row r="286" spans="1:11">
      <c r="A286" s="9" t="s">
        <v>11967</v>
      </c>
      <c r="B286" s="16">
        <v>35</v>
      </c>
      <c r="C286" s="9"/>
      <c r="D286" s="271" t="s">
        <v>10192</v>
      </c>
      <c r="E286" s="263">
        <v>0</v>
      </c>
      <c r="F286" s="263">
        <v>5</v>
      </c>
      <c r="G286" s="263">
        <v>0</v>
      </c>
      <c r="H286" s="263">
        <v>0</v>
      </c>
      <c r="I286" s="263">
        <v>0</v>
      </c>
      <c r="J286" s="263">
        <v>0</v>
      </c>
      <c r="K286" s="267">
        <v>5</v>
      </c>
    </row>
    <row r="287" spans="1:11">
      <c r="A287" s="9" t="s">
        <v>11968</v>
      </c>
      <c r="B287" s="16">
        <v>35</v>
      </c>
      <c r="C287" s="9"/>
      <c r="D287" s="271" t="s">
        <v>10193</v>
      </c>
      <c r="E287" s="263">
        <v>0</v>
      </c>
      <c r="F287" s="263">
        <v>4</v>
      </c>
      <c r="G287" s="263">
        <v>0</v>
      </c>
      <c r="H287" s="263">
        <v>0</v>
      </c>
      <c r="I287" s="263">
        <v>0</v>
      </c>
      <c r="J287" s="263">
        <v>0</v>
      </c>
      <c r="K287" s="267">
        <v>4</v>
      </c>
    </row>
    <row r="288" spans="1:11">
      <c r="A288" s="9" t="s">
        <v>11969</v>
      </c>
      <c r="B288" s="16">
        <v>35</v>
      </c>
      <c r="C288" s="9"/>
      <c r="D288" s="271" t="s">
        <v>10194</v>
      </c>
      <c r="E288" s="263">
        <v>4</v>
      </c>
      <c r="F288" s="263">
        <v>0</v>
      </c>
      <c r="G288" s="263">
        <v>0</v>
      </c>
      <c r="H288" s="263">
        <v>0</v>
      </c>
      <c r="I288" s="263">
        <v>0</v>
      </c>
      <c r="J288" s="263">
        <v>0</v>
      </c>
      <c r="K288" s="267">
        <v>4</v>
      </c>
    </row>
    <row r="289" spans="1:11">
      <c r="B289" s="16">
        <v>35</v>
      </c>
      <c r="C289" s="9"/>
      <c r="D289" s="271"/>
      <c r="E289" s="263"/>
      <c r="F289" s="263"/>
      <c r="G289" s="263"/>
      <c r="H289" s="263"/>
      <c r="I289" s="263"/>
      <c r="J289" s="263"/>
      <c r="K289" s="267">
        <v>0</v>
      </c>
    </row>
    <row r="290" spans="1:11">
      <c r="B290" s="16">
        <v>35</v>
      </c>
      <c r="C290" s="9"/>
      <c r="D290" s="272" t="s">
        <v>3674</v>
      </c>
      <c r="E290" s="273">
        <v>14</v>
      </c>
      <c r="F290" s="273">
        <v>9</v>
      </c>
      <c r="G290" s="273">
        <v>0</v>
      </c>
      <c r="H290" s="273">
        <v>0</v>
      </c>
      <c r="I290" s="273">
        <v>0</v>
      </c>
      <c r="J290" s="273">
        <v>0</v>
      </c>
      <c r="K290" s="273">
        <v>23</v>
      </c>
    </row>
    <row r="291" spans="1:11">
      <c r="C291" s="9"/>
      <c r="D291" s="271"/>
      <c r="E291" s="263"/>
      <c r="F291" s="263"/>
      <c r="G291" s="263"/>
      <c r="H291" s="263"/>
      <c r="I291" s="263"/>
      <c r="J291" s="263"/>
      <c r="K291" s="267">
        <v>0</v>
      </c>
    </row>
    <row r="292" spans="1:11">
      <c r="B292" s="16">
        <v>0</v>
      </c>
      <c r="C292" s="9"/>
      <c r="D292" s="269" t="s">
        <v>13078</v>
      </c>
      <c r="E292" s="270">
        <v>54</v>
      </c>
      <c r="F292" s="270">
        <v>14</v>
      </c>
      <c r="G292" s="270">
        <v>5</v>
      </c>
      <c r="H292" s="270">
        <v>5</v>
      </c>
      <c r="I292" s="270">
        <v>0</v>
      </c>
      <c r="J292" s="270">
        <v>10</v>
      </c>
      <c r="K292" s="270">
        <v>88</v>
      </c>
    </row>
    <row r="293" spans="1:11">
      <c r="C293" s="9"/>
      <c r="D293" s="271"/>
      <c r="E293" s="263"/>
      <c r="F293" s="263"/>
      <c r="G293" s="263"/>
      <c r="H293" s="263"/>
      <c r="I293" s="263"/>
      <c r="J293" s="263"/>
      <c r="K293" s="267">
        <v>0</v>
      </c>
    </row>
    <row r="294" spans="1:11">
      <c r="C294" s="9"/>
      <c r="D294" s="271"/>
      <c r="E294" s="263"/>
      <c r="F294" s="263"/>
      <c r="G294" s="263"/>
      <c r="H294" s="263"/>
      <c r="I294" s="263"/>
      <c r="J294" s="263"/>
      <c r="K294" s="267">
        <v>0</v>
      </c>
    </row>
    <row r="295" spans="1:11">
      <c r="C295" s="9"/>
      <c r="D295" s="271" t="s">
        <v>4270</v>
      </c>
      <c r="E295" s="263"/>
      <c r="F295" s="263"/>
      <c r="G295" s="263"/>
      <c r="H295" s="263"/>
      <c r="I295" s="263"/>
      <c r="J295" s="263"/>
      <c r="K295" s="267">
        <v>0</v>
      </c>
    </row>
    <row r="296" spans="1:11">
      <c r="C296" s="9"/>
      <c r="D296" s="271"/>
      <c r="E296" s="263"/>
      <c r="F296" s="263"/>
      <c r="G296" s="263"/>
      <c r="H296" s="263"/>
      <c r="I296" s="263"/>
      <c r="J296" s="263"/>
      <c r="K296" s="267">
        <v>0</v>
      </c>
    </row>
    <row r="297" spans="1:11">
      <c r="A297" s="9" t="s">
        <v>11970</v>
      </c>
      <c r="B297" s="16">
        <v>20</v>
      </c>
      <c r="C297" s="9"/>
      <c r="D297" s="271" t="s">
        <v>9030</v>
      </c>
      <c r="E297" s="263">
        <v>5</v>
      </c>
      <c r="F297" s="263">
        <v>0</v>
      </c>
      <c r="G297" s="263">
        <v>0</v>
      </c>
      <c r="H297" s="263">
        <v>0</v>
      </c>
      <c r="I297" s="263">
        <v>0</v>
      </c>
      <c r="J297" s="263">
        <v>0</v>
      </c>
      <c r="K297" s="267">
        <v>5</v>
      </c>
    </row>
    <row r="298" spans="1:11">
      <c r="A298" s="9" t="s">
        <v>11971</v>
      </c>
      <c r="B298" s="16">
        <v>20</v>
      </c>
      <c r="C298" s="9"/>
      <c r="D298" s="271" t="s">
        <v>9031</v>
      </c>
      <c r="E298" s="263">
        <v>0</v>
      </c>
      <c r="F298" s="263">
        <v>0</v>
      </c>
      <c r="G298" s="263">
        <v>0</v>
      </c>
      <c r="H298" s="263">
        <v>0</v>
      </c>
      <c r="I298" s="263">
        <v>0</v>
      </c>
      <c r="J298" s="263">
        <v>5</v>
      </c>
      <c r="K298" s="267">
        <v>5</v>
      </c>
    </row>
    <row r="299" spans="1:11">
      <c r="A299" s="9" t="s">
        <v>11972</v>
      </c>
      <c r="B299" s="16">
        <v>20</v>
      </c>
      <c r="C299" s="9"/>
      <c r="D299" s="271" t="s">
        <v>9032</v>
      </c>
      <c r="E299" s="263">
        <v>5</v>
      </c>
      <c r="F299" s="263">
        <v>0</v>
      </c>
      <c r="G299" s="263">
        <v>0</v>
      </c>
      <c r="H299" s="263">
        <v>0</v>
      </c>
      <c r="I299" s="263">
        <v>0</v>
      </c>
      <c r="J299" s="263">
        <v>0</v>
      </c>
      <c r="K299" s="267">
        <v>5</v>
      </c>
    </row>
    <row r="300" spans="1:11">
      <c r="A300" s="9" t="s">
        <v>11973</v>
      </c>
      <c r="B300" s="16">
        <v>20</v>
      </c>
      <c r="C300" s="9"/>
      <c r="D300" s="271" t="s">
        <v>9033</v>
      </c>
      <c r="E300" s="263">
        <v>5</v>
      </c>
      <c r="F300" s="263">
        <v>0</v>
      </c>
      <c r="G300" s="263">
        <v>0</v>
      </c>
      <c r="H300" s="263">
        <v>0</v>
      </c>
      <c r="I300" s="263">
        <v>0</v>
      </c>
      <c r="J300" s="263">
        <v>0</v>
      </c>
      <c r="K300" s="267">
        <v>5</v>
      </c>
    </row>
    <row r="301" spans="1:11">
      <c r="A301" s="9" t="s">
        <v>11974</v>
      </c>
      <c r="B301" s="16">
        <v>20</v>
      </c>
      <c r="C301" s="9"/>
      <c r="D301" s="271" t="s">
        <v>9034</v>
      </c>
      <c r="E301" s="263">
        <v>0</v>
      </c>
      <c r="F301" s="263">
        <v>0</v>
      </c>
      <c r="G301" s="263">
        <v>0</v>
      </c>
      <c r="H301" s="263">
        <v>5</v>
      </c>
      <c r="I301" s="263">
        <v>0</v>
      </c>
      <c r="J301" s="263">
        <v>0</v>
      </c>
      <c r="K301" s="267">
        <v>5</v>
      </c>
    </row>
    <row r="302" spans="1:11">
      <c r="A302" s="9" t="s">
        <v>11975</v>
      </c>
      <c r="B302" s="16">
        <v>20</v>
      </c>
      <c r="C302" s="9"/>
      <c r="D302" s="271" t="s">
        <v>9035</v>
      </c>
      <c r="E302" s="263">
        <v>0</v>
      </c>
      <c r="F302" s="263">
        <v>0</v>
      </c>
      <c r="G302" s="263">
        <v>0</v>
      </c>
      <c r="H302" s="263">
        <v>3</v>
      </c>
      <c r="I302" s="263">
        <v>0</v>
      </c>
      <c r="J302" s="263">
        <v>0</v>
      </c>
      <c r="K302" s="267">
        <v>3</v>
      </c>
    </row>
    <row r="303" spans="1:11">
      <c r="A303" s="9" t="s">
        <v>11976</v>
      </c>
      <c r="B303" s="16">
        <v>20</v>
      </c>
      <c r="C303" s="9"/>
      <c r="D303" s="271" t="s">
        <v>9040</v>
      </c>
      <c r="E303" s="263">
        <v>0</v>
      </c>
      <c r="F303" s="263">
        <v>0</v>
      </c>
      <c r="G303" s="263">
        <v>2</v>
      </c>
      <c r="H303" s="263">
        <v>0</v>
      </c>
      <c r="I303" s="263">
        <v>0</v>
      </c>
      <c r="J303" s="263">
        <v>0</v>
      </c>
      <c r="K303" s="267">
        <v>2</v>
      </c>
    </row>
    <row r="304" spans="1:11">
      <c r="A304" s="9" t="s">
        <v>11977</v>
      </c>
      <c r="B304" s="16">
        <v>20</v>
      </c>
      <c r="C304" s="9"/>
      <c r="D304" s="271" t="s">
        <v>9036</v>
      </c>
      <c r="E304" s="263">
        <v>0</v>
      </c>
      <c r="F304" s="263">
        <v>0</v>
      </c>
      <c r="G304" s="263">
        <v>0</v>
      </c>
      <c r="H304" s="263">
        <v>0</v>
      </c>
      <c r="I304" s="263">
        <v>0</v>
      </c>
      <c r="J304" s="263">
        <v>5</v>
      </c>
      <c r="K304" s="267">
        <v>5</v>
      </c>
    </row>
    <row r="305" spans="1:11">
      <c r="A305" s="9" t="s">
        <v>11978</v>
      </c>
      <c r="B305" s="16">
        <v>20</v>
      </c>
      <c r="C305" s="9"/>
      <c r="D305" s="271" t="s">
        <v>9037</v>
      </c>
      <c r="E305" s="263">
        <v>5</v>
      </c>
      <c r="F305" s="263">
        <v>0</v>
      </c>
      <c r="G305" s="263">
        <v>0</v>
      </c>
      <c r="H305" s="263">
        <v>0</v>
      </c>
      <c r="I305" s="263">
        <v>0</v>
      </c>
      <c r="J305" s="263">
        <v>0</v>
      </c>
      <c r="K305" s="267">
        <v>5</v>
      </c>
    </row>
    <row r="306" spans="1:11" ht="31.5">
      <c r="A306" s="9" t="s">
        <v>11979</v>
      </c>
      <c r="B306" s="16">
        <v>20</v>
      </c>
      <c r="C306" s="9"/>
      <c r="D306" s="271" t="s">
        <v>9038</v>
      </c>
      <c r="E306" s="263">
        <v>0</v>
      </c>
      <c r="F306" s="263">
        <v>5</v>
      </c>
      <c r="G306" s="263">
        <v>0</v>
      </c>
      <c r="H306" s="263">
        <v>0</v>
      </c>
      <c r="I306" s="263">
        <v>0</v>
      </c>
      <c r="J306" s="263">
        <v>0</v>
      </c>
      <c r="K306" s="267">
        <v>5</v>
      </c>
    </row>
    <row r="307" spans="1:11">
      <c r="A307" s="9" t="s">
        <v>11980</v>
      </c>
      <c r="B307" s="16">
        <v>20</v>
      </c>
      <c r="C307" s="9"/>
      <c r="D307" s="271" t="s">
        <v>9039</v>
      </c>
      <c r="E307" s="263">
        <v>0</v>
      </c>
      <c r="F307" s="263">
        <v>0</v>
      </c>
      <c r="G307" s="263">
        <v>0</v>
      </c>
      <c r="H307" s="263">
        <v>0</v>
      </c>
      <c r="I307" s="263">
        <v>0</v>
      </c>
      <c r="J307" s="263">
        <v>5</v>
      </c>
      <c r="K307" s="267">
        <v>5</v>
      </c>
    </row>
    <row r="308" spans="1:11">
      <c r="B308" s="16">
        <v>20</v>
      </c>
      <c r="C308" s="9"/>
      <c r="D308" s="271"/>
      <c r="E308" s="263"/>
      <c r="F308" s="263"/>
      <c r="G308" s="263"/>
      <c r="H308" s="263"/>
      <c r="I308" s="263"/>
      <c r="J308" s="263"/>
      <c r="K308" s="267">
        <v>0</v>
      </c>
    </row>
    <row r="309" spans="1:11">
      <c r="B309" s="16">
        <v>20</v>
      </c>
      <c r="C309" s="9"/>
      <c r="D309" s="272" t="s">
        <v>3674</v>
      </c>
      <c r="E309" s="273">
        <v>20</v>
      </c>
      <c r="F309" s="273">
        <v>5</v>
      </c>
      <c r="G309" s="273">
        <v>2</v>
      </c>
      <c r="H309" s="273">
        <v>8</v>
      </c>
      <c r="I309" s="273">
        <v>0</v>
      </c>
      <c r="J309" s="273">
        <v>15</v>
      </c>
      <c r="K309" s="273">
        <v>50</v>
      </c>
    </row>
    <row r="310" spans="1:11">
      <c r="C310" s="9"/>
      <c r="D310" s="271"/>
      <c r="E310" s="263"/>
      <c r="F310" s="263"/>
      <c r="G310" s="263"/>
      <c r="H310" s="263"/>
      <c r="I310" s="263"/>
      <c r="J310" s="263"/>
      <c r="K310" s="267">
        <v>0</v>
      </c>
    </row>
    <row r="311" spans="1:11">
      <c r="A311" s="9" t="s">
        <v>11981</v>
      </c>
      <c r="B311" s="16">
        <v>21</v>
      </c>
      <c r="C311" s="9"/>
      <c r="D311" s="271" t="s">
        <v>9041</v>
      </c>
      <c r="E311" s="263">
        <v>0</v>
      </c>
      <c r="F311" s="263">
        <v>0</v>
      </c>
      <c r="G311" s="263">
        <v>5</v>
      </c>
      <c r="H311" s="263">
        <v>0</v>
      </c>
      <c r="I311" s="263">
        <v>0</v>
      </c>
      <c r="J311" s="263">
        <v>0</v>
      </c>
      <c r="K311" s="267">
        <v>5</v>
      </c>
    </row>
    <row r="312" spans="1:11">
      <c r="A312" s="9" t="s">
        <v>11982</v>
      </c>
      <c r="B312" s="16">
        <v>21</v>
      </c>
      <c r="C312" s="9"/>
      <c r="D312" s="271" t="s">
        <v>9042</v>
      </c>
      <c r="E312" s="263">
        <v>0</v>
      </c>
      <c r="F312" s="263">
        <v>0</v>
      </c>
      <c r="G312" s="263">
        <v>0</v>
      </c>
      <c r="H312" s="263">
        <v>0</v>
      </c>
      <c r="I312" s="263">
        <v>0</v>
      </c>
      <c r="J312" s="263">
        <v>5</v>
      </c>
      <c r="K312" s="267">
        <v>5</v>
      </c>
    </row>
    <row r="313" spans="1:11">
      <c r="A313" s="9" t="s">
        <v>11983</v>
      </c>
      <c r="B313" s="16">
        <v>21</v>
      </c>
      <c r="C313" s="9"/>
      <c r="D313" s="271" t="s">
        <v>9043</v>
      </c>
      <c r="E313" s="263">
        <v>0</v>
      </c>
      <c r="F313" s="263">
        <v>0</v>
      </c>
      <c r="G313" s="263">
        <v>0</v>
      </c>
      <c r="H313" s="263">
        <v>0</v>
      </c>
      <c r="I313" s="263">
        <v>0</v>
      </c>
      <c r="J313" s="263">
        <v>5</v>
      </c>
      <c r="K313" s="267">
        <v>5</v>
      </c>
    </row>
    <row r="314" spans="1:11">
      <c r="A314" s="9" t="s">
        <v>11984</v>
      </c>
      <c r="B314" s="16">
        <v>21</v>
      </c>
      <c r="C314" s="9"/>
      <c r="D314" s="271" t="s">
        <v>9044</v>
      </c>
      <c r="E314" s="263">
        <v>0</v>
      </c>
      <c r="F314" s="263">
        <v>5</v>
      </c>
      <c r="G314" s="263">
        <v>0</v>
      </c>
      <c r="H314" s="263">
        <v>0</v>
      </c>
      <c r="I314" s="263">
        <v>0</v>
      </c>
      <c r="J314" s="263">
        <v>0</v>
      </c>
      <c r="K314" s="267">
        <v>5</v>
      </c>
    </row>
    <row r="315" spans="1:11">
      <c r="A315" s="9" t="s">
        <v>11985</v>
      </c>
      <c r="B315" s="16">
        <v>21</v>
      </c>
      <c r="C315" s="9"/>
      <c r="D315" s="271" t="s">
        <v>9045</v>
      </c>
      <c r="E315" s="263">
        <v>0</v>
      </c>
      <c r="F315" s="263">
        <v>0</v>
      </c>
      <c r="G315" s="263">
        <v>5</v>
      </c>
      <c r="H315" s="263">
        <v>0</v>
      </c>
      <c r="I315" s="263">
        <v>0</v>
      </c>
      <c r="J315" s="263">
        <v>0</v>
      </c>
      <c r="K315" s="267">
        <v>5</v>
      </c>
    </row>
    <row r="316" spans="1:11">
      <c r="A316" s="9" t="s">
        <v>11986</v>
      </c>
      <c r="B316" s="16">
        <v>21</v>
      </c>
      <c r="C316" s="9"/>
      <c r="D316" s="271" t="s">
        <v>9046</v>
      </c>
      <c r="E316" s="263">
        <v>5</v>
      </c>
      <c r="F316" s="263">
        <v>0</v>
      </c>
      <c r="G316" s="263">
        <v>0</v>
      </c>
      <c r="H316" s="263">
        <v>0</v>
      </c>
      <c r="I316" s="263">
        <v>0</v>
      </c>
      <c r="J316" s="263">
        <v>0</v>
      </c>
      <c r="K316" s="267">
        <v>5</v>
      </c>
    </row>
    <row r="317" spans="1:11">
      <c r="A317" s="9" t="s">
        <v>11987</v>
      </c>
      <c r="B317" s="16">
        <v>21</v>
      </c>
      <c r="C317" s="9"/>
      <c r="D317" s="271" t="s">
        <v>9047</v>
      </c>
      <c r="E317" s="263">
        <v>5</v>
      </c>
      <c r="F317" s="263">
        <v>0</v>
      </c>
      <c r="G317" s="263">
        <v>0</v>
      </c>
      <c r="H317" s="263">
        <v>0</v>
      </c>
      <c r="I317" s="263">
        <v>0</v>
      </c>
      <c r="J317" s="263">
        <v>0</v>
      </c>
      <c r="K317" s="267">
        <v>5</v>
      </c>
    </row>
    <row r="318" spans="1:11">
      <c r="A318" s="9" t="s">
        <v>11988</v>
      </c>
      <c r="B318" s="16">
        <v>21</v>
      </c>
      <c r="C318" s="9"/>
      <c r="D318" s="271" t="s">
        <v>9048</v>
      </c>
      <c r="E318" s="263">
        <v>0</v>
      </c>
      <c r="F318" s="263">
        <v>0</v>
      </c>
      <c r="G318" s="263">
        <v>0</v>
      </c>
      <c r="H318" s="263">
        <v>2</v>
      </c>
      <c r="I318" s="263">
        <v>0</v>
      </c>
      <c r="J318" s="263">
        <v>0</v>
      </c>
      <c r="K318" s="267">
        <v>2</v>
      </c>
    </row>
    <row r="319" spans="1:11">
      <c r="A319" s="9" t="s">
        <v>11989</v>
      </c>
      <c r="B319" s="16">
        <v>21</v>
      </c>
      <c r="C319" s="9"/>
      <c r="D319" s="271" t="s">
        <v>9049</v>
      </c>
      <c r="E319" s="263">
        <v>0</v>
      </c>
      <c r="F319" s="263">
        <v>0</v>
      </c>
      <c r="G319" s="263">
        <v>0</v>
      </c>
      <c r="H319" s="263">
        <v>0</v>
      </c>
      <c r="I319" s="263">
        <v>0</v>
      </c>
      <c r="J319" s="263">
        <v>5</v>
      </c>
      <c r="K319" s="267">
        <v>5</v>
      </c>
    </row>
    <row r="320" spans="1:11">
      <c r="A320" s="9" t="s">
        <v>11990</v>
      </c>
      <c r="B320" s="16">
        <v>21</v>
      </c>
      <c r="C320" s="9"/>
      <c r="D320" s="271" t="s">
        <v>9050</v>
      </c>
      <c r="E320" s="263">
        <v>0</v>
      </c>
      <c r="F320" s="263">
        <v>0</v>
      </c>
      <c r="G320" s="263">
        <v>0</v>
      </c>
      <c r="H320" s="263">
        <v>5</v>
      </c>
      <c r="I320" s="263">
        <v>0</v>
      </c>
      <c r="J320" s="263">
        <v>0</v>
      </c>
      <c r="K320" s="267">
        <v>5</v>
      </c>
    </row>
    <row r="321" spans="1:11">
      <c r="A321" s="9" t="s">
        <v>11991</v>
      </c>
      <c r="B321" s="16">
        <v>21</v>
      </c>
      <c r="C321" s="9"/>
      <c r="D321" s="271" t="s">
        <v>9051</v>
      </c>
      <c r="E321" s="263">
        <v>0</v>
      </c>
      <c r="F321" s="263">
        <v>3</v>
      </c>
      <c r="G321" s="263">
        <v>0</v>
      </c>
      <c r="H321" s="263">
        <v>0</v>
      </c>
      <c r="I321" s="263">
        <v>0</v>
      </c>
      <c r="J321" s="263">
        <v>0</v>
      </c>
      <c r="K321" s="267">
        <v>3</v>
      </c>
    </row>
    <row r="322" spans="1:11">
      <c r="B322" s="16">
        <v>21</v>
      </c>
      <c r="C322" s="9"/>
      <c r="D322" s="271"/>
      <c r="E322" s="263"/>
      <c r="F322" s="263"/>
      <c r="G322" s="263"/>
      <c r="H322" s="263"/>
      <c r="I322" s="263"/>
      <c r="J322" s="263"/>
      <c r="K322" s="267">
        <v>0</v>
      </c>
    </row>
    <row r="323" spans="1:11">
      <c r="B323" s="16">
        <v>21</v>
      </c>
      <c r="C323" s="9"/>
      <c r="D323" s="272" t="s">
        <v>3674</v>
      </c>
      <c r="E323" s="273">
        <v>10</v>
      </c>
      <c r="F323" s="273">
        <v>8</v>
      </c>
      <c r="G323" s="273">
        <v>10</v>
      </c>
      <c r="H323" s="273">
        <v>7</v>
      </c>
      <c r="I323" s="273">
        <v>0</v>
      </c>
      <c r="J323" s="273">
        <v>15</v>
      </c>
      <c r="K323" s="273">
        <v>50</v>
      </c>
    </row>
    <row r="324" spans="1:11">
      <c r="C324" s="9"/>
      <c r="D324" s="271"/>
      <c r="E324" s="263"/>
      <c r="F324" s="263"/>
      <c r="G324" s="263"/>
      <c r="H324" s="263"/>
      <c r="I324" s="263"/>
      <c r="J324" s="263"/>
      <c r="K324" s="267">
        <v>0</v>
      </c>
    </row>
    <row r="325" spans="1:11">
      <c r="A325" s="9" t="s">
        <v>11992</v>
      </c>
      <c r="B325" s="16">
        <v>22</v>
      </c>
      <c r="C325" s="9"/>
      <c r="D325" s="271" t="s">
        <v>9052</v>
      </c>
      <c r="E325" s="263">
        <v>0</v>
      </c>
      <c r="F325" s="263">
        <v>0</v>
      </c>
      <c r="G325" s="263">
        <v>2</v>
      </c>
      <c r="H325" s="263">
        <v>0</v>
      </c>
      <c r="I325" s="263">
        <v>0</v>
      </c>
      <c r="J325" s="263">
        <v>0</v>
      </c>
      <c r="K325" s="267">
        <v>2</v>
      </c>
    </row>
    <row r="326" spans="1:11">
      <c r="A326" s="9" t="s">
        <v>11993</v>
      </c>
      <c r="B326" s="16">
        <v>22</v>
      </c>
      <c r="C326" s="9"/>
      <c r="D326" s="271" t="s">
        <v>9053</v>
      </c>
      <c r="E326" s="263">
        <v>0</v>
      </c>
      <c r="F326" s="263">
        <v>0</v>
      </c>
      <c r="G326" s="263">
        <v>2</v>
      </c>
      <c r="H326" s="263">
        <v>0</v>
      </c>
      <c r="I326" s="263">
        <v>0</v>
      </c>
      <c r="J326" s="263">
        <v>0</v>
      </c>
      <c r="K326" s="267">
        <v>2</v>
      </c>
    </row>
    <row r="327" spans="1:11" ht="31.5">
      <c r="A327" s="9" t="s">
        <v>11994</v>
      </c>
      <c r="B327" s="16">
        <v>22</v>
      </c>
      <c r="C327" s="9"/>
      <c r="D327" s="271" t="s">
        <v>9054</v>
      </c>
      <c r="E327" s="263">
        <v>0</v>
      </c>
      <c r="F327" s="263">
        <v>0</v>
      </c>
      <c r="G327" s="263">
        <v>0</v>
      </c>
      <c r="H327" s="263">
        <v>3</v>
      </c>
      <c r="I327" s="263">
        <v>0</v>
      </c>
      <c r="J327" s="263">
        <v>0</v>
      </c>
      <c r="K327" s="267">
        <v>3</v>
      </c>
    </row>
    <row r="328" spans="1:11">
      <c r="A328" s="9" t="s">
        <v>11995</v>
      </c>
      <c r="B328" s="16">
        <v>22</v>
      </c>
      <c r="C328" s="9"/>
      <c r="D328" s="271" t="s">
        <v>9055</v>
      </c>
      <c r="E328" s="263">
        <v>0</v>
      </c>
      <c r="F328" s="263">
        <v>0</v>
      </c>
      <c r="G328" s="263">
        <v>0</v>
      </c>
      <c r="H328" s="263">
        <v>3</v>
      </c>
      <c r="I328" s="263">
        <v>0</v>
      </c>
      <c r="J328" s="263">
        <v>0</v>
      </c>
      <c r="K328" s="267">
        <v>3</v>
      </c>
    </row>
    <row r="329" spans="1:11">
      <c r="A329" s="9" t="s">
        <v>11996</v>
      </c>
      <c r="B329" s="16">
        <v>22</v>
      </c>
      <c r="C329" s="9"/>
      <c r="D329" s="271" t="s">
        <v>9056</v>
      </c>
      <c r="E329" s="263">
        <v>0</v>
      </c>
      <c r="F329" s="263">
        <v>0</v>
      </c>
      <c r="G329" s="263">
        <v>0</v>
      </c>
      <c r="H329" s="263">
        <v>2</v>
      </c>
      <c r="I329" s="263">
        <v>0</v>
      </c>
      <c r="J329" s="263">
        <v>0</v>
      </c>
      <c r="K329" s="267">
        <v>2</v>
      </c>
    </row>
    <row r="330" spans="1:11">
      <c r="A330" s="9" t="s">
        <v>11997</v>
      </c>
      <c r="B330" s="16">
        <v>22</v>
      </c>
      <c r="C330" s="9"/>
      <c r="D330" s="271" t="s">
        <v>9057</v>
      </c>
      <c r="E330" s="263">
        <v>0</v>
      </c>
      <c r="F330" s="263">
        <v>0</v>
      </c>
      <c r="G330" s="263">
        <v>0</v>
      </c>
      <c r="H330" s="263">
        <v>5</v>
      </c>
      <c r="I330" s="263">
        <v>0</v>
      </c>
      <c r="J330" s="263">
        <v>0</v>
      </c>
      <c r="K330" s="267">
        <v>5</v>
      </c>
    </row>
    <row r="331" spans="1:11">
      <c r="A331" s="9" t="s">
        <v>11998</v>
      </c>
      <c r="B331" s="16">
        <v>22</v>
      </c>
      <c r="C331" s="9"/>
      <c r="D331" s="271" t="s">
        <v>9058</v>
      </c>
      <c r="E331" s="263">
        <v>0</v>
      </c>
      <c r="F331" s="263">
        <v>0</v>
      </c>
      <c r="G331" s="263">
        <v>3</v>
      </c>
      <c r="H331" s="263">
        <v>0</v>
      </c>
      <c r="I331" s="263">
        <v>0</v>
      </c>
      <c r="J331" s="263">
        <v>0</v>
      </c>
      <c r="K331" s="267">
        <v>3</v>
      </c>
    </row>
    <row r="332" spans="1:11" ht="31.5">
      <c r="A332" s="9" t="s">
        <v>11999</v>
      </c>
      <c r="B332" s="16">
        <v>22</v>
      </c>
      <c r="C332" s="9"/>
      <c r="D332" s="271" t="s">
        <v>9059</v>
      </c>
      <c r="E332" s="263">
        <v>0</v>
      </c>
      <c r="F332" s="263">
        <v>2</v>
      </c>
      <c r="G332" s="263">
        <v>0</v>
      </c>
      <c r="H332" s="263">
        <v>0</v>
      </c>
      <c r="I332" s="263">
        <v>0</v>
      </c>
      <c r="J332" s="263">
        <v>0</v>
      </c>
      <c r="K332" s="267">
        <v>2</v>
      </c>
    </row>
    <row r="333" spans="1:11">
      <c r="A333" s="9" t="s">
        <v>12000</v>
      </c>
      <c r="B333" s="16">
        <v>22</v>
      </c>
      <c r="C333" s="9"/>
      <c r="D333" s="271" t="s">
        <v>9060</v>
      </c>
      <c r="E333" s="263">
        <v>0</v>
      </c>
      <c r="F333" s="263">
        <v>0</v>
      </c>
      <c r="G333" s="263">
        <v>0</v>
      </c>
      <c r="H333" s="263">
        <v>5</v>
      </c>
      <c r="I333" s="263">
        <v>0</v>
      </c>
      <c r="J333" s="263">
        <v>0</v>
      </c>
      <c r="K333" s="267">
        <v>5</v>
      </c>
    </row>
    <row r="334" spans="1:11">
      <c r="A334" s="9" t="s">
        <v>12001</v>
      </c>
      <c r="B334" s="16">
        <v>22</v>
      </c>
      <c r="C334" s="9"/>
      <c r="D334" s="271" t="s">
        <v>9061</v>
      </c>
      <c r="E334" s="263">
        <v>0</v>
      </c>
      <c r="F334" s="263">
        <v>0</v>
      </c>
      <c r="G334" s="263">
        <v>0</v>
      </c>
      <c r="H334" s="263">
        <v>5</v>
      </c>
      <c r="I334" s="263">
        <v>0</v>
      </c>
      <c r="J334" s="263">
        <v>0</v>
      </c>
      <c r="K334" s="267">
        <v>5</v>
      </c>
    </row>
    <row r="335" spans="1:11">
      <c r="A335" s="9" t="s">
        <v>12002</v>
      </c>
      <c r="B335" s="16">
        <v>22</v>
      </c>
      <c r="C335" s="9"/>
      <c r="D335" s="271" t="s">
        <v>9062</v>
      </c>
      <c r="E335" s="263">
        <v>0</v>
      </c>
      <c r="F335" s="263">
        <v>0</v>
      </c>
      <c r="G335" s="263">
        <v>5</v>
      </c>
      <c r="H335" s="263">
        <v>0</v>
      </c>
      <c r="I335" s="263">
        <v>0</v>
      </c>
      <c r="J335" s="263">
        <v>0</v>
      </c>
      <c r="K335" s="267">
        <v>5</v>
      </c>
    </row>
    <row r="336" spans="1:11">
      <c r="A336" s="9" t="s">
        <v>12003</v>
      </c>
      <c r="B336" s="16">
        <v>22</v>
      </c>
      <c r="C336" s="9"/>
      <c r="D336" s="271" t="s">
        <v>9063</v>
      </c>
      <c r="E336" s="263">
        <v>5</v>
      </c>
      <c r="F336" s="263">
        <v>0</v>
      </c>
      <c r="G336" s="263">
        <v>0</v>
      </c>
      <c r="H336" s="263">
        <v>0</v>
      </c>
      <c r="I336" s="263">
        <v>0</v>
      </c>
      <c r="J336" s="263">
        <v>0</v>
      </c>
      <c r="K336" s="267">
        <v>5</v>
      </c>
    </row>
    <row r="337" spans="1:11">
      <c r="A337" s="9" t="s">
        <v>12004</v>
      </c>
      <c r="B337" s="16">
        <v>22</v>
      </c>
      <c r="C337" s="9"/>
      <c r="D337" s="271" t="s">
        <v>9064</v>
      </c>
      <c r="E337" s="263">
        <v>0</v>
      </c>
      <c r="F337" s="263">
        <v>0</v>
      </c>
      <c r="G337" s="263">
        <v>3</v>
      </c>
      <c r="H337" s="263">
        <v>0</v>
      </c>
      <c r="I337" s="263">
        <v>0</v>
      </c>
      <c r="J337" s="263">
        <v>0</v>
      </c>
      <c r="K337" s="267">
        <v>3</v>
      </c>
    </row>
    <row r="338" spans="1:11">
      <c r="A338" s="9" t="s">
        <v>12005</v>
      </c>
      <c r="B338" s="16">
        <v>22</v>
      </c>
      <c r="C338" s="9"/>
      <c r="D338" s="271" t="s">
        <v>9065</v>
      </c>
      <c r="E338" s="263">
        <v>0</v>
      </c>
      <c r="F338" s="263">
        <v>0</v>
      </c>
      <c r="G338" s="263">
        <v>0</v>
      </c>
      <c r="H338" s="263">
        <v>0</v>
      </c>
      <c r="I338" s="263">
        <v>5</v>
      </c>
      <c r="J338" s="263">
        <v>0</v>
      </c>
      <c r="K338" s="267">
        <v>5</v>
      </c>
    </row>
    <row r="339" spans="1:11">
      <c r="B339" s="16">
        <v>22</v>
      </c>
      <c r="C339" s="9"/>
      <c r="D339" s="271"/>
      <c r="E339" s="263"/>
      <c r="F339" s="263"/>
      <c r="G339" s="263"/>
      <c r="H339" s="263"/>
      <c r="I339" s="263"/>
      <c r="J339" s="263"/>
      <c r="K339" s="267">
        <v>0</v>
      </c>
    </row>
    <row r="340" spans="1:11">
      <c r="B340" s="16">
        <v>22</v>
      </c>
      <c r="C340" s="9"/>
      <c r="D340" s="272" t="s">
        <v>3674</v>
      </c>
      <c r="E340" s="273">
        <v>5</v>
      </c>
      <c r="F340" s="273">
        <v>2</v>
      </c>
      <c r="G340" s="273">
        <v>15</v>
      </c>
      <c r="H340" s="273">
        <v>23</v>
      </c>
      <c r="I340" s="273">
        <v>5</v>
      </c>
      <c r="J340" s="273">
        <v>0</v>
      </c>
      <c r="K340" s="273">
        <v>50</v>
      </c>
    </row>
    <row r="341" spans="1:11">
      <c r="C341" s="9"/>
      <c r="D341" s="271"/>
      <c r="E341" s="263"/>
      <c r="F341" s="263"/>
      <c r="G341" s="263"/>
      <c r="H341" s="263"/>
      <c r="I341" s="263"/>
      <c r="J341" s="263"/>
      <c r="K341" s="267">
        <v>0</v>
      </c>
    </row>
    <row r="342" spans="1:11">
      <c r="A342" s="9" t="s">
        <v>12006</v>
      </c>
      <c r="B342" s="16">
        <v>23</v>
      </c>
      <c r="C342" s="9"/>
      <c r="D342" s="271" t="s">
        <v>9066</v>
      </c>
      <c r="E342" s="263">
        <v>2</v>
      </c>
      <c r="F342" s="263">
        <v>0</v>
      </c>
      <c r="G342" s="263">
        <v>0</v>
      </c>
      <c r="H342" s="263">
        <v>0</v>
      </c>
      <c r="I342" s="263">
        <v>0</v>
      </c>
      <c r="J342" s="263">
        <v>0</v>
      </c>
      <c r="K342" s="267">
        <v>2</v>
      </c>
    </row>
    <row r="343" spans="1:11">
      <c r="A343" s="9" t="s">
        <v>12007</v>
      </c>
      <c r="B343" s="16">
        <v>23</v>
      </c>
      <c r="C343" s="9"/>
      <c r="D343" s="271" t="s">
        <v>9067</v>
      </c>
      <c r="E343" s="263">
        <v>0</v>
      </c>
      <c r="F343" s="263">
        <v>0</v>
      </c>
      <c r="G343" s="263">
        <v>0</v>
      </c>
      <c r="H343" s="263">
        <v>0</v>
      </c>
      <c r="I343" s="263">
        <v>0</v>
      </c>
      <c r="J343" s="263">
        <v>3</v>
      </c>
      <c r="K343" s="267">
        <v>3</v>
      </c>
    </row>
    <row r="344" spans="1:11" ht="31.5">
      <c r="A344" s="9" t="s">
        <v>12008</v>
      </c>
      <c r="B344" s="16">
        <v>23</v>
      </c>
      <c r="C344" s="9"/>
      <c r="D344" s="271" t="s">
        <v>12625</v>
      </c>
      <c r="E344" s="263">
        <v>0</v>
      </c>
      <c r="F344" s="263">
        <v>0</v>
      </c>
      <c r="G344" s="263">
        <v>0</v>
      </c>
      <c r="H344" s="263">
        <v>0</v>
      </c>
      <c r="I344" s="263">
        <v>0</v>
      </c>
      <c r="J344" s="263">
        <v>4</v>
      </c>
      <c r="K344" s="267">
        <v>4</v>
      </c>
    </row>
    <row r="345" spans="1:11" ht="31.5">
      <c r="A345" s="9" t="s">
        <v>12009</v>
      </c>
      <c r="B345" s="16">
        <v>23</v>
      </c>
      <c r="C345" s="9"/>
      <c r="D345" s="271" t="s">
        <v>9068</v>
      </c>
      <c r="E345" s="263">
        <v>0</v>
      </c>
      <c r="F345" s="263">
        <v>0</v>
      </c>
      <c r="G345" s="263">
        <v>0</v>
      </c>
      <c r="H345" s="263">
        <v>0</v>
      </c>
      <c r="I345" s="263">
        <v>4</v>
      </c>
      <c r="J345" s="263">
        <v>0</v>
      </c>
      <c r="K345" s="267">
        <v>4</v>
      </c>
    </row>
    <row r="346" spans="1:11" ht="31.5">
      <c r="A346" s="9" t="s">
        <v>12010</v>
      </c>
      <c r="B346" s="16">
        <v>23</v>
      </c>
      <c r="C346" s="9"/>
      <c r="D346" s="271" t="s">
        <v>9069</v>
      </c>
      <c r="E346" s="263">
        <v>0</v>
      </c>
      <c r="F346" s="263">
        <v>0</v>
      </c>
      <c r="G346" s="263">
        <v>0</v>
      </c>
      <c r="H346" s="263">
        <v>4.25</v>
      </c>
      <c r="I346" s="263">
        <v>0</v>
      </c>
      <c r="J346" s="263">
        <v>0</v>
      </c>
      <c r="K346" s="267">
        <v>4.25</v>
      </c>
    </row>
    <row r="347" spans="1:11">
      <c r="A347" s="9" t="s">
        <v>12011</v>
      </c>
      <c r="B347" s="16">
        <v>23</v>
      </c>
      <c r="C347" s="9"/>
      <c r="D347" s="271" t="s">
        <v>9070</v>
      </c>
      <c r="E347" s="263">
        <v>4.25</v>
      </c>
      <c r="F347" s="263">
        <v>0</v>
      </c>
      <c r="G347" s="263">
        <v>0</v>
      </c>
      <c r="H347" s="263">
        <v>0</v>
      </c>
      <c r="I347" s="263">
        <v>0</v>
      </c>
      <c r="J347" s="263">
        <v>0</v>
      </c>
      <c r="K347" s="267">
        <v>4.25</v>
      </c>
    </row>
    <row r="348" spans="1:11">
      <c r="A348" s="9" t="s">
        <v>12012</v>
      </c>
      <c r="B348" s="16">
        <v>23</v>
      </c>
      <c r="C348" s="9"/>
      <c r="D348" s="271" t="s">
        <v>9071</v>
      </c>
      <c r="E348" s="263">
        <v>0</v>
      </c>
      <c r="F348" s="263">
        <v>0</v>
      </c>
      <c r="G348" s="263">
        <v>4.25</v>
      </c>
      <c r="H348" s="263">
        <v>0</v>
      </c>
      <c r="I348" s="263">
        <v>0</v>
      </c>
      <c r="J348" s="263">
        <v>0</v>
      </c>
      <c r="K348" s="267">
        <v>4.25</v>
      </c>
    </row>
    <row r="349" spans="1:11">
      <c r="A349" s="9" t="s">
        <v>12013</v>
      </c>
      <c r="B349" s="16">
        <v>23</v>
      </c>
      <c r="C349" s="9"/>
      <c r="D349" s="271" t="s">
        <v>9072</v>
      </c>
      <c r="E349" s="263">
        <v>0</v>
      </c>
      <c r="F349" s="263">
        <v>0</v>
      </c>
      <c r="G349" s="263">
        <v>2</v>
      </c>
      <c r="H349" s="263">
        <v>0</v>
      </c>
      <c r="I349" s="263">
        <v>0</v>
      </c>
      <c r="J349" s="263">
        <v>0</v>
      </c>
      <c r="K349" s="267">
        <v>2</v>
      </c>
    </row>
    <row r="350" spans="1:11">
      <c r="A350" s="9" t="s">
        <v>12014</v>
      </c>
      <c r="B350" s="16">
        <v>23</v>
      </c>
      <c r="C350" s="9"/>
      <c r="D350" s="271" t="s">
        <v>9073</v>
      </c>
      <c r="E350" s="263">
        <v>0</v>
      </c>
      <c r="F350" s="263">
        <v>0</v>
      </c>
      <c r="G350" s="263">
        <v>0</v>
      </c>
      <c r="H350" s="263">
        <v>3</v>
      </c>
      <c r="I350" s="263">
        <v>0</v>
      </c>
      <c r="J350" s="263">
        <v>0</v>
      </c>
      <c r="K350" s="267">
        <v>3</v>
      </c>
    </row>
    <row r="351" spans="1:11">
      <c r="A351" s="9" t="s">
        <v>12015</v>
      </c>
      <c r="B351" s="16">
        <v>23</v>
      </c>
      <c r="C351" s="9"/>
      <c r="D351" s="271" t="s">
        <v>9074</v>
      </c>
      <c r="E351" s="263">
        <v>0</v>
      </c>
      <c r="F351" s="263">
        <v>0</v>
      </c>
      <c r="G351" s="263">
        <v>0</v>
      </c>
      <c r="H351" s="263">
        <v>0</v>
      </c>
      <c r="I351" s="263">
        <v>0</v>
      </c>
      <c r="J351" s="263">
        <v>5</v>
      </c>
      <c r="K351" s="267">
        <v>5</v>
      </c>
    </row>
    <row r="352" spans="1:11">
      <c r="A352" s="9" t="s">
        <v>12016</v>
      </c>
      <c r="B352" s="16">
        <v>23</v>
      </c>
      <c r="C352" s="9"/>
      <c r="D352" s="271" t="s">
        <v>9075</v>
      </c>
      <c r="E352" s="263">
        <v>0</v>
      </c>
      <c r="F352" s="263">
        <v>0</v>
      </c>
      <c r="G352" s="263">
        <v>5</v>
      </c>
      <c r="H352" s="263">
        <v>0</v>
      </c>
      <c r="I352" s="263">
        <v>0</v>
      </c>
      <c r="J352" s="263">
        <v>0</v>
      </c>
      <c r="K352" s="267">
        <v>5</v>
      </c>
    </row>
    <row r="353" spans="1:11">
      <c r="A353" s="9" t="s">
        <v>12017</v>
      </c>
      <c r="B353" s="16">
        <v>23</v>
      </c>
      <c r="C353" s="9"/>
      <c r="D353" s="271" t="s">
        <v>9076</v>
      </c>
      <c r="E353" s="263">
        <v>4.25</v>
      </c>
      <c r="F353" s="263">
        <v>0</v>
      </c>
      <c r="G353" s="263">
        <v>0</v>
      </c>
      <c r="H353" s="263">
        <v>0</v>
      </c>
      <c r="I353" s="263">
        <v>0</v>
      </c>
      <c r="J353" s="263">
        <v>0</v>
      </c>
      <c r="K353" s="267">
        <v>4.25</v>
      </c>
    </row>
    <row r="354" spans="1:11">
      <c r="A354" s="9" t="s">
        <v>12018</v>
      </c>
      <c r="B354" s="16">
        <v>23</v>
      </c>
      <c r="C354" s="9"/>
      <c r="D354" s="271" t="s">
        <v>9077</v>
      </c>
      <c r="E354" s="263">
        <v>0</v>
      </c>
      <c r="F354" s="263">
        <v>0</v>
      </c>
      <c r="G354" s="263">
        <v>0</v>
      </c>
      <c r="H354" s="263">
        <v>0</v>
      </c>
      <c r="I354" s="263">
        <v>0</v>
      </c>
      <c r="J354" s="263">
        <v>5</v>
      </c>
      <c r="K354" s="267">
        <v>5</v>
      </c>
    </row>
    <row r="355" spans="1:11">
      <c r="B355" s="16">
        <v>23</v>
      </c>
      <c r="C355" s="9"/>
      <c r="D355" s="271"/>
      <c r="E355" s="263"/>
      <c r="F355" s="263"/>
      <c r="G355" s="263"/>
      <c r="H355" s="263"/>
      <c r="I355" s="263"/>
      <c r="J355" s="263"/>
      <c r="K355" s="267">
        <v>0</v>
      </c>
    </row>
    <row r="356" spans="1:11">
      <c r="B356" s="16">
        <v>23</v>
      </c>
      <c r="C356" s="9"/>
      <c r="D356" s="272" t="s">
        <v>3674</v>
      </c>
      <c r="E356" s="273">
        <v>10.5</v>
      </c>
      <c r="F356" s="273">
        <v>0</v>
      </c>
      <c r="G356" s="273">
        <v>11.25</v>
      </c>
      <c r="H356" s="273">
        <v>7.25</v>
      </c>
      <c r="I356" s="273">
        <v>4</v>
      </c>
      <c r="J356" s="273">
        <v>17</v>
      </c>
      <c r="K356" s="273">
        <v>50</v>
      </c>
    </row>
    <row r="357" spans="1:11">
      <c r="C357" s="9"/>
      <c r="D357" s="271"/>
      <c r="E357" s="263"/>
      <c r="F357" s="263"/>
      <c r="G357" s="263"/>
      <c r="H357" s="263"/>
      <c r="I357" s="263"/>
      <c r="J357" s="263"/>
      <c r="K357" s="267">
        <v>0</v>
      </c>
    </row>
    <row r="358" spans="1:11">
      <c r="A358" s="9" t="s">
        <v>12019</v>
      </c>
      <c r="B358" s="16">
        <v>40</v>
      </c>
      <c r="C358" s="9"/>
      <c r="D358" s="271" t="s">
        <v>9078</v>
      </c>
      <c r="E358" s="263">
        <v>5</v>
      </c>
      <c r="F358" s="263">
        <v>0</v>
      </c>
      <c r="G358" s="263">
        <v>0</v>
      </c>
      <c r="H358" s="263">
        <v>0</v>
      </c>
      <c r="I358" s="263">
        <v>0</v>
      </c>
      <c r="J358" s="263">
        <v>0</v>
      </c>
      <c r="K358" s="267">
        <v>5</v>
      </c>
    </row>
    <row r="359" spans="1:11">
      <c r="A359" s="9" t="s">
        <v>12020</v>
      </c>
      <c r="B359" s="16">
        <v>40</v>
      </c>
      <c r="C359" s="9"/>
      <c r="D359" s="271" t="s">
        <v>9079</v>
      </c>
      <c r="E359" s="263">
        <v>0</v>
      </c>
      <c r="F359" s="263">
        <v>0</v>
      </c>
      <c r="G359" s="263">
        <v>0</v>
      </c>
      <c r="H359" s="263">
        <v>5</v>
      </c>
      <c r="I359" s="263">
        <v>0</v>
      </c>
      <c r="J359" s="263">
        <v>0</v>
      </c>
      <c r="K359" s="267">
        <v>5</v>
      </c>
    </row>
    <row r="360" spans="1:11">
      <c r="A360" s="9" t="s">
        <v>12021</v>
      </c>
      <c r="B360" s="16">
        <v>40</v>
      </c>
      <c r="C360" s="9"/>
      <c r="D360" s="271" t="s">
        <v>9080</v>
      </c>
      <c r="E360" s="263">
        <v>0</v>
      </c>
      <c r="F360" s="263">
        <v>5</v>
      </c>
      <c r="G360" s="263">
        <v>0</v>
      </c>
      <c r="H360" s="263">
        <v>0</v>
      </c>
      <c r="I360" s="263">
        <v>0</v>
      </c>
      <c r="J360" s="263">
        <v>0</v>
      </c>
      <c r="K360" s="267">
        <v>5</v>
      </c>
    </row>
    <row r="361" spans="1:11">
      <c r="A361" s="9" t="s">
        <v>12022</v>
      </c>
      <c r="B361" s="16">
        <v>40</v>
      </c>
      <c r="C361" s="9"/>
      <c r="D361" s="271" t="s">
        <v>9081</v>
      </c>
      <c r="E361" s="263">
        <v>0</v>
      </c>
      <c r="F361" s="263">
        <v>5</v>
      </c>
      <c r="G361" s="263">
        <v>0</v>
      </c>
      <c r="H361" s="263">
        <v>0</v>
      </c>
      <c r="I361" s="263">
        <v>0</v>
      </c>
      <c r="J361" s="263">
        <v>0</v>
      </c>
      <c r="K361" s="267">
        <v>5</v>
      </c>
    </row>
    <row r="362" spans="1:11">
      <c r="A362" s="9" t="s">
        <v>12023</v>
      </c>
      <c r="B362" s="16">
        <v>40</v>
      </c>
      <c r="C362" s="9"/>
      <c r="D362" s="271" t="s">
        <v>9082</v>
      </c>
      <c r="E362" s="263">
        <v>5</v>
      </c>
      <c r="F362" s="263">
        <v>0</v>
      </c>
      <c r="G362" s="263">
        <v>0</v>
      </c>
      <c r="H362" s="263">
        <v>0</v>
      </c>
      <c r="I362" s="263">
        <v>0</v>
      </c>
      <c r="J362" s="263">
        <v>0</v>
      </c>
      <c r="K362" s="267">
        <v>5</v>
      </c>
    </row>
    <row r="363" spans="1:11">
      <c r="A363" s="9" t="s">
        <v>12024</v>
      </c>
      <c r="B363" s="16">
        <v>40</v>
      </c>
      <c r="C363" s="9"/>
      <c r="D363" s="271" t="s">
        <v>9083</v>
      </c>
      <c r="E363" s="263">
        <v>0</v>
      </c>
      <c r="F363" s="263">
        <v>0</v>
      </c>
      <c r="G363" s="263">
        <v>5</v>
      </c>
      <c r="H363" s="263">
        <v>0</v>
      </c>
      <c r="I363" s="263">
        <v>0</v>
      </c>
      <c r="J363" s="263">
        <v>0</v>
      </c>
      <c r="K363" s="267">
        <v>5</v>
      </c>
    </row>
    <row r="364" spans="1:11">
      <c r="A364" s="9" t="s">
        <v>12025</v>
      </c>
      <c r="B364" s="16">
        <v>40</v>
      </c>
      <c r="C364" s="9"/>
      <c r="D364" s="271" t="s">
        <v>9084</v>
      </c>
      <c r="E364" s="263">
        <v>5</v>
      </c>
      <c r="F364" s="263">
        <v>0</v>
      </c>
      <c r="G364" s="263">
        <v>0</v>
      </c>
      <c r="H364" s="263">
        <v>0</v>
      </c>
      <c r="I364" s="263">
        <v>0</v>
      </c>
      <c r="J364" s="263">
        <v>0</v>
      </c>
      <c r="K364" s="267">
        <v>5</v>
      </c>
    </row>
    <row r="365" spans="1:11">
      <c r="A365" s="9" t="s">
        <v>12026</v>
      </c>
      <c r="B365" s="16">
        <v>40</v>
      </c>
      <c r="C365" s="9"/>
      <c r="D365" s="271" t="s">
        <v>9085</v>
      </c>
      <c r="E365" s="263">
        <v>5</v>
      </c>
      <c r="F365" s="263">
        <v>0</v>
      </c>
      <c r="G365" s="263">
        <v>0</v>
      </c>
      <c r="H365" s="263">
        <v>0</v>
      </c>
      <c r="I365" s="263">
        <v>0</v>
      </c>
      <c r="J365" s="263">
        <v>0</v>
      </c>
      <c r="K365" s="267">
        <v>5</v>
      </c>
    </row>
    <row r="366" spans="1:11">
      <c r="A366" s="9" t="s">
        <v>12027</v>
      </c>
      <c r="B366" s="16">
        <v>40</v>
      </c>
      <c r="C366" s="9"/>
      <c r="D366" s="271" t="s">
        <v>9086</v>
      </c>
      <c r="E366" s="263">
        <v>5</v>
      </c>
      <c r="F366" s="263">
        <v>0</v>
      </c>
      <c r="G366" s="263">
        <v>0</v>
      </c>
      <c r="H366" s="263">
        <v>0</v>
      </c>
      <c r="I366" s="263">
        <v>0</v>
      </c>
      <c r="J366" s="263">
        <v>0</v>
      </c>
      <c r="K366" s="267">
        <v>5</v>
      </c>
    </row>
    <row r="367" spans="1:11">
      <c r="A367" s="9" t="s">
        <v>12028</v>
      </c>
      <c r="B367" s="16">
        <v>40</v>
      </c>
      <c r="C367" s="9"/>
      <c r="D367" s="271" t="s">
        <v>9087</v>
      </c>
      <c r="E367" s="263">
        <v>0</v>
      </c>
      <c r="F367" s="263">
        <v>0</v>
      </c>
      <c r="G367" s="263">
        <v>0</v>
      </c>
      <c r="H367" s="263">
        <v>5</v>
      </c>
      <c r="I367" s="263">
        <v>0</v>
      </c>
      <c r="J367" s="263">
        <v>0</v>
      </c>
      <c r="K367" s="267">
        <v>5</v>
      </c>
    </row>
    <row r="368" spans="1:11">
      <c r="B368" s="16">
        <v>40</v>
      </c>
      <c r="C368" s="9"/>
      <c r="D368" s="272" t="s">
        <v>3674</v>
      </c>
      <c r="E368" s="273">
        <v>25</v>
      </c>
      <c r="F368" s="273">
        <v>10</v>
      </c>
      <c r="G368" s="273">
        <v>5</v>
      </c>
      <c r="H368" s="273">
        <v>10</v>
      </c>
      <c r="I368" s="273">
        <v>0</v>
      </c>
      <c r="J368" s="273">
        <v>0</v>
      </c>
      <c r="K368" s="273">
        <v>50</v>
      </c>
    </row>
    <row r="369" spans="1:11">
      <c r="C369" s="9"/>
      <c r="D369" s="271"/>
      <c r="E369" s="263"/>
      <c r="F369" s="263"/>
      <c r="G369" s="263"/>
      <c r="H369" s="263"/>
      <c r="I369" s="263"/>
      <c r="J369" s="263"/>
      <c r="K369" s="267">
        <v>0</v>
      </c>
    </row>
    <row r="370" spans="1:11">
      <c r="B370" s="16">
        <v>0</v>
      </c>
      <c r="C370" s="9"/>
      <c r="D370" s="269" t="s">
        <v>13079</v>
      </c>
      <c r="E370" s="270">
        <v>70.5</v>
      </c>
      <c r="F370" s="270">
        <v>25</v>
      </c>
      <c r="G370" s="270">
        <v>43.25</v>
      </c>
      <c r="H370" s="270">
        <v>55.25</v>
      </c>
      <c r="I370" s="270">
        <v>9</v>
      </c>
      <c r="J370" s="270">
        <v>47</v>
      </c>
      <c r="K370" s="270">
        <v>250</v>
      </c>
    </row>
    <row r="371" spans="1:11">
      <c r="C371" s="9"/>
      <c r="D371" s="271" t="s">
        <v>4271</v>
      </c>
      <c r="E371" s="263"/>
      <c r="F371" s="263"/>
      <c r="G371" s="263"/>
      <c r="H371" s="263"/>
      <c r="I371" s="263"/>
      <c r="J371" s="263"/>
      <c r="K371" s="267">
        <v>0</v>
      </c>
    </row>
    <row r="372" spans="1:11">
      <c r="C372" s="9"/>
      <c r="D372" s="271"/>
      <c r="E372" s="263"/>
      <c r="F372" s="263"/>
      <c r="G372" s="263"/>
      <c r="H372" s="263"/>
      <c r="I372" s="263"/>
      <c r="J372" s="263"/>
      <c r="K372" s="267">
        <v>0</v>
      </c>
    </row>
    <row r="373" spans="1:11">
      <c r="A373" s="9" t="s">
        <v>12029</v>
      </c>
      <c r="B373" s="16">
        <v>2</v>
      </c>
      <c r="C373" s="9"/>
      <c r="D373" s="271" t="s">
        <v>9721</v>
      </c>
      <c r="E373" s="263">
        <v>0</v>
      </c>
      <c r="F373" s="263">
        <v>0</v>
      </c>
      <c r="G373" s="263">
        <v>5</v>
      </c>
      <c r="H373" s="263">
        <v>0</v>
      </c>
      <c r="I373" s="263">
        <v>0</v>
      </c>
      <c r="J373" s="263">
        <v>0</v>
      </c>
      <c r="K373" s="267">
        <v>5</v>
      </c>
    </row>
    <row r="374" spans="1:11">
      <c r="A374" s="9" t="s">
        <v>12030</v>
      </c>
      <c r="B374" s="16">
        <v>2</v>
      </c>
      <c r="C374" s="9"/>
      <c r="D374" s="271" t="s">
        <v>9722</v>
      </c>
      <c r="E374" s="263">
        <v>0</v>
      </c>
      <c r="F374" s="263">
        <v>0</v>
      </c>
      <c r="G374" s="263">
        <v>5</v>
      </c>
      <c r="H374" s="263">
        <v>0</v>
      </c>
      <c r="I374" s="263">
        <v>0</v>
      </c>
      <c r="J374" s="263">
        <v>0</v>
      </c>
      <c r="K374" s="267">
        <v>5</v>
      </c>
    </row>
    <row r="375" spans="1:11">
      <c r="A375" s="9" t="s">
        <v>12031</v>
      </c>
      <c r="B375" s="16">
        <v>2</v>
      </c>
      <c r="C375" s="9"/>
      <c r="D375" s="271" t="s">
        <v>9723</v>
      </c>
      <c r="E375" s="263">
        <v>0</v>
      </c>
      <c r="F375" s="263">
        <v>0</v>
      </c>
      <c r="G375" s="263">
        <v>0</v>
      </c>
      <c r="H375" s="263">
        <v>0</v>
      </c>
      <c r="I375" s="263">
        <v>0</v>
      </c>
      <c r="J375" s="263">
        <v>5</v>
      </c>
      <c r="K375" s="267">
        <v>5</v>
      </c>
    </row>
    <row r="376" spans="1:11">
      <c r="A376" s="9" t="s">
        <v>12032</v>
      </c>
      <c r="B376" s="16">
        <v>2</v>
      </c>
      <c r="C376" s="9"/>
      <c r="D376" s="271" t="s">
        <v>9724</v>
      </c>
      <c r="E376" s="263">
        <v>0</v>
      </c>
      <c r="F376" s="263">
        <v>0</v>
      </c>
      <c r="G376" s="263">
        <v>5</v>
      </c>
      <c r="H376" s="263">
        <v>0</v>
      </c>
      <c r="I376" s="263">
        <v>0</v>
      </c>
      <c r="J376" s="263">
        <v>0</v>
      </c>
      <c r="K376" s="267">
        <v>5</v>
      </c>
    </row>
    <row r="377" spans="1:11">
      <c r="A377" s="9" t="s">
        <v>12033</v>
      </c>
      <c r="B377" s="16">
        <v>2</v>
      </c>
      <c r="C377" s="9"/>
      <c r="D377" s="271" t="s">
        <v>9725</v>
      </c>
      <c r="E377" s="263">
        <v>0</v>
      </c>
      <c r="F377" s="263">
        <v>0</v>
      </c>
      <c r="G377" s="263">
        <v>0</v>
      </c>
      <c r="H377" s="263">
        <v>0</v>
      </c>
      <c r="I377" s="263">
        <v>0</v>
      </c>
      <c r="J377" s="263">
        <v>5</v>
      </c>
      <c r="K377" s="267">
        <v>5</v>
      </c>
    </row>
    <row r="378" spans="1:11">
      <c r="A378" s="9" t="s">
        <v>12034</v>
      </c>
      <c r="B378" s="16">
        <v>2</v>
      </c>
      <c r="C378" s="9"/>
      <c r="D378" s="271" t="s">
        <v>9730</v>
      </c>
      <c r="E378" s="263">
        <v>0</v>
      </c>
      <c r="F378" s="263">
        <v>0</v>
      </c>
      <c r="G378" s="263">
        <v>0</v>
      </c>
      <c r="H378" s="263">
        <v>0</v>
      </c>
      <c r="I378" s="263">
        <v>0</v>
      </c>
      <c r="J378" s="263">
        <v>5</v>
      </c>
      <c r="K378" s="267">
        <v>5</v>
      </c>
    </row>
    <row r="379" spans="1:11">
      <c r="A379" s="9" t="s">
        <v>12035</v>
      </c>
      <c r="B379" s="16">
        <v>2</v>
      </c>
      <c r="C379" s="9"/>
      <c r="D379" s="271" t="s">
        <v>9726</v>
      </c>
      <c r="E379" s="263">
        <v>5</v>
      </c>
      <c r="F379" s="263">
        <v>0</v>
      </c>
      <c r="G379" s="263">
        <v>0</v>
      </c>
      <c r="H379" s="263">
        <v>0</v>
      </c>
      <c r="I379" s="263">
        <v>0</v>
      </c>
      <c r="J379" s="263">
        <v>0</v>
      </c>
      <c r="K379" s="267">
        <v>5</v>
      </c>
    </row>
    <row r="380" spans="1:11">
      <c r="A380" s="9" t="s">
        <v>12036</v>
      </c>
      <c r="B380" s="16">
        <v>2</v>
      </c>
      <c r="C380" s="9"/>
      <c r="D380" s="271" t="s">
        <v>9727</v>
      </c>
      <c r="E380" s="263">
        <v>5</v>
      </c>
      <c r="F380" s="263">
        <v>0</v>
      </c>
      <c r="G380" s="263">
        <v>0</v>
      </c>
      <c r="H380" s="263">
        <v>0</v>
      </c>
      <c r="I380" s="263">
        <v>0</v>
      </c>
      <c r="J380" s="263">
        <v>0</v>
      </c>
      <c r="K380" s="267">
        <v>5</v>
      </c>
    </row>
    <row r="381" spans="1:11">
      <c r="A381" s="9" t="s">
        <v>12037</v>
      </c>
      <c r="B381" s="16">
        <v>2</v>
      </c>
      <c r="C381" s="9"/>
      <c r="D381" s="271" t="s">
        <v>9728</v>
      </c>
      <c r="E381" s="263">
        <v>5</v>
      </c>
      <c r="F381" s="263">
        <v>0</v>
      </c>
      <c r="G381" s="263">
        <v>0</v>
      </c>
      <c r="H381" s="263">
        <v>0</v>
      </c>
      <c r="I381" s="263">
        <v>0</v>
      </c>
      <c r="J381" s="263">
        <v>0</v>
      </c>
      <c r="K381" s="267">
        <v>5</v>
      </c>
    </row>
    <row r="382" spans="1:11">
      <c r="A382" s="9" t="s">
        <v>12038</v>
      </c>
      <c r="B382" s="16">
        <v>2</v>
      </c>
      <c r="C382" s="9"/>
      <c r="D382" s="271" t="s">
        <v>9729</v>
      </c>
      <c r="E382" s="263">
        <v>0</v>
      </c>
      <c r="F382" s="263">
        <v>5</v>
      </c>
      <c r="G382" s="263">
        <v>0</v>
      </c>
      <c r="H382" s="263">
        <v>0</v>
      </c>
      <c r="I382" s="263">
        <v>0</v>
      </c>
      <c r="J382" s="263">
        <v>0</v>
      </c>
      <c r="K382" s="267">
        <v>5</v>
      </c>
    </row>
    <row r="383" spans="1:11">
      <c r="B383" s="16">
        <v>2</v>
      </c>
      <c r="C383" s="9"/>
      <c r="D383" s="271"/>
      <c r="E383" s="263"/>
      <c r="F383" s="263"/>
      <c r="G383" s="263"/>
      <c r="H383" s="263"/>
      <c r="I383" s="263"/>
      <c r="J383" s="263"/>
      <c r="K383" s="267">
        <v>0</v>
      </c>
    </row>
    <row r="384" spans="1:11">
      <c r="B384" s="16">
        <v>2</v>
      </c>
      <c r="C384" s="9"/>
      <c r="D384" s="272" t="s">
        <v>3674</v>
      </c>
      <c r="E384" s="273">
        <v>15</v>
      </c>
      <c r="F384" s="273">
        <v>5</v>
      </c>
      <c r="G384" s="273">
        <v>15</v>
      </c>
      <c r="H384" s="273">
        <v>0</v>
      </c>
      <c r="I384" s="273">
        <v>0</v>
      </c>
      <c r="J384" s="273">
        <v>15</v>
      </c>
      <c r="K384" s="273">
        <v>50</v>
      </c>
    </row>
    <row r="385" spans="1:11">
      <c r="C385" s="9"/>
      <c r="D385" s="271"/>
      <c r="E385" s="263"/>
      <c r="F385" s="263"/>
      <c r="G385" s="263"/>
      <c r="H385" s="263"/>
      <c r="I385" s="263"/>
      <c r="J385" s="263"/>
      <c r="K385" s="267">
        <v>0</v>
      </c>
    </row>
    <row r="386" spans="1:11">
      <c r="A386" s="9" t="s">
        <v>12039</v>
      </c>
      <c r="B386" s="16">
        <v>3</v>
      </c>
      <c r="C386" s="9"/>
      <c r="D386" s="271" t="s">
        <v>9731</v>
      </c>
      <c r="E386" s="263">
        <v>5</v>
      </c>
      <c r="F386" s="263">
        <v>0</v>
      </c>
      <c r="G386" s="263">
        <v>0</v>
      </c>
      <c r="H386" s="263">
        <v>0</v>
      </c>
      <c r="I386" s="263">
        <v>0</v>
      </c>
      <c r="J386" s="263">
        <v>0</v>
      </c>
      <c r="K386" s="267">
        <v>5</v>
      </c>
    </row>
    <row r="387" spans="1:11">
      <c r="A387" s="9" t="s">
        <v>12040</v>
      </c>
      <c r="B387" s="16">
        <v>3</v>
      </c>
      <c r="C387" s="9"/>
      <c r="D387" s="271" t="s">
        <v>9732</v>
      </c>
      <c r="E387" s="263">
        <v>0</v>
      </c>
      <c r="F387" s="263">
        <v>0</v>
      </c>
      <c r="G387" s="263">
        <v>0</v>
      </c>
      <c r="H387" s="263">
        <v>5</v>
      </c>
      <c r="I387" s="263">
        <v>0</v>
      </c>
      <c r="J387" s="263">
        <v>0</v>
      </c>
      <c r="K387" s="267">
        <v>5</v>
      </c>
    </row>
    <row r="388" spans="1:11">
      <c r="A388" s="9" t="s">
        <v>12041</v>
      </c>
      <c r="B388" s="16">
        <v>3</v>
      </c>
      <c r="C388" s="9"/>
      <c r="D388" s="271" t="s">
        <v>9733</v>
      </c>
      <c r="E388" s="263">
        <v>5</v>
      </c>
      <c r="F388" s="263">
        <v>0</v>
      </c>
      <c r="G388" s="263">
        <v>0</v>
      </c>
      <c r="H388" s="263">
        <v>0</v>
      </c>
      <c r="I388" s="263">
        <v>0</v>
      </c>
      <c r="J388" s="263">
        <v>0</v>
      </c>
      <c r="K388" s="267">
        <v>5</v>
      </c>
    </row>
    <row r="389" spans="1:11">
      <c r="A389" s="9" t="s">
        <v>12042</v>
      </c>
      <c r="B389" s="16">
        <v>3</v>
      </c>
      <c r="C389" s="9"/>
      <c r="D389" s="271" t="s">
        <v>9734</v>
      </c>
      <c r="E389" s="263">
        <v>5</v>
      </c>
      <c r="F389" s="263">
        <v>0</v>
      </c>
      <c r="G389" s="263">
        <v>0</v>
      </c>
      <c r="H389" s="263">
        <v>0</v>
      </c>
      <c r="I389" s="263">
        <v>0</v>
      </c>
      <c r="J389" s="263">
        <v>0</v>
      </c>
      <c r="K389" s="267">
        <v>5</v>
      </c>
    </row>
    <row r="390" spans="1:11">
      <c r="A390" s="9" t="s">
        <v>12043</v>
      </c>
      <c r="B390" s="16">
        <v>3</v>
      </c>
      <c r="C390" s="9"/>
      <c r="D390" s="271" t="s">
        <v>9735</v>
      </c>
      <c r="E390" s="263">
        <v>0</v>
      </c>
      <c r="F390" s="263">
        <v>0</v>
      </c>
      <c r="G390" s="263">
        <v>0</v>
      </c>
      <c r="H390" s="263">
        <v>0</v>
      </c>
      <c r="I390" s="263">
        <v>0</v>
      </c>
      <c r="J390" s="263">
        <v>5</v>
      </c>
      <c r="K390" s="267">
        <v>5</v>
      </c>
    </row>
    <row r="391" spans="1:11">
      <c r="A391" s="9" t="s">
        <v>12044</v>
      </c>
      <c r="B391" s="16">
        <v>3</v>
      </c>
      <c r="C391" s="9"/>
      <c r="D391" s="271" t="s">
        <v>9736</v>
      </c>
      <c r="E391" s="263">
        <v>0</v>
      </c>
      <c r="F391" s="263">
        <v>0</v>
      </c>
      <c r="G391" s="263">
        <v>5</v>
      </c>
      <c r="H391" s="263">
        <v>0</v>
      </c>
      <c r="I391" s="263">
        <v>0</v>
      </c>
      <c r="J391" s="263">
        <v>0</v>
      </c>
      <c r="K391" s="267">
        <v>5</v>
      </c>
    </row>
    <row r="392" spans="1:11">
      <c r="A392" s="9" t="s">
        <v>12045</v>
      </c>
      <c r="B392" s="16">
        <v>3</v>
      </c>
      <c r="C392" s="9"/>
      <c r="D392" s="271" t="s">
        <v>9737</v>
      </c>
      <c r="E392" s="263">
        <v>0</v>
      </c>
      <c r="F392" s="263">
        <v>0</v>
      </c>
      <c r="G392" s="263">
        <v>0</v>
      </c>
      <c r="H392" s="263">
        <v>0</v>
      </c>
      <c r="I392" s="263">
        <v>5</v>
      </c>
      <c r="J392" s="263">
        <v>0</v>
      </c>
      <c r="K392" s="267">
        <v>5</v>
      </c>
    </row>
    <row r="393" spans="1:11">
      <c r="A393" s="9" t="s">
        <v>12046</v>
      </c>
      <c r="B393" s="16">
        <v>3</v>
      </c>
      <c r="C393" s="9"/>
      <c r="D393" s="271" t="s">
        <v>9738</v>
      </c>
      <c r="E393" s="263">
        <v>0</v>
      </c>
      <c r="F393" s="263">
        <v>0</v>
      </c>
      <c r="G393" s="263">
        <v>0</v>
      </c>
      <c r="H393" s="263">
        <v>0</v>
      </c>
      <c r="I393" s="263">
        <v>5</v>
      </c>
      <c r="J393" s="263">
        <v>0</v>
      </c>
      <c r="K393" s="267">
        <v>5</v>
      </c>
    </row>
    <row r="394" spans="1:11">
      <c r="A394" s="9" t="s">
        <v>12047</v>
      </c>
      <c r="B394" s="16">
        <v>3</v>
      </c>
      <c r="C394" s="9"/>
      <c r="D394" s="271" t="s">
        <v>9739</v>
      </c>
      <c r="E394" s="263">
        <v>0</v>
      </c>
      <c r="F394" s="263">
        <v>0</v>
      </c>
      <c r="G394" s="263">
        <v>5</v>
      </c>
      <c r="H394" s="263">
        <v>0</v>
      </c>
      <c r="I394" s="263">
        <v>0</v>
      </c>
      <c r="J394" s="263">
        <v>0</v>
      </c>
      <c r="K394" s="267">
        <v>5</v>
      </c>
    </row>
    <row r="395" spans="1:11">
      <c r="A395" s="9" t="s">
        <v>12048</v>
      </c>
      <c r="B395" s="16">
        <v>3</v>
      </c>
      <c r="C395" s="9"/>
      <c r="D395" s="271" t="s">
        <v>9740</v>
      </c>
      <c r="E395" s="263">
        <v>0</v>
      </c>
      <c r="F395" s="263">
        <v>0</v>
      </c>
      <c r="G395" s="263">
        <v>0</v>
      </c>
      <c r="H395" s="263">
        <v>0</v>
      </c>
      <c r="I395" s="263">
        <v>0</v>
      </c>
      <c r="J395" s="263">
        <v>5</v>
      </c>
      <c r="K395" s="267">
        <v>5</v>
      </c>
    </row>
    <row r="396" spans="1:11">
      <c r="B396" s="16">
        <v>3</v>
      </c>
      <c r="C396" s="9"/>
      <c r="D396" s="271"/>
      <c r="E396" s="263"/>
      <c r="F396" s="263"/>
      <c r="G396" s="263"/>
      <c r="H396" s="263"/>
      <c r="I396" s="263"/>
      <c r="J396" s="263"/>
      <c r="K396" s="267">
        <v>0</v>
      </c>
    </row>
    <row r="397" spans="1:11">
      <c r="B397" s="16">
        <v>3</v>
      </c>
      <c r="C397" s="9"/>
      <c r="D397" s="272" t="s">
        <v>3674</v>
      </c>
      <c r="E397" s="273">
        <v>15</v>
      </c>
      <c r="F397" s="273">
        <v>0</v>
      </c>
      <c r="G397" s="273">
        <v>10</v>
      </c>
      <c r="H397" s="273">
        <v>5</v>
      </c>
      <c r="I397" s="273">
        <v>10</v>
      </c>
      <c r="J397" s="273">
        <v>10</v>
      </c>
      <c r="K397" s="273">
        <v>50</v>
      </c>
    </row>
    <row r="398" spans="1:11">
      <c r="C398" s="9"/>
      <c r="D398" s="271"/>
      <c r="E398" s="263"/>
      <c r="F398" s="263"/>
      <c r="G398" s="263"/>
      <c r="H398" s="263"/>
      <c r="I398" s="263"/>
      <c r="J398" s="263"/>
      <c r="K398" s="267">
        <v>0</v>
      </c>
    </row>
    <row r="399" spans="1:11">
      <c r="A399" s="9" t="s">
        <v>12049</v>
      </c>
      <c r="B399" s="16">
        <v>4</v>
      </c>
      <c r="C399" s="9"/>
      <c r="D399" s="271" t="s">
        <v>9741</v>
      </c>
      <c r="E399" s="263">
        <v>0</v>
      </c>
      <c r="F399" s="263">
        <v>5</v>
      </c>
      <c r="G399" s="263">
        <v>0</v>
      </c>
      <c r="H399" s="263">
        <v>0</v>
      </c>
      <c r="I399" s="263">
        <v>0</v>
      </c>
      <c r="J399" s="263">
        <v>0</v>
      </c>
      <c r="K399" s="267">
        <v>5</v>
      </c>
    </row>
    <row r="400" spans="1:11">
      <c r="A400" s="9" t="s">
        <v>12050</v>
      </c>
      <c r="B400" s="16">
        <v>4</v>
      </c>
      <c r="C400" s="9"/>
      <c r="D400" s="271" t="s">
        <v>9742</v>
      </c>
      <c r="E400" s="263">
        <v>0</v>
      </c>
      <c r="F400" s="263">
        <v>0</v>
      </c>
      <c r="G400" s="263">
        <v>0</v>
      </c>
      <c r="H400" s="263">
        <v>0</v>
      </c>
      <c r="I400" s="263">
        <v>0</v>
      </c>
      <c r="J400" s="263">
        <v>5</v>
      </c>
      <c r="K400" s="267">
        <v>5</v>
      </c>
    </row>
    <row r="401" spans="1:11">
      <c r="A401" s="9" t="s">
        <v>12051</v>
      </c>
      <c r="B401" s="16">
        <v>4</v>
      </c>
      <c r="C401" s="9"/>
      <c r="D401" s="271" t="s">
        <v>9743</v>
      </c>
      <c r="E401" s="263">
        <v>5</v>
      </c>
      <c r="F401" s="263">
        <v>0</v>
      </c>
      <c r="G401" s="263">
        <v>0</v>
      </c>
      <c r="H401" s="263">
        <v>0</v>
      </c>
      <c r="I401" s="263">
        <v>0</v>
      </c>
      <c r="J401" s="263">
        <v>0</v>
      </c>
      <c r="K401" s="267">
        <v>5</v>
      </c>
    </row>
    <row r="402" spans="1:11">
      <c r="A402" s="9" t="s">
        <v>12052</v>
      </c>
      <c r="B402" s="16">
        <v>4</v>
      </c>
      <c r="C402" s="9"/>
      <c r="D402" s="271" t="s">
        <v>9744</v>
      </c>
      <c r="E402" s="263">
        <v>5</v>
      </c>
      <c r="F402" s="263">
        <v>0</v>
      </c>
      <c r="G402" s="263">
        <v>0</v>
      </c>
      <c r="H402" s="263">
        <v>0</v>
      </c>
      <c r="I402" s="263">
        <v>0</v>
      </c>
      <c r="J402" s="263">
        <v>0</v>
      </c>
      <c r="K402" s="267">
        <v>5</v>
      </c>
    </row>
    <row r="403" spans="1:11">
      <c r="A403" s="9" t="s">
        <v>12053</v>
      </c>
      <c r="B403" s="16">
        <v>4</v>
      </c>
      <c r="C403" s="9"/>
      <c r="D403" s="271" t="s">
        <v>9745</v>
      </c>
      <c r="E403" s="263">
        <v>0</v>
      </c>
      <c r="F403" s="263">
        <v>0</v>
      </c>
      <c r="G403" s="263">
        <v>0</v>
      </c>
      <c r="H403" s="263">
        <v>5</v>
      </c>
      <c r="I403" s="263">
        <v>0</v>
      </c>
      <c r="J403" s="263">
        <v>0</v>
      </c>
      <c r="K403" s="267">
        <v>5</v>
      </c>
    </row>
    <row r="404" spans="1:11">
      <c r="A404" s="9" t="s">
        <v>12054</v>
      </c>
      <c r="B404" s="16">
        <v>4</v>
      </c>
      <c r="C404" s="9"/>
      <c r="D404" s="271" t="s">
        <v>9746</v>
      </c>
      <c r="E404" s="263">
        <v>0</v>
      </c>
      <c r="F404" s="263">
        <v>5</v>
      </c>
      <c r="G404" s="263">
        <v>0</v>
      </c>
      <c r="H404" s="263">
        <v>0</v>
      </c>
      <c r="I404" s="263">
        <v>0</v>
      </c>
      <c r="J404" s="263">
        <v>0</v>
      </c>
      <c r="K404" s="267">
        <v>5</v>
      </c>
    </row>
    <row r="405" spans="1:11">
      <c r="A405" s="9" t="s">
        <v>12055</v>
      </c>
      <c r="B405" s="16">
        <v>4</v>
      </c>
      <c r="C405" s="9"/>
      <c r="D405" s="271" t="s">
        <v>9747</v>
      </c>
      <c r="E405" s="263">
        <v>0</v>
      </c>
      <c r="F405" s="263">
        <v>0</v>
      </c>
      <c r="G405" s="263">
        <v>0</v>
      </c>
      <c r="H405" s="263">
        <v>0</v>
      </c>
      <c r="I405" s="263">
        <v>0</v>
      </c>
      <c r="J405" s="263">
        <v>5</v>
      </c>
      <c r="K405" s="267">
        <v>5</v>
      </c>
    </row>
    <row r="406" spans="1:11">
      <c r="A406" s="9" t="s">
        <v>12056</v>
      </c>
      <c r="B406" s="16">
        <v>4</v>
      </c>
      <c r="C406" s="9"/>
      <c r="D406" s="271" t="s">
        <v>9748</v>
      </c>
      <c r="E406" s="263">
        <v>5</v>
      </c>
      <c r="F406" s="263">
        <v>0</v>
      </c>
      <c r="G406" s="263">
        <v>0</v>
      </c>
      <c r="H406" s="263">
        <v>0</v>
      </c>
      <c r="I406" s="263">
        <v>0</v>
      </c>
      <c r="J406" s="263">
        <v>0</v>
      </c>
      <c r="K406" s="267">
        <v>5</v>
      </c>
    </row>
    <row r="407" spans="1:11">
      <c r="A407" s="9" t="s">
        <v>12057</v>
      </c>
      <c r="B407" s="16">
        <v>4</v>
      </c>
      <c r="C407" s="9"/>
      <c r="D407" s="271" t="s">
        <v>9749</v>
      </c>
      <c r="E407" s="263">
        <v>0</v>
      </c>
      <c r="F407" s="263">
        <v>0</v>
      </c>
      <c r="G407" s="263">
        <v>0</v>
      </c>
      <c r="H407" s="263">
        <v>0</v>
      </c>
      <c r="I407" s="263">
        <v>0</v>
      </c>
      <c r="J407" s="263">
        <v>5</v>
      </c>
      <c r="K407" s="267">
        <v>5</v>
      </c>
    </row>
    <row r="408" spans="1:11">
      <c r="A408" s="9" t="s">
        <v>12058</v>
      </c>
      <c r="B408" s="16">
        <v>4</v>
      </c>
      <c r="C408" s="9"/>
      <c r="D408" s="271" t="s">
        <v>9750</v>
      </c>
      <c r="E408" s="263">
        <v>0</v>
      </c>
      <c r="F408" s="263">
        <v>0</v>
      </c>
      <c r="G408" s="263">
        <v>5</v>
      </c>
      <c r="H408" s="263">
        <v>0</v>
      </c>
      <c r="I408" s="263">
        <v>0</v>
      </c>
      <c r="J408" s="263">
        <v>0</v>
      </c>
      <c r="K408" s="267">
        <v>5</v>
      </c>
    </row>
    <row r="409" spans="1:11">
      <c r="B409" s="16">
        <v>4</v>
      </c>
      <c r="C409" s="9"/>
      <c r="D409" s="271"/>
      <c r="E409" s="263"/>
      <c r="F409" s="263"/>
      <c r="G409" s="263"/>
      <c r="H409" s="263"/>
      <c r="I409" s="263"/>
      <c r="J409" s="263"/>
      <c r="K409" s="267">
        <v>0</v>
      </c>
    </row>
    <row r="410" spans="1:11">
      <c r="B410" s="16">
        <v>4</v>
      </c>
      <c r="C410" s="9"/>
      <c r="D410" s="272" t="s">
        <v>3674</v>
      </c>
      <c r="E410" s="273">
        <v>15</v>
      </c>
      <c r="F410" s="273">
        <v>10</v>
      </c>
      <c r="G410" s="273">
        <v>5</v>
      </c>
      <c r="H410" s="273">
        <v>5</v>
      </c>
      <c r="I410" s="273">
        <v>0</v>
      </c>
      <c r="J410" s="273">
        <v>15</v>
      </c>
      <c r="K410" s="273">
        <v>50</v>
      </c>
    </row>
    <row r="411" spans="1:11">
      <c r="C411" s="9"/>
      <c r="D411" s="271"/>
      <c r="E411" s="263"/>
      <c r="F411" s="263"/>
      <c r="G411" s="263"/>
      <c r="H411" s="263"/>
      <c r="I411" s="263"/>
      <c r="J411" s="263"/>
      <c r="K411" s="267">
        <v>0</v>
      </c>
    </row>
    <row r="412" spans="1:11">
      <c r="A412" s="9" t="s">
        <v>12059</v>
      </c>
      <c r="B412" s="16">
        <v>17</v>
      </c>
      <c r="C412" s="9"/>
      <c r="D412" s="271" t="s">
        <v>9751</v>
      </c>
      <c r="E412" s="263">
        <v>0</v>
      </c>
      <c r="F412" s="263">
        <v>0</v>
      </c>
      <c r="G412" s="263">
        <v>0</v>
      </c>
      <c r="H412" s="263">
        <v>0</v>
      </c>
      <c r="I412" s="263">
        <v>0</v>
      </c>
      <c r="J412" s="263">
        <v>5</v>
      </c>
      <c r="K412" s="267">
        <v>5</v>
      </c>
    </row>
    <row r="413" spans="1:11">
      <c r="A413" s="9" t="s">
        <v>12060</v>
      </c>
      <c r="B413" s="16">
        <v>17</v>
      </c>
      <c r="C413" s="9"/>
      <c r="D413" s="271" t="s">
        <v>9752</v>
      </c>
      <c r="E413" s="263">
        <v>2</v>
      </c>
      <c r="F413" s="263">
        <v>0</v>
      </c>
      <c r="G413" s="263">
        <v>0</v>
      </c>
      <c r="H413" s="263">
        <v>0</v>
      </c>
      <c r="I413" s="263">
        <v>0</v>
      </c>
      <c r="J413" s="263">
        <v>0</v>
      </c>
      <c r="K413" s="267">
        <v>2</v>
      </c>
    </row>
    <row r="414" spans="1:11">
      <c r="A414" s="9" t="s">
        <v>12061</v>
      </c>
      <c r="B414" s="16">
        <v>17</v>
      </c>
      <c r="C414" s="9"/>
      <c r="D414" s="271" t="s">
        <v>9753</v>
      </c>
      <c r="E414" s="263">
        <v>0</v>
      </c>
      <c r="F414" s="263">
        <v>0</v>
      </c>
      <c r="G414" s="263">
        <v>0</v>
      </c>
      <c r="H414" s="263">
        <v>0</v>
      </c>
      <c r="I414" s="263">
        <v>5</v>
      </c>
      <c r="J414" s="263">
        <v>0</v>
      </c>
      <c r="K414" s="267">
        <v>5</v>
      </c>
    </row>
    <row r="415" spans="1:11">
      <c r="A415" s="9" t="s">
        <v>12062</v>
      </c>
      <c r="B415" s="16">
        <v>17</v>
      </c>
      <c r="C415" s="9"/>
      <c r="D415" s="271" t="s">
        <v>9754</v>
      </c>
      <c r="E415" s="263">
        <v>3</v>
      </c>
      <c r="F415" s="263">
        <v>0</v>
      </c>
      <c r="G415" s="263">
        <v>0</v>
      </c>
      <c r="H415" s="263">
        <v>0</v>
      </c>
      <c r="I415" s="263">
        <v>0</v>
      </c>
      <c r="J415" s="263">
        <v>0</v>
      </c>
      <c r="K415" s="267">
        <v>3</v>
      </c>
    </row>
    <row r="416" spans="1:11">
      <c r="A416" s="9" t="s">
        <v>12063</v>
      </c>
      <c r="B416" s="16">
        <v>17</v>
      </c>
      <c r="C416" s="9"/>
      <c r="D416" s="271" t="s">
        <v>9755</v>
      </c>
      <c r="E416" s="263">
        <v>0</v>
      </c>
      <c r="F416" s="263">
        <v>0</v>
      </c>
      <c r="G416" s="263">
        <v>0</v>
      </c>
      <c r="H416" s="263">
        <v>0</v>
      </c>
      <c r="I416" s="263">
        <v>0</v>
      </c>
      <c r="J416" s="263">
        <v>5</v>
      </c>
      <c r="K416" s="267">
        <v>5</v>
      </c>
    </row>
    <row r="417" spans="1:11">
      <c r="A417" s="9" t="s">
        <v>12064</v>
      </c>
      <c r="B417" s="16">
        <v>17</v>
      </c>
      <c r="C417" s="9"/>
      <c r="D417" s="271" t="s">
        <v>9756</v>
      </c>
      <c r="E417" s="263">
        <v>5</v>
      </c>
      <c r="F417" s="263">
        <v>0</v>
      </c>
      <c r="G417" s="263">
        <v>0</v>
      </c>
      <c r="H417" s="263">
        <v>0</v>
      </c>
      <c r="I417" s="263">
        <v>0</v>
      </c>
      <c r="J417" s="263">
        <v>0</v>
      </c>
      <c r="K417" s="267">
        <v>5</v>
      </c>
    </row>
    <row r="418" spans="1:11">
      <c r="A418" s="9" t="s">
        <v>12065</v>
      </c>
      <c r="B418" s="16">
        <v>17</v>
      </c>
      <c r="C418" s="9"/>
      <c r="D418" s="271" t="s">
        <v>9757</v>
      </c>
      <c r="E418" s="263">
        <v>0</v>
      </c>
      <c r="F418" s="263">
        <v>5</v>
      </c>
      <c r="G418" s="263">
        <v>0</v>
      </c>
      <c r="H418" s="263">
        <v>0</v>
      </c>
      <c r="I418" s="263">
        <v>0</v>
      </c>
      <c r="J418" s="263">
        <v>0</v>
      </c>
      <c r="K418" s="267">
        <v>5</v>
      </c>
    </row>
    <row r="419" spans="1:11">
      <c r="A419" s="9" t="s">
        <v>12066</v>
      </c>
      <c r="B419" s="16">
        <v>17</v>
      </c>
      <c r="C419" s="9"/>
      <c r="D419" s="271" t="s">
        <v>9758</v>
      </c>
      <c r="E419" s="263">
        <v>0</v>
      </c>
      <c r="F419" s="263">
        <v>0</v>
      </c>
      <c r="G419" s="263">
        <v>0</v>
      </c>
      <c r="H419" s="263">
        <v>0</v>
      </c>
      <c r="I419" s="263">
        <v>0</v>
      </c>
      <c r="J419" s="263">
        <v>5</v>
      </c>
      <c r="K419" s="267">
        <v>5</v>
      </c>
    </row>
    <row r="420" spans="1:11">
      <c r="A420" s="9" t="s">
        <v>12067</v>
      </c>
      <c r="B420" s="16">
        <v>17</v>
      </c>
      <c r="C420" s="9"/>
      <c r="D420" s="271" t="s">
        <v>9761</v>
      </c>
      <c r="E420" s="263">
        <v>5</v>
      </c>
      <c r="F420" s="263">
        <v>0</v>
      </c>
      <c r="G420" s="263">
        <v>0</v>
      </c>
      <c r="H420" s="263">
        <v>0</v>
      </c>
      <c r="I420" s="263">
        <v>0</v>
      </c>
      <c r="J420" s="263">
        <v>0</v>
      </c>
      <c r="K420" s="267">
        <v>5</v>
      </c>
    </row>
    <row r="421" spans="1:11">
      <c r="A421" s="9" t="s">
        <v>12068</v>
      </c>
      <c r="B421" s="16">
        <v>17</v>
      </c>
      <c r="C421" s="9"/>
      <c r="D421" s="271" t="s">
        <v>9759</v>
      </c>
      <c r="E421" s="263">
        <v>0</v>
      </c>
      <c r="F421" s="263">
        <v>0</v>
      </c>
      <c r="G421" s="263">
        <v>0</v>
      </c>
      <c r="H421" s="263">
        <v>0</v>
      </c>
      <c r="I421" s="263">
        <v>5</v>
      </c>
      <c r="J421" s="263">
        <v>0</v>
      </c>
      <c r="K421" s="267">
        <v>5</v>
      </c>
    </row>
    <row r="422" spans="1:11">
      <c r="A422" s="9" t="s">
        <v>12069</v>
      </c>
      <c r="B422" s="16">
        <v>17</v>
      </c>
      <c r="C422" s="9"/>
      <c r="D422" s="271" t="s">
        <v>9760</v>
      </c>
      <c r="E422" s="263">
        <v>5</v>
      </c>
      <c r="F422" s="263">
        <v>0</v>
      </c>
      <c r="G422" s="263">
        <v>0</v>
      </c>
      <c r="H422" s="263">
        <v>0</v>
      </c>
      <c r="I422" s="263">
        <v>0</v>
      </c>
      <c r="J422" s="263">
        <v>0</v>
      </c>
      <c r="K422" s="267">
        <v>5</v>
      </c>
    </row>
    <row r="423" spans="1:11">
      <c r="B423" s="16">
        <v>17</v>
      </c>
      <c r="C423" s="9"/>
      <c r="D423" s="271"/>
      <c r="E423" s="263"/>
      <c r="F423" s="263"/>
      <c r="G423" s="263"/>
      <c r="H423" s="263"/>
      <c r="I423" s="263"/>
      <c r="J423" s="263"/>
      <c r="K423" s="267">
        <v>0</v>
      </c>
    </row>
    <row r="424" spans="1:11">
      <c r="B424" s="16">
        <v>17</v>
      </c>
      <c r="C424" s="9"/>
      <c r="D424" s="272" t="s">
        <v>3674</v>
      </c>
      <c r="E424" s="273">
        <v>20</v>
      </c>
      <c r="F424" s="273">
        <v>5</v>
      </c>
      <c r="G424" s="273">
        <v>0</v>
      </c>
      <c r="H424" s="273">
        <v>0</v>
      </c>
      <c r="I424" s="273">
        <v>10</v>
      </c>
      <c r="J424" s="273">
        <v>15</v>
      </c>
      <c r="K424" s="273">
        <v>50</v>
      </c>
    </row>
    <row r="425" spans="1:11">
      <c r="C425" s="9"/>
      <c r="D425" s="271"/>
      <c r="E425" s="263"/>
      <c r="F425" s="263"/>
      <c r="G425" s="263"/>
      <c r="H425" s="263"/>
      <c r="I425" s="263"/>
      <c r="J425" s="263"/>
      <c r="K425" s="267">
        <v>0</v>
      </c>
    </row>
    <row r="426" spans="1:11">
      <c r="A426" s="9" t="s">
        <v>12070</v>
      </c>
      <c r="B426" s="16">
        <v>18</v>
      </c>
      <c r="C426" s="9"/>
      <c r="D426" s="271" t="s">
        <v>9762</v>
      </c>
      <c r="E426" s="263">
        <v>0</v>
      </c>
      <c r="F426" s="263">
        <v>0</v>
      </c>
      <c r="G426" s="263">
        <v>5</v>
      </c>
      <c r="H426" s="263">
        <v>0</v>
      </c>
      <c r="I426" s="263">
        <v>0</v>
      </c>
      <c r="J426" s="263">
        <v>0</v>
      </c>
      <c r="K426" s="267">
        <v>5</v>
      </c>
    </row>
    <row r="427" spans="1:11">
      <c r="A427" s="9" t="s">
        <v>12071</v>
      </c>
      <c r="B427" s="16">
        <v>18</v>
      </c>
      <c r="C427" s="9"/>
      <c r="D427" s="271" t="s">
        <v>9763</v>
      </c>
      <c r="E427" s="263">
        <v>0</v>
      </c>
      <c r="F427" s="263">
        <v>0</v>
      </c>
      <c r="G427" s="263">
        <v>0</v>
      </c>
      <c r="H427" s="263">
        <v>0</v>
      </c>
      <c r="I427" s="263">
        <v>0</v>
      </c>
      <c r="J427" s="263">
        <v>5</v>
      </c>
      <c r="K427" s="267">
        <v>5</v>
      </c>
    </row>
    <row r="428" spans="1:11">
      <c r="A428" s="9" t="s">
        <v>12072</v>
      </c>
      <c r="B428" s="16">
        <v>18</v>
      </c>
      <c r="C428" s="9"/>
      <c r="D428" s="271" t="s">
        <v>9764</v>
      </c>
      <c r="E428" s="263">
        <v>5</v>
      </c>
      <c r="F428" s="263">
        <v>0</v>
      </c>
      <c r="G428" s="263">
        <v>0</v>
      </c>
      <c r="H428" s="263">
        <v>0</v>
      </c>
      <c r="I428" s="263">
        <v>0</v>
      </c>
      <c r="J428" s="263">
        <v>0</v>
      </c>
      <c r="K428" s="267">
        <v>5</v>
      </c>
    </row>
    <row r="429" spans="1:11">
      <c r="A429" s="9" t="s">
        <v>12073</v>
      </c>
      <c r="B429" s="16">
        <v>18</v>
      </c>
      <c r="C429" s="9"/>
      <c r="D429" s="271" t="s">
        <v>9765</v>
      </c>
      <c r="E429" s="263">
        <v>0</v>
      </c>
      <c r="F429" s="263">
        <v>0</v>
      </c>
      <c r="G429" s="263">
        <v>5</v>
      </c>
      <c r="H429" s="263">
        <v>0</v>
      </c>
      <c r="I429" s="263">
        <v>0</v>
      </c>
      <c r="J429" s="263">
        <v>0</v>
      </c>
      <c r="K429" s="267">
        <v>5</v>
      </c>
    </row>
    <row r="430" spans="1:11">
      <c r="A430" s="9" t="s">
        <v>12074</v>
      </c>
      <c r="B430" s="16">
        <v>18</v>
      </c>
      <c r="C430" s="9"/>
      <c r="D430" s="271" t="s">
        <v>9770</v>
      </c>
      <c r="E430" s="263">
        <v>5</v>
      </c>
      <c r="F430" s="263">
        <v>0</v>
      </c>
      <c r="G430" s="263">
        <v>0</v>
      </c>
      <c r="H430" s="263">
        <v>0</v>
      </c>
      <c r="I430" s="263">
        <v>0</v>
      </c>
      <c r="J430" s="263">
        <v>0</v>
      </c>
      <c r="K430" s="267">
        <v>5</v>
      </c>
    </row>
    <row r="431" spans="1:11">
      <c r="A431" s="9" t="s">
        <v>12075</v>
      </c>
      <c r="B431" s="16">
        <v>18</v>
      </c>
      <c r="C431" s="9"/>
      <c r="D431" s="271" t="s">
        <v>9766</v>
      </c>
      <c r="E431" s="263">
        <v>5</v>
      </c>
      <c r="F431" s="263">
        <v>0</v>
      </c>
      <c r="G431" s="263">
        <v>0</v>
      </c>
      <c r="H431" s="263">
        <v>0</v>
      </c>
      <c r="I431" s="263">
        <v>0</v>
      </c>
      <c r="J431" s="263">
        <v>0</v>
      </c>
      <c r="K431" s="267">
        <v>5</v>
      </c>
    </row>
    <row r="432" spans="1:11" ht="47.25">
      <c r="A432" s="9" t="s">
        <v>12076</v>
      </c>
      <c r="B432" s="16">
        <v>18</v>
      </c>
      <c r="C432" s="9"/>
      <c r="D432" s="271" t="s">
        <v>9769</v>
      </c>
      <c r="E432" s="263">
        <v>0</v>
      </c>
      <c r="F432" s="263">
        <v>0</v>
      </c>
      <c r="G432" s="263">
        <v>5</v>
      </c>
      <c r="H432" s="263">
        <v>0</v>
      </c>
      <c r="I432" s="263">
        <v>0</v>
      </c>
      <c r="J432" s="263">
        <v>0</v>
      </c>
      <c r="K432" s="267">
        <v>5</v>
      </c>
    </row>
    <row r="433" spans="1:11">
      <c r="A433" s="9" t="s">
        <v>12077</v>
      </c>
      <c r="B433" s="16">
        <v>18</v>
      </c>
      <c r="C433" s="9"/>
      <c r="D433" s="271" t="s">
        <v>9767</v>
      </c>
      <c r="E433" s="263">
        <v>0</v>
      </c>
      <c r="F433" s="263">
        <v>0</v>
      </c>
      <c r="G433" s="263">
        <v>0</v>
      </c>
      <c r="H433" s="263">
        <v>0</v>
      </c>
      <c r="I433" s="263">
        <v>0</v>
      </c>
      <c r="J433" s="263">
        <v>5</v>
      </c>
      <c r="K433" s="267">
        <v>5</v>
      </c>
    </row>
    <row r="434" spans="1:11">
      <c r="A434" s="9" t="s">
        <v>12078</v>
      </c>
      <c r="B434" s="16">
        <v>18</v>
      </c>
      <c r="C434" s="9"/>
      <c r="D434" s="271" t="s">
        <v>9771</v>
      </c>
      <c r="E434" s="263">
        <v>5</v>
      </c>
      <c r="F434" s="263">
        <v>0</v>
      </c>
      <c r="G434" s="263">
        <v>0</v>
      </c>
      <c r="H434" s="263">
        <v>0</v>
      </c>
      <c r="I434" s="263">
        <v>0</v>
      </c>
      <c r="J434" s="263">
        <v>0</v>
      </c>
      <c r="K434" s="267">
        <v>5</v>
      </c>
    </row>
    <row r="435" spans="1:11">
      <c r="A435" s="9" t="s">
        <v>12079</v>
      </c>
      <c r="B435" s="16">
        <v>18</v>
      </c>
      <c r="C435" s="9"/>
      <c r="D435" s="271" t="s">
        <v>9768</v>
      </c>
      <c r="E435" s="263">
        <v>5</v>
      </c>
      <c r="F435" s="263">
        <v>0</v>
      </c>
      <c r="G435" s="263">
        <v>0</v>
      </c>
      <c r="H435" s="263">
        <v>0</v>
      </c>
      <c r="I435" s="263">
        <v>0</v>
      </c>
      <c r="J435" s="263">
        <v>0</v>
      </c>
      <c r="K435" s="267">
        <v>5</v>
      </c>
    </row>
    <row r="436" spans="1:11">
      <c r="B436" s="16">
        <v>18</v>
      </c>
      <c r="C436" s="9"/>
      <c r="D436" s="271"/>
      <c r="E436" s="263"/>
      <c r="F436" s="263"/>
      <c r="G436" s="263"/>
      <c r="H436" s="263"/>
      <c r="I436" s="263"/>
      <c r="J436" s="263"/>
      <c r="K436" s="267">
        <v>0</v>
      </c>
    </row>
    <row r="437" spans="1:11">
      <c r="B437" s="16">
        <v>18</v>
      </c>
      <c r="C437" s="9"/>
      <c r="D437" s="272" t="s">
        <v>3674</v>
      </c>
      <c r="E437" s="273">
        <v>25</v>
      </c>
      <c r="F437" s="273">
        <v>0</v>
      </c>
      <c r="G437" s="273">
        <v>15</v>
      </c>
      <c r="H437" s="273">
        <v>0</v>
      </c>
      <c r="I437" s="273">
        <v>0</v>
      </c>
      <c r="J437" s="273">
        <v>10</v>
      </c>
      <c r="K437" s="273">
        <v>50</v>
      </c>
    </row>
    <row r="438" spans="1:11">
      <c r="C438" s="9"/>
      <c r="D438" s="271"/>
      <c r="E438" s="263"/>
      <c r="F438" s="263"/>
      <c r="G438" s="263"/>
      <c r="H438" s="263"/>
      <c r="I438" s="263"/>
      <c r="J438" s="263"/>
      <c r="K438" s="267">
        <v>0</v>
      </c>
    </row>
    <row r="439" spans="1:11" ht="31.5">
      <c r="A439" s="9" t="s">
        <v>12080</v>
      </c>
      <c r="B439" s="16">
        <v>19</v>
      </c>
      <c r="C439" s="9"/>
      <c r="D439" s="271" t="s">
        <v>9772</v>
      </c>
      <c r="E439" s="263">
        <v>0</v>
      </c>
      <c r="F439" s="263">
        <v>5</v>
      </c>
      <c r="G439" s="263">
        <v>0</v>
      </c>
      <c r="H439" s="263">
        <v>0</v>
      </c>
      <c r="I439" s="263">
        <v>0</v>
      </c>
      <c r="J439" s="263">
        <v>0</v>
      </c>
      <c r="K439" s="267">
        <v>5</v>
      </c>
    </row>
    <row r="440" spans="1:11">
      <c r="A440" s="9" t="s">
        <v>12081</v>
      </c>
      <c r="B440" s="16">
        <v>19</v>
      </c>
      <c r="C440" s="9"/>
      <c r="D440" s="271" t="s">
        <v>9773</v>
      </c>
      <c r="E440" s="263">
        <v>0</v>
      </c>
      <c r="F440" s="263">
        <v>0</v>
      </c>
      <c r="G440" s="263">
        <v>0</v>
      </c>
      <c r="H440" s="263">
        <v>0</v>
      </c>
      <c r="I440" s="263">
        <v>0</v>
      </c>
      <c r="J440" s="263">
        <v>5</v>
      </c>
      <c r="K440" s="267">
        <v>5</v>
      </c>
    </row>
    <row r="441" spans="1:11">
      <c r="A441" s="9" t="s">
        <v>12082</v>
      </c>
      <c r="B441" s="16">
        <v>19</v>
      </c>
      <c r="C441" s="9"/>
      <c r="D441" s="271" t="s">
        <v>9781</v>
      </c>
      <c r="E441" s="263">
        <v>5</v>
      </c>
      <c r="F441" s="263">
        <v>0</v>
      </c>
      <c r="G441" s="263">
        <v>0</v>
      </c>
      <c r="H441" s="263">
        <v>0</v>
      </c>
      <c r="I441" s="263">
        <v>0</v>
      </c>
      <c r="J441" s="263">
        <v>0</v>
      </c>
      <c r="K441" s="267">
        <v>5</v>
      </c>
    </row>
    <row r="442" spans="1:11">
      <c r="A442" s="9" t="s">
        <v>12083</v>
      </c>
      <c r="B442" s="16">
        <v>19</v>
      </c>
      <c r="C442" s="9"/>
      <c r="D442" s="271" t="s">
        <v>9774</v>
      </c>
      <c r="E442" s="263">
        <v>5</v>
      </c>
      <c r="F442" s="263">
        <v>0</v>
      </c>
      <c r="G442" s="263">
        <v>0</v>
      </c>
      <c r="H442" s="263">
        <v>0</v>
      </c>
      <c r="I442" s="263">
        <v>0</v>
      </c>
      <c r="J442" s="263">
        <v>0</v>
      </c>
      <c r="K442" s="267">
        <v>5</v>
      </c>
    </row>
    <row r="443" spans="1:11">
      <c r="A443" s="9" t="s">
        <v>12084</v>
      </c>
      <c r="B443" s="16">
        <v>19</v>
      </c>
      <c r="C443" s="9"/>
      <c r="D443" s="271" t="s">
        <v>9775</v>
      </c>
      <c r="E443" s="263">
        <v>0</v>
      </c>
      <c r="F443" s="263">
        <v>0</v>
      </c>
      <c r="G443" s="263">
        <v>0</v>
      </c>
      <c r="H443" s="263">
        <v>0</v>
      </c>
      <c r="I443" s="263">
        <v>0</v>
      </c>
      <c r="J443" s="263">
        <v>5</v>
      </c>
      <c r="K443" s="267">
        <v>5</v>
      </c>
    </row>
    <row r="444" spans="1:11">
      <c r="A444" s="9" t="s">
        <v>12085</v>
      </c>
      <c r="B444" s="16">
        <v>19</v>
      </c>
      <c r="C444" s="9"/>
      <c r="D444" s="271" t="s">
        <v>9776</v>
      </c>
      <c r="E444" s="263">
        <v>0</v>
      </c>
      <c r="F444" s="263">
        <v>0</v>
      </c>
      <c r="G444" s="263">
        <v>5</v>
      </c>
      <c r="H444" s="263">
        <v>0</v>
      </c>
      <c r="I444" s="263">
        <v>0</v>
      </c>
      <c r="J444" s="263">
        <v>0</v>
      </c>
      <c r="K444" s="267">
        <v>5</v>
      </c>
    </row>
    <row r="445" spans="1:11">
      <c r="A445" s="9" t="s">
        <v>12086</v>
      </c>
      <c r="B445" s="16">
        <v>19</v>
      </c>
      <c r="C445" s="9"/>
      <c r="D445" s="271" t="s">
        <v>9777</v>
      </c>
      <c r="E445" s="263">
        <v>0</v>
      </c>
      <c r="F445" s="263">
        <v>0</v>
      </c>
      <c r="G445" s="263">
        <v>5</v>
      </c>
      <c r="H445" s="263">
        <v>0</v>
      </c>
      <c r="I445" s="263">
        <v>0</v>
      </c>
      <c r="J445" s="263">
        <v>0</v>
      </c>
      <c r="K445" s="267">
        <v>5</v>
      </c>
    </row>
    <row r="446" spans="1:11">
      <c r="A446" s="9" t="s">
        <v>12087</v>
      </c>
      <c r="B446" s="16">
        <v>19</v>
      </c>
      <c r="C446" s="9"/>
      <c r="D446" s="271" t="s">
        <v>9778</v>
      </c>
      <c r="E446" s="263">
        <v>5</v>
      </c>
      <c r="F446" s="263">
        <v>0</v>
      </c>
      <c r="G446" s="263">
        <v>0</v>
      </c>
      <c r="H446" s="263">
        <v>0</v>
      </c>
      <c r="I446" s="263">
        <v>0</v>
      </c>
      <c r="J446" s="263">
        <v>0</v>
      </c>
      <c r="K446" s="267">
        <v>5</v>
      </c>
    </row>
    <row r="447" spans="1:11">
      <c r="A447" s="9" t="s">
        <v>12088</v>
      </c>
      <c r="B447" s="16">
        <v>19</v>
      </c>
      <c r="C447" s="9"/>
      <c r="D447" s="271" t="s">
        <v>9779</v>
      </c>
      <c r="E447" s="263">
        <v>0</v>
      </c>
      <c r="F447" s="263">
        <v>0</v>
      </c>
      <c r="G447" s="263">
        <v>0</v>
      </c>
      <c r="H447" s="263">
        <v>0</v>
      </c>
      <c r="I447" s="263">
        <v>0</v>
      </c>
      <c r="J447" s="263">
        <v>5</v>
      </c>
      <c r="K447" s="267">
        <v>5</v>
      </c>
    </row>
    <row r="448" spans="1:11">
      <c r="A448" s="9" t="s">
        <v>12089</v>
      </c>
      <c r="B448" s="16">
        <v>19</v>
      </c>
      <c r="C448" s="9"/>
      <c r="D448" s="271" t="s">
        <v>9780</v>
      </c>
      <c r="E448" s="263">
        <v>0</v>
      </c>
      <c r="F448" s="263">
        <v>0</v>
      </c>
      <c r="G448" s="263">
        <v>0</v>
      </c>
      <c r="H448" s="263">
        <v>0</v>
      </c>
      <c r="I448" s="263">
        <v>0</v>
      </c>
      <c r="J448" s="263">
        <v>5</v>
      </c>
      <c r="K448" s="267">
        <v>5</v>
      </c>
    </row>
    <row r="449" spans="1:11">
      <c r="B449" s="16">
        <v>19</v>
      </c>
      <c r="C449" s="9"/>
      <c r="D449" s="271"/>
      <c r="E449" s="263"/>
      <c r="F449" s="263"/>
      <c r="G449" s="263"/>
      <c r="H449" s="263"/>
      <c r="I449" s="263"/>
      <c r="J449" s="263"/>
      <c r="K449" s="267">
        <v>0</v>
      </c>
    </row>
    <row r="450" spans="1:11">
      <c r="B450" s="16">
        <v>19</v>
      </c>
      <c r="C450" s="9"/>
      <c r="D450" s="272" t="s">
        <v>3674</v>
      </c>
      <c r="E450" s="273">
        <v>15</v>
      </c>
      <c r="F450" s="273">
        <v>5</v>
      </c>
      <c r="G450" s="273">
        <v>10</v>
      </c>
      <c r="H450" s="273">
        <v>0</v>
      </c>
      <c r="I450" s="273">
        <v>0</v>
      </c>
      <c r="J450" s="273">
        <v>20</v>
      </c>
      <c r="K450" s="273">
        <v>50</v>
      </c>
    </row>
    <row r="451" spans="1:11">
      <c r="C451" s="9"/>
      <c r="D451" s="271"/>
      <c r="E451" s="263"/>
      <c r="F451" s="263"/>
      <c r="G451" s="263"/>
      <c r="H451" s="263"/>
      <c r="I451" s="263"/>
      <c r="J451" s="263"/>
      <c r="K451" s="267">
        <v>0</v>
      </c>
    </row>
    <row r="452" spans="1:11">
      <c r="B452" s="16">
        <v>0</v>
      </c>
      <c r="C452" s="9"/>
      <c r="D452" s="269" t="s">
        <v>13080</v>
      </c>
      <c r="E452" s="270">
        <v>105</v>
      </c>
      <c r="F452" s="270">
        <v>25</v>
      </c>
      <c r="G452" s="270">
        <v>55</v>
      </c>
      <c r="H452" s="270">
        <v>10</v>
      </c>
      <c r="I452" s="270">
        <v>20</v>
      </c>
      <c r="J452" s="270">
        <v>85</v>
      </c>
      <c r="K452" s="270">
        <v>300</v>
      </c>
    </row>
    <row r="453" spans="1:11">
      <c r="C453" s="9"/>
      <c r="D453" s="271"/>
      <c r="E453" s="263"/>
      <c r="F453" s="263"/>
      <c r="G453" s="263"/>
      <c r="H453" s="263"/>
      <c r="I453" s="263"/>
      <c r="J453" s="263"/>
      <c r="K453" s="267">
        <v>0</v>
      </c>
    </row>
    <row r="454" spans="1:11">
      <c r="C454" s="9"/>
      <c r="D454" s="271"/>
      <c r="E454" s="263"/>
      <c r="F454" s="263"/>
      <c r="G454" s="263"/>
      <c r="H454" s="263"/>
      <c r="I454" s="263"/>
      <c r="J454" s="263"/>
      <c r="K454" s="267">
        <v>0</v>
      </c>
    </row>
    <row r="455" spans="1:11">
      <c r="C455" s="9"/>
      <c r="D455" s="271" t="s">
        <v>4272</v>
      </c>
      <c r="E455" s="263"/>
      <c r="F455" s="263"/>
      <c r="G455" s="263"/>
      <c r="H455" s="263"/>
      <c r="I455" s="263"/>
      <c r="J455" s="263"/>
      <c r="K455" s="267">
        <v>0</v>
      </c>
    </row>
    <row r="456" spans="1:11">
      <c r="C456" s="9"/>
      <c r="D456" s="271"/>
      <c r="E456" s="263"/>
      <c r="F456" s="263"/>
      <c r="G456" s="263"/>
      <c r="H456" s="263"/>
      <c r="I456" s="263"/>
      <c r="J456" s="263"/>
      <c r="K456" s="267">
        <v>0</v>
      </c>
    </row>
    <row r="457" spans="1:11">
      <c r="A457" s="9" t="s">
        <v>12090</v>
      </c>
      <c r="B457" s="16">
        <v>1</v>
      </c>
      <c r="C457" s="9"/>
      <c r="D457" s="271" t="s">
        <v>9866</v>
      </c>
      <c r="E457" s="263">
        <v>5</v>
      </c>
      <c r="F457" s="263">
        <v>0</v>
      </c>
      <c r="G457" s="263">
        <v>0</v>
      </c>
      <c r="H457" s="263">
        <v>0</v>
      </c>
      <c r="I457" s="263">
        <v>0</v>
      </c>
      <c r="J457" s="263">
        <v>0</v>
      </c>
      <c r="K457" s="267">
        <v>5</v>
      </c>
    </row>
    <row r="458" spans="1:11">
      <c r="B458" s="16">
        <v>1</v>
      </c>
      <c r="C458" s="9"/>
      <c r="D458" s="271"/>
      <c r="E458" s="263"/>
      <c r="F458" s="263"/>
      <c r="G458" s="263"/>
      <c r="H458" s="263"/>
      <c r="I458" s="263"/>
      <c r="J458" s="263"/>
      <c r="K458" s="267">
        <v>0</v>
      </c>
    </row>
    <row r="459" spans="1:11">
      <c r="B459" s="16">
        <v>1</v>
      </c>
      <c r="C459" s="9"/>
      <c r="D459" s="272" t="s">
        <v>3674</v>
      </c>
      <c r="E459" s="273">
        <v>5</v>
      </c>
      <c r="F459" s="273">
        <v>0</v>
      </c>
      <c r="G459" s="273">
        <v>0</v>
      </c>
      <c r="H459" s="273">
        <v>0</v>
      </c>
      <c r="I459" s="273">
        <v>0</v>
      </c>
      <c r="J459" s="273">
        <v>0</v>
      </c>
      <c r="K459" s="273">
        <v>5</v>
      </c>
    </row>
    <row r="460" spans="1:11">
      <c r="C460" s="9"/>
      <c r="D460" s="271"/>
      <c r="E460" s="263"/>
      <c r="F460" s="263"/>
      <c r="G460" s="263"/>
      <c r="H460" s="263"/>
      <c r="I460" s="263"/>
      <c r="J460" s="263"/>
      <c r="K460" s="267">
        <v>0</v>
      </c>
    </row>
    <row r="461" spans="1:11">
      <c r="A461" s="9" t="s">
        <v>12091</v>
      </c>
      <c r="B461" s="16">
        <v>5</v>
      </c>
      <c r="C461" s="9"/>
      <c r="D461" s="271" t="s">
        <v>9867</v>
      </c>
      <c r="E461" s="263">
        <v>0</v>
      </c>
      <c r="F461" s="263">
        <v>0</v>
      </c>
      <c r="G461" s="263">
        <v>0</v>
      </c>
      <c r="H461" s="263">
        <v>0</v>
      </c>
      <c r="I461" s="263">
        <v>0</v>
      </c>
      <c r="J461" s="263">
        <v>5</v>
      </c>
      <c r="K461" s="267">
        <v>5</v>
      </c>
    </row>
    <row r="462" spans="1:11">
      <c r="A462" s="9" t="s">
        <v>12092</v>
      </c>
      <c r="B462" s="16">
        <v>5</v>
      </c>
      <c r="C462" s="9"/>
      <c r="D462" s="271" t="s">
        <v>9868</v>
      </c>
      <c r="E462" s="263">
        <v>5</v>
      </c>
      <c r="F462" s="263">
        <v>0</v>
      </c>
      <c r="G462" s="263">
        <v>0</v>
      </c>
      <c r="H462" s="263">
        <v>0</v>
      </c>
      <c r="I462" s="263">
        <v>0</v>
      </c>
      <c r="J462" s="263">
        <v>0</v>
      </c>
      <c r="K462" s="267">
        <v>5</v>
      </c>
    </row>
    <row r="463" spans="1:11">
      <c r="A463" s="9" t="s">
        <v>12093</v>
      </c>
      <c r="B463" s="16">
        <v>5</v>
      </c>
      <c r="C463" s="9"/>
      <c r="D463" s="271" t="s">
        <v>9869</v>
      </c>
      <c r="E463" s="263">
        <v>5</v>
      </c>
      <c r="F463" s="263">
        <v>0</v>
      </c>
      <c r="G463" s="263">
        <v>0</v>
      </c>
      <c r="H463" s="263">
        <v>0</v>
      </c>
      <c r="I463" s="263">
        <v>0</v>
      </c>
      <c r="J463" s="263">
        <v>0</v>
      </c>
      <c r="K463" s="267">
        <v>5</v>
      </c>
    </row>
    <row r="464" spans="1:11">
      <c r="B464" s="16">
        <v>5</v>
      </c>
      <c r="C464" s="9"/>
      <c r="D464" s="271"/>
      <c r="E464" s="263"/>
      <c r="F464" s="263"/>
      <c r="G464" s="263"/>
      <c r="H464" s="263"/>
      <c r="I464" s="263"/>
      <c r="J464" s="263"/>
      <c r="K464" s="267">
        <v>0</v>
      </c>
    </row>
    <row r="465" spans="1:11">
      <c r="B465" s="16">
        <v>5</v>
      </c>
      <c r="C465" s="9"/>
      <c r="D465" s="272" t="s">
        <v>3674</v>
      </c>
      <c r="E465" s="273">
        <v>10</v>
      </c>
      <c r="F465" s="273">
        <v>0</v>
      </c>
      <c r="G465" s="273">
        <v>0</v>
      </c>
      <c r="H465" s="273">
        <v>0</v>
      </c>
      <c r="I465" s="273">
        <v>0</v>
      </c>
      <c r="J465" s="273">
        <v>5</v>
      </c>
      <c r="K465" s="273">
        <v>15</v>
      </c>
    </row>
    <row r="466" spans="1:11">
      <c r="C466" s="9"/>
      <c r="D466" s="271"/>
      <c r="E466" s="263"/>
      <c r="F466" s="263"/>
      <c r="G466" s="263"/>
      <c r="H466" s="263"/>
      <c r="I466" s="263"/>
      <c r="J466" s="263"/>
      <c r="K466" s="267">
        <v>0</v>
      </c>
    </row>
    <row r="467" spans="1:11">
      <c r="A467" s="9" t="s">
        <v>12094</v>
      </c>
      <c r="B467" s="16">
        <v>14</v>
      </c>
      <c r="C467" s="9"/>
      <c r="D467" s="271" t="s">
        <v>9870</v>
      </c>
      <c r="E467" s="263">
        <v>0</v>
      </c>
      <c r="F467" s="263">
        <v>0</v>
      </c>
      <c r="G467" s="263">
        <v>0</v>
      </c>
      <c r="H467" s="263">
        <v>0</v>
      </c>
      <c r="I467" s="263">
        <v>0</v>
      </c>
      <c r="J467" s="263">
        <v>5</v>
      </c>
      <c r="K467" s="267">
        <v>5</v>
      </c>
    </row>
    <row r="468" spans="1:11">
      <c r="A468" s="9" t="s">
        <v>12095</v>
      </c>
      <c r="B468" s="16">
        <v>14</v>
      </c>
      <c r="C468" s="9"/>
      <c r="D468" s="271" t="s">
        <v>9871</v>
      </c>
      <c r="E468" s="263">
        <v>0</v>
      </c>
      <c r="F468" s="263">
        <v>0</v>
      </c>
      <c r="G468" s="263">
        <v>0</v>
      </c>
      <c r="H468" s="263">
        <v>5</v>
      </c>
      <c r="I468" s="263">
        <v>0</v>
      </c>
      <c r="J468" s="263">
        <v>0</v>
      </c>
      <c r="K468" s="267">
        <v>5</v>
      </c>
    </row>
    <row r="469" spans="1:11">
      <c r="B469" s="16">
        <v>14</v>
      </c>
      <c r="C469" s="9"/>
      <c r="D469" s="271"/>
      <c r="E469" s="263"/>
      <c r="F469" s="263"/>
      <c r="G469" s="263"/>
      <c r="H469" s="263"/>
      <c r="I469" s="263"/>
      <c r="J469" s="263"/>
      <c r="K469" s="267">
        <v>0</v>
      </c>
    </row>
    <row r="470" spans="1:11">
      <c r="B470" s="16">
        <v>14</v>
      </c>
      <c r="C470" s="9"/>
      <c r="D470" s="272" t="s">
        <v>3674</v>
      </c>
      <c r="E470" s="273">
        <v>0</v>
      </c>
      <c r="F470" s="273">
        <v>0</v>
      </c>
      <c r="G470" s="273">
        <v>0</v>
      </c>
      <c r="H470" s="273">
        <v>5</v>
      </c>
      <c r="I470" s="273">
        <v>0</v>
      </c>
      <c r="J470" s="273">
        <v>5</v>
      </c>
      <c r="K470" s="273">
        <v>10</v>
      </c>
    </row>
    <row r="471" spans="1:11">
      <c r="C471" s="9"/>
      <c r="D471" s="271"/>
      <c r="E471" s="263"/>
      <c r="F471" s="263"/>
      <c r="G471" s="263"/>
      <c r="H471" s="263"/>
      <c r="I471" s="263"/>
      <c r="J471" s="263"/>
      <c r="K471" s="267">
        <v>0</v>
      </c>
    </row>
    <row r="472" spans="1:11">
      <c r="A472" s="9" t="s">
        <v>12096</v>
      </c>
      <c r="B472" s="16">
        <v>15</v>
      </c>
      <c r="C472" s="9"/>
      <c r="D472" s="271" t="s">
        <v>9872</v>
      </c>
      <c r="E472" s="263">
        <v>0</v>
      </c>
      <c r="F472" s="263">
        <v>0</v>
      </c>
      <c r="G472" s="263">
        <v>5</v>
      </c>
      <c r="H472" s="263">
        <v>0</v>
      </c>
      <c r="I472" s="263">
        <v>0</v>
      </c>
      <c r="J472" s="263">
        <v>0</v>
      </c>
      <c r="K472" s="267">
        <v>5</v>
      </c>
    </row>
    <row r="473" spans="1:11">
      <c r="A473" s="9" t="s">
        <v>12097</v>
      </c>
      <c r="B473" s="16">
        <v>15</v>
      </c>
      <c r="C473" s="9"/>
      <c r="D473" s="271" t="s">
        <v>9873</v>
      </c>
      <c r="E473" s="263">
        <v>5</v>
      </c>
      <c r="F473" s="263">
        <v>0</v>
      </c>
      <c r="G473" s="263">
        <v>0</v>
      </c>
      <c r="H473" s="263">
        <v>0</v>
      </c>
      <c r="I473" s="263">
        <v>0</v>
      </c>
      <c r="J473" s="263">
        <v>0</v>
      </c>
      <c r="K473" s="267">
        <v>5</v>
      </c>
    </row>
    <row r="474" spans="1:11">
      <c r="A474" s="9" t="s">
        <v>12098</v>
      </c>
      <c r="B474" s="16">
        <v>15</v>
      </c>
      <c r="C474" s="9"/>
      <c r="D474" s="271" t="s">
        <v>9879</v>
      </c>
      <c r="E474" s="263">
        <v>0</v>
      </c>
      <c r="F474" s="263">
        <v>0</v>
      </c>
      <c r="G474" s="263">
        <v>0</v>
      </c>
      <c r="H474" s="263">
        <v>0</v>
      </c>
      <c r="I474" s="263">
        <v>0</v>
      </c>
      <c r="J474" s="263">
        <v>5</v>
      </c>
      <c r="K474" s="267">
        <v>5</v>
      </c>
    </row>
    <row r="475" spans="1:11">
      <c r="A475" s="9" t="s">
        <v>12099</v>
      </c>
      <c r="B475" s="16">
        <v>15</v>
      </c>
      <c r="C475" s="9"/>
      <c r="D475" s="271" t="s">
        <v>9874</v>
      </c>
      <c r="E475" s="263">
        <v>5</v>
      </c>
      <c r="F475" s="263">
        <v>0</v>
      </c>
      <c r="G475" s="263">
        <v>0</v>
      </c>
      <c r="H475" s="263">
        <v>0</v>
      </c>
      <c r="I475" s="263">
        <v>0</v>
      </c>
      <c r="J475" s="263">
        <v>0</v>
      </c>
      <c r="K475" s="267">
        <v>5</v>
      </c>
    </row>
    <row r="476" spans="1:11">
      <c r="A476" s="9" t="s">
        <v>12100</v>
      </c>
      <c r="B476" s="16">
        <v>15</v>
      </c>
      <c r="C476" s="9"/>
      <c r="D476" s="271" t="s">
        <v>9875</v>
      </c>
      <c r="E476" s="263">
        <v>0</v>
      </c>
      <c r="F476" s="263">
        <v>0</v>
      </c>
      <c r="G476" s="263">
        <v>0</v>
      </c>
      <c r="H476" s="263">
        <v>0</v>
      </c>
      <c r="I476" s="263">
        <v>0</v>
      </c>
      <c r="J476" s="263">
        <v>5</v>
      </c>
      <c r="K476" s="267">
        <v>5</v>
      </c>
    </row>
    <row r="477" spans="1:11">
      <c r="A477" s="9" t="s">
        <v>12101</v>
      </c>
      <c r="B477" s="16">
        <v>15</v>
      </c>
      <c r="C477" s="9"/>
      <c r="D477" s="271" t="s">
        <v>9876</v>
      </c>
      <c r="E477" s="263">
        <v>5</v>
      </c>
      <c r="F477" s="263">
        <v>0</v>
      </c>
      <c r="G477" s="263">
        <v>0</v>
      </c>
      <c r="H477" s="263">
        <v>0</v>
      </c>
      <c r="I477" s="263">
        <v>0</v>
      </c>
      <c r="J477" s="263">
        <v>0</v>
      </c>
      <c r="K477" s="267">
        <v>5</v>
      </c>
    </row>
    <row r="478" spans="1:11">
      <c r="A478" s="9" t="s">
        <v>12102</v>
      </c>
      <c r="B478" s="16">
        <v>15</v>
      </c>
      <c r="C478" s="9"/>
      <c r="D478" s="271" t="s">
        <v>9877</v>
      </c>
      <c r="E478" s="263">
        <v>0</v>
      </c>
      <c r="F478" s="263">
        <v>0</v>
      </c>
      <c r="G478" s="263">
        <v>0</v>
      </c>
      <c r="H478" s="263">
        <v>5</v>
      </c>
      <c r="I478" s="263">
        <v>0</v>
      </c>
      <c r="J478" s="263">
        <v>0</v>
      </c>
      <c r="K478" s="267">
        <v>5</v>
      </c>
    </row>
    <row r="479" spans="1:11">
      <c r="A479" s="9" t="s">
        <v>12103</v>
      </c>
      <c r="B479" s="16">
        <v>15</v>
      </c>
      <c r="C479" s="9"/>
      <c r="D479" s="271" t="s">
        <v>9878</v>
      </c>
      <c r="E479" s="263">
        <v>0</v>
      </c>
      <c r="F479" s="263">
        <v>0</v>
      </c>
      <c r="G479" s="263">
        <v>0</v>
      </c>
      <c r="H479" s="263">
        <v>0</v>
      </c>
      <c r="I479" s="263">
        <v>0</v>
      </c>
      <c r="J479" s="263">
        <v>5</v>
      </c>
      <c r="K479" s="267">
        <v>5</v>
      </c>
    </row>
    <row r="480" spans="1:11">
      <c r="A480" s="9" t="s">
        <v>12104</v>
      </c>
      <c r="B480" s="16">
        <v>15</v>
      </c>
      <c r="C480" s="9"/>
      <c r="D480" s="271" t="s">
        <v>9880</v>
      </c>
      <c r="E480" s="263">
        <v>0</v>
      </c>
      <c r="F480" s="263">
        <v>0</v>
      </c>
      <c r="G480" s="263">
        <v>5</v>
      </c>
      <c r="H480" s="263">
        <v>0</v>
      </c>
      <c r="I480" s="263">
        <v>0</v>
      </c>
      <c r="J480" s="263">
        <v>0</v>
      </c>
      <c r="K480" s="267">
        <v>5</v>
      </c>
    </row>
    <row r="481" spans="1:11">
      <c r="B481" s="16">
        <v>15</v>
      </c>
      <c r="C481" s="9"/>
      <c r="D481" s="271"/>
      <c r="E481" s="263"/>
      <c r="F481" s="263"/>
      <c r="G481" s="263"/>
      <c r="H481" s="263"/>
      <c r="I481" s="263"/>
      <c r="J481" s="263"/>
      <c r="K481" s="267">
        <v>0</v>
      </c>
    </row>
    <row r="482" spans="1:11">
      <c r="B482" s="16">
        <v>15</v>
      </c>
      <c r="C482" s="9"/>
      <c r="D482" s="272" t="s">
        <v>3674</v>
      </c>
      <c r="E482" s="273">
        <v>15</v>
      </c>
      <c r="F482" s="273">
        <v>0</v>
      </c>
      <c r="G482" s="273">
        <v>10</v>
      </c>
      <c r="H482" s="273">
        <v>5</v>
      </c>
      <c r="I482" s="273">
        <v>0</v>
      </c>
      <c r="J482" s="273">
        <v>15</v>
      </c>
      <c r="K482" s="273">
        <v>45</v>
      </c>
    </row>
    <row r="483" spans="1:11">
      <c r="C483" s="9"/>
      <c r="D483" s="271"/>
      <c r="E483" s="263"/>
      <c r="F483" s="263"/>
      <c r="G483" s="263"/>
      <c r="H483" s="263"/>
      <c r="I483" s="263"/>
      <c r="J483" s="263"/>
      <c r="K483" s="267">
        <v>0</v>
      </c>
    </row>
    <row r="484" spans="1:11">
      <c r="A484" s="9" t="s">
        <v>12105</v>
      </c>
      <c r="B484" s="16">
        <v>16</v>
      </c>
      <c r="C484" s="9"/>
      <c r="D484" s="271" t="s">
        <v>9887</v>
      </c>
      <c r="E484" s="263">
        <v>5</v>
      </c>
      <c r="F484" s="263">
        <v>0</v>
      </c>
      <c r="G484" s="263">
        <v>0</v>
      </c>
      <c r="H484" s="263">
        <v>0</v>
      </c>
      <c r="I484" s="263">
        <v>0</v>
      </c>
      <c r="J484" s="263">
        <v>0</v>
      </c>
      <c r="K484" s="267">
        <v>5</v>
      </c>
    </row>
    <row r="485" spans="1:11">
      <c r="A485" s="9" t="s">
        <v>12106</v>
      </c>
      <c r="B485" s="16">
        <v>16</v>
      </c>
      <c r="C485" s="9"/>
      <c r="D485" s="271" t="s">
        <v>9888</v>
      </c>
      <c r="E485" s="263">
        <v>5</v>
      </c>
      <c r="F485" s="263">
        <v>0</v>
      </c>
      <c r="G485" s="263">
        <v>0</v>
      </c>
      <c r="H485" s="263">
        <v>0</v>
      </c>
      <c r="I485" s="263">
        <v>0</v>
      </c>
      <c r="J485" s="263">
        <v>0</v>
      </c>
      <c r="K485" s="267">
        <v>5</v>
      </c>
    </row>
    <row r="486" spans="1:11">
      <c r="A486" s="9" t="s">
        <v>12107</v>
      </c>
      <c r="B486" s="16">
        <v>16</v>
      </c>
      <c r="C486" s="9"/>
      <c r="D486" s="271" t="s">
        <v>9889</v>
      </c>
      <c r="E486" s="263">
        <v>0</v>
      </c>
      <c r="F486" s="263">
        <v>0</v>
      </c>
      <c r="G486" s="263">
        <v>0</v>
      </c>
      <c r="H486" s="263">
        <v>0</v>
      </c>
      <c r="I486" s="263">
        <v>0</v>
      </c>
      <c r="J486" s="263">
        <v>5</v>
      </c>
      <c r="K486" s="267">
        <v>5</v>
      </c>
    </row>
    <row r="487" spans="1:11">
      <c r="A487" s="9" t="s">
        <v>12108</v>
      </c>
      <c r="B487" s="16">
        <v>16</v>
      </c>
      <c r="C487" s="9"/>
      <c r="D487" s="271" t="s">
        <v>9881</v>
      </c>
      <c r="E487" s="263">
        <v>5</v>
      </c>
      <c r="F487" s="263">
        <v>0</v>
      </c>
      <c r="G487" s="263">
        <v>0</v>
      </c>
      <c r="H487" s="263">
        <v>0</v>
      </c>
      <c r="I487" s="263">
        <v>0</v>
      </c>
      <c r="J487" s="263">
        <v>0</v>
      </c>
      <c r="K487" s="267">
        <v>5</v>
      </c>
    </row>
    <row r="488" spans="1:11">
      <c r="A488" s="9" t="s">
        <v>12109</v>
      </c>
      <c r="B488" s="16">
        <v>16</v>
      </c>
      <c r="C488" s="9"/>
      <c r="D488" s="271" t="s">
        <v>9882</v>
      </c>
      <c r="E488" s="263">
        <v>0</v>
      </c>
      <c r="F488" s="263">
        <v>0</v>
      </c>
      <c r="G488" s="263">
        <v>0</v>
      </c>
      <c r="H488" s="263">
        <v>0</v>
      </c>
      <c r="I488" s="263">
        <v>0</v>
      </c>
      <c r="J488" s="263">
        <v>5</v>
      </c>
      <c r="K488" s="267">
        <v>5</v>
      </c>
    </row>
    <row r="489" spans="1:11">
      <c r="A489" s="9" t="s">
        <v>12110</v>
      </c>
      <c r="B489" s="16">
        <v>16</v>
      </c>
      <c r="C489" s="9"/>
      <c r="D489" s="271" t="s">
        <v>9883</v>
      </c>
      <c r="E489" s="263">
        <v>5</v>
      </c>
      <c r="F489" s="263">
        <v>0</v>
      </c>
      <c r="G489" s="263">
        <v>0</v>
      </c>
      <c r="H489" s="263">
        <v>0</v>
      </c>
      <c r="I489" s="263">
        <v>0</v>
      </c>
      <c r="J489" s="263">
        <v>0</v>
      </c>
      <c r="K489" s="267">
        <v>5</v>
      </c>
    </row>
    <row r="490" spans="1:11">
      <c r="A490" s="9" t="s">
        <v>12111</v>
      </c>
      <c r="B490" s="16">
        <v>16</v>
      </c>
      <c r="C490" s="9"/>
      <c r="D490" s="271" t="s">
        <v>9884</v>
      </c>
      <c r="E490" s="263">
        <v>0</v>
      </c>
      <c r="F490" s="263">
        <v>0</v>
      </c>
      <c r="G490" s="263">
        <v>0</v>
      </c>
      <c r="H490" s="263">
        <v>5</v>
      </c>
      <c r="I490" s="263">
        <v>0</v>
      </c>
      <c r="J490" s="263">
        <v>0</v>
      </c>
      <c r="K490" s="267">
        <v>5</v>
      </c>
    </row>
    <row r="491" spans="1:11">
      <c r="A491" s="9" t="s">
        <v>12112</v>
      </c>
      <c r="B491" s="16">
        <v>16</v>
      </c>
      <c r="C491" s="9"/>
      <c r="D491" s="271" t="s">
        <v>9885</v>
      </c>
      <c r="E491" s="263">
        <v>0</v>
      </c>
      <c r="F491" s="263">
        <v>0</v>
      </c>
      <c r="G491" s="263">
        <v>0</v>
      </c>
      <c r="H491" s="263">
        <v>0</v>
      </c>
      <c r="I491" s="263">
        <v>0</v>
      </c>
      <c r="J491" s="263">
        <v>5</v>
      </c>
      <c r="K491" s="267">
        <v>5</v>
      </c>
    </row>
    <row r="492" spans="1:11">
      <c r="A492" s="9" t="s">
        <v>12113</v>
      </c>
      <c r="B492" s="16">
        <v>16</v>
      </c>
      <c r="C492" s="9"/>
      <c r="D492" s="271" t="s">
        <v>9886</v>
      </c>
      <c r="E492" s="263">
        <v>0</v>
      </c>
      <c r="F492" s="263">
        <v>7</v>
      </c>
      <c r="G492" s="263">
        <v>0</v>
      </c>
      <c r="H492" s="263">
        <v>0</v>
      </c>
      <c r="I492" s="263">
        <v>0</v>
      </c>
      <c r="J492" s="263">
        <v>0</v>
      </c>
      <c r="K492" s="267">
        <v>7</v>
      </c>
    </row>
    <row r="493" spans="1:11">
      <c r="B493" s="16">
        <v>16</v>
      </c>
      <c r="C493" s="9"/>
      <c r="D493" s="271"/>
      <c r="E493" s="263"/>
      <c r="F493" s="263"/>
      <c r="G493" s="263"/>
      <c r="H493" s="263"/>
      <c r="I493" s="263"/>
      <c r="J493" s="263"/>
      <c r="K493" s="267">
        <v>0</v>
      </c>
    </row>
    <row r="494" spans="1:11">
      <c r="B494" s="16">
        <v>16</v>
      </c>
      <c r="C494" s="9"/>
      <c r="D494" s="272" t="s">
        <v>3674</v>
      </c>
      <c r="E494" s="273">
        <v>20</v>
      </c>
      <c r="F494" s="273">
        <v>7</v>
      </c>
      <c r="G494" s="273">
        <v>0</v>
      </c>
      <c r="H494" s="273">
        <v>5</v>
      </c>
      <c r="I494" s="273">
        <v>0</v>
      </c>
      <c r="J494" s="273">
        <v>15</v>
      </c>
      <c r="K494" s="273">
        <v>47</v>
      </c>
    </row>
    <row r="495" spans="1:11">
      <c r="C495" s="9"/>
      <c r="D495" s="271"/>
      <c r="E495" s="263"/>
      <c r="F495" s="263"/>
      <c r="G495" s="263"/>
      <c r="H495" s="263"/>
      <c r="I495" s="263"/>
      <c r="J495" s="263"/>
      <c r="K495" s="267">
        <v>0</v>
      </c>
    </row>
    <row r="496" spans="1:11">
      <c r="B496" s="16">
        <v>0</v>
      </c>
      <c r="C496" s="9"/>
      <c r="D496" s="269" t="s">
        <v>13081</v>
      </c>
      <c r="E496" s="270">
        <v>50</v>
      </c>
      <c r="F496" s="270">
        <v>7</v>
      </c>
      <c r="G496" s="270">
        <v>10</v>
      </c>
      <c r="H496" s="270">
        <v>15</v>
      </c>
      <c r="I496" s="270">
        <v>0</v>
      </c>
      <c r="J496" s="270">
        <v>40</v>
      </c>
      <c r="K496" s="270">
        <v>122</v>
      </c>
    </row>
    <row r="497" spans="1:11">
      <c r="C497" s="9"/>
      <c r="D497" s="271"/>
      <c r="E497" s="263"/>
      <c r="F497" s="263"/>
      <c r="G497" s="263"/>
      <c r="H497" s="263"/>
      <c r="I497" s="263"/>
      <c r="J497" s="263"/>
      <c r="K497" s="267">
        <v>0</v>
      </c>
    </row>
    <row r="498" spans="1:11">
      <c r="C498" s="9"/>
      <c r="D498" s="271"/>
      <c r="E498" s="263"/>
      <c r="F498" s="263"/>
      <c r="G498" s="263"/>
      <c r="H498" s="263"/>
      <c r="I498" s="263"/>
      <c r="J498" s="263"/>
      <c r="K498" s="267">
        <v>0</v>
      </c>
    </row>
    <row r="499" spans="1:11">
      <c r="C499" s="9"/>
      <c r="D499" s="271" t="s">
        <v>4273</v>
      </c>
      <c r="E499" s="263"/>
      <c r="F499" s="263"/>
      <c r="G499" s="263"/>
      <c r="H499" s="263"/>
      <c r="I499" s="263"/>
      <c r="J499" s="263"/>
      <c r="K499" s="267">
        <v>0</v>
      </c>
    </row>
    <row r="500" spans="1:11">
      <c r="C500" s="9"/>
      <c r="D500" s="271"/>
      <c r="E500" s="263"/>
      <c r="F500" s="263"/>
      <c r="G500" s="263"/>
      <c r="H500" s="263"/>
      <c r="I500" s="263"/>
      <c r="J500" s="263"/>
      <c r="K500" s="267">
        <v>0</v>
      </c>
    </row>
    <row r="501" spans="1:11">
      <c r="A501" s="9" t="s">
        <v>12114</v>
      </c>
      <c r="B501" s="16">
        <v>39</v>
      </c>
      <c r="C501" s="9"/>
      <c r="D501" s="271" t="s">
        <v>9475</v>
      </c>
      <c r="E501" s="263">
        <v>5</v>
      </c>
      <c r="F501" s="263">
        <v>0</v>
      </c>
      <c r="G501" s="263">
        <v>0</v>
      </c>
      <c r="H501" s="263">
        <v>0</v>
      </c>
      <c r="I501" s="263">
        <v>0</v>
      </c>
      <c r="J501" s="263">
        <v>0</v>
      </c>
      <c r="K501" s="267">
        <v>5</v>
      </c>
    </row>
    <row r="502" spans="1:11">
      <c r="A502" s="9" t="s">
        <v>12115</v>
      </c>
      <c r="B502" s="16">
        <v>39</v>
      </c>
      <c r="C502" s="9"/>
      <c r="D502" s="271" t="s">
        <v>9476</v>
      </c>
      <c r="E502" s="263">
        <v>5</v>
      </c>
      <c r="F502" s="263">
        <v>0</v>
      </c>
      <c r="G502" s="263">
        <v>0</v>
      </c>
      <c r="H502" s="263">
        <v>0</v>
      </c>
      <c r="I502" s="263">
        <v>0</v>
      </c>
      <c r="J502" s="263">
        <v>0</v>
      </c>
      <c r="K502" s="267">
        <v>5</v>
      </c>
    </row>
    <row r="503" spans="1:11">
      <c r="A503" s="9" t="s">
        <v>12116</v>
      </c>
      <c r="B503" s="16">
        <v>39</v>
      </c>
      <c r="C503" s="9"/>
      <c r="D503" s="271" t="s">
        <v>9477</v>
      </c>
      <c r="E503" s="263">
        <v>3</v>
      </c>
      <c r="F503" s="263">
        <v>0</v>
      </c>
      <c r="G503" s="263">
        <v>0</v>
      </c>
      <c r="H503" s="263">
        <v>0</v>
      </c>
      <c r="I503" s="263">
        <v>0</v>
      </c>
      <c r="J503" s="263">
        <v>0</v>
      </c>
      <c r="K503" s="267">
        <v>3</v>
      </c>
    </row>
    <row r="504" spans="1:11">
      <c r="A504" s="9" t="s">
        <v>12117</v>
      </c>
      <c r="B504" s="16">
        <v>39</v>
      </c>
      <c r="C504" s="9"/>
      <c r="D504" s="271" t="s">
        <v>9478</v>
      </c>
      <c r="E504" s="263">
        <v>5</v>
      </c>
      <c r="F504" s="263">
        <v>0</v>
      </c>
      <c r="G504" s="263">
        <v>0</v>
      </c>
      <c r="H504" s="263">
        <v>0</v>
      </c>
      <c r="I504" s="263">
        <v>0</v>
      </c>
      <c r="J504" s="263">
        <v>0</v>
      </c>
      <c r="K504" s="267">
        <v>5</v>
      </c>
    </row>
    <row r="505" spans="1:11" ht="31.5">
      <c r="A505" s="9" t="s">
        <v>12118</v>
      </c>
      <c r="B505" s="16">
        <v>39</v>
      </c>
      <c r="C505" s="9"/>
      <c r="D505" s="271" t="s">
        <v>9467</v>
      </c>
      <c r="E505" s="263">
        <v>3</v>
      </c>
      <c r="F505" s="263">
        <v>0</v>
      </c>
      <c r="G505" s="263">
        <v>0</v>
      </c>
      <c r="H505" s="263">
        <v>0</v>
      </c>
      <c r="I505" s="263">
        <v>0</v>
      </c>
      <c r="J505" s="263">
        <v>0</v>
      </c>
      <c r="K505" s="267">
        <v>3</v>
      </c>
    </row>
    <row r="506" spans="1:11" ht="31.5">
      <c r="A506" s="9" t="s">
        <v>12119</v>
      </c>
      <c r="B506" s="16">
        <v>39</v>
      </c>
      <c r="C506" s="9"/>
      <c r="D506" s="271" t="s">
        <v>9468</v>
      </c>
      <c r="E506" s="263">
        <v>0</v>
      </c>
      <c r="F506" s="263">
        <v>4</v>
      </c>
      <c r="G506" s="263">
        <v>0</v>
      </c>
      <c r="H506" s="263">
        <v>0</v>
      </c>
      <c r="I506" s="263">
        <v>0</v>
      </c>
      <c r="J506" s="263">
        <v>0</v>
      </c>
      <c r="K506" s="267">
        <v>4</v>
      </c>
    </row>
    <row r="507" spans="1:11">
      <c r="A507" s="9" t="s">
        <v>12120</v>
      </c>
      <c r="B507" s="16">
        <v>39</v>
      </c>
      <c r="C507" s="9"/>
      <c r="D507" s="271" t="s">
        <v>9469</v>
      </c>
      <c r="E507" s="263">
        <v>0</v>
      </c>
      <c r="F507" s="263">
        <v>4</v>
      </c>
      <c r="G507" s="263">
        <v>0</v>
      </c>
      <c r="H507" s="263">
        <v>0</v>
      </c>
      <c r="I507" s="263">
        <v>0</v>
      </c>
      <c r="J507" s="263">
        <v>0</v>
      </c>
      <c r="K507" s="267">
        <v>4</v>
      </c>
    </row>
    <row r="508" spans="1:11">
      <c r="A508" s="9" t="s">
        <v>12121</v>
      </c>
      <c r="B508" s="16">
        <v>39</v>
      </c>
      <c r="C508" s="9"/>
      <c r="D508" s="271" t="s">
        <v>9470</v>
      </c>
      <c r="E508" s="263">
        <v>0</v>
      </c>
      <c r="F508" s="263">
        <v>0</v>
      </c>
      <c r="G508" s="263">
        <v>3</v>
      </c>
      <c r="H508" s="263">
        <v>0</v>
      </c>
      <c r="I508" s="263">
        <v>0</v>
      </c>
      <c r="J508" s="263">
        <v>0</v>
      </c>
      <c r="K508" s="267">
        <v>3</v>
      </c>
    </row>
    <row r="509" spans="1:11" ht="31.5">
      <c r="A509" s="9" t="s">
        <v>12122</v>
      </c>
      <c r="B509" s="16">
        <v>39</v>
      </c>
      <c r="C509" s="9"/>
      <c r="D509" s="271" t="s">
        <v>9471</v>
      </c>
      <c r="E509" s="263">
        <v>0</v>
      </c>
      <c r="F509" s="263">
        <v>0</v>
      </c>
      <c r="G509" s="263">
        <v>0</v>
      </c>
      <c r="H509" s="263">
        <v>0</v>
      </c>
      <c r="I509" s="263">
        <v>4</v>
      </c>
      <c r="J509" s="263">
        <v>0</v>
      </c>
      <c r="K509" s="267">
        <v>4</v>
      </c>
    </row>
    <row r="510" spans="1:11">
      <c r="A510" s="9" t="s">
        <v>12123</v>
      </c>
      <c r="B510" s="16">
        <v>39</v>
      </c>
      <c r="C510" s="9"/>
      <c r="D510" s="271" t="s">
        <v>9472</v>
      </c>
      <c r="E510" s="263">
        <v>0</v>
      </c>
      <c r="F510" s="263">
        <v>0</v>
      </c>
      <c r="G510" s="263">
        <v>0</v>
      </c>
      <c r="H510" s="263">
        <v>0</v>
      </c>
      <c r="I510" s="263">
        <v>0</v>
      </c>
      <c r="J510" s="263">
        <v>5</v>
      </c>
      <c r="K510" s="267">
        <v>5</v>
      </c>
    </row>
    <row r="511" spans="1:11" ht="31.5">
      <c r="A511" s="9" t="s">
        <v>12124</v>
      </c>
      <c r="B511" s="16">
        <v>39</v>
      </c>
      <c r="C511" s="9"/>
      <c r="D511" s="271" t="s">
        <v>9473</v>
      </c>
      <c r="E511" s="263">
        <v>0</v>
      </c>
      <c r="F511" s="263">
        <v>0</v>
      </c>
      <c r="G511" s="263">
        <v>0</v>
      </c>
      <c r="H511" s="263">
        <v>0</v>
      </c>
      <c r="I511" s="263">
        <v>0</v>
      </c>
      <c r="J511" s="263">
        <v>5</v>
      </c>
      <c r="K511" s="267">
        <v>5</v>
      </c>
    </row>
    <row r="512" spans="1:11">
      <c r="A512" s="9" t="s">
        <v>12125</v>
      </c>
      <c r="B512" s="16">
        <v>39</v>
      </c>
      <c r="C512" s="9"/>
      <c r="D512" s="271" t="s">
        <v>9474</v>
      </c>
      <c r="E512" s="263">
        <v>0</v>
      </c>
      <c r="F512" s="263">
        <v>0</v>
      </c>
      <c r="G512" s="263">
        <v>0</v>
      </c>
      <c r="H512" s="263">
        <v>4</v>
      </c>
      <c r="I512" s="263">
        <v>0</v>
      </c>
      <c r="J512" s="263">
        <v>0</v>
      </c>
      <c r="K512" s="267">
        <v>4</v>
      </c>
    </row>
    <row r="513" spans="1:11">
      <c r="B513" s="16">
        <v>39</v>
      </c>
      <c r="C513" s="9"/>
      <c r="D513" s="271"/>
      <c r="E513" s="263"/>
      <c r="F513" s="263"/>
      <c r="G513" s="263"/>
      <c r="H513" s="263"/>
      <c r="I513" s="263"/>
      <c r="J513" s="263"/>
      <c r="K513" s="267">
        <v>0</v>
      </c>
    </row>
    <row r="514" spans="1:11">
      <c r="B514" s="16">
        <v>39</v>
      </c>
      <c r="C514" s="9"/>
      <c r="D514" s="272" t="s">
        <v>3674</v>
      </c>
      <c r="E514" s="273">
        <v>21</v>
      </c>
      <c r="F514" s="273">
        <v>8</v>
      </c>
      <c r="G514" s="273">
        <v>3</v>
      </c>
      <c r="H514" s="273">
        <v>4</v>
      </c>
      <c r="I514" s="273">
        <v>4</v>
      </c>
      <c r="J514" s="273">
        <v>10</v>
      </c>
      <c r="K514" s="273">
        <v>50</v>
      </c>
    </row>
    <row r="515" spans="1:11">
      <c r="A515" s="9" t="s">
        <v>12126</v>
      </c>
      <c r="B515" s="16">
        <v>47</v>
      </c>
      <c r="C515" s="9"/>
      <c r="D515" s="271" t="s">
        <v>9479</v>
      </c>
      <c r="E515" s="263">
        <v>0</v>
      </c>
      <c r="F515" s="263">
        <v>4</v>
      </c>
      <c r="G515" s="263">
        <v>0</v>
      </c>
      <c r="H515" s="263">
        <v>0</v>
      </c>
      <c r="I515" s="263">
        <v>0</v>
      </c>
      <c r="J515" s="263">
        <v>0</v>
      </c>
      <c r="K515" s="267">
        <v>4</v>
      </c>
    </row>
    <row r="516" spans="1:11">
      <c r="A516" s="9" t="s">
        <v>12127</v>
      </c>
      <c r="B516" s="16">
        <v>47</v>
      </c>
      <c r="C516" s="9"/>
      <c r="D516" s="271" t="s">
        <v>9480</v>
      </c>
      <c r="E516" s="263">
        <v>0</v>
      </c>
      <c r="F516" s="263">
        <v>0</v>
      </c>
      <c r="G516" s="263">
        <v>5</v>
      </c>
      <c r="H516" s="263">
        <v>0</v>
      </c>
      <c r="I516" s="263">
        <v>0</v>
      </c>
      <c r="J516" s="263">
        <v>0</v>
      </c>
      <c r="K516" s="267">
        <v>5</v>
      </c>
    </row>
    <row r="517" spans="1:11">
      <c r="A517" s="9" t="s">
        <v>12128</v>
      </c>
      <c r="B517" s="16">
        <v>47</v>
      </c>
      <c r="C517" s="9"/>
      <c r="D517" s="271" t="s">
        <v>9481</v>
      </c>
      <c r="E517" s="263">
        <v>0</v>
      </c>
      <c r="F517" s="263">
        <v>0</v>
      </c>
      <c r="G517" s="263">
        <v>0</v>
      </c>
      <c r="H517" s="263">
        <v>5</v>
      </c>
      <c r="I517" s="263">
        <v>0</v>
      </c>
      <c r="J517" s="263">
        <v>0</v>
      </c>
      <c r="K517" s="267">
        <v>5</v>
      </c>
    </row>
    <row r="518" spans="1:11">
      <c r="A518" s="9" t="s">
        <v>12129</v>
      </c>
      <c r="B518" s="16">
        <v>47</v>
      </c>
      <c r="C518" s="9"/>
      <c r="D518" s="271" t="s">
        <v>9482</v>
      </c>
      <c r="E518" s="263">
        <v>0</v>
      </c>
      <c r="F518" s="263">
        <v>0</v>
      </c>
      <c r="G518" s="263">
        <v>0</v>
      </c>
      <c r="H518" s="263">
        <v>4</v>
      </c>
      <c r="I518" s="263">
        <v>0</v>
      </c>
      <c r="J518" s="263">
        <v>0</v>
      </c>
      <c r="K518" s="267">
        <v>4</v>
      </c>
    </row>
    <row r="519" spans="1:11">
      <c r="A519" s="9" t="s">
        <v>12130</v>
      </c>
      <c r="B519" s="16">
        <v>47</v>
      </c>
      <c r="C519" s="9"/>
      <c r="D519" s="271" t="s">
        <v>9483</v>
      </c>
      <c r="E519" s="263">
        <v>0</v>
      </c>
      <c r="F519" s="263">
        <v>0</v>
      </c>
      <c r="G519" s="263">
        <v>0</v>
      </c>
      <c r="H519" s="263">
        <v>5</v>
      </c>
      <c r="I519" s="263">
        <v>0</v>
      </c>
      <c r="J519" s="263">
        <v>0</v>
      </c>
      <c r="K519" s="267">
        <v>5</v>
      </c>
    </row>
    <row r="520" spans="1:11">
      <c r="A520" s="9" t="s">
        <v>12131</v>
      </c>
      <c r="B520" s="16">
        <v>47</v>
      </c>
      <c r="C520" s="9"/>
      <c r="D520" s="271" t="s">
        <v>9484</v>
      </c>
      <c r="E520" s="263">
        <v>0</v>
      </c>
      <c r="F520" s="263">
        <v>0</v>
      </c>
      <c r="G520" s="263">
        <v>0</v>
      </c>
      <c r="H520" s="263">
        <v>5</v>
      </c>
      <c r="I520" s="263">
        <v>0</v>
      </c>
      <c r="J520" s="263">
        <v>0</v>
      </c>
      <c r="K520" s="267">
        <v>5</v>
      </c>
    </row>
    <row r="521" spans="1:11">
      <c r="A521" s="9" t="s">
        <v>12132</v>
      </c>
      <c r="B521" s="16">
        <v>47</v>
      </c>
      <c r="C521" s="9"/>
      <c r="D521" s="271" t="s">
        <v>9485</v>
      </c>
      <c r="E521" s="263">
        <v>0</v>
      </c>
      <c r="F521" s="263">
        <v>0</v>
      </c>
      <c r="G521" s="263">
        <v>0</v>
      </c>
      <c r="H521" s="263">
        <v>0</v>
      </c>
      <c r="I521" s="263">
        <v>0</v>
      </c>
      <c r="J521" s="263">
        <v>2</v>
      </c>
      <c r="K521" s="267">
        <v>2</v>
      </c>
    </row>
    <row r="522" spans="1:11">
      <c r="A522" s="9" t="s">
        <v>12133</v>
      </c>
      <c r="B522" s="16">
        <v>47</v>
      </c>
      <c r="C522" s="9"/>
      <c r="D522" s="271" t="s">
        <v>9486</v>
      </c>
      <c r="E522" s="263">
        <v>0</v>
      </c>
      <c r="F522" s="263">
        <v>0</v>
      </c>
      <c r="G522" s="263">
        <v>0</v>
      </c>
      <c r="H522" s="263">
        <v>0</v>
      </c>
      <c r="I522" s="263">
        <v>0</v>
      </c>
      <c r="J522" s="263">
        <v>4</v>
      </c>
      <c r="K522" s="267">
        <v>4</v>
      </c>
    </row>
    <row r="523" spans="1:11">
      <c r="A523" s="9" t="s">
        <v>12134</v>
      </c>
      <c r="B523" s="16">
        <v>47</v>
      </c>
      <c r="C523" s="9"/>
      <c r="D523" s="271" t="s">
        <v>9487</v>
      </c>
      <c r="E523" s="263">
        <v>0</v>
      </c>
      <c r="F523" s="263">
        <v>0</v>
      </c>
      <c r="G523" s="263">
        <v>0</v>
      </c>
      <c r="H523" s="263">
        <v>0</v>
      </c>
      <c r="I523" s="263">
        <v>0</v>
      </c>
      <c r="J523" s="263">
        <v>4</v>
      </c>
      <c r="K523" s="267">
        <v>4</v>
      </c>
    </row>
    <row r="524" spans="1:11">
      <c r="A524" s="9" t="s">
        <v>12135</v>
      </c>
      <c r="B524" s="16">
        <v>47</v>
      </c>
      <c r="C524" s="9"/>
      <c r="D524" s="271" t="s">
        <v>9488</v>
      </c>
      <c r="E524" s="263">
        <v>0</v>
      </c>
      <c r="F524" s="263">
        <v>0</v>
      </c>
      <c r="G524" s="263">
        <v>0</v>
      </c>
      <c r="H524" s="263">
        <v>0</v>
      </c>
      <c r="I524" s="263">
        <v>0</v>
      </c>
      <c r="J524" s="263">
        <v>3</v>
      </c>
      <c r="K524" s="267">
        <v>3</v>
      </c>
    </row>
    <row r="525" spans="1:11">
      <c r="A525" s="9" t="s">
        <v>12136</v>
      </c>
      <c r="B525" s="16">
        <v>47</v>
      </c>
      <c r="C525" s="9"/>
      <c r="D525" s="271" t="s">
        <v>9489</v>
      </c>
      <c r="E525" s="263">
        <v>0</v>
      </c>
      <c r="F525" s="263">
        <v>0</v>
      </c>
      <c r="G525" s="263">
        <v>0</v>
      </c>
      <c r="H525" s="263">
        <v>0</v>
      </c>
      <c r="I525" s="263">
        <v>0</v>
      </c>
      <c r="J525" s="263">
        <v>5</v>
      </c>
      <c r="K525" s="267">
        <v>5</v>
      </c>
    </row>
    <row r="526" spans="1:11">
      <c r="A526" s="9" t="s">
        <v>12137</v>
      </c>
      <c r="B526" s="16">
        <v>47</v>
      </c>
      <c r="C526" s="9"/>
      <c r="D526" s="271" t="s">
        <v>9490</v>
      </c>
      <c r="E526" s="263">
        <v>0</v>
      </c>
      <c r="F526" s="263">
        <v>0</v>
      </c>
      <c r="G526" s="263">
        <v>0</v>
      </c>
      <c r="H526" s="263">
        <v>0</v>
      </c>
      <c r="I526" s="263">
        <v>0</v>
      </c>
      <c r="J526" s="263">
        <v>4</v>
      </c>
      <c r="K526" s="267">
        <v>4</v>
      </c>
    </row>
    <row r="527" spans="1:11">
      <c r="B527" s="16">
        <v>47</v>
      </c>
      <c r="C527" s="9"/>
      <c r="D527" s="271"/>
      <c r="E527" s="263"/>
      <c r="F527" s="263"/>
      <c r="G527" s="263"/>
      <c r="H527" s="263"/>
      <c r="I527" s="263"/>
      <c r="J527" s="263"/>
      <c r="K527" s="267">
        <v>0</v>
      </c>
    </row>
    <row r="528" spans="1:11">
      <c r="B528" s="16">
        <v>47</v>
      </c>
      <c r="C528" s="9"/>
      <c r="D528" s="272" t="s">
        <v>3674</v>
      </c>
      <c r="E528" s="273">
        <v>0</v>
      </c>
      <c r="F528" s="273">
        <v>4</v>
      </c>
      <c r="G528" s="273">
        <v>5</v>
      </c>
      <c r="H528" s="273">
        <v>19</v>
      </c>
      <c r="I528" s="273">
        <v>0</v>
      </c>
      <c r="J528" s="273">
        <v>22</v>
      </c>
      <c r="K528" s="273">
        <v>50</v>
      </c>
    </row>
    <row r="529" spans="1:11">
      <c r="C529" s="9"/>
      <c r="D529" s="271"/>
      <c r="E529" s="263"/>
      <c r="F529" s="263"/>
      <c r="G529" s="263"/>
      <c r="H529" s="263"/>
      <c r="I529" s="263"/>
      <c r="J529" s="263"/>
      <c r="K529" s="267">
        <v>0</v>
      </c>
    </row>
    <row r="530" spans="1:11">
      <c r="A530" s="9" t="s">
        <v>12138</v>
      </c>
      <c r="B530" s="16">
        <v>48</v>
      </c>
      <c r="C530" s="9"/>
      <c r="D530" s="271" t="s">
        <v>9491</v>
      </c>
      <c r="E530" s="263">
        <v>3</v>
      </c>
      <c r="F530" s="263">
        <v>0</v>
      </c>
      <c r="G530" s="263">
        <v>0</v>
      </c>
      <c r="H530" s="263">
        <v>0</v>
      </c>
      <c r="I530" s="263">
        <v>0</v>
      </c>
      <c r="J530" s="263">
        <v>0</v>
      </c>
      <c r="K530" s="267">
        <v>3</v>
      </c>
    </row>
    <row r="531" spans="1:11">
      <c r="A531" s="9" t="s">
        <v>12139</v>
      </c>
      <c r="B531" s="16">
        <v>48</v>
      </c>
      <c r="C531" s="9"/>
      <c r="D531" s="271" t="s">
        <v>9492</v>
      </c>
      <c r="E531" s="263">
        <v>5</v>
      </c>
      <c r="F531" s="263">
        <v>0</v>
      </c>
      <c r="G531" s="263">
        <v>0</v>
      </c>
      <c r="H531" s="263">
        <v>0</v>
      </c>
      <c r="I531" s="263">
        <v>0</v>
      </c>
      <c r="J531" s="263">
        <v>0</v>
      </c>
      <c r="K531" s="267">
        <v>5</v>
      </c>
    </row>
    <row r="532" spans="1:11">
      <c r="A532" s="9" t="s">
        <v>12140</v>
      </c>
      <c r="B532" s="16">
        <v>48</v>
      </c>
      <c r="C532" s="9"/>
      <c r="D532" s="271" t="s">
        <v>9493</v>
      </c>
      <c r="E532" s="263">
        <v>5</v>
      </c>
      <c r="F532" s="263">
        <v>0</v>
      </c>
      <c r="G532" s="263">
        <v>0</v>
      </c>
      <c r="H532" s="263">
        <v>0</v>
      </c>
      <c r="I532" s="263">
        <v>0</v>
      </c>
      <c r="J532" s="263">
        <v>0</v>
      </c>
      <c r="K532" s="267">
        <v>5</v>
      </c>
    </row>
    <row r="533" spans="1:11">
      <c r="A533" s="9" t="s">
        <v>12141</v>
      </c>
      <c r="B533" s="16">
        <v>48</v>
      </c>
      <c r="C533" s="9"/>
      <c r="D533" s="271" t="s">
        <v>9494</v>
      </c>
      <c r="E533" s="263">
        <v>0</v>
      </c>
      <c r="F533" s="263">
        <v>3</v>
      </c>
      <c r="G533" s="263">
        <v>0</v>
      </c>
      <c r="H533" s="263">
        <v>0</v>
      </c>
      <c r="I533" s="263">
        <v>0</v>
      </c>
      <c r="J533" s="263">
        <v>0</v>
      </c>
      <c r="K533" s="267">
        <v>3</v>
      </c>
    </row>
    <row r="534" spans="1:11">
      <c r="A534" s="9" t="s">
        <v>12142</v>
      </c>
      <c r="B534" s="16">
        <v>48</v>
      </c>
      <c r="C534" s="9"/>
      <c r="D534" s="271" t="s">
        <v>9495</v>
      </c>
      <c r="E534" s="263">
        <v>0</v>
      </c>
      <c r="F534" s="263">
        <v>0</v>
      </c>
      <c r="G534" s="263">
        <v>5</v>
      </c>
      <c r="H534" s="263">
        <v>0</v>
      </c>
      <c r="I534" s="263">
        <v>0</v>
      </c>
      <c r="J534" s="263">
        <v>0</v>
      </c>
      <c r="K534" s="267">
        <v>5</v>
      </c>
    </row>
    <row r="535" spans="1:11">
      <c r="A535" s="9" t="s">
        <v>12143</v>
      </c>
      <c r="B535" s="16">
        <v>48</v>
      </c>
      <c r="C535" s="9"/>
      <c r="D535" s="271" t="s">
        <v>9496</v>
      </c>
      <c r="E535" s="263">
        <v>0</v>
      </c>
      <c r="F535" s="263">
        <v>0</v>
      </c>
      <c r="G535" s="263">
        <v>3</v>
      </c>
      <c r="H535" s="263">
        <v>0</v>
      </c>
      <c r="I535" s="263">
        <v>0</v>
      </c>
      <c r="J535" s="263">
        <v>0</v>
      </c>
      <c r="K535" s="267">
        <v>3</v>
      </c>
    </row>
    <row r="536" spans="1:11">
      <c r="A536" s="9" t="s">
        <v>12144</v>
      </c>
      <c r="B536" s="16">
        <v>48</v>
      </c>
      <c r="C536" s="9"/>
      <c r="D536" s="271" t="s">
        <v>9497</v>
      </c>
      <c r="E536" s="263">
        <v>0</v>
      </c>
      <c r="F536" s="263">
        <v>0</v>
      </c>
      <c r="G536" s="263">
        <v>0</v>
      </c>
      <c r="H536" s="263">
        <v>3</v>
      </c>
      <c r="I536" s="263">
        <v>0</v>
      </c>
      <c r="J536" s="263">
        <v>0</v>
      </c>
      <c r="K536" s="267">
        <v>3</v>
      </c>
    </row>
    <row r="537" spans="1:11">
      <c r="A537" s="9" t="s">
        <v>12145</v>
      </c>
      <c r="B537" s="16">
        <v>48</v>
      </c>
      <c r="C537" s="9"/>
      <c r="D537" s="271" t="s">
        <v>9498</v>
      </c>
      <c r="E537" s="263">
        <v>0</v>
      </c>
      <c r="F537" s="263">
        <v>0</v>
      </c>
      <c r="G537" s="263">
        <v>0</v>
      </c>
      <c r="H537" s="263">
        <v>0</v>
      </c>
      <c r="I537" s="263">
        <v>0</v>
      </c>
      <c r="J537" s="263">
        <v>3</v>
      </c>
      <c r="K537" s="267">
        <v>3</v>
      </c>
    </row>
    <row r="538" spans="1:11">
      <c r="A538" s="9" t="s">
        <v>12146</v>
      </c>
      <c r="B538" s="16">
        <v>48</v>
      </c>
      <c r="C538" s="9"/>
      <c r="D538" s="271" t="s">
        <v>9499</v>
      </c>
      <c r="E538" s="263">
        <v>0</v>
      </c>
      <c r="F538" s="263">
        <v>0</v>
      </c>
      <c r="G538" s="263">
        <v>0</v>
      </c>
      <c r="H538" s="263">
        <v>0</v>
      </c>
      <c r="I538" s="263">
        <v>0</v>
      </c>
      <c r="J538" s="263">
        <v>5</v>
      </c>
      <c r="K538" s="267">
        <v>5</v>
      </c>
    </row>
    <row r="539" spans="1:11">
      <c r="A539" s="9" t="s">
        <v>12147</v>
      </c>
      <c r="B539" s="16">
        <v>48</v>
      </c>
      <c r="C539" s="9"/>
      <c r="D539" s="271" t="s">
        <v>9500</v>
      </c>
      <c r="E539" s="263">
        <v>0</v>
      </c>
      <c r="F539" s="263">
        <v>0</v>
      </c>
      <c r="G539" s="263">
        <v>0</v>
      </c>
      <c r="H539" s="263">
        <v>0</v>
      </c>
      <c r="I539" s="263">
        <v>0</v>
      </c>
      <c r="J539" s="263">
        <v>5</v>
      </c>
      <c r="K539" s="267">
        <v>5</v>
      </c>
    </row>
    <row r="540" spans="1:11">
      <c r="A540" s="9" t="s">
        <v>12148</v>
      </c>
      <c r="B540" s="16">
        <v>48</v>
      </c>
      <c r="C540" s="9"/>
      <c r="D540" s="271" t="s">
        <v>9501</v>
      </c>
      <c r="E540" s="263">
        <v>0</v>
      </c>
      <c r="F540" s="263">
        <v>0</v>
      </c>
      <c r="G540" s="263">
        <v>0</v>
      </c>
      <c r="H540" s="263">
        <v>0</v>
      </c>
      <c r="I540" s="263">
        <v>0</v>
      </c>
      <c r="J540" s="263">
        <v>5</v>
      </c>
      <c r="K540" s="267">
        <v>5</v>
      </c>
    </row>
    <row r="541" spans="1:11">
      <c r="A541" s="9" t="s">
        <v>12149</v>
      </c>
      <c r="B541" s="16">
        <v>48</v>
      </c>
      <c r="C541" s="9"/>
      <c r="D541" s="271" t="s">
        <v>9502</v>
      </c>
      <c r="E541" s="263">
        <v>0</v>
      </c>
      <c r="F541" s="263">
        <v>0</v>
      </c>
      <c r="G541" s="263">
        <v>0</v>
      </c>
      <c r="H541" s="263">
        <v>0</v>
      </c>
      <c r="I541" s="263">
        <v>5</v>
      </c>
      <c r="J541" s="263">
        <v>0</v>
      </c>
      <c r="K541" s="267">
        <v>5</v>
      </c>
    </row>
    <row r="542" spans="1:11">
      <c r="B542" s="16">
        <v>48</v>
      </c>
      <c r="C542" s="9"/>
      <c r="D542" s="271"/>
      <c r="E542" s="263"/>
      <c r="F542" s="263"/>
      <c r="G542" s="263"/>
      <c r="H542" s="263"/>
      <c r="I542" s="263"/>
      <c r="J542" s="263"/>
      <c r="K542" s="267">
        <v>0</v>
      </c>
    </row>
    <row r="543" spans="1:11">
      <c r="B543" s="16">
        <v>48</v>
      </c>
      <c r="C543" s="9"/>
      <c r="D543" s="272" t="s">
        <v>3674</v>
      </c>
      <c r="E543" s="273">
        <v>13</v>
      </c>
      <c r="F543" s="273">
        <v>3</v>
      </c>
      <c r="G543" s="273">
        <v>8</v>
      </c>
      <c r="H543" s="273">
        <v>3</v>
      </c>
      <c r="I543" s="273">
        <v>5</v>
      </c>
      <c r="J543" s="273">
        <v>18</v>
      </c>
      <c r="K543" s="273">
        <v>50</v>
      </c>
    </row>
    <row r="544" spans="1:11">
      <c r="C544" s="9"/>
      <c r="D544" s="271"/>
      <c r="E544" s="263"/>
      <c r="F544" s="263"/>
      <c r="G544" s="263"/>
      <c r="H544" s="263"/>
      <c r="I544" s="263"/>
      <c r="J544" s="263"/>
      <c r="K544" s="267">
        <v>0</v>
      </c>
    </row>
    <row r="545" spans="1:11">
      <c r="A545" s="9" t="s">
        <v>12150</v>
      </c>
      <c r="B545" s="16">
        <v>59</v>
      </c>
      <c r="C545" s="9"/>
      <c r="D545" s="271" t="s">
        <v>9503</v>
      </c>
      <c r="E545" s="263">
        <v>3</v>
      </c>
      <c r="F545" s="263">
        <v>0</v>
      </c>
      <c r="G545" s="263">
        <v>0</v>
      </c>
      <c r="H545" s="263">
        <v>0</v>
      </c>
      <c r="I545" s="263">
        <v>0</v>
      </c>
      <c r="J545" s="263">
        <v>0</v>
      </c>
      <c r="K545" s="267">
        <v>3</v>
      </c>
    </row>
    <row r="546" spans="1:11">
      <c r="A546" s="9" t="s">
        <v>12151</v>
      </c>
      <c r="B546" s="16">
        <v>59</v>
      </c>
      <c r="C546" s="9"/>
      <c r="D546" s="271" t="s">
        <v>9504</v>
      </c>
      <c r="E546" s="263">
        <v>5</v>
      </c>
      <c r="F546" s="263">
        <v>0</v>
      </c>
      <c r="G546" s="263">
        <v>0</v>
      </c>
      <c r="H546" s="263">
        <v>0</v>
      </c>
      <c r="I546" s="263">
        <v>0</v>
      </c>
      <c r="J546" s="263">
        <v>0</v>
      </c>
      <c r="K546" s="267">
        <v>5</v>
      </c>
    </row>
    <row r="547" spans="1:11">
      <c r="A547" s="9" t="s">
        <v>12152</v>
      </c>
      <c r="B547" s="16">
        <v>59</v>
      </c>
      <c r="C547" s="9"/>
      <c r="D547" s="271" t="s">
        <v>9505</v>
      </c>
      <c r="E547" s="263">
        <v>0</v>
      </c>
      <c r="F547" s="263">
        <v>2</v>
      </c>
      <c r="G547" s="263">
        <v>0</v>
      </c>
      <c r="H547" s="263">
        <v>0</v>
      </c>
      <c r="I547" s="263">
        <v>0</v>
      </c>
      <c r="J547" s="263">
        <v>0</v>
      </c>
      <c r="K547" s="267">
        <v>2</v>
      </c>
    </row>
    <row r="548" spans="1:11">
      <c r="A548" s="9" t="s">
        <v>12153</v>
      </c>
      <c r="B548" s="16">
        <v>59</v>
      </c>
      <c r="C548" s="9"/>
      <c r="D548" s="271" t="s">
        <v>9506</v>
      </c>
      <c r="E548" s="263">
        <v>0</v>
      </c>
      <c r="F548" s="263">
        <v>4</v>
      </c>
      <c r="G548" s="263">
        <v>0</v>
      </c>
      <c r="H548" s="263">
        <v>0</v>
      </c>
      <c r="I548" s="263">
        <v>0</v>
      </c>
      <c r="J548" s="263">
        <v>0</v>
      </c>
      <c r="K548" s="267">
        <v>4</v>
      </c>
    </row>
    <row r="549" spans="1:11">
      <c r="A549" s="9" t="s">
        <v>12154</v>
      </c>
      <c r="B549" s="16">
        <v>59</v>
      </c>
      <c r="C549" s="9"/>
      <c r="D549" s="271" t="s">
        <v>9507</v>
      </c>
      <c r="E549" s="263">
        <v>0</v>
      </c>
      <c r="F549" s="263">
        <v>3</v>
      </c>
      <c r="G549" s="263">
        <v>0</v>
      </c>
      <c r="H549" s="263">
        <v>0</v>
      </c>
      <c r="I549" s="263">
        <v>0</v>
      </c>
      <c r="J549" s="263">
        <v>0</v>
      </c>
      <c r="K549" s="267">
        <v>3</v>
      </c>
    </row>
    <row r="550" spans="1:11">
      <c r="A550" s="9" t="s">
        <v>12155</v>
      </c>
      <c r="B550" s="16">
        <v>59</v>
      </c>
      <c r="C550" s="9"/>
      <c r="D550" s="271" t="s">
        <v>9508</v>
      </c>
      <c r="E550" s="263">
        <v>0</v>
      </c>
      <c r="F550" s="263">
        <v>0</v>
      </c>
      <c r="G550" s="263">
        <v>5</v>
      </c>
      <c r="H550" s="263">
        <v>0</v>
      </c>
      <c r="I550" s="263">
        <v>0</v>
      </c>
      <c r="J550" s="263">
        <v>0</v>
      </c>
      <c r="K550" s="267">
        <v>5</v>
      </c>
    </row>
    <row r="551" spans="1:11">
      <c r="A551" s="9" t="s">
        <v>12156</v>
      </c>
      <c r="B551" s="16">
        <v>59</v>
      </c>
      <c r="C551" s="9"/>
      <c r="D551" s="271" t="s">
        <v>9509</v>
      </c>
      <c r="E551" s="263">
        <v>0</v>
      </c>
      <c r="F551" s="263">
        <v>0</v>
      </c>
      <c r="G551" s="263">
        <v>0</v>
      </c>
      <c r="H551" s="263">
        <v>5</v>
      </c>
      <c r="I551" s="263">
        <v>0</v>
      </c>
      <c r="J551" s="263">
        <v>0</v>
      </c>
      <c r="K551" s="267">
        <v>5</v>
      </c>
    </row>
    <row r="552" spans="1:11">
      <c r="A552" s="9" t="s">
        <v>12157</v>
      </c>
      <c r="B552" s="16">
        <v>59</v>
      </c>
      <c r="C552" s="9"/>
      <c r="D552" s="271" t="s">
        <v>9510</v>
      </c>
      <c r="E552" s="263">
        <v>0</v>
      </c>
      <c r="F552" s="263">
        <v>0</v>
      </c>
      <c r="G552" s="263">
        <v>0</v>
      </c>
      <c r="H552" s="263">
        <v>5</v>
      </c>
      <c r="I552" s="263">
        <v>0</v>
      </c>
      <c r="J552" s="263">
        <v>0</v>
      </c>
      <c r="K552" s="267">
        <v>5</v>
      </c>
    </row>
    <row r="553" spans="1:11">
      <c r="A553" s="9" t="s">
        <v>12158</v>
      </c>
      <c r="B553" s="16">
        <v>59</v>
      </c>
      <c r="C553" s="9"/>
      <c r="D553" s="271" t="s">
        <v>9511</v>
      </c>
      <c r="E553" s="263">
        <v>0</v>
      </c>
      <c r="F553" s="263">
        <v>0</v>
      </c>
      <c r="G553" s="263">
        <v>0</v>
      </c>
      <c r="H553" s="263">
        <v>0</v>
      </c>
      <c r="I553" s="263">
        <v>0</v>
      </c>
      <c r="J553" s="263">
        <v>3</v>
      </c>
      <c r="K553" s="267">
        <v>3</v>
      </c>
    </row>
    <row r="554" spans="1:11">
      <c r="A554" s="9" t="s">
        <v>12159</v>
      </c>
      <c r="B554" s="16">
        <v>59</v>
      </c>
      <c r="C554" s="9"/>
      <c r="D554" s="271" t="s">
        <v>9512</v>
      </c>
      <c r="E554" s="263">
        <v>0</v>
      </c>
      <c r="F554" s="263">
        <v>0</v>
      </c>
      <c r="G554" s="263">
        <v>0</v>
      </c>
      <c r="H554" s="263">
        <v>0</v>
      </c>
      <c r="I554" s="263">
        <v>0</v>
      </c>
      <c r="J554" s="263">
        <v>5</v>
      </c>
      <c r="K554" s="267">
        <v>5</v>
      </c>
    </row>
    <row r="555" spans="1:11">
      <c r="A555" s="9" t="s">
        <v>12160</v>
      </c>
      <c r="B555" s="16">
        <v>59</v>
      </c>
      <c r="C555" s="9"/>
      <c r="D555" s="271" t="s">
        <v>9513</v>
      </c>
      <c r="E555" s="263">
        <v>0</v>
      </c>
      <c r="F555" s="263">
        <v>0</v>
      </c>
      <c r="G555" s="263">
        <v>0</v>
      </c>
      <c r="H555" s="263">
        <v>0</v>
      </c>
      <c r="I555" s="263">
        <v>0</v>
      </c>
      <c r="J555" s="263">
        <v>5</v>
      </c>
      <c r="K555" s="267">
        <v>5</v>
      </c>
    </row>
    <row r="556" spans="1:11">
      <c r="A556" s="9" t="s">
        <v>12161</v>
      </c>
      <c r="B556" s="16">
        <v>59</v>
      </c>
      <c r="C556" s="9"/>
      <c r="D556" s="271" t="s">
        <v>9514</v>
      </c>
      <c r="E556" s="263">
        <v>0</v>
      </c>
      <c r="F556" s="263">
        <v>0</v>
      </c>
      <c r="G556" s="263">
        <v>0</v>
      </c>
      <c r="H556" s="263">
        <v>0</v>
      </c>
      <c r="I556" s="263">
        <v>0</v>
      </c>
      <c r="J556" s="263">
        <v>2</v>
      </c>
      <c r="K556" s="267">
        <v>2</v>
      </c>
    </row>
    <row r="557" spans="1:11">
      <c r="A557" s="9" t="s">
        <v>12162</v>
      </c>
      <c r="B557" s="16">
        <v>59</v>
      </c>
      <c r="C557" s="9"/>
      <c r="D557" s="271" t="s">
        <v>9515</v>
      </c>
      <c r="E557" s="263">
        <v>0</v>
      </c>
      <c r="F557" s="263">
        <v>0</v>
      </c>
      <c r="G557" s="263">
        <v>0</v>
      </c>
      <c r="H557" s="263">
        <v>0</v>
      </c>
      <c r="I557" s="263">
        <v>3</v>
      </c>
      <c r="J557" s="263">
        <v>0</v>
      </c>
      <c r="K557" s="267">
        <v>3</v>
      </c>
    </row>
    <row r="558" spans="1:11">
      <c r="B558" s="16">
        <v>59</v>
      </c>
      <c r="C558" s="9"/>
      <c r="D558" s="271"/>
      <c r="E558" s="263"/>
      <c r="F558" s="263"/>
      <c r="G558" s="263"/>
      <c r="H558" s="263"/>
      <c r="I558" s="263"/>
      <c r="J558" s="263"/>
      <c r="K558" s="267">
        <v>0</v>
      </c>
    </row>
    <row r="559" spans="1:11">
      <c r="B559" s="16">
        <v>59</v>
      </c>
      <c r="C559" s="9"/>
      <c r="D559" s="272" t="s">
        <v>3674</v>
      </c>
      <c r="E559" s="273">
        <v>8</v>
      </c>
      <c r="F559" s="273">
        <v>9</v>
      </c>
      <c r="G559" s="273">
        <v>5</v>
      </c>
      <c r="H559" s="273">
        <v>10</v>
      </c>
      <c r="I559" s="273">
        <v>3</v>
      </c>
      <c r="J559" s="273">
        <v>15</v>
      </c>
      <c r="K559" s="273">
        <v>50</v>
      </c>
    </row>
    <row r="560" spans="1:11">
      <c r="C560" s="9"/>
      <c r="D560" s="271"/>
      <c r="E560" s="263"/>
      <c r="F560" s="263"/>
      <c r="G560" s="263"/>
      <c r="H560" s="263"/>
      <c r="I560" s="263"/>
      <c r="J560" s="263"/>
      <c r="K560" s="267">
        <v>0</v>
      </c>
    </row>
    <row r="561" spans="1:11">
      <c r="A561" s="9" t="s">
        <v>12163</v>
      </c>
      <c r="B561" s="16">
        <v>60</v>
      </c>
      <c r="C561" s="9"/>
      <c r="D561" s="271" t="s">
        <v>9516</v>
      </c>
      <c r="E561" s="263">
        <v>5</v>
      </c>
      <c r="F561" s="263">
        <v>0</v>
      </c>
      <c r="G561" s="263">
        <v>0</v>
      </c>
      <c r="H561" s="263">
        <v>0</v>
      </c>
      <c r="I561" s="263">
        <v>0</v>
      </c>
      <c r="J561" s="263">
        <v>0</v>
      </c>
      <c r="K561" s="267">
        <v>5</v>
      </c>
    </row>
    <row r="562" spans="1:11">
      <c r="A562" s="9" t="s">
        <v>12164</v>
      </c>
      <c r="B562" s="16">
        <v>60</v>
      </c>
      <c r="C562" s="9"/>
      <c r="D562" s="271" t="s">
        <v>9517</v>
      </c>
      <c r="E562" s="263">
        <v>5</v>
      </c>
      <c r="F562" s="263">
        <v>0</v>
      </c>
      <c r="G562" s="263">
        <v>0</v>
      </c>
      <c r="H562" s="263">
        <v>0</v>
      </c>
      <c r="I562" s="263">
        <v>0</v>
      </c>
      <c r="J562" s="263">
        <v>0</v>
      </c>
      <c r="K562" s="267">
        <v>5</v>
      </c>
    </row>
    <row r="563" spans="1:11">
      <c r="A563" s="9" t="s">
        <v>12165</v>
      </c>
      <c r="B563" s="16">
        <v>60</v>
      </c>
      <c r="C563" s="9"/>
      <c r="D563" s="271" t="s">
        <v>9518</v>
      </c>
      <c r="E563" s="263">
        <v>5</v>
      </c>
      <c r="F563" s="263">
        <v>0</v>
      </c>
      <c r="G563" s="263">
        <v>0</v>
      </c>
      <c r="H563" s="263">
        <v>0</v>
      </c>
      <c r="I563" s="263">
        <v>0</v>
      </c>
      <c r="J563" s="263">
        <v>0</v>
      </c>
      <c r="K563" s="267">
        <v>5</v>
      </c>
    </row>
    <row r="564" spans="1:11">
      <c r="A564" s="9" t="s">
        <v>12166</v>
      </c>
      <c r="B564" s="16">
        <v>60</v>
      </c>
      <c r="C564" s="9"/>
      <c r="D564" s="271" t="s">
        <v>9519</v>
      </c>
      <c r="E564" s="263">
        <v>0</v>
      </c>
      <c r="F564" s="263">
        <v>4</v>
      </c>
      <c r="G564" s="263">
        <v>0</v>
      </c>
      <c r="H564" s="263">
        <v>0</v>
      </c>
      <c r="I564" s="263">
        <v>0</v>
      </c>
      <c r="J564" s="263">
        <v>0</v>
      </c>
      <c r="K564" s="267">
        <v>4</v>
      </c>
    </row>
    <row r="565" spans="1:11">
      <c r="A565" s="9" t="s">
        <v>12167</v>
      </c>
      <c r="B565" s="16">
        <v>60</v>
      </c>
      <c r="C565" s="9"/>
      <c r="D565" s="271" t="s">
        <v>9520</v>
      </c>
      <c r="E565" s="263">
        <v>0</v>
      </c>
      <c r="F565" s="263">
        <v>0</v>
      </c>
      <c r="G565" s="263">
        <v>3</v>
      </c>
      <c r="H565" s="263">
        <v>0</v>
      </c>
      <c r="I565" s="263">
        <v>0</v>
      </c>
      <c r="J565" s="263">
        <v>0</v>
      </c>
      <c r="K565" s="267">
        <v>3</v>
      </c>
    </row>
    <row r="566" spans="1:11">
      <c r="A566" s="9" t="s">
        <v>12168</v>
      </c>
      <c r="B566" s="16">
        <v>60</v>
      </c>
      <c r="C566" s="9"/>
      <c r="D566" s="271" t="s">
        <v>9521</v>
      </c>
      <c r="E566" s="263">
        <v>0</v>
      </c>
      <c r="F566" s="263">
        <v>0</v>
      </c>
      <c r="G566" s="263">
        <v>0</v>
      </c>
      <c r="H566" s="263">
        <v>5</v>
      </c>
      <c r="I566" s="263">
        <v>0</v>
      </c>
      <c r="J566" s="263">
        <v>0</v>
      </c>
      <c r="K566" s="267">
        <v>5</v>
      </c>
    </row>
    <row r="567" spans="1:11">
      <c r="A567" s="9" t="s">
        <v>12169</v>
      </c>
      <c r="B567" s="16">
        <v>60</v>
      </c>
      <c r="C567" s="9"/>
      <c r="D567" s="271" t="s">
        <v>9522</v>
      </c>
      <c r="E567" s="263">
        <v>0</v>
      </c>
      <c r="F567" s="263">
        <v>0</v>
      </c>
      <c r="G567" s="263">
        <v>0</v>
      </c>
      <c r="H567" s="263">
        <v>5</v>
      </c>
      <c r="I567" s="263">
        <v>0</v>
      </c>
      <c r="J567" s="263">
        <v>0</v>
      </c>
      <c r="K567" s="267">
        <v>5</v>
      </c>
    </row>
    <row r="568" spans="1:11">
      <c r="A568" s="9" t="s">
        <v>12170</v>
      </c>
      <c r="B568" s="16">
        <v>60</v>
      </c>
      <c r="C568" s="9"/>
      <c r="D568" s="271" t="s">
        <v>9523</v>
      </c>
      <c r="E568" s="263">
        <v>0</v>
      </c>
      <c r="F568" s="263">
        <v>0</v>
      </c>
      <c r="G568" s="263">
        <v>0</v>
      </c>
      <c r="H568" s="263">
        <v>0</v>
      </c>
      <c r="I568" s="263">
        <v>0</v>
      </c>
      <c r="J568" s="263">
        <v>5</v>
      </c>
      <c r="K568" s="267">
        <v>5</v>
      </c>
    </row>
    <row r="569" spans="1:11">
      <c r="A569" s="9" t="s">
        <v>12171</v>
      </c>
      <c r="B569" s="16">
        <v>60</v>
      </c>
      <c r="C569" s="9"/>
      <c r="D569" s="271" t="s">
        <v>9524</v>
      </c>
      <c r="E569" s="263">
        <v>0</v>
      </c>
      <c r="F569" s="263">
        <v>0</v>
      </c>
      <c r="G569" s="263">
        <v>0</v>
      </c>
      <c r="H569" s="263">
        <v>0</v>
      </c>
      <c r="I569" s="263">
        <v>0</v>
      </c>
      <c r="J569" s="263">
        <v>4</v>
      </c>
      <c r="K569" s="267">
        <v>4</v>
      </c>
    </row>
    <row r="570" spans="1:11">
      <c r="A570" s="9" t="s">
        <v>12172</v>
      </c>
      <c r="B570" s="16">
        <v>60</v>
      </c>
      <c r="C570" s="9"/>
      <c r="D570" s="271" t="s">
        <v>9525</v>
      </c>
      <c r="E570" s="263">
        <v>0</v>
      </c>
      <c r="F570" s="263">
        <v>0</v>
      </c>
      <c r="G570" s="263">
        <v>0</v>
      </c>
      <c r="H570" s="263">
        <v>0</v>
      </c>
      <c r="I570" s="263">
        <v>0</v>
      </c>
      <c r="J570" s="263">
        <v>4</v>
      </c>
      <c r="K570" s="267">
        <v>4</v>
      </c>
    </row>
    <row r="571" spans="1:11">
      <c r="A571" s="9" t="s">
        <v>12173</v>
      </c>
      <c r="B571" s="16">
        <v>60</v>
      </c>
      <c r="C571" s="9"/>
      <c r="D571" s="271" t="s">
        <v>9526</v>
      </c>
      <c r="E571" s="263">
        <v>0</v>
      </c>
      <c r="F571" s="263">
        <v>0</v>
      </c>
      <c r="G571" s="263">
        <v>0</v>
      </c>
      <c r="H571" s="263">
        <v>0</v>
      </c>
      <c r="I571" s="263">
        <v>0</v>
      </c>
      <c r="J571" s="263">
        <v>5</v>
      </c>
      <c r="K571" s="267">
        <v>5</v>
      </c>
    </row>
    <row r="572" spans="1:11">
      <c r="B572" s="16">
        <v>60</v>
      </c>
      <c r="C572" s="9"/>
      <c r="D572" s="271"/>
      <c r="E572" s="263"/>
      <c r="F572" s="263"/>
      <c r="G572" s="263"/>
      <c r="H572" s="263"/>
      <c r="I572" s="263"/>
      <c r="J572" s="263"/>
      <c r="K572" s="267">
        <v>0</v>
      </c>
    </row>
    <row r="573" spans="1:11">
      <c r="B573" s="16">
        <v>60</v>
      </c>
      <c r="C573" s="9"/>
      <c r="D573" s="272" t="s">
        <v>3674</v>
      </c>
      <c r="E573" s="273">
        <v>15</v>
      </c>
      <c r="F573" s="273">
        <v>4</v>
      </c>
      <c r="G573" s="273">
        <v>3</v>
      </c>
      <c r="H573" s="273">
        <v>10</v>
      </c>
      <c r="I573" s="273">
        <v>0</v>
      </c>
      <c r="J573" s="273">
        <v>18</v>
      </c>
      <c r="K573" s="273">
        <v>50</v>
      </c>
    </row>
    <row r="574" spans="1:11">
      <c r="C574" s="9"/>
      <c r="D574" s="271"/>
      <c r="E574" s="263"/>
      <c r="F574" s="263"/>
      <c r="G574" s="263"/>
      <c r="H574" s="263"/>
      <c r="I574" s="263"/>
      <c r="J574" s="263"/>
      <c r="K574" s="267">
        <v>0</v>
      </c>
    </row>
    <row r="575" spans="1:11">
      <c r="A575" s="9" t="s">
        <v>12174</v>
      </c>
      <c r="B575" s="16">
        <v>65</v>
      </c>
      <c r="C575" s="9"/>
      <c r="D575" s="271" t="s">
        <v>9527</v>
      </c>
      <c r="E575" s="263">
        <v>0</v>
      </c>
      <c r="F575" s="263">
        <v>2</v>
      </c>
      <c r="G575" s="263">
        <v>0</v>
      </c>
      <c r="H575" s="263">
        <v>0</v>
      </c>
      <c r="I575" s="263">
        <v>0</v>
      </c>
      <c r="J575" s="263">
        <v>0</v>
      </c>
      <c r="K575" s="267">
        <v>2</v>
      </c>
    </row>
    <row r="576" spans="1:11">
      <c r="A576" s="9" t="s">
        <v>12175</v>
      </c>
      <c r="B576" s="16">
        <v>65</v>
      </c>
      <c r="C576" s="9"/>
      <c r="D576" s="271" t="s">
        <v>9528</v>
      </c>
      <c r="E576" s="263">
        <v>0</v>
      </c>
      <c r="F576" s="263">
        <v>2</v>
      </c>
      <c r="G576" s="263">
        <v>0</v>
      </c>
      <c r="H576" s="263">
        <v>0</v>
      </c>
      <c r="I576" s="263">
        <v>0</v>
      </c>
      <c r="J576" s="263">
        <v>0</v>
      </c>
      <c r="K576" s="267">
        <v>2</v>
      </c>
    </row>
    <row r="577" spans="1:11">
      <c r="A577" s="9" t="s">
        <v>12176</v>
      </c>
      <c r="B577" s="16">
        <v>65</v>
      </c>
      <c r="C577" s="9"/>
      <c r="D577" s="271" t="s">
        <v>9529</v>
      </c>
      <c r="E577" s="263">
        <v>0</v>
      </c>
      <c r="F577" s="263">
        <v>0</v>
      </c>
      <c r="G577" s="263">
        <v>0</v>
      </c>
      <c r="H577" s="263">
        <v>3</v>
      </c>
      <c r="I577" s="263">
        <v>0</v>
      </c>
      <c r="J577" s="263">
        <v>0</v>
      </c>
      <c r="K577" s="267">
        <v>3</v>
      </c>
    </row>
    <row r="578" spans="1:11">
      <c r="A578" s="9" t="s">
        <v>12177</v>
      </c>
      <c r="B578" s="16">
        <v>65</v>
      </c>
      <c r="C578" s="9"/>
      <c r="D578" s="271" t="s">
        <v>9530</v>
      </c>
      <c r="E578" s="263">
        <v>0</v>
      </c>
      <c r="F578" s="263">
        <v>0</v>
      </c>
      <c r="G578" s="263">
        <v>0</v>
      </c>
      <c r="H578" s="263">
        <v>2</v>
      </c>
      <c r="I578" s="263">
        <v>0</v>
      </c>
      <c r="J578" s="263">
        <v>0</v>
      </c>
      <c r="K578" s="267">
        <v>2</v>
      </c>
    </row>
    <row r="579" spans="1:11">
      <c r="A579" s="9" t="s">
        <v>12178</v>
      </c>
      <c r="B579" s="16">
        <v>65</v>
      </c>
      <c r="C579" s="9"/>
      <c r="D579" s="271" t="s">
        <v>9531</v>
      </c>
      <c r="E579" s="263">
        <v>0</v>
      </c>
      <c r="F579" s="263">
        <v>0</v>
      </c>
      <c r="G579" s="263">
        <v>0</v>
      </c>
      <c r="H579" s="263">
        <v>3</v>
      </c>
      <c r="I579" s="263">
        <v>0</v>
      </c>
      <c r="J579" s="263">
        <v>0</v>
      </c>
      <c r="K579" s="267">
        <v>3</v>
      </c>
    </row>
    <row r="580" spans="1:11">
      <c r="A580" s="9" t="s">
        <v>12179</v>
      </c>
      <c r="B580" s="16">
        <v>65</v>
      </c>
      <c r="C580" s="9"/>
      <c r="D580" s="271" t="s">
        <v>9532</v>
      </c>
      <c r="E580" s="263">
        <v>0</v>
      </c>
      <c r="F580" s="263">
        <v>0</v>
      </c>
      <c r="G580" s="263">
        <v>0</v>
      </c>
      <c r="H580" s="263">
        <v>2</v>
      </c>
      <c r="I580" s="263">
        <v>0</v>
      </c>
      <c r="J580" s="263">
        <v>0</v>
      </c>
      <c r="K580" s="267">
        <v>2</v>
      </c>
    </row>
    <row r="581" spans="1:11">
      <c r="A581" s="9" t="s">
        <v>12180</v>
      </c>
      <c r="B581" s="16">
        <v>65</v>
      </c>
      <c r="C581" s="9"/>
      <c r="D581" s="271" t="s">
        <v>9533</v>
      </c>
      <c r="E581" s="263">
        <v>0</v>
      </c>
      <c r="F581" s="263">
        <v>0</v>
      </c>
      <c r="G581" s="263">
        <v>0</v>
      </c>
      <c r="H581" s="263">
        <v>3</v>
      </c>
      <c r="I581" s="263">
        <v>0</v>
      </c>
      <c r="J581" s="263">
        <v>0</v>
      </c>
      <c r="K581" s="267">
        <v>3</v>
      </c>
    </row>
    <row r="582" spans="1:11">
      <c r="A582" s="9" t="s">
        <v>12181</v>
      </c>
      <c r="B582" s="16">
        <v>65</v>
      </c>
      <c r="C582" s="9"/>
      <c r="D582" s="271" t="s">
        <v>9534</v>
      </c>
      <c r="E582" s="263">
        <v>0</v>
      </c>
      <c r="F582" s="263">
        <v>0</v>
      </c>
      <c r="G582" s="263">
        <v>0</v>
      </c>
      <c r="H582" s="263">
        <v>4</v>
      </c>
      <c r="I582" s="263">
        <v>0</v>
      </c>
      <c r="J582" s="263">
        <v>0</v>
      </c>
      <c r="K582" s="267">
        <v>4</v>
      </c>
    </row>
    <row r="583" spans="1:11">
      <c r="A583" s="9" t="s">
        <v>12182</v>
      </c>
      <c r="B583" s="16">
        <v>65</v>
      </c>
      <c r="C583" s="9"/>
      <c r="D583" s="271" t="s">
        <v>9535</v>
      </c>
      <c r="E583" s="263">
        <v>0</v>
      </c>
      <c r="F583" s="263">
        <v>0</v>
      </c>
      <c r="G583" s="263">
        <v>0</v>
      </c>
      <c r="H583" s="263">
        <v>2</v>
      </c>
      <c r="I583" s="263">
        <v>0</v>
      </c>
      <c r="J583" s="263">
        <v>0</v>
      </c>
      <c r="K583" s="267">
        <v>2</v>
      </c>
    </row>
    <row r="584" spans="1:11">
      <c r="A584" s="9" t="s">
        <v>12183</v>
      </c>
      <c r="B584" s="16">
        <v>65</v>
      </c>
      <c r="C584" s="9"/>
      <c r="D584" s="271" t="s">
        <v>9536</v>
      </c>
      <c r="E584" s="263">
        <v>0</v>
      </c>
      <c r="F584" s="263">
        <v>0</v>
      </c>
      <c r="G584" s="263">
        <v>0</v>
      </c>
      <c r="H584" s="263">
        <v>2</v>
      </c>
      <c r="I584" s="263">
        <v>0</v>
      </c>
      <c r="J584" s="263">
        <v>0</v>
      </c>
      <c r="K584" s="267">
        <v>2</v>
      </c>
    </row>
    <row r="585" spans="1:11">
      <c r="A585" s="9" t="s">
        <v>12184</v>
      </c>
      <c r="B585" s="16">
        <v>65</v>
      </c>
      <c r="C585" s="9"/>
      <c r="D585" s="271" t="s">
        <v>9537</v>
      </c>
      <c r="E585" s="263">
        <v>0</v>
      </c>
      <c r="F585" s="263">
        <v>0</v>
      </c>
      <c r="G585" s="263">
        <v>0</v>
      </c>
      <c r="H585" s="263">
        <v>5</v>
      </c>
      <c r="I585" s="263">
        <v>0</v>
      </c>
      <c r="J585" s="263">
        <v>0</v>
      </c>
      <c r="K585" s="267">
        <v>5</v>
      </c>
    </row>
    <row r="586" spans="1:11">
      <c r="A586" s="9" t="s">
        <v>12185</v>
      </c>
      <c r="B586" s="16">
        <v>65</v>
      </c>
      <c r="C586" s="9"/>
      <c r="D586" s="271" t="s">
        <v>9538</v>
      </c>
      <c r="E586" s="263">
        <v>0</v>
      </c>
      <c r="F586" s="263">
        <v>0</v>
      </c>
      <c r="G586" s="263">
        <v>0</v>
      </c>
      <c r="H586" s="263">
        <v>4</v>
      </c>
      <c r="I586" s="263">
        <v>0</v>
      </c>
      <c r="J586" s="263">
        <v>0</v>
      </c>
      <c r="K586" s="267">
        <v>4</v>
      </c>
    </row>
    <row r="587" spans="1:11">
      <c r="A587" s="9" t="s">
        <v>12186</v>
      </c>
      <c r="B587" s="16">
        <v>65</v>
      </c>
      <c r="C587" s="9"/>
      <c r="D587" s="271" t="s">
        <v>9539</v>
      </c>
      <c r="E587" s="263">
        <v>0</v>
      </c>
      <c r="F587" s="263">
        <v>3</v>
      </c>
      <c r="G587" s="263">
        <v>0</v>
      </c>
      <c r="H587" s="263">
        <v>0</v>
      </c>
      <c r="I587" s="263">
        <v>0</v>
      </c>
      <c r="J587" s="263">
        <v>0</v>
      </c>
      <c r="K587" s="267">
        <v>3</v>
      </c>
    </row>
    <row r="588" spans="1:11">
      <c r="A588" s="9" t="s">
        <v>12187</v>
      </c>
      <c r="B588" s="16">
        <v>65</v>
      </c>
      <c r="C588" s="9"/>
      <c r="D588" s="271" t="s">
        <v>9540</v>
      </c>
      <c r="E588" s="263">
        <v>0</v>
      </c>
      <c r="F588" s="263">
        <v>0</v>
      </c>
      <c r="G588" s="263">
        <v>0</v>
      </c>
      <c r="H588" s="263">
        <v>0</v>
      </c>
      <c r="I588" s="263">
        <v>3</v>
      </c>
      <c r="J588" s="263">
        <v>0</v>
      </c>
      <c r="K588" s="267">
        <v>3</v>
      </c>
    </row>
    <row r="589" spans="1:11" ht="31.5">
      <c r="A589" s="9" t="s">
        <v>12188</v>
      </c>
      <c r="B589" s="16">
        <v>65</v>
      </c>
      <c r="C589" s="9"/>
      <c r="D589" s="271" t="s">
        <v>9541</v>
      </c>
      <c r="E589" s="263">
        <v>0</v>
      </c>
      <c r="F589" s="263">
        <v>0</v>
      </c>
      <c r="G589" s="263">
        <v>0</v>
      </c>
      <c r="H589" s="263">
        <v>0</v>
      </c>
      <c r="I589" s="263">
        <v>0</v>
      </c>
      <c r="J589" s="263">
        <v>3</v>
      </c>
      <c r="K589" s="267">
        <v>3</v>
      </c>
    </row>
    <row r="590" spans="1:11">
      <c r="A590" s="9" t="s">
        <v>12189</v>
      </c>
      <c r="B590" s="16">
        <v>65</v>
      </c>
      <c r="C590" s="9"/>
      <c r="D590" s="271" t="s">
        <v>9542</v>
      </c>
      <c r="E590" s="263">
        <v>0</v>
      </c>
      <c r="F590" s="263">
        <v>0</v>
      </c>
      <c r="G590" s="263">
        <v>0</v>
      </c>
      <c r="H590" s="263">
        <v>0</v>
      </c>
      <c r="I590" s="263">
        <v>0</v>
      </c>
      <c r="J590" s="263">
        <v>3</v>
      </c>
      <c r="K590" s="267">
        <v>3</v>
      </c>
    </row>
    <row r="591" spans="1:11">
      <c r="A591" s="9" t="s">
        <v>12190</v>
      </c>
      <c r="B591" s="16">
        <v>65</v>
      </c>
      <c r="C591" s="9"/>
      <c r="D591" s="271" t="s">
        <v>9543</v>
      </c>
      <c r="E591" s="263">
        <v>0</v>
      </c>
      <c r="F591" s="263">
        <v>0</v>
      </c>
      <c r="G591" s="263">
        <v>0</v>
      </c>
      <c r="H591" s="263">
        <v>0</v>
      </c>
      <c r="I591" s="263">
        <v>0</v>
      </c>
      <c r="J591" s="263">
        <v>4</v>
      </c>
      <c r="K591" s="267">
        <v>4</v>
      </c>
    </row>
    <row r="592" spans="1:11">
      <c r="B592" s="16">
        <v>65</v>
      </c>
      <c r="C592" s="9"/>
      <c r="D592" s="271"/>
      <c r="E592" s="263"/>
      <c r="F592" s="263"/>
      <c r="G592" s="263"/>
      <c r="H592" s="263"/>
      <c r="I592" s="263"/>
      <c r="J592" s="263"/>
      <c r="K592" s="267">
        <v>0</v>
      </c>
    </row>
    <row r="593" spans="1:11">
      <c r="B593" s="16">
        <v>65</v>
      </c>
      <c r="C593" s="9"/>
      <c r="D593" s="272" t="s">
        <v>3674</v>
      </c>
      <c r="E593" s="273">
        <v>0</v>
      </c>
      <c r="F593" s="273">
        <v>7</v>
      </c>
      <c r="G593" s="273">
        <v>0</v>
      </c>
      <c r="H593" s="273">
        <v>30</v>
      </c>
      <c r="I593" s="273">
        <v>3</v>
      </c>
      <c r="J593" s="273">
        <v>10</v>
      </c>
      <c r="K593" s="273">
        <v>50</v>
      </c>
    </row>
    <row r="594" spans="1:11">
      <c r="C594" s="9"/>
      <c r="D594" s="271"/>
      <c r="E594" s="263"/>
      <c r="F594" s="263"/>
      <c r="G594" s="263"/>
      <c r="H594" s="263"/>
      <c r="I594" s="263"/>
      <c r="J594" s="263"/>
      <c r="K594" s="267">
        <v>0</v>
      </c>
    </row>
    <row r="595" spans="1:11">
      <c r="B595" s="16">
        <v>0</v>
      </c>
      <c r="C595" s="9"/>
      <c r="D595" s="269" t="s">
        <v>13082</v>
      </c>
      <c r="E595" s="270">
        <v>57</v>
      </c>
      <c r="F595" s="270">
        <v>35</v>
      </c>
      <c r="G595" s="270">
        <v>24</v>
      </c>
      <c r="H595" s="270">
        <v>76</v>
      </c>
      <c r="I595" s="270">
        <v>15</v>
      </c>
      <c r="J595" s="270">
        <v>93</v>
      </c>
      <c r="K595" s="270">
        <v>300</v>
      </c>
    </row>
    <row r="596" spans="1:11">
      <c r="C596" s="9"/>
      <c r="D596" s="271"/>
      <c r="E596" s="263"/>
      <c r="F596" s="263"/>
      <c r="G596" s="263"/>
      <c r="H596" s="263"/>
      <c r="I596" s="263"/>
      <c r="J596" s="263"/>
      <c r="K596" s="267">
        <v>0</v>
      </c>
    </row>
    <row r="597" spans="1:11">
      <c r="C597" s="9"/>
      <c r="D597" s="271"/>
      <c r="E597" s="263"/>
      <c r="F597" s="263"/>
      <c r="G597" s="263"/>
      <c r="H597" s="263"/>
      <c r="I597" s="263"/>
      <c r="J597" s="263"/>
      <c r="K597" s="267">
        <v>0</v>
      </c>
    </row>
    <row r="598" spans="1:11">
      <c r="C598" s="9"/>
      <c r="D598" s="271" t="s">
        <v>4274</v>
      </c>
      <c r="E598" s="263"/>
      <c r="F598" s="263"/>
      <c r="G598" s="263"/>
      <c r="H598" s="263"/>
      <c r="I598" s="263"/>
      <c r="J598" s="263"/>
      <c r="K598" s="267">
        <v>0</v>
      </c>
    </row>
    <row r="599" spans="1:11">
      <c r="C599" s="9"/>
      <c r="D599" s="271"/>
      <c r="E599" s="263"/>
      <c r="F599" s="263"/>
      <c r="G599" s="263"/>
      <c r="H599" s="263"/>
      <c r="I599" s="263"/>
      <c r="J599" s="263"/>
      <c r="K599" s="267">
        <v>0</v>
      </c>
    </row>
    <row r="600" spans="1:11">
      <c r="A600" s="9" t="s">
        <v>12191</v>
      </c>
      <c r="B600" s="16">
        <v>37</v>
      </c>
      <c r="C600" s="9"/>
      <c r="D600" s="271" t="s">
        <v>8566</v>
      </c>
      <c r="E600" s="263">
        <v>3</v>
      </c>
      <c r="F600" s="263">
        <v>0</v>
      </c>
      <c r="G600" s="263">
        <v>0</v>
      </c>
      <c r="H600" s="263">
        <v>0</v>
      </c>
      <c r="I600" s="263">
        <v>0</v>
      </c>
      <c r="J600" s="263">
        <v>0</v>
      </c>
      <c r="K600" s="267">
        <v>3</v>
      </c>
    </row>
    <row r="601" spans="1:11">
      <c r="A601" s="9" t="s">
        <v>12192</v>
      </c>
      <c r="B601" s="16">
        <v>37</v>
      </c>
      <c r="C601" s="9"/>
      <c r="D601" s="271" t="s">
        <v>8567</v>
      </c>
      <c r="E601" s="263">
        <v>0</v>
      </c>
      <c r="F601" s="263">
        <v>0</v>
      </c>
      <c r="G601" s="263">
        <v>3</v>
      </c>
      <c r="H601" s="263">
        <v>0</v>
      </c>
      <c r="I601" s="263">
        <v>0</v>
      </c>
      <c r="J601" s="263">
        <v>0</v>
      </c>
      <c r="K601" s="267">
        <v>3</v>
      </c>
    </row>
    <row r="602" spans="1:11">
      <c r="A602" s="9" t="s">
        <v>12193</v>
      </c>
      <c r="B602" s="16">
        <v>37</v>
      </c>
      <c r="C602" s="9"/>
      <c r="D602" s="271" t="s">
        <v>8568</v>
      </c>
      <c r="E602" s="263">
        <v>0</v>
      </c>
      <c r="F602" s="263">
        <v>0</v>
      </c>
      <c r="G602" s="263">
        <v>3</v>
      </c>
      <c r="H602" s="263">
        <v>0</v>
      </c>
      <c r="I602" s="263">
        <v>0</v>
      </c>
      <c r="J602" s="263">
        <v>0</v>
      </c>
      <c r="K602" s="267">
        <v>3</v>
      </c>
    </row>
    <row r="603" spans="1:11">
      <c r="A603" s="9" t="s">
        <v>12194</v>
      </c>
      <c r="B603" s="16">
        <v>37</v>
      </c>
      <c r="C603" s="9"/>
      <c r="D603" s="271" t="s">
        <v>8569</v>
      </c>
      <c r="E603" s="263">
        <v>0</v>
      </c>
      <c r="F603" s="263">
        <v>5</v>
      </c>
      <c r="G603" s="263">
        <v>0</v>
      </c>
      <c r="H603" s="263">
        <v>0</v>
      </c>
      <c r="I603" s="263">
        <v>0</v>
      </c>
      <c r="J603" s="263">
        <v>0</v>
      </c>
      <c r="K603" s="267">
        <v>5</v>
      </c>
    </row>
    <row r="604" spans="1:11" ht="31.5">
      <c r="A604" s="9" t="s">
        <v>12195</v>
      </c>
      <c r="B604" s="16">
        <v>37</v>
      </c>
      <c r="C604" s="9"/>
      <c r="D604" s="271" t="s">
        <v>8570</v>
      </c>
      <c r="E604" s="263">
        <v>0</v>
      </c>
      <c r="F604" s="263">
        <v>3</v>
      </c>
      <c r="G604" s="263">
        <v>0</v>
      </c>
      <c r="H604" s="263">
        <v>0</v>
      </c>
      <c r="I604" s="263">
        <v>0</v>
      </c>
      <c r="J604" s="263">
        <v>0</v>
      </c>
      <c r="K604" s="267">
        <v>3</v>
      </c>
    </row>
    <row r="605" spans="1:11" ht="31.5">
      <c r="A605" s="9" t="s">
        <v>12196</v>
      </c>
      <c r="B605" s="16">
        <v>37</v>
      </c>
      <c r="C605" s="9"/>
      <c r="D605" s="271" t="s">
        <v>8571</v>
      </c>
      <c r="E605" s="263">
        <v>3</v>
      </c>
      <c r="F605" s="263">
        <v>0</v>
      </c>
      <c r="G605" s="263">
        <v>0</v>
      </c>
      <c r="H605" s="263">
        <v>0</v>
      </c>
      <c r="I605" s="263">
        <v>0</v>
      </c>
      <c r="J605" s="263">
        <v>0</v>
      </c>
      <c r="K605" s="267">
        <v>3</v>
      </c>
    </row>
    <row r="606" spans="1:11">
      <c r="A606" s="9" t="s">
        <v>12197</v>
      </c>
      <c r="B606" s="16">
        <v>37</v>
      </c>
      <c r="C606" s="9"/>
      <c r="D606" s="271" t="s">
        <v>8572</v>
      </c>
      <c r="E606" s="263">
        <v>0</v>
      </c>
      <c r="F606" s="263">
        <v>0</v>
      </c>
      <c r="G606" s="263">
        <v>5</v>
      </c>
      <c r="H606" s="263">
        <v>0</v>
      </c>
      <c r="I606" s="263">
        <v>0</v>
      </c>
      <c r="J606" s="263">
        <v>0</v>
      </c>
      <c r="K606" s="267">
        <v>5</v>
      </c>
    </row>
    <row r="607" spans="1:11">
      <c r="A607" s="9" t="s">
        <v>12198</v>
      </c>
      <c r="B607" s="16">
        <v>37</v>
      </c>
      <c r="C607" s="9"/>
      <c r="D607" s="271" t="s">
        <v>8573</v>
      </c>
      <c r="E607" s="263">
        <v>0</v>
      </c>
      <c r="F607" s="263">
        <v>0</v>
      </c>
      <c r="G607" s="263">
        <v>3</v>
      </c>
      <c r="H607" s="263">
        <v>0</v>
      </c>
      <c r="I607" s="263">
        <v>0</v>
      </c>
      <c r="J607" s="263">
        <v>0</v>
      </c>
      <c r="K607" s="267">
        <v>3</v>
      </c>
    </row>
    <row r="608" spans="1:11">
      <c r="A608" s="9" t="s">
        <v>12199</v>
      </c>
      <c r="B608" s="16">
        <v>37</v>
      </c>
      <c r="C608" s="9"/>
      <c r="D608" s="271" t="s">
        <v>8574</v>
      </c>
      <c r="E608" s="263">
        <v>0</v>
      </c>
      <c r="F608" s="263">
        <v>0</v>
      </c>
      <c r="G608" s="263">
        <v>0</v>
      </c>
      <c r="H608" s="263">
        <v>3</v>
      </c>
      <c r="I608" s="263">
        <v>0</v>
      </c>
      <c r="J608" s="263">
        <v>0</v>
      </c>
      <c r="K608" s="267">
        <v>3</v>
      </c>
    </row>
    <row r="609" spans="1:11" ht="31.5">
      <c r="A609" s="9" t="s">
        <v>12200</v>
      </c>
      <c r="B609" s="16">
        <v>37</v>
      </c>
      <c r="C609" s="9"/>
      <c r="D609" s="271" t="s">
        <v>8575</v>
      </c>
      <c r="E609" s="263">
        <v>0</v>
      </c>
      <c r="F609" s="263">
        <v>0</v>
      </c>
      <c r="G609" s="263">
        <v>3</v>
      </c>
      <c r="H609" s="263">
        <v>0</v>
      </c>
      <c r="I609" s="263">
        <v>0</v>
      </c>
      <c r="J609" s="263">
        <v>0</v>
      </c>
      <c r="K609" s="267">
        <v>3</v>
      </c>
    </row>
    <row r="610" spans="1:11">
      <c r="A610" s="9" t="s">
        <v>12201</v>
      </c>
      <c r="B610" s="16">
        <v>37</v>
      </c>
      <c r="C610" s="9"/>
      <c r="D610" s="271" t="s">
        <v>8576</v>
      </c>
      <c r="E610" s="263">
        <v>3</v>
      </c>
      <c r="F610" s="263">
        <v>0</v>
      </c>
      <c r="G610" s="263">
        <v>0</v>
      </c>
      <c r="H610" s="263">
        <v>0</v>
      </c>
      <c r="I610" s="263">
        <v>0</v>
      </c>
      <c r="J610" s="263">
        <v>0</v>
      </c>
      <c r="K610" s="267">
        <v>3</v>
      </c>
    </row>
    <row r="611" spans="1:11">
      <c r="A611" s="9" t="s">
        <v>12202</v>
      </c>
      <c r="B611" s="16">
        <v>37</v>
      </c>
      <c r="C611" s="9"/>
      <c r="D611" s="271" t="s">
        <v>8577</v>
      </c>
      <c r="E611" s="263">
        <v>0</v>
      </c>
      <c r="F611" s="263">
        <v>0</v>
      </c>
      <c r="G611" s="263">
        <v>3</v>
      </c>
      <c r="H611" s="263">
        <v>0</v>
      </c>
      <c r="I611" s="263">
        <v>0</v>
      </c>
      <c r="J611" s="263">
        <v>0</v>
      </c>
      <c r="K611" s="267">
        <v>3</v>
      </c>
    </row>
    <row r="612" spans="1:11">
      <c r="A612" s="9" t="s">
        <v>12203</v>
      </c>
      <c r="B612" s="16">
        <v>37</v>
      </c>
      <c r="C612" s="9"/>
      <c r="D612" s="271" t="s">
        <v>8578</v>
      </c>
      <c r="E612" s="263">
        <v>0</v>
      </c>
      <c r="F612" s="263">
        <v>0</v>
      </c>
      <c r="G612" s="263">
        <v>2</v>
      </c>
      <c r="H612" s="263">
        <v>0</v>
      </c>
      <c r="I612" s="263">
        <v>0</v>
      </c>
      <c r="J612" s="263">
        <v>0</v>
      </c>
      <c r="K612" s="267">
        <v>2</v>
      </c>
    </row>
    <row r="613" spans="1:11">
      <c r="A613" s="9" t="s">
        <v>12204</v>
      </c>
      <c r="B613" s="16">
        <v>37</v>
      </c>
      <c r="C613" s="9"/>
      <c r="D613" s="271" t="s">
        <v>8579</v>
      </c>
      <c r="E613" s="263">
        <v>0</v>
      </c>
      <c r="F613" s="263">
        <v>0</v>
      </c>
      <c r="G613" s="263">
        <v>2</v>
      </c>
      <c r="H613" s="263">
        <v>0</v>
      </c>
      <c r="I613" s="263">
        <v>0</v>
      </c>
      <c r="J613" s="263">
        <v>0</v>
      </c>
      <c r="K613" s="267">
        <v>2</v>
      </c>
    </row>
    <row r="614" spans="1:11">
      <c r="A614" s="9" t="s">
        <v>12205</v>
      </c>
      <c r="B614" s="16">
        <v>37</v>
      </c>
      <c r="C614" s="9"/>
      <c r="D614" s="271" t="s">
        <v>8580</v>
      </c>
      <c r="E614" s="263">
        <v>3</v>
      </c>
      <c r="F614" s="263">
        <v>0</v>
      </c>
      <c r="G614" s="263">
        <v>0</v>
      </c>
      <c r="H614" s="263">
        <v>0</v>
      </c>
      <c r="I614" s="263">
        <v>0</v>
      </c>
      <c r="J614" s="263">
        <v>0</v>
      </c>
      <c r="K614" s="267">
        <v>3</v>
      </c>
    </row>
    <row r="615" spans="1:11">
      <c r="A615" s="9" t="s">
        <v>12206</v>
      </c>
      <c r="B615" s="16">
        <v>37</v>
      </c>
      <c r="C615" s="9"/>
      <c r="D615" s="271" t="s">
        <v>8581</v>
      </c>
      <c r="E615" s="263">
        <v>0</v>
      </c>
      <c r="F615" s="263">
        <v>3</v>
      </c>
      <c r="G615" s="263">
        <v>0</v>
      </c>
      <c r="H615" s="263">
        <v>0</v>
      </c>
      <c r="I615" s="263">
        <v>0</v>
      </c>
      <c r="J615" s="263">
        <v>0</v>
      </c>
      <c r="K615" s="267">
        <v>3</v>
      </c>
    </row>
    <row r="616" spans="1:11">
      <c r="B616" s="16">
        <v>37</v>
      </c>
      <c r="C616" s="9"/>
      <c r="D616" s="271"/>
      <c r="E616" s="263"/>
      <c r="F616" s="263"/>
      <c r="G616" s="263"/>
      <c r="H616" s="263"/>
      <c r="I616" s="263"/>
      <c r="J616" s="263"/>
      <c r="K616" s="267">
        <v>0</v>
      </c>
    </row>
    <row r="617" spans="1:11">
      <c r="B617" s="16">
        <v>37</v>
      </c>
      <c r="C617" s="9"/>
      <c r="D617" s="272" t="s">
        <v>3674</v>
      </c>
      <c r="E617" s="273">
        <v>12</v>
      </c>
      <c r="F617" s="273">
        <v>11</v>
      </c>
      <c r="G617" s="273">
        <v>24</v>
      </c>
      <c r="H617" s="273">
        <v>3</v>
      </c>
      <c r="I617" s="273">
        <v>0</v>
      </c>
      <c r="J617" s="273">
        <v>0</v>
      </c>
      <c r="K617" s="273">
        <v>50</v>
      </c>
    </row>
    <row r="618" spans="1:11">
      <c r="C618" s="9"/>
      <c r="D618" s="271"/>
      <c r="E618" s="263"/>
      <c r="F618" s="263"/>
      <c r="G618" s="263"/>
      <c r="H618" s="263"/>
      <c r="I618" s="263"/>
      <c r="J618" s="263"/>
      <c r="K618" s="267">
        <v>0</v>
      </c>
    </row>
    <row r="619" spans="1:11">
      <c r="A619" s="9" t="s">
        <v>12207</v>
      </c>
      <c r="B619" s="16">
        <v>38</v>
      </c>
      <c r="C619" s="9"/>
      <c r="D619" s="271" t="s">
        <v>8582</v>
      </c>
      <c r="E619" s="263">
        <v>0</v>
      </c>
      <c r="F619" s="263">
        <v>0</v>
      </c>
      <c r="G619" s="263">
        <v>0</v>
      </c>
      <c r="H619" s="263">
        <v>0</v>
      </c>
      <c r="I619" s="263">
        <v>0</v>
      </c>
      <c r="J619" s="263">
        <v>5</v>
      </c>
      <c r="K619" s="267">
        <v>5</v>
      </c>
    </row>
    <row r="620" spans="1:11">
      <c r="A620" s="9" t="s">
        <v>12208</v>
      </c>
      <c r="B620" s="16">
        <v>38</v>
      </c>
      <c r="C620" s="9"/>
      <c r="D620" s="271" t="s">
        <v>8583</v>
      </c>
      <c r="E620" s="263">
        <v>5</v>
      </c>
      <c r="F620" s="263">
        <v>0</v>
      </c>
      <c r="G620" s="263">
        <v>0</v>
      </c>
      <c r="H620" s="263">
        <v>0</v>
      </c>
      <c r="I620" s="263">
        <v>0</v>
      </c>
      <c r="J620" s="263">
        <v>0</v>
      </c>
      <c r="K620" s="267">
        <v>5</v>
      </c>
    </row>
    <row r="621" spans="1:11">
      <c r="A621" s="9" t="s">
        <v>12209</v>
      </c>
      <c r="B621" s="16">
        <v>38</v>
      </c>
      <c r="C621" s="9"/>
      <c r="D621" s="271" t="s">
        <v>8584</v>
      </c>
      <c r="E621" s="263">
        <v>5</v>
      </c>
      <c r="F621" s="263">
        <v>0</v>
      </c>
      <c r="G621" s="263">
        <v>0</v>
      </c>
      <c r="H621" s="263">
        <v>0</v>
      </c>
      <c r="I621" s="263">
        <v>0</v>
      </c>
      <c r="J621" s="263">
        <v>0</v>
      </c>
      <c r="K621" s="267">
        <v>5</v>
      </c>
    </row>
    <row r="622" spans="1:11">
      <c r="A622" s="9" t="s">
        <v>12210</v>
      </c>
      <c r="B622" s="16">
        <v>38</v>
      </c>
      <c r="C622" s="9"/>
      <c r="D622" s="271" t="s">
        <v>8585</v>
      </c>
      <c r="E622" s="263">
        <v>0</v>
      </c>
      <c r="F622" s="263">
        <v>0</v>
      </c>
      <c r="G622" s="263">
        <v>5</v>
      </c>
      <c r="H622" s="263">
        <v>0</v>
      </c>
      <c r="I622" s="263">
        <v>0</v>
      </c>
      <c r="J622" s="263">
        <v>0</v>
      </c>
      <c r="K622" s="267">
        <v>5</v>
      </c>
    </row>
    <row r="623" spans="1:11">
      <c r="A623" s="9" t="s">
        <v>12211</v>
      </c>
      <c r="B623" s="16">
        <v>38</v>
      </c>
      <c r="C623" s="9"/>
      <c r="D623" s="271" t="s">
        <v>8586</v>
      </c>
      <c r="E623" s="263">
        <v>5</v>
      </c>
      <c r="F623" s="263">
        <v>0</v>
      </c>
      <c r="G623" s="263">
        <v>0</v>
      </c>
      <c r="H623" s="263">
        <v>0</v>
      </c>
      <c r="I623" s="263">
        <v>0</v>
      </c>
      <c r="J623" s="263">
        <v>0</v>
      </c>
      <c r="K623" s="267">
        <v>5</v>
      </c>
    </row>
    <row r="624" spans="1:11">
      <c r="A624" s="9" t="s">
        <v>12212</v>
      </c>
      <c r="B624" s="16">
        <v>38</v>
      </c>
      <c r="C624" s="9"/>
      <c r="D624" s="271" t="s">
        <v>8587</v>
      </c>
      <c r="E624" s="263">
        <v>0</v>
      </c>
      <c r="F624" s="263">
        <v>3</v>
      </c>
      <c r="G624" s="263">
        <v>0</v>
      </c>
      <c r="H624" s="263">
        <v>0</v>
      </c>
      <c r="I624" s="263">
        <v>0</v>
      </c>
      <c r="J624" s="263">
        <v>0</v>
      </c>
      <c r="K624" s="267">
        <v>3</v>
      </c>
    </row>
    <row r="625" spans="1:11">
      <c r="A625" s="9" t="s">
        <v>12213</v>
      </c>
      <c r="B625" s="16">
        <v>38</v>
      </c>
      <c r="C625" s="9"/>
      <c r="D625" s="271" t="s">
        <v>8588</v>
      </c>
      <c r="E625" s="263">
        <v>0</v>
      </c>
      <c r="F625" s="263">
        <v>0</v>
      </c>
      <c r="G625" s="263">
        <v>0</v>
      </c>
      <c r="H625" s="263">
        <v>0</v>
      </c>
      <c r="I625" s="263">
        <v>5</v>
      </c>
      <c r="J625" s="263">
        <v>0</v>
      </c>
      <c r="K625" s="267">
        <v>5</v>
      </c>
    </row>
    <row r="626" spans="1:11">
      <c r="A626" s="9" t="s">
        <v>12214</v>
      </c>
      <c r="B626" s="16">
        <v>38</v>
      </c>
      <c r="C626" s="9"/>
      <c r="D626" s="271" t="s">
        <v>8589</v>
      </c>
      <c r="E626" s="263">
        <v>0</v>
      </c>
      <c r="F626" s="263">
        <v>0</v>
      </c>
      <c r="G626" s="263">
        <v>5</v>
      </c>
      <c r="H626" s="263">
        <v>0</v>
      </c>
      <c r="I626" s="263">
        <v>0</v>
      </c>
      <c r="J626" s="263">
        <v>0</v>
      </c>
      <c r="K626" s="267">
        <v>5</v>
      </c>
    </row>
    <row r="627" spans="1:11">
      <c r="A627" s="9" t="s">
        <v>12215</v>
      </c>
      <c r="B627" s="16">
        <v>38</v>
      </c>
      <c r="C627" s="9"/>
      <c r="D627" s="271" t="s">
        <v>8590</v>
      </c>
      <c r="E627" s="263">
        <v>5</v>
      </c>
      <c r="F627" s="263">
        <v>0</v>
      </c>
      <c r="G627" s="263">
        <v>0</v>
      </c>
      <c r="H627" s="263">
        <v>0</v>
      </c>
      <c r="I627" s="263">
        <v>0</v>
      </c>
      <c r="J627" s="263">
        <v>0</v>
      </c>
      <c r="K627" s="267">
        <v>5</v>
      </c>
    </row>
    <row r="628" spans="1:11">
      <c r="A628" s="9" t="s">
        <v>12216</v>
      </c>
      <c r="B628" s="16">
        <v>38</v>
      </c>
      <c r="C628" s="9"/>
      <c r="D628" s="271" t="s">
        <v>8591</v>
      </c>
      <c r="E628" s="263">
        <v>0</v>
      </c>
      <c r="F628" s="263">
        <v>0</v>
      </c>
      <c r="G628" s="263">
        <v>0</v>
      </c>
      <c r="H628" s="263">
        <v>0</v>
      </c>
      <c r="I628" s="263">
        <v>0</v>
      </c>
      <c r="J628" s="263">
        <v>5</v>
      </c>
      <c r="K628" s="267">
        <v>5</v>
      </c>
    </row>
    <row r="629" spans="1:11">
      <c r="A629" s="9" t="s">
        <v>12217</v>
      </c>
      <c r="B629" s="16">
        <v>38</v>
      </c>
      <c r="C629" s="9"/>
      <c r="D629" s="271" t="s">
        <v>8592</v>
      </c>
      <c r="E629" s="263">
        <v>2</v>
      </c>
      <c r="F629" s="263">
        <v>0</v>
      </c>
      <c r="G629" s="263">
        <v>0</v>
      </c>
      <c r="H629" s="263">
        <v>0</v>
      </c>
      <c r="I629" s="263">
        <v>0</v>
      </c>
      <c r="J629" s="263">
        <v>0</v>
      </c>
      <c r="K629" s="267">
        <v>2</v>
      </c>
    </row>
    <row r="630" spans="1:11">
      <c r="B630" s="16">
        <v>38</v>
      </c>
      <c r="C630" s="9"/>
      <c r="D630" s="271"/>
      <c r="E630" s="263"/>
      <c r="F630" s="263"/>
      <c r="G630" s="263"/>
      <c r="H630" s="263"/>
      <c r="I630" s="263"/>
      <c r="J630" s="263"/>
      <c r="K630" s="267">
        <v>0</v>
      </c>
    </row>
    <row r="631" spans="1:11">
      <c r="B631" s="16">
        <v>38</v>
      </c>
      <c r="C631" s="9"/>
      <c r="D631" s="272" t="s">
        <v>3674</v>
      </c>
      <c r="E631" s="273">
        <v>22</v>
      </c>
      <c r="F631" s="273">
        <v>3</v>
      </c>
      <c r="G631" s="273">
        <v>10</v>
      </c>
      <c r="H631" s="273">
        <v>0</v>
      </c>
      <c r="I631" s="273">
        <v>5</v>
      </c>
      <c r="J631" s="273">
        <v>10</v>
      </c>
      <c r="K631" s="273">
        <v>50</v>
      </c>
    </row>
    <row r="632" spans="1:11">
      <c r="C632" s="9"/>
      <c r="D632" s="271"/>
      <c r="E632" s="263"/>
      <c r="F632" s="263"/>
      <c r="G632" s="263"/>
      <c r="H632" s="263"/>
      <c r="I632" s="263"/>
      <c r="J632" s="263"/>
      <c r="K632" s="267">
        <v>0</v>
      </c>
    </row>
    <row r="633" spans="1:11">
      <c r="A633" s="9" t="s">
        <v>12218</v>
      </c>
      <c r="B633" s="16">
        <v>49</v>
      </c>
      <c r="C633" s="9"/>
      <c r="D633" s="271" t="s">
        <v>8593</v>
      </c>
      <c r="E633" s="263">
        <v>0</v>
      </c>
      <c r="F633" s="263">
        <v>0</v>
      </c>
      <c r="G633" s="263">
        <v>0</v>
      </c>
      <c r="H633" s="263">
        <v>0</v>
      </c>
      <c r="I633" s="263">
        <v>5</v>
      </c>
      <c r="J633" s="263">
        <v>0</v>
      </c>
      <c r="K633" s="267">
        <v>5</v>
      </c>
    </row>
    <row r="634" spans="1:11">
      <c r="A634" s="9" t="s">
        <v>12219</v>
      </c>
      <c r="B634" s="16">
        <v>49</v>
      </c>
      <c r="C634" s="9"/>
      <c r="D634" s="271" t="s">
        <v>8594</v>
      </c>
      <c r="E634" s="263">
        <v>0</v>
      </c>
      <c r="F634" s="263">
        <v>0</v>
      </c>
      <c r="G634" s="263">
        <v>0</v>
      </c>
      <c r="H634" s="263">
        <v>0</v>
      </c>
      <c r="I634" s="263">
        <v>5</v>
      </c>
      <c r="J634" s="263">
        <v>0</v>
      </c>
      <c r="K634" s="267">
        <v>5</v>
      </c>
    </row>
    <row r="635" spans="1:11">
      <c r="A635" s="9" t="s">
        <v>12220</v>
      </c>
      <c r="B635" s="16">
        <v>49</v>
      </c>
      <c r="C635" s="9"/>
      <c r="D635" s="271" t="s">
        <v>8595</v>
      </c>
      <c r="E635" s="263">
        <v>5</v>
      </c>
      <c r="F635" s="263">
        <v>0</v>
      </c>
      <c r="G635" s="263">
        <v>0</v>
      </c>
      <c r="H635" s="263">
        <v>0</v>
      </c>
      <c r="I635" s="263">
        <v>0</v>
      </c>
      <c r="J635" s="263">
        <v>0</v>
      </c>
      <c r="K635" s="267">
        <v>5</v>
      </c>
    </row>
    <row r="636" spans="1:11">
      <c r="A636" s="9" t="s">
        <v>12221</v>
      </c>
      <c r="B636" s="16">
        <v>49</v>
      </c>
      <c r="C636" s="9"/>
      <c r="D636" s="271" t="s">
        <v>8596</v>
      </c>
      <c r="E636" s="263">
        <v>0</v>
      </c>
      <c r="F636" s="263">
        <v>0</v>
      </c>
      <c r="G636" s="263">
        <v>0</v>
      </c>
      <c r="H636" s="263">
        <v>5</v>
      </c>
      <c r="I636" s="263">
        <v>0</v>
      </c>
      <c r="J636" s="263">
        <v>0</v>
      </c>
      <c r="K636" s="267">
        <v>5</v>
      </c>
    </row>
    <row r="637" spans="1:11">
      <c r="A637" s="9" t="s">
        <v>12222</v>
      </c>
      <c r="B637" s="16">
        <v>49</v>
      </c>
      <c r="C637" s="9"/>
      <c r="D637" s="271" t="s">
        <v>8597</v>
      </c>
      <c r="E637" s="263">
        <v>2</v>
      </c>
      <c r="F637" s="263">
        <v>0</v>
      </c>
      <c r="G637" s="263">
        <v>0</v>
      </c>
      <c r="H637" s="263">
        <v>0</v>
      </c>
      <c r="I637" s="263">
        <v>0</v>
      </c>
      <c r="J637" s="263">
        <v>0</v>
      </c>
      <c r="K637" s="267">
        <v>2</v>
      </c>
    </row>
    <row r="638" spans="1:11">
      <c r="A638" s="9" t="s">
        <v>12223</v>
      </c>
      <c r="B638" s="16">
        <v>49</v>
      </c>
      <c r="C638" s="9"/>
      <c r="D638" s="271" t="s">
        <v>8598</v>
      </c>
      <c r="E638" s="263">
        <v>0</v>
      </c>
      <c r="F638" s="263">
        <v>0</v>
      </c>
      <c r="G638" s="263">
        <v>5</v>
      </c>
      <c r="H638" s="263">
        <v>0</v>
      </c>
      <c r="I638" s="263">
        <v>0</v>
      </c>
      <c r="J638" s="263">
        <v>0</v>
      </c>
      <c r="K638" s="267">
        <v>5</v>
      </c>
    </row>
    <row r="639" spans="1:11">
      <c r="A639" s="9" t="s">
        <v>12224</v>
      </c>
      <c r="B639" s="16">
        <v>49</v>
      </c>
      <c r="C639" s="9"/>
      <c r="D639" s="271" t="s">
        <v>8599</v>
      </c>
      <c r="E639" s="263">
        <v>5</v>
      </c>
      <c r="F639" s="263">
        <v>0</v>
      </c>
      <c r="G639" s="263">
        <v>0</v>
      </c>
      <c r="H639" s="263">
        <v>0</v>
      </c>
      <c r="I639" s="263">
        <v>0</v>
      </c>
      <c r="J639" s="263">
        <v>0</v>
      </c>
      <c r="K639" s="267">
        <v>5</v>
      </c>
    </row>
    <row r="640" spans="1:11">
      <c r="A640" s="9" t="s">
        <v>12225</v>
      </c>
      <c r="B640" s="16">
        <v>49</v>
      </c>
      <c r="C640" s="9"/>
      <c r="D640" s="271" t="s">
        <v>8600</v>
      </c>
      <c r="E640" s="263">
        <v>3</v>
      </c>
      <c r="F640" s="263">
        <v>0</v>
      </c>
      <c r="G640" s="263">
        <v>0</v>
      </c>
      <c r="H640" s="263">
        <v>0</v>
      </c>
      <c r="I640" s="263">
        <v>0</v>
      </c>
      <c r="J640" s="263">
        <v>0</v>
      </c>
      <c r="K640" s="267">
        <v>3</v>
      </c>
    </row>
    <row r="641" spans="1:11">
      <c r="A641" s="9" t="s">
        <v>12226</v>
      </c>
      <c r="B641" s="16">
        <v>49</v>
      </c>
      <c r="C641" s="9"/>
      <c r="D641" s="271" t="s">
        <v>8601</v>
      </c>
      <c r="E641" s="263">
        <v>0</v>
      </c>
      <c r="F641" s="263">
        <v>0</v>
      </c>
      <c r="G641" s="263">
        <v>0</v>
      </c>
      <c r="H641" s="263">
        <v>0</v>
      </c>
      <c r="I641" s="263">
        <v>0</v>
      </c>
      <c r="J641" s="263">
        <v>5</v>
      </c>
      <c r="K641" s="267">
        <v>5</v>
      </c>
    </row>
    <row r="642" spans="1:11">
      <c r="A642" s="9" t="s">
        <v>12227</v>
      </c>
      <c r="B642" s="16">
        <v>49</v>
      </c>
      <c r="C642" s="9"/>
      <c r="D642" s="271" t="s">
        <v>8602</v>
      </c>
      <c r="E642" s="263">
        <v>5</v>
      </c>
      <c r="F642" s="263">
        <v>0</v>
      </c>
      <c r="G642" s="263">
        <v>0</v>
      </c>
      <c r="H642" s="263">
        <v>0</v>
      </c>
      <c r="I642" s="263">
        <v>0</v>
      </c>
      <c r="J642" s="263">
        <v>0</v>
      </c>
      <c r="K642" s="267">
        <v>5</v>
      </c>
    </row>
    <row r="643" spans="1:11">
      <c r="A643" s="9" t="s">
        <v>12228</v>
      </c>
      <c r="B643" s="16">
        <v>49</v>
      </c>
      <c r="C643" s="9"/>
      <c r="D643" s="271" t="s">
        <v>8603</v>
      </c>
      <c r="E643" s="263">
        <v>5</v>
      </c>
      <c r="F643" s="263">
        <v>0</v>
      </c>
      <c r="G643" s="263">
        <v>0</v>
      </c>
      <c r="H643" s="263">
        <v>0</v>
      </c>
      <c r="I643" s="263">
        <v>0</v>
      </c>
      <c r="J643" s="263">
        <v>0</v>
      </c>
      <c r="K643" s="267">
        <v>5</v>
      </c>
    </row>
    <row r="644" spans="1:11">
      <c r="B644" s="16">
        <v>49</v>
      </c>
      <c r="C644" s="9"/>
      <c r="D644" s="271"/>
      <c r="E644" s="263"/>
      <c r="F644" s="263"/>
      <c r="G644" s="263"/>
      <c r="H644" s="263"/>
      <c r="I644" s="263"/>
      <c r="J644" s="263"/>
      <c r="K644" s="267">
        <v>0</v>
      </c>
    </row>
    <row r="645" spans="1:11">
      <c r="B645" s="16">
        <v>49</v>
      </c>
      <c r="C645" s="9"/>
      <c r="D645" s="272" t="s">
        <v>3674</v>
      </c>
      <c r="E645" s="273">
        <v>25</v>
      </c>
      <c r="F645" s="273">
        <v>0</v>
      </c>
      <c r="G645" s="273">
        <v>5</v>
      </c>
      <c r="H645" s="273">
        <v>5</v>
      </c>
      <c r="I645" s="273">
        <v>10</v>
      </c>
      <c r="J645" s="273">
        <v>5</v>
      </c>
      <c r="K645" s="273">
        <v>50</v>
      </c>
    </row>
    <row r="646" spans="1:11">
      <c r="C646" s="9"/>
      <c r="D646" s="271"/>
      <c r="E646" s="263"/>
      <c r="F646" s="263"/>
      <c r="G646" s="263"/>
      <c r="H646" s="263"/>
      <c r="I646" s="263"/>
      <c r="J646" s="263"/>
      <c r="K646" s="267">
        <v>0</v>
      </c>
    </row>
    <row r="647" spans="1:11">
      <c r="A647" s="9" t="s">
        <v>12229</v>
      </c>
      <c r="B647" s="16">
        <v>50</v>
      </c>
      <c r="C647" s="9"/>
      <c r="D647" s="271" t="s">
        <v>8604</v>
      </c>
      <c r="E647" s="263">
        <v>5</v>
      </c>
      <c r="F647" s="263">
        <v>0</v>
      </c>
      <c r="G647" s="263">
        <v>0</v>
      </c>
      <c r="H647" s="263">
        <v>0</v>
      </c>
      <c r="I647" s="263">
        <v>0</v>
      </c>
      <c r="J647" s="263">
        <v>0</v>
      </c>
      <c r="K647" s="267">
        <v>5</v>
      </c>
    </row>
    <row r="648" spans="1:11">
      <c r="A648" s="9" t="s">
        <v>12230</v>
      </c>
      <c r="B648" s="16">
        <v>50</v>
      </c>
      <c r="C648" s="9"/>
      <c r="D648" s="271" t="s">
        <v>8605</v>
      </c>
      <c r="E648" s="263">
        <v>0</v>
      </c>
      <c r="F648" s="263">
        <v>0</v>
      </c>
      <c r="G648" s="263">
        <v>0</v>
      </c>
      <c r="H648" s="263">
        <v>0</v>
      </c>
      <c r="I648" s="263">
        <v>0</v>
      </c>
      <c r="J648" s="263">
        <v>5</v>
      </c>
      <c r="K648" s="267">
        <v>5</v>
      </c>
    </row>
    <row r="649" spans="1:11">
      <c r="A649" s="9" t="s">
        <v>12231</v>
      </c>
      <c r="B649" s="16">
        <v>50</v>
      </c>
      <c r="C649" s="9"/>
      <c r="D649" s="271" t="s">
        <v>8606</v>
      </c>
      <c r="E649" s="263">
        <v>5</v>
      </c>
      <c r="F649" s="263">
        <v>0</v>
      </c>
      <c r="G649" s="263">
        <v>0</v>
      </c>
      <c r="H649" s="263">
        <v>0</v>
      </c>
      <c r="I649" s="263">
        <v>0</v>
      </c>
      <c r="J649" s="263">
        <v>0</v>
      </c>
      <c r="K649" s="267">
        <v>5</v>
      </c>
    </row>
    <row r="650" spans="1:11">
      <c r="A650" s="9" t="s">
        <v>12232</v>
      </c>
      <c r="B650" s="16">
        <v>50</v>
      </c>
      <c r="C650" s="9"/>
      <c r="D650" s="271" t="s">
        <v>8607</v>
      </c>
      <c r="E650" s="263">
        <v>0</v>
      </c>
      <c r="F650" s="263">
        <v>0</v>
      </c>
      <c r="G650" s="263">
        <v>5</v>
      </c>
      <c r="H650" s="263">
        <v>0</v>
      </c>
      <c r="I650" s="263">
        <v>0</v>
      </c>
      <c r="J650" s="263">
        <v>0</v>
      </c>
      <c r="K650" s="267">
        <v>5</v>
      </c>
    </row>
    <row r="651" spans="1:11">
      <c r="A651" s="9" t="s">
        <v>12233</v>
      </c>
      <c r="B651" s="16">
        <v>50</v>
      </c>
      <c r="C651" s="9"/>
      <c r="D651" s="271" t="s">
        <v>8608</v>
      </c>
      <c r="E651" s="263">
        <v>5</v>
      </c>
      <c r="F651" s="263">
        <v>0</v>
      </c>
      <c r="G651" s="263">
        <v>0</v>
      </c>
      <c r="H651" s="263">
        <v>0</v>
      </c>
      <c r="I651" s="263">
        <v>0</v>
      </c>
      <c r="J651" s="263">
        <v>0</v>
      </c>
      <c r="K651" s="267">
        <v>5</v>
      </c>
    </row>
    <row r="652" spans="1:11">
      <c r="A652" s="9" t="s">
        <v>12234</v>
      </c>
      <c r="B652" s="16">
        <v>50</v>
      </c>
      <c r="C652" s="9"/>
      <c r="D652" s="271" t="s">
        <v>8609</v>
      </c>
      <c r="E652" s="263">
        <v>5</v>
      </c>
      <c r="F652" s="263">
        <v>0</v>
      </c>
      <c r="G652" s="263">
        <v>0</v>
      </c>
      <c r="H652" s="263">
        <v>0</v>
      </c>
      <c r="I652" s="263">
        <v>0</v>
      </c>
      <c r="J652" s="263">
        <v>0</v>
      </c>
      <c r="K652" s="267">
        <v>5</v>
      </c>
    </row>
    <row r="653" spans="1:11">
      <c r="A653" s="9" t="s">
        <v>12235</v>
      </c>
      <c r="B653" s="16">
        <v>50</v>
      </c>
      <c r="C653" s="9"/>
      <c r="D653" s="271" t="s">
        <v>8610</v>
      </c>
      <c r="E653" s="263">
        <v>0</v>
      </c>
      <c r="F653" s="263">
        <v>0</v>
      </c>
      <c r="G653" s="263">
        <v>0</v>
      </c>
      <c r="H653" s="263">
        <v>0</v>
      </c>
      <c r="I653" s="263">
        <v>0</v>
      </c>
      <c r="J653" s="263">
        <v>5</v>
      </c>
      <c r="K653" s="267">
        <v>5</v>
      </c>
    </row>
    <row r="654" spans="1:11">
      <c r="A654" s="9" t="s">
        <v>12236</v>
      </c>
      <c r="B654" s="16">
        <v>50</v>
      </c>
      <c r="C654" s="9"/>
      <c r="D654" s="271" t="s">
        <v>8611</v>
      </c>
      <c r="E654" s="263">
        <v>5</v>
      </c>
      <c r="F654" s="263">
        <v>0</v>
      </c>
      <c r="G654" s="263">
        <v>0</v>
      </c>
      <c r="H654" s="263">
        <v>0</v>
      </c>
      <c r="I654" s="263">
        <v>0</v>
      </c>
      <c r="J654" s="263">
        <v>0</v>
      </c>
      <c r="K654" s="267">
        <v>5</v>
      </c>
    </row>
    <row r="655" spans="1:11">
      <c r="A655" s="9" t="s">
        <v>12237</v>
      </c>
      <c r="B655" s="16">
        <v>50</v>
      </c>
      <c r="C655" s="9"/>
      <c r="D655" s="271" t="s">
        <v>8612</v>
      </c>
      <c r="E655" s="263">
        <v>0</v>
      </c>
      <c r="F655" s="263">
        <v>0</v>
      </c>
      <c r="G655" s="263">
        <v>0</v>
      </c>
      <c r="H655" s="263">
        <v>0</v>
      </c>
      <c r="I655" s="263">
        <v>0</v>
      </c>
      <c r="J655" s="263">
        <v>5</v>
      </c>
      <c r="K655" s="267">
        <v>5</v>
      </c>
    </row>
    <row r="656" spans="1:11">
      <c r="A656" s="9" t="s">
        <v>12238</v>
      </c>
      <c r="B656" s="16">
        <v>50</v>
      </c>
      <c r="C656" s="9"/>
      <c r="D656" s="271" t="s">
        <v>8613</v>
      </c>
      <c r="E656" s="263">
        <v>5</v>
      </c>
      <c r="F656" s="263">
        <v>0</v>
      </c>
      <c r="G656" s="263">
        <v>0</v>
      </c>
      <c r="H656" s="263">
        <v>0</v>
      </c>
      <c r="I656" s="263">
        <v>0</v>
      </c>
      <c r="J656" s="263">
        <v>0</v>
      </c>
      <c r="K656" s="267">
        <v>5</v>
      </c>
    </row>
    <row r="657" spans="1:11">
      <c r="B657" s="16">
        <v>50</v>
      </c>
      <c r="C657" s="9"/>
      <c r="D657" s="271"/>
      <c r="E657" s="263"/>
      <c r="F657" s="263"/>
      <c r="G657" s="263"/>
      <c r="H657" s="263"/>
      <c r="I657" s="263"/>
      <c r="J657" s="263"/>
      <c r="K657" s="267">
        <v>0</v>
      </c>
    </row>
    <row r="658" spans="1:11">
      <c r="B658" s="16">
        <v>50</v>
      </c>
      <c r="C658" s="9"/>
      <c r="D658" s="272" t="s">
        <v>3674</v>
      </c>
      <c r="E658" s="273">
        <v>30</v>
      </c>
      <c r="F658" s="273">
        <v>0</v>
      </c>
      <c r="G658" s="273">
        <v>5</v>
      </c>
      <c r="H658" s="273">
        <v>0</v>
      </c>
      <c r="I658" s="273">
        <v>0</v>
      </c>
      <c r="J658" s="273">
        <v>15</v>
      </c>
      <c r="K658" s="273">
        <v>50</v>
      </c>
    </row>
    <row r="659" spans="1:11">
      <c r="A659" s="9" t="s">
        <v>12239</v>
      </c>
      <c r="B659" s="16">
        <v>51</v>
      </c>
      <c r="C659" s="9"/>
      <c r="D659" s="271" t="s">
        <v>8614</v>
      </c>
      <c r="E659" s="263">
        <v>0</v>
      </c>
      <c r="F659" s="263">
        <v>0</v>
      </c>
      <c r="G659" s="263">
        <v>0</v>
      </c>
      <c r="H659" s="263">
        <v>0</v>
      </c>
      <c r="I659" s="263">
        <v>0</v>
      </c>
      <c r="J659" s="263">
        <v>4</v>
      </c>
      <c r="K659" s="267">
        <v>4</v>
      </c>
    </row>
    <row r="660" spans="1:11">
      <c r="A660" s="9" t="s">
        <v>12240</v>
      </c>
      <c r="B660" s="16">
        <v>51</v>
      </c>
      <c r="C660" s="9"/>
      <c r="D660" s="271" t="s">
        <v>8615</v>
      </c>
      <c r="E660" s="263">
        <v>0</v>
      </c>
      <c r="F660" s="263">
        <v>0</v>
      </c>
      <c r="G660" s="263">
        <v>0</v>
      </c>
      <c r="H660" s="263">
        <v>0</v>
      </c>
      <c r="I660" s="263">
        <v>0</v>
      </c>
      <c r="J660" s="263">
        <v>3</v>
      </c>
      <c r="K660" s="267">
        <v>3</v>
      </c>
    </row>
    <row r="661" spans="1:11">
      <c r="A661" s="9" t="s">
        <v>12241</v>
      </c>
      <c r="B661" s="16">
        <v>51</v>
      </c>
      <c r="C661" s="9"/>
      <c r="D661" s="271" t="s">
        <v>8616</v>
      </c>
      <c r="E661" s="263">
        <v>0</v>
      </c>
      <c r="F661" s="263">
        <v>0</v>
      </c>
      <c r="G661" s="263">
        <v>0</v>
      </c>
      <c r="H661" s="263">
        <v>0</v>
      </c>
      <c r="I661" s="263">
        <v>0</v>
      </c>
      <c r="J661" s="263">
        <v>5</v>
      </c>
      <c r="K661" s="267">
        <v>5</v>
      </c>
    </row>
    <row r="662" spans="1:11" ht="31.5">
      <c r="A662" s="9" t="s">
        <v>12242</v>
      </c>
      <c r="B662" s="16">
        <v>51</v>
      </c>
      <c r="C662" s="9"/>
      <c r="D662" s="271" t="s">
        <v>12630</v>
      </c>
      <c r="E662" s="263">
        <v>0</v>
      </c>
      <c r="F662" s="263">
        <v>0</v>
      </c>
      <c r="G662" s="263">
        <v>5</v>
      </c>
      <c r="H662" s="263">
        <v>0</v>
      </c>
      <c r="I662" s="263">
        <v>0</v>
      </c>
      <c r="J662" s="263">
        <v>0</v>
      </c>
      <c r="K662" s="267">
        <v>5</v>
      </c>
    </row>
    <row r="663" spans="1:11">
      <c r="A663" s="9" t="s">
        <v>12243</v>
      </c>
      <c r="B663" s="16">
        <v>51</v>
      </c>
      <c r="C663" s="9"/>
      <c r="D663" s="271" t="s">
        <v>8617</v>
      </c>
      <c r="E663" s="263">
        <v>0</v>
      </c>
      <c r="F663" s="263">
        <v>0</v>
      </c>
      <c r="G663" s="263">
        <v>0</v>
      </c>
      <c r="H663" s="263">
        <v>0</v>
      </c>
      <c r="I663" s="263">
        <v>0</v>
      </c>
      <c r="J663" s="263">
        <v>5</v>
      </c>
      <c r="K663" s="267">
        <v>5</v>
      </c>
    </row>
    <row r="664" spans="1:11">
      <c r="A664" s="9" t="s">
        <v>12244</v>
      </c>
      <c r="B664" s="16">
        <v>51</v>
      </c>
      <c r="C664" s="9"/>
      <c r="D664" s="271" t="s">
        <v>8618</v>
      </c>
      <c r="E664" s="263">
        <v>3</v>
      </c>
      <c r="F664" s="263">
        <v>0</v>
      </c>
      <c r="G664" s="263">
        <v>0</v>
      </c>
      <c r="H664" s="263">
        <v>0</v>
      </c>
      <c r="I664" s="263">
        <v>0</v>
      </c>
      <c r="J664" s="263">
        <v>0</v>
      </c>
      <c r="K664" s="267">
        <v>3</v>
      </c>
    </row>
    <row r="665" spans="1:11">
      <c r="A665" s="9" t="s">
        <v>12245</v>
      </c>
      <c r="B665" s="16">
        <v>51</v>
      </c>
      <c r="C665" s="9"/>
      <c r="D665" s="271" t="s">
        <v>8619</v>
      </c>
      <c r="E665" s="263">
        <v>0</v>
      </c>
      <c r="F665" s="263">
        <v>5</v>
      </c>
      <c r="G665" s="263">
        <v>0</v>
      </c>
      <c r="H665" s="263">
        <v>0</v>
      </c>
      <c r="I665" s="263">
        <v>0</v>
      </c>
      <c r="J665" s="263">
        <v>0</v>
      </c>
      <c r="K665" s="267">
        <v>5</v>
      </c>
    </row>
    <row r="666" spans="1:11">
      <c r="A666" s="9" t="s">
        <v>12246</v>
      </c>
      <c r="B666" s="16">
        <v>51</v>
      </c>
      <c r="C666" s="9"/>
      <c r="D666" s="271" t="s">
        <v>8620</v>
      </c>
      <c r="E666" s="263">
        <v>5</v>
      </c>
      <c r="F666" s="263">
        <v>0</v>
      </c>
      <c r="G666" s="263">
        <v>0</v>
      </c>
      <c r="H666" s="263">
        <v>0</v>
      </c>
      <c r="I666" s="263">
        <v>0</v>
      </c>
      <c r="J666" s="263">
        <v>0</v>
      </c>
      <c r="K666" s="267">
        <v>5</v>
      </c>
    </row>
    <row r="667" spans="1:11">
      <c r="A667" s="9" t="s">
        <v>12247</v>
      </c>
      <c r="B667" s="16">
        <v>51</v>
      </c>
      <c r="C667" s="9"/>
      <c r="D667" s="271" t="s">
        <v>8621</v>
      </c>
      <c r="E667" s="263">
        <v>0</v>
      </c>
      <c r="F667" s="263">
        <v>0</v>
      </c>
      <c r="G667" s="263">
        <v>0</v>
      </c>
      <c r="H667" s="263">
        <v>0</v>
      </c>
      <c r="I667" s="263">
        <v>0</v>
      </c>
      <c r="J667" s="263">
        <v>5</v>
      </c>
      <c r="K667" s="267">
        <v>5</v>
      </c>
    </row>
    <row r="668" spans="1:11">
      <c r="A668" s="9" t="s">
        <v>12248</v>
      </c>
      <c r="B668" s="16">
        <v>51</v>
      </c>
      <c r="C668" s="9"/>
      <c r="D668" s="271" t="s">
        <v>8622</v>
      </c>
      <c r="E668" s="263">
        <v>5</v>
      </c>
      <c r="F668" s="263">
        <v>0</v>
      </c>
      <c r="G668" s="263">
        <v>0</v>
      </c>
      <c r="H668" s="263">
        <v>0</v>
      </c>
      <c r="I668" s="263">
        <v>0</v>
      </c>
      <c r="J668" s="263">
        <v>0</v>
      </c>
      <c r="K668" s="267">
        <v>5</v>
      </c>
    </row>
    <row r="669" spans="1:11">
      <c r="A669" s="9" t="s">
        <v>12249</v>
      </c>
      <c r="B669" s="16">
        <v>51</v>
      </c>
      <c r="C669" s="9"/>
      <c r="D669" s="271" t="s">
        <v>8623</v>
      </c>
      <c r="E669" s="263">
        <v>0</v>
      </c>
      <c r="F669" s="263">
        <v>0</v>
      </c>
      <c r="G669" s="263">
        <v>5</v>
      </c>
      <c r="H669" s="263">
        <v>0</v>
      </c>
      <c r="I669" s="263">
        <v>0</v>
      </c>
      <c r="J669" s="263">
        <v>0</v>
      </c>
      <c r="K669" s="267">
        <v>5</v>
      </c>
    </row>
    <row r="670" spans="1:11">
      <c r="B670" s="16">
        <v>51</v>
      </c>
      <c r="C670" s="9"/>
      <c r="D670" s="271"/>
      <c r="E670" s="263"/>
      <c r="F670" s="263"/>
      <c r="G670" s="263"/>
      <c r="H670" s="263"/>
      <c r="I670" s="263"/>
      <c r="J670" s="263"/>
      <c r="K670" s="267">
        <v>0</v>
      </c>
    </row>
    <row r="671" spans="1:11">
      <c r="B671" s="16">
        <v>51</v>
      </c>
      <c r="C671" s="9"/>
      <c r="D671" s="272" t="s">
        <v>3674</v>
      </c>
      <c r="E671" s="273">
        <v>13</v>
      </c>
      <c r="F671" s="273">
        <v>5</v>
      </c>
      <c r="G671" s="273">
        <v>10</v>
      </c>
      <c r="H671" s="273">
        <v>0</v>
      </c>
      <c r="I671" s="273">
        <v>0</v>
      </c>
      <c r="J671" s="273">
        <v>22</v>
      </c>
      <c r="K671" s="273">
        <v>50</v>
      </c>
    </row>
    <row r="672" spans="1:11">
      <c r="C672" s="9"/>
      <c r="D672" s="271"/>
      <c r="E672" s="263"/>
      <c r="F672" s="263"/>
      <c r="G672" s="263"/>
      <c r="H672" s="263"/>
      <c r="I672" s="263"/>
      <c r="J672" s="263"/>
      <c r="K672" s="267">
        <v>0</v>
      </c>
    </row>
    <row r="673" spans="1:11">
      <c r="A673" s="9" t="s">
        <v>12250</v>
      </c>
      <c r="B673" s="16">
        <v>58</v>
      </c>
      <c r="C673" s="9"/>
      <c r="D673" s="271" t="s">
        <v>8624</v>
      </c>
      <c r="E673" s="263">
        <v>0</v>
      </c>
      <c r="F673" s="263">
        <v>0</v>
      </c>
      <c r="G673" s="263">
        <v>0</v>
      </c>
      <c r="H673" s="263">
        <v>0</v>
      </c>
      <c r="I673" s="263">
        <v>0</v>
      </c>
      <c r="J673" s="263">
        <v>5</v>
      </c>
      <c r="K673" s="267">
        <v>5</v>
      </c>
    </row>
    <row r="674" spans="1:11">
      <c r="A674" s="9" t="s">
        <v>12251</v>
      </c>
      <c r="B674" s="16">
        <v>58</v>
      </c>
      <c r="C674" s="9"/>
      <c r="D674" s="271" t="s">
        <v>8625</v>
      </c>
      <c r="E674" s="263">
        <v>0</v>
      </c>
      <c r="F674" s="263">
        <v>0</v>
      </c>
      <c r="G674" s="263">
        <v>0</v>
      </c>
      <c r="H674" s="263">
        <v>0</v>
      </c>
      <c r="I674" s="263">
        <v>0</v>
      </c>
      <c r="J674" s="263">
        <v>5</v>
      </c>
      <c r="K674" s="267">
        <v>5</v>
      </c>
    </row>
    <row r="675" spans="1:11">
      <c r="A675" s="9" t="s">
        <v>12252</v>
      </c>
      <c r="B675" s="16">
        <v>58</v>
      </c>
      <c r="C675" s="9"/>
      <c r="D675" s="271" t="s">
        <v>8626</v>
      </c>
      <c r="E675" s="263">
        <v>5</v>
      </c>
      <c r="F675" s="263">
        <v>0</v>
      </c>
      <c r="G675" s="263">
        <v>0</v>
      </c>
      <c r="H675" s="263">
        <v>0</v>
      </c>
      <c r="I675" s="263">
        <v>0</v>
      </c>
      <c r="J675" s="263">
        <v>0</v>
      </c>
      <c r="K675" s="267">
        <v>5</v>
      </c>
    </row>
    <row r="676" spans="1:11">
      <c r="A676" s="9" t="s">
        <v>12253</v>
      </c>
      <c r="B676" s="16">
        <v>58</v>
      </c>
      <c r="C676" s="9"/>
      <c r="D676" s="271" t="s">
        <v>8627</v>
      </c>
      <c r="E676" s="263">
        <v>5</v>
      </c>
      <c r="F676" s="263">
        <v>0</v>
      </c>
      <c r="G676" s="263">
        <v>0</v>
      </c>
      <c r="H676" s="263">
        <v>0</v>
      </c>
      <c r="I676" s="263">
        <v>0</v>
      </c>
      <c r="J676" s="263">
        <v>0</v>
      </c>
      <c r="K676" s="267">
        <v>5</v>
      </c>
    </row>
    <row r="677" spans="1:11">
      <c r="A677" s="9" t="s">
        <v>12254</v>
      </c>
      <c r="B677" s="16">
        <v>58</v>
      </c>
      <c r="C677" s="9"/>
      <c r="D677" s="271" t="s">
        <v>8628</v>
      </c>
      <c r="E677" s="263">
        <v>5</v>
      </c>
      <c r="F677" s="263">
        <v>0</v>
      </c>
      <c r="G677" s="263">
        <v>0</v>
      </c>
      <c r="H677" s="263">
        <v>0</v>
      </c>
      <c r="I677" s="263">
        <v>0</v>
      </c>
      <c r="J677" s="263">
        <v>0</v>
      </c>
      <c r="K677" s="267">
        <v>5</v>
      </c>
    </row>
    <row r="678" spans="1:11">
      <c r="A678" s="9" t="s">
        <v>12255</v>
      </c>
      <c r="B678" s="16">
        <v>58</v>
      </c>
      <c r="C678" s="9"/>
      <c r="D678" s="271" t="s">
        <v>8629</v>
      </c>
      <c r="E678" s="263">
        <v>5</v>
      </c>
      <c r="F678" s="263">
        <v>0</v>
      </c>
      <c r="G678" s="263">
        <v>0</v>
      </c>
      <c r="H678" s="263">
        <v>0</v>
      </c>
      <c r="I678" s="263">
        <v>0</v>
      </c>
      <c r="J678" s="263">
        <v>0</v>
      </c>
      <c r="K678" s="267">
        <v>5</v>
      </c>
    </row>
    <row r="679" spans="1:11">
      <c r="A679" s="9" t="s">
        <v>12256</v>
      </c>
      <c r="B679" s="16">
        <v>58</v>
      </c>
      <c r="C679" s="9"/>
      <c r="D679" s="271" t="s">
        <v>8630</v>
      </c>
      <c r="E679" s="263">
        <v>0</v>
      </c>
      <c r="F679" s="263">
        <v>0</v>
      </c>
      <c r="G679" s="263">
        <v>0</v>
      </c>
      <c r="H679" s="263">
        <v>0</v>
      </c>
      <c r="I679" s="263">
        <v>0</v>
      </c>
      <c r="J679" s="263">
        <v>5</v>
      </c>
      <c r="K679" s="267">
        <v>5</v>
      </c>
    </row>
    <row r="680" spans="1:11">
      <c r="A680" s="9" t="s">
        <v>12257</v>
      </c>
      <c r="B680" s="16">
        <v>58</v>
      </c>
      <c r="C680" s="9"/>
      <c r="D680" s="271" t="s">
        <v>8631</v>
      </c>
      <c r="E680" s="263">
        <v>5</v>
      </c>
      <c r="F680" s="263">
        <v>0</v>
      </c>
      <c r="G680" s="263">
        <v>0</v>
      </c>
      <c r="H680" s="263">
        <v>0</v>
      </c>
      <c r="I680" s="263">
        <v>0</v>
      </c>
      <c r="J680" s="263">
        <v>0</v>
      </c>
      <c r="K680" s="267">
        <v>5</v>
      </c>
    </row>
    <row r="681" spans="1:11" ht="31.5">
      <c r="A681" s="9" t="s">
        <v>12258</v>
      </c>
      <c r="B681" s="16">
        <v>58</v>
      </c>
      <c r="C681" s="9"/>
      <c r="D681" s="271" t="s">
        <v>8632</v>
      </c>
      <c r="E681" s="263">
        <v>0</v>
      </c>
      <c r="F681" s="263">
        <v>5</v>
      </c>
      <c r="G681" s="263">
        <v>0</v>
      </c>
      <c r="H681" s="263">
        <v>0</v>
      </c>
      <c r="I681" s="263">
        <v>0</v>
      </c>
      <c r="J681" s="263">
        <v>0</v>
      </c>
      <c r="K681" s="267">
        <v>5</v>
      </c>
    </row>
    <row r="682" spans="1:11">
      <c r="A682" s="9" t="s">
        <v>12259</v>
      </c>
      <c r="B682" s="16">
        <v>58</v>
      </c>
      <c r="C682" s="9"/>
      <c r="D682" s="271" t="s">
        <v>8633</v>
      </c>
      <c r="E682" s="263">
        <v>0</v>
      </c>
      <c r="F682" s="263">
        <v>5</v>
      </c>
      <c r="G682" s="263">
        <v>0</v>
      </c>
      <c r="H682" s="263">
        <v>0</v>
      </c>
      <c r="I682" s="263">
        <v>0</v>
      </c>
      <c r="J682" s="263">
        <v>0</v>
      </c>
      <c r="K682" s="267">
        <v>5</v>
      </c>
    </row>
    <row r="683" spans="1:11">
      <c r="B683" s="16">
        <v>58</v>
      </c>
      <c r="C683" s="9"/>
      <c r="D683" s="271"/>
      <c r="E683" s="263"/>
      <c r="F683" s="263"/>
      <c r="G683" s="263"/>
      <c r="H683" s="263"/>
      <c r="I683" s="263"/>
      <c r="J683" s="263"/>
      <c r="K683" s="267">
        <v>0</v>
      </c>
    </row>
    <row r="684" spans="1:11">
      <c r="B684" s="16">
        <v>58</v>
      </c>
      <c r="C684" s="9"/>
      <c r="D684" s="272" t="s">
        <v>3674</v>
      </c>
      <c r="E684" s="273">
        <v>25</v>
      </c>
      <c r="F684" s="273">
        <v>10</v>
      </c>
      <c r="G684" s="273">
        <v>0</v>
      </c>
      <c r="H684" s="273">
        <v>0</v>
      </c>
      <c r="I684" s="273">
        <v>0</v>
      </c>
      <c r="J684" s="273">
        <v>15</v>
      </c>
      <c r="K684" s="273">
        <v>50</v>
      </c>
    </row>
    <row r="685" spans="1:11">
      <c r="C685" s="9"/>
      <c r="D685" s="271"/>
      <c r="E685" s="263"/>
      <c r="F685" s="263"/>
      <c r="G685" s="263"/>
      <c r="H685" s="263"/>
      <c r="I685" s="263"/>
      <c r="J685" s="263"/>
      <c r="K685" s="267">
        <v>0</v>
      </c>
    </row>
    <row r="686" spans="1:11">
      <c r="B686" s="16">
        <v>0</v>
      </c>
      <c r="C686" s="9"/>
      <c r="D686" s="269" t="s">
        <v>13083</v>
      </c>
      <c r="E686" s="270">
        <v>127</v>
      </c>
      <c r="F686" s="270">
        <v>29</v>
      </c>
      <c r="G686" s="270">
        <v>54</v>
      </c>
      <c r="H686" s="270">
        <v>8</v>
      </c>
      <c r="I686" s="270">
        <v>15</v>
      </c>
      <c r="J686" s="270">
        <v>67</v>
      </c>
      <c r="K686" s="270">
        <v>300</v>
      </c>
    </row>
    <row r="687" spans="1:11">
      <c r="C687" s="9"/>
      <c r="D687" s="271"/>
      <c r="E687" s="263"/>
      <c r="F687" s="263"/>
      <c r="G687" s="263"/>
      <c r="H687" s="263"/>
      <c r="I687" s="263"/>
      <c r="J687" s="263"/>
      <c r="K687" s="267">
        <v>0</v>
      </c>
    </row>
    <row r="688" spans="1:11">
      <c r="C688" s="9"/>
      <c r="D688" s="271"/>
      <c r="E688" s="263"/>
      <c r="F688" s="263"/>
      <c r="G688" s="263"/>
      <c r="H688" s="263"/>
      <c r="I688" s="263"/>
      <c r="J688" s="263"/>
      <c r="K688" s="267">
        <v>0</v>
      </c>
    </row>
    <row r="689" spans="1:11">
      <c r="C689" s="9"/>
      <c r="D689" s="271" t="s">
        <v>4275</v>
      </c>
      <c r="E689" s="263"/>
      <c r="F689" s="263"/>
      <c r="G689" s="263"/>
      <c r="H689" s="263"/>
      <c r="I689" s="263"/>
      <c r="J689" s="263"/>
      <c r="K689" s="267">
        <v>0</v>
      </c>
    </row>
    <row r="690" spans="1:11">
      <c r="C690" s="9"/>
      <c r="D690" s="271"/>
      <c r="E690" s="263"/>
      <c r="F690" s="263"/>
      <c r="G690" s="263"/>
      <c r="H690" s="263"/>
      <c r="I690" s="263"/>
      <c r="J690" s="263"/>
      <c r="K690" s="267">
        <v>0</v>
      </c>
    </row>
    <row r="691" spans="1:11">
      <c r="A691" s="9" t="s">
        <v>12260</v>
      </c>
      <c r="B691" s="16">
        <v>52</v>
      </c>
      <c r="C691" s="9"/>
      <c r="D691" s="271" t="s">
        <v>9266</v>
      </c>
      <c r="E691" s="263">
        <v>3</v>
      </c>
      <c r="F691" s="263"/>
      <c r="G691" s="263"/>
      <c r="H691" s="263"/>
      <c r="I691" s="263"/>
      <c r="J691" s="263"/>
      <c r="K691" s="267">
        <v>3</v>
      </c>
    </row>
    <row r="692" spans="1:11">
      <c r="A692" s="9" t="s">
        <v>12261</v>
      </c>
      <c r="B692" s="16">
        <v>52</v>
      </c>
      <c r="C692" s="9"/>
      <c r="D692" s="271" t="s">
        <v>9267</v>
      </c>
      <c r="E692" s="263">
        <v>3</v>
      </c>
      <c r="F692" s="263"/>
      <c r="G692" s="263"/>
      <c r="H692" s="263"/>
      <c r="I692" s="263"/>
      <c r="J692" s="263"/>
      <c r="K692" s="267">
        <v>3</v>
      </c>
    </row>
    <row r="693" spans="1:11">
      <c r="A693" s="9" t="s">
        <v>12262</v>
      </c>
      <c r="B693" s="16">
        <v>52</v>
      </c>
      <c r="C693" s="9"/>
      <c r="D693" s="271" t="s">
        <v>9268</v>
      </c>
      <c r="E693" s="263"/>
      <c r="F693" s="263"/>
      <c r="G693" s="263"/>
      <c r="H693" s="263"/>
      <c r="I693" s="263">
        <v>2</v>
      </c>
      <c r="J693" s="263"/>
      <c r="K693" s="267">
        <v>2</v>
      </c>
    </row>
    <row r="694" spans="1:11">
      <c r="A694" s="9" t="s">
        <v>12263</v>
      </c>
      <c r="B694" s="16">
        <v>52</v>
      </c>
      <c r="C694" s="9"/>
      <c r="D694" s="271" t="s">
        <v>9269</v>
      </c>
      <c r="E694" s="263"/>
      <c r="F694" s="263"/>
      <c r="G694" s="263">
        <v>5</v>
      </c>
      <c r="H694" s="263"/>
      <c r="I694" s="263"/>
      <c r="J694" s="263"/>
      <c r="K694" s="267">
        <v>5</v>
      </c>
    </row>
    <row r="695" spans="1:11">
      <c r="A695" s="9" t="s">
        <v>12264</v>
      </c>
      <c r="B695" s="16">
        <v>52</v>
      </c>
      <c r="C695" s="9"/>
      <c r="D695" s="271" t="s">
        <v>9270</v>
      </c>
      <c r="E695" s="263"/>
      <c r="F695" s="263"/>
      <c r="G695" s="263"/>
      <c r="H695" s="263"/>
      <c r="I695" s="263"/>
      <c r="J695" s="263">
        <v>4</v>
      </c>
      <c r="K695" s="267">
        <v>4</v>
      </c>
    </row>
    <row r="696" spans="1:11">
      <c r="A696" s="9" t="s">
        <v>12265</v>
      </c>
      <c r="B696" s="16">
        <v>52</v>
      </c>
      <c r="C696" s="9"/>
      <c r="D696" s="271" t="s">
        <v>9271</v>
      </c>
      <c r="E696" s="263"/>
      <c r="F696" s="263"/>
      <c r="G696" s="263"/>
      <c r="H696" s="263"/>
      <c r="I696" s="263"/>
      <c r="J696" s="263">
        <v>3</v>
      </c>
      <c r="K696" s="267">
        <v>3</v>
      </c>
    </row>
    <row r="697" spans="1:11">
      <c r="A697" s="9" t="s">
        <v>12266</v>
      </c>
      <c r="B697" s="16">
        <v>52</v>
      </c>
      <c r="C697" s="9"/>
      <c r="D697" s="271" t="s">
        <v>9272</v>
      </c>
      <c r="E697" s="263"/>
      <c r="F697" s="263"/>
      <c r="G697" s="263"/>
      <c r="H697" s="263">
        <v>3</v>
      </c>
      <c r="I697" s="263"/>
      <c r="J697" s="263"/>
      <c r="K697" s="267">
        <v>3</v>
      </c>
    </row>
    <row r="698" spans="1:11">
      <c r="A698" s="9" t="s">
        <v>12267</v>
      </c>
      <c r="B698" s="16">
        <v>52</v>
      </c>
      <c r="C698" s="9"/>
      <c r="D698" s="271" t="s">
        <v>9273</v>
      </c>
      <c r="E698" s="263"/>
      <c r="F698" s="263"/>
      <c r="G698" s="263"/>
      <c r="H698" s="263">
        <v>3</v>
      </c>
      <c r="I698" s="263"/>
      <c r="J698" s="263"/>
      <c r="K698" s="267">
        <v>3</v>
      </c>
    </row>
    <row r="699" spans="1:11">
      <c r="A699" s="9" t="s">
        <v>12268</v>
      </c>
      <c r="B699" s="16">
        <v>52</v>
      </c>
      <c r="C699" s="9"/>
      <c r="D699" s="271" t="s">
        <v>9274</v>
      </c>
      <c r="E699" s="263"/>
      <c r="F699" s="263"/>
      <c r="G699" s="263"/>
      <c r="H699" s="263">
        <v>5</v>
      </c>
      <c r="I699" s="263"/>
      <c r="J699" s="263"/>
      <c r="K699" s="267">
        <v>5</v>
      </c>
    </row>
    <row r="700" spans="1:11">
      <c r="A700" s="9" t="s">
        <v>12269</v>
      </c>
      <c r="B700" s="16">
        <v>52</v>
      </c>
      <c r="C700" s="9"/>
      <c r="D700" s="271" t="s">
        <v>9275</v>
      </c>
      <c r="E700" s="263"/>
      <c r="F700" s="263"/>
      <c r="G700" s="263"/>
      <c r="H700" s="263"/>
      <c r="I700" s="263"/>
      <c r="J700" s="263">
        <v>5</v>
      </c>
      <c r="K700" s="267">
        <v>5</v>
      </c>
    </row>
    <row r="701" spans="1:11">
      <c r="A701" s="9" t="s">
        <v>12270</v>
      </c>
      <c r="B701" s="16">
        <v>52</v>
      </c>
      <c r="C701" s="9"/>
      <c r="D701" s="271" t="s">
        <v>9276</v>
      </c>
      <c r="E701" s="263"/>
      <c r="F701" s="263">
        <v>4</v>
      </c>
      <c r="G701" s="263"/>
      <c r="H701" s="263"/>
      <c r="I701" s="263"/>
      <c r="J701" s="263"/>
      <c r="K701" s="267">
        <v>4</v>
      </c>
    </row>
    <row r="702" spans="1:11">
      <c r="A702" s="9" t="s">
        <v>12271</v>
      </c>
      <c r="B702" s="16">
        <v>52</v>
      </c>
      <c r="C702" s="9"/>
      <c r="D702" s="271" t="s">
        <v>9277</v>
      </c>
      <c r="E702" s="263"/>
      <c r="F702" s="263">
        <v>2</v>
      </c>
      <c r="G702" s="263"/>
      <c r="H702" s="263"/>
      <c r="I702" s="263"/>
      <c r="J702" s="263"/>
      <c r="K702" s="267">
        <v>2</v>
      </c>
    </row>
    <row r="703" spans="1:11">
      <c r="A703" s="9" t="s">
        <v>12272</v>
      </c>
      <c r="B703" s="16">
        <v>52</v>
      </c>
      <c r="C703" s="9"/>
      <c r="D703" s="271" t="s">
        <v>9278</v>
      </c>
      <c r="E703" s="263"/>
      <c r="F703" s="263">
        <v>3</v>
      </c>
      <c r="G703" s="263"/>
      <c r="H703" s="263"/>
      <c r="I703" s="263"/>
      <c r="J703" s="263"/>
      <c r="K703" s="267">
        <v>3</v>
      </c>
    </row>
    <row r="704" spans="1:11">
      <c r="A704" s="9" t="s">
        <v>12273</v>
      </c>
      <c r="B704" s="16">
        <v>52</v>
      </c>
      <c r="C704" s="9"/>
      <c r="D704" s="271" t="s">
        <v>9279</v>
      </c>
      <c r="E704" s="263"/>
      <c r="F704" s="263">
        <v>5</v>
      </c>
      <c r="G704" s="263"/>
      <c r="H704" s="263"/>
      <c r="I704" s="263"/>
      <c r="J704" s="263"/>
      <c r="K704" s="267">
        <v>5</v>
      </c>
    </row>
    <row r="705" spans="1:11">
      <c r="B705" s="16">
        <v>52</v>
      </c>
      <c r="C705" s="9"/>
      <c r="D705" s="271"/>
      <c r="E705" s="263"/>
      <c r="F705" s="263"/>
      <c r="G705" s="263"/>
      <c r="H705" s="263"/>
      <c r="I705" s="263"/>
      <c r="J705" s="263"/>
      <c r="K705" s="267">
        <v>0</v>
      </c>
    </row>
    <row r="706" spans="1:11">
      <c r="B706" s="16">
        <v>52</v>
      </c>
      <c r="C706" s="9"/>
      <c r="D706" s="272" t="s">
        <v>3674</v>
      </c>
      <c r="E706" s="273">
        <v>6</v>
      </c>
      <c r="F706" s="273">
        <v>14</v>
      </c>
      <c r="G706" s="273">
        <v>5</v>
      </c>
      <c r="H706" s="273">
        <v>11</v>
      </c>
      <c r="I706" s="273">
        <v>2</v>
      </c>
      <c r="J706" s="273">
        <v>12</v>
      </c>
      <c r="K706" s="273">
        <v>50</v>
      </c>
    </row>
    <row r="707" spans="1:11">
      <c r="C707" s="9"/>
      <c r="D707" s="271"/>
      <c r="E707" s="263"/>
      <c r="F707" s="263"/>
      <c r="G707" s="263"/>
      <c r="H707" s="263"/>
      <c r="I707" s="263"/>
      <c r="J707" s="263"/>
      <c r="K707" s="267">
        <v>0</v>
      </c>
    </row>
    <row r="708" spans="1:11">
      <c r="A708" s="9" t="s">
        <v>12274</v>
      </c>
      <c r="B708" s="16">
        <v>53</v>
      </c>
      <c r="C708" s="9"/>
      <c r="D708" s="271" t="s">
        <v>12626</v>
      </c>
      <c r="E708" s="263">
        <v>5</v>
      </c>
      <c r="F708" s="263"/>
      <c r="G708" s="263"/>
      <c r="H708" s="263"/>
      <c r="I708" s="263"/>
      <c r="J708" s="263"/>
      <c r="K708" s="267">
        <v>5</v>
      </c>
    </row>
    <row r="709" spans="1:11">
      <c r="A709" s="9" t="s">
        <v>12275</v>
      </c>
      <c r="B709" s="16">
        <v>53</v>
      </c>
      <c r="C709" s="9"/>
      <c r="D709" s="271" t="s">
        <v>9280</v>
      </c>
      <c r="E709" s="263">
        <v>5</v>
      </c>
      <c r="F709" s="263"/>
      <c r="G709" s="263"/>
      <c r="H709" s="263"/>
      <c r="I709" s="263"/>
      <c r="J709" s="263"/>
      <c r="K709" s="267">
        <v>5</v>
      </c>
    </row>
    <row r="710" spans="1:11">
      <c r="A710" s="9" t="s">
        <v>12276</v>
      </c>
      <c r="B710" s="16">
        <v>53</v>
      </c>
      <c r="C710" s="9"/>
      <c r="D710" s="271" t="s">
        <v>9281</v>
      </c>
      <c r="E710" s="263">
        <v>5</v>
      </c>
      <c r="F710" s="263"/>
      <c r="G710" s="263"/>
      <c r="H710" s="263"/>
      <c r="I710" s="263"/>
      <c r="J710" s="263"/>
      <c r="K710" s="267">
        <v>5</v>
      </c>
    </row>
    <row r="711" spans="1:11">
      <c r="A711" s="9" t="s">
        <v>12277</v>
      </c>
      <c r="B711" s="16">
        <v>53</v>
      </c>
      <c r="C711" s="9"/>
      <c r="D711" s="271" t="s">
        <v>9282</v>
      </c>
      <c r="E711" s="263">
        <v>5</v>
      </c>
      <c r="F711" s="263"/>
      <c r="G711" s="263"/>
      <c r="H711" s="263"/>
      <c r="I711" s="263"/>
      <c r="J711" s="263"/>
      <c r="K711" s="267">
        <v>5</v>
      </c>
    </row>
    <row r="712" spans="1:11">
      <c r="A712" s="9" t="s">
        <v>12278</v>
      </c>
      <c r="B712" s="16">
        <v>53</v>
      </c>
      <c r="C712" s="9"/>
      <c r="D712" s="271" t="s">
        <v>9283</v>
      </c>
      <c r="E712" s="263">
        <v>5</v>
      </c>
      <c r="F712" s="263"/>
      <c r="G712" s="263"/>
      <c r="H712" s="263"/>
      <c r="I712" s="263"/>
      <c r="J712" s="263"/>
      <c r="K712" s="267">
        <v>5</v>
      </c>
    </row>
    <row r="713" spans="1:11" ht="31.5">
      <c r="A713" s="9" t="s">
        <v>12279</v>
      </c>
      <c r="B713" s="16">
        <v>53</v>
      </c>
      <c r="C713" s="9"/>
      <c r="D713" s="271" t="s">
        <v>9284</v>
      </c>
      <c r="E713" s="263"/>
      <c r="F713" s="263"/>
      <c r="G713" s="263"/>
      <c r="H713" s="263"/>
      <c r="I713" s="263"/>
      <c r="J713" s="263">
        <v>5</v>
      </c>
      <c r="K713" s="267">
        <v>5</v>
      </c>
    </row>
    <row r="714" spans="1:11">
      <c r="A714" s="9" t="s">
        <v>12280</v>
      </c>
      <c r="B714" s="16">
        <v>53</v>
      </c>
      <c r="C714" s="9"/>
      <c r="D714" s="271" t="s">
        <v>9285</v>
      </c>
      <c r="E714" s="263"/>
      <c r="F714" s="263"/>
      <c r="G714" s="263"/>
      <c r="H714" s="263"/>
      <c r="I714" s="263"/>
      <c r="J714" s="263">
        <v>3</v>
      </c>
      <c r="K714" s="267">
        <v>3</v>
      </c>
    </row>
    <row r="715" spans="1:11">
      <c r="A715" s="9" t="s">
        <v>12281</v>
      </c>
      <c r="B715" s="16">
        <v>53</v>
      </c>
      <c r="C715" s="9"/>
      <c r="D715" s="271" t="s">
        <v>9286</v>
      </c>
      <c r="E715" s="263"/>
      <c r="F715" s="263"/>
      <c r="G715" s="263"/>
      <c r="H715" s="263">
        <v>5</v>
      </c>
      <c r="I715" s="263"/>
      <c r="J715" s="263"/>
      <c r="K715" s="267">
        <v>5</v>
      </c>
    </row>
    <row r="716" spans="1:11">
      <c r="A716" s="9" t="s">
        <v>12282</v>
      </c>
      <c r="B716" s="16">
        <v>53</v>
      </c>
      <c r="C716" s="9"/>
      <c r="D716" s="271" t="s">
        <v>9287</v>
      </c>
      <c r="E716" s="263"/>
      <c r="F716" s="263"/>
      <c r="G716" s="263">
        <v>2</v>
      </c>
      <c r="H716" s="263"/>
      <c r="I716" s="263"/>
      <c r="J716" s="263"/>
      <c r="K716" s="267">
        <v>2</v>
      </c>
    </row>
    <row r="717" spans="1:11">
      <c r="A717" s="9" t="s">
        <v>12283</v>
      </c>
      <c r="B717" s="16">
        <v>53</v>
      </c>
      <c r="C717" s="9"/>
      <c r="D717" s="271" t="s">
        <v>9288</v>
      </c>
      <c r="E717" s="263"/>
      <c r="F717" s="263">
        <v>5</v>
      </c>
      <c r="G717" s="263"/>
      <c r="H717" s="263"/>
      <c r="I717" s="263"/>
      <c r="J717" s="263"/>
      <c r="K717" s="267">
        <v>5</v>
      </c>
    </row>
    <row r="718" spans="1:11">
      <c r="A718" s="9" t="s">
        <v>12284</v>
      </c>
      <c r="B718" s="16">
        <v>53</v>
      </c>
      <c r="C718" s="9"/>
      <c r="D718" s="271" t="s">
        <v>9289</v>
      </c>
      <c r="E718" s="263"/>
      <c r="F718" s="263">
        <v>5</v>
      </c>
      <c r="G718" s="263"/>
      <c r="H718" s="263"/>
      <c r="I718" s="263"/>
      <c r="J718" s="263"/>
      <c r="K718" s="267">
        <v>5</v>
      </c>
    </row>
    <row r="719" spans="1:11">
      <c r="B719" s="16">
        <v>53</v>
      </c>
      <c r="C719" s="9"/>
      <c r="D719" s="272" t="s">
        <v>3674</v>
      </c>
      <c r="E719" s="273">
        <v>25</v>
      </c>
      <c r="F719" s="273">
        <v>10</v>
      </c>
      <c r="G719" s="273">
        <v>2</v>
      </c>
      <c r="H719" s="273">
        <v>5</v>
      </c>
      <c r="I719" s="273">
        <v>0</v>
      </c>
      <c r="J719" s="273">
        <v>8</v>
      </c>
      <c r="K719" s="273">
        <v>50</v>
      </c>
    </row>
    <row r="720" spans="1:11">
      <c r="A720" s="9" t="s">
        <v>12285</v>
      </c>
      <c r="B720" s="16">
        <v>54</v>
      </c>
      <c r="C720" s="9"/>
      <c r="D720" s="271" t="s">
        <v>12627</v>
      </c>
      <c r="E720" s="263">
        <v>5</v>
      </c>
      <c r="F720" s="263"/>
      <c r="G720" s="263"/>
      <c r="H720" s="263"/>
      <c r="I720" s="263"/>
      <c r="J720" s="263"/>
      <c r="K720" s="267">
        <v>5</v>
      </c>
    </row>
    <row r="721" spans="1:11">
      <c r="A721" s="9" t="s">
        <v>12286</v>
      </c>
      <c r="B721" s="16">
        <v>54</v>
      </c>
      <c r="C721" s="9"/>
      <c r="D721" s="271" t="s">
        <v>9290</v>
      </c>
      <c r="E721" s="263">
        <v>5</v>
      </c>
      <c r="F721" s="263"/>
      <c r="G721" s="263"/>
      <c r="H721" s="263"/>
      <c r="I721" s="263"/>
      <c r="J721" s="263"/>
      <c r="K721" s="267">
        <v>5</v>
      </c>
    </row>
    <row r="722" spans="1:11">
      <c r="A722" s="9" t="s">
        <v>12287</v>
      </c>
      <c r="B722" s="16">
        <v>54</v>
      </c>
      <c r="C722" s="9"/>
      <c r="D722" s="271" t="s">
        <v>9291</v>
      </c>
      <c r="E722" s="263">
        <v>5</v>
      </c>
      <c r="F722" s="263"/>
      <c r="G722" s="263"/>
      <c r="H722" s="263"/>
      <c r="I722" s="263"/>
      <c r="J722" s="263"/>
      <c r="K722" s="267">
        <v>5</v>
      </c>
    </row>
    <row r="723" spans="1:11">
      <c r="A723" s="9" t="s">
        <v>12288</v>
      </c>
      <c r="B723" s="16">
        <v>54</v>
      </c>
      <c r="C723" s="9"/>
      <c r="D723" s="271" t="s">
        <v>9292</v>
      </c>
      <c r="E723" s="263">
        <v>5</v>
      </c>
      <c r="F723" s="263"/>
      <c r="G723" s="263"/>
      <c r="H723" s="263"/>
      <c r="I723" s="263"/>
      <c r="J723" s="263"/>
      <c r="K723" s="267">
        <v>5</v>
      </c>
    </row>
    <row r="724" spans="1:11">
      <c r="A724" s="9" t="s">
        <v>12289</v>
      </c>
      <c r="B724" s="16">
        <v>54</v>
      </c>
      <c r="C724" s="9"/>
      <c r="D724" s="271" t="s">
        <v>9293</v>
      </c>
      <c r="E724" s="263">
        <v>5</v>
      </c>
      <c r="F724" s="263"/>
      <c r="G724" s="263"/>
      <c r="H724" s="263"/>
      <c r="I724" s="263"/>
      <c r="J724" s="263"/>
      <c r="K724" s="267">
        <v>5</v>
      </c>
    </row>
    <row r="725" spans="1:11">
      <c r="A725" s="9" t="s">
        <v>12290</v>
      </c>
      <c r="B725" s="16">
        <v>54</v>
      </c>
      <c r="C725" s="9"/>
      <c r="D725" s="271" t="s">
        <v>9294</v>
      </c>
      <c r="E725" s="263">
        <v>5</v>
      </c>
      <c r="F725" s="263"/>
      <c r="G725" s="263"/>
      <c r="H725" s="263"/>
      <c r="I725" s="263"/>
      <c r="J725" s="263"/>
      <c r="K725" s="267">
        <v>5</v>
      </c>
    </row>
    <row r="726" spans="1:11">
      <c r="A726" s="9" t="s">
        <v>12291</v>
      </c>
      <c r="B726" s="16">
        <v>54</v>
      </c>
      <c r="C726" s="9"/>
      <c r="D726" s="271" t="s">
        <v>9295</v>
      </c>
      <c r="E726" s="263">
        <v>5</v>
      </c>
      <c r="F726" s="263"/>
      <c r="G726" s="263"/>
      <c r="H726" s="263"/>
      <c r="I726" s="263"/>
      <c r="J726" s="263"/>
      <c r="K726" s="267">
        <v>5</v>
      </c>
    </row>
    <row r="727" spans="1:11">
      <c r="A727" s="9" t="s">
        <v>12292</v>
      </c>
      <c r="B727" s="16">
        <v>54</v>
      </c>
      <c r="C727" s="9"/>
      <c r="D727" s="271" t="s">
        <v>9296</v>
      </c>
      <c r="E727" s="263"/>
      <c r="F727" s="263">
        <v>5</v>
      </c>
      <c r="G727" s="263"/>
      <c r="H727" s="263"/>
      <c r="I727" s="263"/>
      <c r="J727" s="263"/>
      <c r="K727" s="267">
        <v>5</v>
      </c>
    </row>
    <row r="728" spans="1:11">
      <c r="A728" s="9" t="s">
        <v>12293</v>
      </c>
      <c r="B728" s="16">
        <v>54</v>
      </c>
      <c r="C728" s="9"/>
      <c r="D728" s="271" t="s">
        <v>9297</v>
      </c>
      <c r="E728" s="263"/>
      <c r="F728" s="263">
        <v>5</v>
      </c>
      <c r="G728" s="263"/>
      <c r="H728" s="263"/>
      <c r="I728" s="263"/>
      <c r="J728" s="263"/>
      <c r="K728" s="267">
        <v>5</v>
      </c>
    </row>
    <row r="729" spans="1:11">
      <c r="A729" s="9" t="s">
        <v>12294</v>
      </c>
      <c r="B729" s="16">
        <v>54</v>
      </c>
      <c r="C729" s="9"/>
      <c r="D729" s="271" t="s">
        <v>9298</v>
      </c>
      <c r="E729" s="263"/>
      <c r="F729" s="263">
        <v>5</v>
      </c>
      <c r="G729" s="263"/>
      <c r="H729" s="263"/>
      <c r="I729" s="263"/>
      <c r="J729" s="263"/>
      <c r="K729" s="267">
        <v>5</v>
      </c>
    </row>
    <row r="730" spans="1:11">
      <c r="B730" s="16">
        <v>54</v>
      </c>
      <c r="C730" s="9"/>
      <c r="D730" s="271"/>
      <c r="E730" s="263"/>
      <c r="F730" s="263"/>
      <c r="G730" s="263"/>
      <c r="H730" s="263"/>
      <c r="I730" s="263"/>
      <c r="J730" s="263"/>
      <c r="K730" s="267">
        <v>0</v>
      </c>
    </row>
    <row r="731" spans="1:11">
      <c r="B731" s="16">
        <v>54</v>
      </c>
      <c r="C731" s="9"/>
      <c r="D731" s="272" t="s">
        <v>3674</v>
      </c>
      <c r="E731" s="273">
        <v>35</v>
      </c>
      <c r="F731" s="273">
        <v>15</v>
      </c>
      <c r="G731" s="273">
        <v>0</v>
      </c>
      <c r="H731" s="273">
        <v>0</v>
      </c>
      <c r="I731" s="273">
        <v>0</v>
      </c>
      <c r="J731" s="273">
        <v>0</v>
      </c>
      <c r="K731" s="273">
        <v>50</v>
      </c>
    </row>
    <row r="732" spans="1:11">
      <c r="C732" s="9"/>
      <c r="D732" s="271"/>
      <c r="E732" s="263"/>
      <c r="F732" s="263"/>
      <c r="G732" s="263"/>
      <c r="H732" s="263"/>
      <c r="I732" s="263"/>
      <c r="J732" s="263"/>
      <c r="K732" s="267">
        <v>0</v>
      </c>
    </row>
    <row r="733" spans="1:11">
      <c r="A733" s="9" t="s">
        <v>12295</v>
      </c>
      <c r="B733" s="16">
        <v>55</v>
      </c>
      <c r="C733" s="9"/>
      <c r="D733" s="271" t="s">
        <v>9299</v>
      </c>
      <c r="E733" s="263"/>
      <c r="F733" s="263"/>
      <c r="G733" s="263">
        <v>5</v>
      </c>
      <c r="H733" s="263"/>
      <c r="I733" s="263"/>
      <c r="J733" s="263"/>
      <c r="K733" s="267">
        <v>5</v>
      </c>
    </row>
    <row r="734" spans="1:11">
      <c r="A734" s="9" t="s">
        <v>12296</v>
      </c>
      <c r="B734" s="16">
        <v>55</v>
      </c>
      <c r="C734" s="9"/>
      <c r="D734" s="271" t="s">
        <v>9300</v>
      </c>
      <c r="E734" s="263"/>
      <c r="F734" s="263"/>
      <c r="G734" s="263">
        <v>5</v>
      </c>
      <c r="H734" s="263"/>
      <c r="I734" s="263"/>
      <c r="J734" s="263"/>
      <c r="K734" s="267">
        <v>5</v>
      </c>
    </row>
    <row r="735" spans="1:11">
      <c r="A735" s="9" t="s">
        <v>12297</v>
      </c>
      <c r="B735" s="16">
        <v>55</v>
      </c>
      <c r="C735" s="9"/>
      <c r="D735" s="271" t="s">
        <v>9301</v>
      </c>
      <c r="E735" s="263"/>
      <c r="F735" s="263"/>
      <c r="G735" s="263">
        <v>5</v>
      </c>
      <c r="H735" s="263"/>
      <c r="I735" s="263"/>
      <c r="J735" s="263"/>
      <c r="K735" s="267">
        <v>5</v>
      </c>
    </row>
    <row r="736" spans="1:11">
      <c r="A736" s="9" t="s">
        <v>12298</v>
      </c>
      <c r="B736" s="16">
        <v>55</v>
      </c>
      <c r="C736" s="9"/>
      <c r="D736" s="271" t="s">
        <v>9302</v>
      </c>
      <c r="E736" s="263">
        <v>5</v>
      </c>
      <c r="F736" s="263"/>
      <c r="G736" s="263"/>
      <c r="H736" s="263"/>
      <c r="I736" s="263"/>
      <c r="J736" s="263"/>
      <c r="K736" s="267">
        <v>5</v>
      </c>
    </row>
    <row r="737" spans="1:11">
      <c r="A737" s="9" t="s">
        <v>12299</v>
      </c>
      <c r="B737" s="16">
        <v>55</v>
      </c>
      <c r="C737" s="9"/>
      <c r="D737" s="271" t="s">
        <v>9303</v>
      </c>
      <c r="E737" s="263">
        <v>5</v>
      </c>
      <c r="F737" s="263"/>
      <c r="G737" s="263"/>
      <c r="H737" s="263"/>
      <c r="I737" s="263"/>
      <c r="J737" s="263"/>
      <c r="K737" s="267">
        <v>5</v>
      </c>
    </row>
    <row r="738" spans="1:11">
      <c r="A738" s="9" t="s">
        <v>12300</v>
      </c>
      <c r="B738" s="16">
        <v>55</v>
      </c>
      <c r="C738" s="9"/>
      <c r="D738" s="271" t="s">
        <v>9304</v>
      </c>
      <c r="E738" s="263">
        <v>5</v>
      </c>
      <c r="F738" s="263"/>
      <c r="G738" s="263"/>
      <c r="H738" s="263"/>
      <c r="I738" s="263"/>
      <c r="J738" s="263"/>
      <c r="K738" s="267">
        <v>5</v>
      </c>
    </row>
    <row r="739" spans="1:11">
      <c r="A739" s="9" t="s">
        <v>12301</v>
      </c>
      <c r="B739" s="16">
        <v>55</v>
      </c>
      <c r="C739" s="9"/>
      <c r="D739" s="271" t="s">
        <v>9305</v>
      </c>
      <c r="E739" s="263">
        <v>5</v>
      </c>
      <c r="F739" s="263"/>
      <c r="G739" s="263"/>
      <c r="H739" s="263"/>
      <c r="I739" s="263"/>
      <c r="J739" s="263"/>
      <c r="K739" s="267">
        <v>5</v>
      </c>
    </row>
    <row r="740" spans="1:11">
      <c r="A740" s="9" t="s">
        <v>12302</v>
      </c>
      <c r="B740" s="16">
        <v>55</v>
      </c>
      <c r="C740" s="9"/>
      <c r="D740" s="271" t="s">
        <v>9306</v>
      </c>
      <c r="E740" s="263">
        <v>5</v>
      </c>
      <c r="F740" s="263"/>
      <c r="G740" s="263"/>
      <c r="H740" s="263"/>
      <c r="I740" s="263"/>
      <c r="J740" s="263"/>
      <c r="K740" s="267">
        <v>5</v>
      </c>
    </row>
    <row r="741" spans="1:11">
      <c r="A741" s="9" t="s">
        <v>12303</v>
      </c>
      <c r="B741" s="16">
        <v>55</v>
      </c>
      <c r="C741" s="9"/>
      <c r="D741" s="271" t="s">
        <v>9307</v>
      </c>
      <c r="E741" s="263">
        <v>5</v>
      </c>
      <c r="F741" s="263"/>
      <c r="G741" s="263"/>
      <c r="H741" s="263"/>
      <c r="I741" s="263"/>
      <c r="J741" s="263"/>
      <c r="K741" s="267">
        <v>5</v>
      </c>
    </row>
    <row r="742" spans="1:11">
      <c r="A742" s="9" t="s">
        <v>12304</v>
      </c>
      <c r="B742" s="16">
        <v>55</v>
      </c>
      <c r="C742" s="9"/>
      <c r="D742" s="271" t="s">
        <v>9308</v>
      </c>
      <c r="E742" s="263"/>
      <c r="F742" s="263">
        <v>5</v>
      </c>
      <c r="G742" s="263"/>
      <c r="H742" s="263"/>
      <c r="I742" s="263"/>
      <c r="J742" s="263"/>
      <c r="K742" s="267">
        <v>5</v>
      </c>
    </row>
    <row r="743" spans="1:11">
      <c r="B743" s="16">
        <v>55</v>
      </c>
      <c r="C743" s="9"/>
      <c r="D743" s="271"/>
      <c r="E743" s="263"/>
      <c r="F743" s="263"/>
      <c r="G743" s="263"/>
      <c r="H743" s="263"/>
      <c r="I743" s="263"/>
      <c r="J743" s="263"/>
      <c r="K743" s="267">
        <v>0</v>
      </c>
    </row>
    <row r="744" spans="1:11">
      <c r="B744" s="16">
        <v>55</v>
      </c>
      <c r="C744" s="9"/>
      <c r="D744" s="272" t="s">
        <v>3674</v>
      </c>
      <c r="E744" s="273">
        <v>30</v>
      </c>
      <c r="F744" s="273">
        <v>5</v>
      </c>
      <c r="G744" s="273">
        <v>15</v>
      </c>
      <c r="H744" s="273">
        <v>0</v>
      </c>
      <c r="I744" s="273">
        <v>0</v>
      </c>
      <c r="J744" s="273">
        <v>0</v>
      </c>
      <c r="K744" s="273">
        <v>50</v>
      </c>
    </row>
    <row r="745" spans="1:11">
      <c r="C745" s="9"/>
      <c r="D745" s="271"/>
      <c r="E745" s="263"/>
      <c r="F745" s="263"/>
      <c r="G745" s="263"/>
      <c r="H745" s="263"/>
      <c r="I745" s="263"/>
      <c r="J745" s="263"/>
      <c r="K745" s="267">
        <v>0</v>
      </c>
    </row>
    <row r="746" spans="1:11" ht="31.5">
      <c r="A746" s="9" t="s">
        <v>12305</v>
      </c>
      <c r="B746" s="16">
        <v>56</v>
      </c>
      <c r="C746" s="9"/>
      <c r="D746" s="271" t="s">
        <v>9309</v>
      </c>
      <c r="E746" s="263"/>
      <c r="F746" s="263"/>
      <c r="G746" s="263"/>
      <c r="H746" s="263"/>
      <c r="I746" s="263">
        <v>5</v>
      </c>
      <c r="J746" s="263"/>
      <c r="K746" s="267">
        <v>5</v>
      </c>
    </row>
    <row r="747" spans="1:11" ht="31.5">
      <c r="A747" s="9" t="s">
        <v>12306</v>
      </c>
      <c r="B747" s="16">
        <v>56</v>
      </c>
      <c r="C747" s="9"/>
      <c r="D747" s="271" t="s">
        <v>9310</v>
      </c>
      <c r="E747" s="263"/>
      <c r="F747" s="263"/>
      <c r="G747" s="263"/>
      <c r="H747" s="263"/>
      <c r="I747" s="263">
        <v>5</v>
      </c>
      <c r="J747" s="263"/>
      <c r="K747" s="267">
        <v>5</v>
      </c>
    </row>
    <row r="748" spans="1:11">
      <c r="A748" s="9" t="s">
        <v>12307</v>
      </c>
      <c r="B748" s="16">
        <v>56</v>
      </c>
      <c r="C748" s="9"/>
      <c r="D748" s="271" t="s">
        <v>9311</v>
      </c>
      <c r="E748" s="263"/>
      <c r="F748" s="263"/>
      <c r="G748" s="263"/>
      <c r="H748" s="263"/>
      <c r="I748" s="263"/>
      <c r="J748" s="263">
        <v>5</v>
      </c>
      <c r="K748" s="267">
        <v>5</v>
      </c>
    </row>
    <row r="749" spans="1:11">
      <c r="A749" s="9" t="s">
        <v>12308</v>
      </c>
      <c r="B749" s="16">
        <v>56</v>
      </c>
      <c r="C749" s="9"/>
      <c r="D749" s="271" t="s">
        <v>9312</v>
      </c>
      <c r="E749" s="263"/>
      <c r="F749" s="263"/>
      <c r="G749" s="263"/>
      <c r="H749" s="263"/>
      <c r="I749" s="263"/>
      <c r="J749" s="263">
        <v>5</v>
      </c>
      <c r="K749" s="267">
        <v>5</v>
      </c>
    </row>
    <row r="750" spans="1:11">
      <c r="A750" s="9" t="s">
        <v>12309</v>
      </c>
      <c r="B750" s="16">
        <v>56</v>
      </c>
      <c r="C750" s="9"/>
      <c r="D750" s="271" t="s">
        <v>9313</v>
      </c>
      <c r="E750" s="263"/>
      <c r="F750" s="263"/>
      <c r="G750" s="263"/>
      <c r="H750" s="263">
        <v>5</v>
      </c>
      <c r="I750" s="263"/>
      <c r="J750" s="263"/>
      <c r="K750" s="267">
        <v>5</v>
      </c>
    </row>
    <row r="751" spans="1:11">
      <c r="A751" s="9" t="s">
        <v>12310</v>
      </c>
      <c r="B751" s="16">
        <v>56</v>
      </c>
      <c r="C751" s="9"/>
      <c r="D751" s="271" t="s">
        <v>9314</v>
      </c>
      <c r="E751" s="263"/>
      <c r="F751" s="263"/>
      <c r="G751" s="263"/>
      <c r="H751" s="263">
        <v>5</v>
      </c>
      <c r="I751" s="263"/>
      <c r="J751" s="263"/>
      <c r="K751" s="267">
        <v>5</v>
      </c>
    </row>
    <row r="752" spans="1:11">
      <c r="A752" s="9" t="s">
        <v>12311</v>
      </c>
      <c r="B752" s="16">
        <v>56</v>
      </c>
      <c r="C752" s="9"/>
      <c r="D752" s="271" t="s">
        <v>9315</v>
      </c>
      <c r="E752" s="263"/>
      <c r="F752" s="263"/>
      <c r="G752" s="263"/>
      <c r="H752" s="263">
        <v>5</v>
      </c>
      <c r="I752" s="263"/>
      <c r="J752" s="263"/>
      <c r="K752" s="267">
        <v>5</v>
      </c>
    </row>
    <row r="753" spans="1:11" ht="31.5">
      <c r="A753" s="9" t="s">
        <v>12312</v>
      </c>
      <c r="B753" s="16">
        <v>56</v>
      </c>
      <c r="C753" s="9"/>
      <c r="D753" s="271" t="s">
        <v>9316</v>
      </c>
      <c r="E753" s="263"/>
      <c r="F753" s="263"/>
      <c r="G753" s="263"/>
      <c r="H753" s="263">
        <v>5</v>
      </c>
      <c r="I753" s="263"/>
      <c r="J753" s="263"/>
      <c r="K753" s="267">
        <v>5</v>
      </c>
    </row>
    <row r="754" spans="1:11">
      <c r="A754" s="9" t="s">
        <v>12313</v>
      </c>
      <c r="B754" s="16">
        <v>56</v>
      </c>
      <c r="C754" s="9"/>
      <c r="D754" s="271" t="s">
        <v>9317</v>
      </c>
      <c r="E754" s="263"/>
      <c r="F754" s="263"/>
      <c r="G754" s="263"/>
      <c r="H754" s="263">
        <v>5</v>
      </c>
      <c r="I754" s="263"/>
      <c r="J754" s="263"/>
      <c r="K754" s="267">
        <v>5</v>
      </c>
    </row>
    <row r="755" spans="1:11">
      <c r="A755" s="9" t="s">
        <v>12314</v>
      </c>
      <c r="B755" s="16">
        <v>56</v>
      </c>
      <c r="C755" s="9"/>
      <c r="D755" s="271" t="s">
        <v>9318</v>
      </c>
      <c r="E755" s="263"/>
      <c r="F755" s="263">
        <v>5</v>
      </c>
      <c r="G755" s="263"/>
      <c r="H755" s="263"/>
      <c r="I755" s="263"/>
      <c r="J755" s="263"/>
      <c r="K755" s="267">
        <v>5</v>
      </c>
    </row>
    <row r="756" spans="1:11">
      <c r="B756" s="16">
        <v>56</v>
      </c>
      <c r="C756" s="9"/>
      <c r="D756" s="271"/>
      <c r="E756" s="263"/>
      <c r="F756" s="263"/>
      <c r="G756" s="263"/>
      <c r="H756" s="263"/>
      <c r="I756" s="263"/>
      <c r="J756" s="263"/>
      <c r="K756" s="267">
        <v>0</v>
      </c>
    </row>
    <row r="757" spans="1:11">
      <c r="B757" s="16">
        <v>56</v>
      </c>
      <c r="C757" s="9"/>
      <c r="D757" s="272" t="s">
        <v>3674</v>
      </c>
      <c r="E757" s="273">
        <v>0</v>
      </c>
      <c r="F757" s="273">
        <v>5</v>
      </c>
      <c r="G757" s="273">
        <v>0</v>
      </c>
      <c r="H757" s="273">
        <v>25</v>
      </c>
      <c r="I757" s="273">
        <v>10</v>
      </c>
      <c r="J757" s="273">
        <v>10</v>
      </c>
      <c r="K757" s="273">
        <v>50</v>
      </c>
    </row>
    <row r="758" spans="1:11">
      <c r="C758" s="9"/>
      <c r="D758" s="271"/>
      <c r="E758" s="263"/>
      <c r="F758" s="263"/>
      <c r="G758" s="263"/>
      <c r="H758" s="263"/>
      <c r="I758" s="263"/>
      <c r="J758" s="263"/>
      <c r="K758" s="267">
        <v>0</v>
      </c>
    </row>
    <row r="759" spans="1:11">
      <c r="B759" s="16">
        <v>0</v>
      </c>
      <c r="C759" s="9"/>
      <c r="D759" s="269" t="s">
        <v>13084</v>
      </c>
      <c r="E759" s="270">
        <v>96</v>
      </c>
      <c r="F759" s="270">
        <v>49</v>
      </c>
      <c r="G759" s="270">
        <v>22</v>
      </c>
      <c r="H759" s="270">
        <v>41</v>
      </c>
      <c r="I759" s="270">
        <v>12</v>
      </c>
      <c r="J759" s="270">
        <v>30</v>
      </c>
      <c r="K759" s="270">
        <v>250</v>
      </c>
    </row>
    <row r="760" spans="1:11">
      <c r="C760" s="9"/>
      <c r="D760" s="271"/>
      <c r="E760" s="263"/>
      <c r="F760" s="263"/>
      <c r="G760" s="263"/>
      <c r="H760" s="263"/>
      <c r="I760" s="263"/>
      <c r="J760" s="263"/>
      <c r="K760" s="267">
        <v>0</v>
      </c>
    </row>
    <row r="761" spans="1:11">
      <c r="C761" s="9"/>
      <c r="D761" s="271"/>
      <c r="E761" s="263"/>
      <c r="F761" s="263"/>
      <c r="G761" s="263"/>
      <c r="H761" s="263"/>
      <c r="I761" s="263"/>
      <c r="J761" s="263"/>
      <c r="K761" s="267">
        <v>0</v>
      </c>
    </row>
    <row r="762" spans="1:11">
      <c r="C762" s="9"/>
      <c r="D762" s="271" t="s">
        <v>4276</v>
      </c>
      <c r="E762" s="263"/>
      <c r="F762" s="263"/>
      <c r="G762" s="263"/>
      <c r="H762" s="263"/>
      <c r="I762" s="263"/>
      <c r="J762" s="263"/>
      <c r="K762" s="267">
        <v>0</v>
      </c>
    </row>
    <row r="763" spans="1:11">
      <c r="C763" s="9"/>
      <c r="D763" s="271"/>
      <c r="E763" s="263"/>
      <c r="F763" s="263"/>
      <c r="G763" s="263"/>
      <c r="H763" s="263"/>
      <c r="I763" s="263"/>
      <c r="J763" s="263"/>
      <c r="K763" s="267">
        <v>0</v>
      </c>
    </row>
    <row r="764" spans="1:11">
      <c r="A764" s="9" t="s">
        <v>12315</v>
      </c>
      <c r="B764" s="16">
        <v>57</v>
      </c>
      <c r="C764" s="9"/>
      <c r="D764" s="271" t="s">
        <v>9986</v>
      </c>
      <c r="E764" s="263"/>
      <c r="F764" s="263"/>
      <c r="G764" s="263"/>
      <c r="H764" s="263">
        <v>5</v>
      </c>
      <c r="I764" s="263"/>
      <c r="J764" s="263"/>
      <c r="K764" s="267">
        <v>5</v>
      </c>
    </row>
    <row r="765" spans="1:11">
      <c r="A765" s="9" t="s">
        <v>12316</v>
      </c>
      <c r="B765" s="16">
        <v>57</v>
      </c>
      <c r="C765" s="9"/>
      <c r="D765" s="271" t="s">
        <v>9987</v>
      </c>
      <c r="E765" s="263"/>
      <c r="F765" s="263"/>
      <c r="G765" s="263"/>
      <c r="H765" s="263"/>
      <c r="I765" s="263"/>
      <c r="J765" s="263">
        <v>5</v>
      </c>
      <c r="K765" s="267">
        <v>5</v>
      </c>
    </row>
    <row r="766" spans="1:11">
      <c r="A766" s="9" t="s">
        <v>12317</v>
      </c>
      <c r="B766" s="16">
        <v>57</v>
      </c>
      <c r="C766" s="9"/>
      <c r="D766" s="271" t="s">
        <v>9988</v>
      </c>
      <c r="E766" s="263"/>
      <c r="F766" s="263"/>
      <c r="G766" s="263"/>
      <c r="H766" s="263"/>
      <c r="I766" s="263"/>
      <c r="J766" s="263">
        <v>5</v>
      </c>
      <c r="K766" s="267">
        <v>5</v>
      </c>
    </row>
    <row r="767" spans="1:11">
      <c r="A767" s="9" t="s">
        <v>12318</v>
      </c>
      <c r="B767" s="16">
        <v>57</v>
      </c>
      <c r="C767" s="9"/>
      <c r="D767" s="271" t="s">
        <v>9989</v>
      </c>
      <c r="E767" s="263"/>
      <c r="F767" s="263"/>
      <c r="G767" s="263"/>
      <c r="H767" s="263"/>
      <c r="I767" s="263"/>
      <c r="J767" s="263">
        <v>5</v>
      </c>
      <c r="K767" s="267">
        <v>5</v>
      </c>
    </row>
    <row r="768" spans="1:11">
      <c r="A768" s="9" t="s">
        <v>12319</v>
      </c>
      <c r="B768" s="16">
        <v>57</v>
      </c>
      <c r="C768" s="9"/>
      <c r="D768" s="271" t="s">
        <v>9990</v>
      </c>
      <c r="E768" s="263"/>
      <c r="F768" s="263"/>
      <c r="G768" s="263"/>
      <c r="H768" s="263"/>
      <c r="I768" s="263"/>
      <c r="J768" s="263">
        <v>5</v>
      </c>
      <c r="K768" s="267">
        <v>5</v>
      </c>
    </row>
    <row r="769" spans="1:11">
      <c r="A769" s="9" t="s">
        <v>12320</v>
      </c>
      <c r="B769" s="16">
        <v>57</v>
      </c>
      <c r="C769" s="9"/>
      <c r="D769" s="271" t="s">
        <v>9991</v>
      </c>
      <c r="E769" s="263"/>
      <c r="F769" s="263"/>
      <c r="G769" s="263"/>
      <c r="H769" s="263"/>
      <c r="I769" s="263"/>
      <c r="J769" s="263">
        <v>5</v>
      </c>
      <c r="K769" s="267">
        <v>5</v>
      </c>
    </row>
    <row r="770" spans="1:11">
      <c r="A770" s="9" t="s">
        <v>12321</v>
      </c>
      <c r="B770" s="16">
        <v>57</v>
      </c>
      <c r="C770" s="9"/>
      <c r="D770" s="271" t="s">
        <v>9992</v>
      </c>
      <c r="E770" s="263">
        <v>5</v>
      </c>
      <c r="F770" s="263"/>
      <c r="G770" s="263"/>
      <c r="H770" s="263"/>
      <c r="I770" s="263"/>
      <c r="J770" s="263"/>
      <c r="K770" s="267">
        <v>5</v>
      </c>
    </row>
    <row r="771" spans="1:11">
      <c r="A771" s="9" t="s">
        <v>12322</v>
      </c>
      <c r="B771" s="16">
        <v>57</v>
      </c>
      <c r="C771" s="9"/>
      <c r="D771" s="271" t="s">
        <v>9993</v>
      </c>
      <c r="E771" s="263">
        <v>5</v>
      </c>
      <c r="F771" s="263"/>
      <c r="G771" s="263"/>
      <c r="H771" s="263"/>
      <c r="I771" s="263"/>
      <c r="J771" s="263"/>
      <c r="K771" s="267">
        <v>5</v>
      </c>
    </row>
    <row r="772" spans="1:11">
      <c r="A772" s="9" t="s">
        <v>12323</v>
      </c>
      <c r="B772" s="16">
        <v>57</v>
      </c>
      <c r="C772" s="9"/>
      <c r="D772" s="271" t="s">
        <v>9994</v>
      </c>
      <c r="E772" s="263">
        <v>5</v>
      </c>
      <c r="F772" s="263"/>
      <c r="G772" s="263"/>
      <c r="H772" s="263"/>
      <c r="I772" s="263"/>
      <c r="J772" s="263"/>
      <c r="K772" s="267">
        <v>5</v>
      </c>
    </row>
    <row r="773" spans="1:11">
      <c r="A773" s="9" t="s">
        <v>12324</v>
      </c>
      <c r="B773" s="16">
        <v>57</v>
      </c>
      <c r="C773" s="9"/>
      <c r="D773" s="271" t="s">
        <v>9995</v>
      </c>
      <c r="E773" s="263">
        <v>5</v>
      </c>
      <c r="F773" s="263"/>
      <c r="G773" s="263"/>
      <c r="H773" s="263"/>
      <c r="I773" s="263"/>
      <c r="J773" s="263"/>
      <c r="K773" s="267">
        <v>5</v>
      </c>
    </row>
    <row r="774" spans="1:11">
      <c r="B774" s="16">
        <v>57</v>
      </c>
      <c r="C774" s="9"/>
      <c r="D774" s="271"/>
      <c r="E774" s="263"/>
      <c r="F774" s="263"/>
      <c r="G774" s="263"/>
      <c r="H774" s="263"/>
      <c r="I774" s="263"/>
      <c r="J774" s="263"/>
      <c r="K774" s="267">
        <v>0</v>
      </c>
    </row>
    <row r="775" spans="1:11">
      <c r="B775" s="16">
        <v>57</v>
      </c>
      <c r="C775" s="9"/>
      <c r="D775" s="272" t="s">
        <v>3674</v>
      </c>
      <c r="E775" s="273">
        <v>20</v>
      </c>
      <c r="F775" s="273">
        <v>0</v>
      </c>
      <c r="G775" s="273">
        <v>0</v>
      </c>
      <c r="H775" s="273">
        <v>5</v>
      </c>
      <c r="I775" s="273">
        <v>0</v>
      </c>
      <c r="J775" s="273">
        <v>25</v>
      </c>
      <c r="K775" s="273">
        <v>50</v>
      </c>
    </row>
    <row r="776" spans="1:11" ht="15.75" customHeight="1">
      <c r="C776" s="9"/>
      <c r="D776" s="271"/>
      <c r="E776" s="263"/>
      <c r="F776" s="263"/>
      <c r="G776" s="263"/>
      <c r="H776" s="263"/>
      <c r="I776" s="263"/>
      <c r="J776" s="263"/>
      <c r="K776" s="267">
        <v>0</v>
      </c>
    </row>
    <row r="777" spans="1:11">
      <c r="A777" s="9" t="s">
        <v>12325</v>
      </c>
      <c r="B777" s="16">
        <v>66</v>
      </c>
      <c r="C777" s="9"/>
      <c r="D777" s="271" t="s">
        <v>9996</v>
      </c>
      <c r="E777" s="263">
        <v>3</v>
      </c>
      <c r="F777" s="263"/>
      <c r="G777" s="263"/>
      <c r="H777" s="263"/>
      <c r="I777" s="263"/>
      <c r="J777" s="263">
        <v>0</v>
      </c>
      <c r="K777" s="267">
        <v>3</v>
      </c>
    </row>
    <row r="778" spans="1:11">
      <c r="A778" s="9" t="s">
        <v>12326</v>
      </c>
      <c r="B778" s="16">
        <v>66</v>
      </c>
      <c r="C778" s="9"/>
      <c r="D778" s="271" t="s">
        <v>9997</v>
      </c>
      <c r="E778" s="263">
        <v>2</v>
      </c>
      <c r="F778" s="263"/>
      <c r="G778" s="263"/>
      <c r="H778" s="263"/>
      <c r="I778" s="263"/>
      <c r="J778" s="263">
        <v>0</v>
      </c>
      <c r="K778" s="267">
        <v>2</v>
      </c>
    </row>
    <row r="779" spans="1:11">
      <c r="A779" s="9" t="s">
        <v>12327</v>
      </c>
      <c r="B779" s="16">
        <v>66</v>
      </c>
      <c r="C779" s="9"/>
      <c r="D779" s="271" t="s">
        <v>9998</v>
      </c>
      <c r="E779" s="263">
        <v>3</v>
      </c>
      <c r="F779" s="263"/>
      <c r="G779" s="263"/>
      <c r="H779" s="263"/>
      <c r="I779" s="263"/>
      <c r="J779" s="263">
        <v>0</v>
      </c>
      <c r="K779" s="267">
        <v>3</v>
      </c>
    </row>
    <row r="780" spans="1:11">
      <c r="A780" s="9" t="s">
        <v>12328</v>
      </c>
      <c r="B780" s="16">
        <v>66</v>
      </c>
      <c r="C780" s="9"/>
      <c r="D780" s="271" t="s">
        <v>9999</v>
      </c>
      <c r="E780" s="263">
        <v>5</v>
      </c>
      <c r="F780" s="263"/>
      <c r="G780" s="263"/>
      <c r="H780" s="263"/>
      <c r="I780" s="263"/>
      <c r="J780" s="263">
        <v>0</v>
      </c>
      <c r="K780" s="267">
        <v>5</v>
      </c>
    </row>
    <row r="781" spans="1:11">
      <c r="A781" s="9" t="s">
        <v>12329</v>
      </c>
      <c r="B781" s="16">
        <v>66</v>
      </c>
      <c r="C781" s="9"/>
      <c r="D781" s="271" t="s">
        <v>12628</v>
      </c>
      <c r="E781" s="263">
        <v>4</v>
      </c>
      <c r="F781" s="263"/>
      <c r="G781" s="263"/>
      <c r="H781" s="263"/>
      <c r="I781" s="263"/>
      <c r="J781" s="263">
        <v>0</v>
      </c>
      <c r="K781" s="267">
        <v>4</v>
      </c>
    </row>
    <row r="782" spans="1:11">
      <c r="A782" s="9" t="s">
        <v>12330</v>
      </c>
      <c r="B782" s="16">
        <v>66</v>
      </c>
      <c r="C782" s="9"/>
      <c r="D782" s="271" t="s">
        <v>10000</v>
      </c>
      <c r="E782" s="263">
        <v>5</v>
      </c>
      <c r="F782" s="263"/>
      <c r="G782" s="263"/>
      <c r="H782" s="263"/>
      <c r="I782" s="263"/>
      <c r="J782" s="263">
        <v>0</v>
      </c>
      <c r="K782" s="267">
        <v>5</v>
      </c>
    </row>
    <row r="783" spans="1:11">
      <c r="A783" s="9" t="s">
        <v>12331</v>
      </c>
      <c r="B783" s="16">
        <v>66</v>
      </c>
      <c r="C783" s="9"/>
      <c r="D783" s="271" t="s">
        <v>10001</v>
      </c>
      <c r="E783" s="263"/>
      <c r="F783" s="263"/>
      <c r="G783" s="263">
        <v>2</v>
      </c>
      <c r="H783" s="263"/>
      <c r="I783" s="263"/>
      <c r="J783" s="263">
        <v>0</v>
      </c>
      <c r="K783" s="267">
        <v>2</v>
      </c>
    </row>
    <row r="784" spans="1:11">
      <c r="B784" s="16">
        <v>66</v>
      </c>
      <c r="C784" s="9"/>
      <c r="D784" s="271"/>
      <c r="E784" s="263"/>
      <c r="F784" s="263"/>
      <c r="G784" s="263"/>
      <c r="H784" s="263"/>
      <c r="I784" s="263"/>
      <c r="J784" s="263"/>
      <c r="K784" s="267">
        <v>0</v>
      </c>
    </row>
    <row r="785" spans="1:11">
      <c r="B785" s="16">
        <v>66</v>
      </c>
      <c r="C785" s="9"/>
      <c r="D785" s="272" t="s">
        <v>3674</v>
      </c>
      <c r="E785" s="273">
        <v>22</v>
      </c>
      <c r="F785" s="273">
        <v>0</v>
      </c>
      <c r="G785" s="273">
        <v>2</v>
      </c>
      <c r="H785" s="273">
        <v>0</v>
      </c>
      <c r="I785" s="273">
        <v>0</v>
      </c>
      <c r="J785" s="273">
        <v>0</v>
      </c>
      <c r="K785" s="273">
        <v>24</v>
      </c>
    </row>
    <row r="786" spans="1:11">
      <c r="C786" s="9"/>
      <c r="D786" s="271"/>
      <c r="E786" s="263"/>
      <c r="F786" s="263"/>
      <c r="G786" s="263"/>
      <c r="H786" s="263"/>
      <c r="I786" s="263"/>
      <c r="J786" s="263"/>
      <c r="K786" s="267">
        <v>0</v>
      </c>
    </row>
    <row r="787" spans="1:11">
      <c r="A787" s="9" t="s">
        <v>12332</v>
      </c>
      <c r="B787" s="16">
        <v>67</v>
      </c>
      <c r="C787" s="9"/>
      <c r="D787" s="271" t="s">
        <v>10002</v>
      </c>
      <c r="E787" s="263"/>
      <c r="F787" s="263"/>
      <c r="G787" s="263"/>
      <c r="H787" s="263">
        <v>2.5</v>
      </c>
      <c r="I787" s="263"/>
      <c r="J787" s="263"/>
      <c r="K787" s="267">
        <v>2.5</v>
      </c>
    </row>
    <row r="788" spans="1:11">
      <c r="A788" s="9" t="s">
        <v>12333</v>
      </c>
      <c r="B788" s="16">
        <v>67</v>
      </c>
      <c r="C788" s="9"/>
      <c r="D788" s="271" t="s">
        <v>10003</v>
      </c>
      <c r="E788" s="263"/>
      <c r="F788" s="263"/>
      <c r="G788" s="263"/>
      <c r="H788" s="263">
        <v>4</v>
      </c>
      <c r="I788" s="263"/>
      <c r="J788" s="263"/>
      <c r="K788" s="267">
        <v>4</v>
      </c>
    </row>
    <row r="789" spans="1:11">
      <c r="A789" s="9" t="s">
        <v>12334</v>
      </c>
      <c r="B789" s="16">
        <v>67</v>
      </c>
      <c r="C789" s="9"/>
      <c r="D789" s="271" t="s">
        <v>10004</v>
      </c>
      <c r="E789" s="263"/>
      <c r="F789" s="263"/>
      <c r="G789" s="263"/>
      <c r="H789" s="263"/>
      <c r="I789" s="263"/>
      <c r="J789" s="263">
        <v>2.5</v>
      </c>
      <c r="K789" s="267">
        <v>2.5</v>
      </c>
    </row>
    <row r="790" spans="1:11">
      <c r="A790" s="9" t="s">
        <v>12335</v>
      </c>
      <c r="B790" s="16">
        <v>67</v>
      </c>
      <c r="C790" s="9"/>
      <c r="D790" s="271" t="s">
        <v>10005</v>
      </c>
      <c r="E790" s="263"/>
      <c r="F790" s="263"/>
      <c r="G790" s="263"/>
      <c r="H790" s="263"/>
      <c r="I790" s="263"/>
      <c r="J790" s="263">
        <v>2.5</v>
      </c>
      <c r="K790" s="267">
        <v>2.5</v>
      </c>
    </row>
    <row r="791" spans="1:11">
      <c r="A791" s="9" t="s">
        <v>12336</v>
      </c>
      <c r="B791" s="16">
        <v>67</v>
      </c>
      <c r="C791" s="9"/>
      <c r="D791" s="271" t="s">
        <v>10006</v>
      </c>
      <c r="E791" s="263"/>
      <c r="F791" s="263"/>
      <c r="G791" s="263"/>
      <c r="H791" s="263"/>
      <c r="I791" s="263"/>
      <c r="J791" s="263">
        <v>4</v>
      </c>
      <c r="K791" s="267">
        <v>4</v>
      </c>
    </row>
    <row r="792" spans="1:11">
      <c r="A792" s="9" t="s">
        <v>12337</v>
      </c>
      <c r="B792" s="16">
        <v>67</v>
      </c>
      <c r="C792" s="9"/>
      <c r="D792" s="271" t="s">
        <v>10007</v>
      </c>
      <c r="E792" s="263"/>
      <c r="F792" s="263"/>
      <c r="G792" s="263"/>
      <c r="H792" s="263"/>
      <c r="I792" s="263"/>
      <c r="J792" s="263">
        <v>2.5</v>
      </c>
      <c r="K792" s="267">
        <v>2.5</v>
      </c>
    </row>
    <row r="793" spans="1:11" ht="31.5">
      <c r="A793" s="9" t="s">
        <v>12338</v>
      </c>
      <c r="B793" s="16">
        <v>67</v>
      </c>
      <c r="C793" s="9"/>
      <c r="D793" s="271" t="s">
        <v>10008</v>
      </c>
      <c r="E793" s="263"/>
      <c r="F793" s="263"/>
      <c r="G793" s="263"/>
      <c r="H793" s="263"/>
      <c r="I793" s="263"/>
      <c r="J793" s="263">
        <v>4</v>
      </c>
      <c r="K793" s="267">
        <v>4</v>
      </c>
    </row>
    <row r="794" spans="1:11">
      <c r="A794" s="9" t="s">
        <v>12339</v>
      </c>
      <c r="B794" s="16">
        <v>67</v>
      </c>
      <c r="C794" s="9"/>
      <c r="D794" s="271" t="s">
        <v>10009</v>
      </c>
      <c r="E794" s="263">
        <v>4</v>
      </c>
      <c r="F794" s="263"/>
      <c r="G794" s="263"/>
      <c r="H794" s="263"/>
      <c r="I794" s="263"/>
      <c r="J794" s="263"/>
      <c r="K794" s="267">
        <v>4</v>
      </c>
    </row>
    <row r="795" spans="1:11">
      <c r="A795" s="9" t="s">
        <v>12340</v>
      </c>
      <c r="B795" s="16">
        <v>67</v>
      </c>
      <c r="C795" s="9"/>
      <c r="D795" s="271" t="s">
        <v>10016</v>
      </c>
      <c r="E795" s="263">
        <v>2.5</v>
      </c>
      <c r="F795" s="263"/>
      <c r="G795" s="263"/>
      <c r="H795" s="263"/>
      <c r="I795" s="263"/>
      <c r="J795" s="263"/>
      <c r="K795" s="267">
        <v>2.5</v>
      </c>
    </row>
    <row r="796" spans="1:11">
      <c r="A796" s="9" t="s">
        <v>12341</v>
      </c>
      <c r="B796" s="16">
        <v>67</v>
      </c>
      <c r="C796" s="9"/>
      <c r="D796" s="271" t="s">
        <v>10010</v>
      </c>
      <c r="E796" s="263">
        <v>3</v>
      </c>
      <c r="F796" s="263"/>
      <c r="G796" s="263"/>
      <c r="H796" s="263"/>
      <c r="I796" s="263"/>
      <c r="J796" s="263"/>
      <c r="K796" s="267">
        <v>3</v>
      </c>
    </row>
    <row r="797" spans="1:11">
      <c r="A797" s="9" t="s">
        <v>12342</v>
      </c>
      <c r="B797" s="16">
        <v>67</v>
      </c>
      <c r="C797" s="9"/>
      <c r="D797" s="271" t="s">
        <v>12629</v>
      </c>
      <c r="E797" s="263">
        <v>4</v>
      </c>
      <c r="F797" s="263"/>
      <c r="G797" s="263"/>
      <c r="H797" s="263"/>
      <c r="I797" s="263"/>
      <c r="J797" s="263"/>
      <c r="K797" s="267">
        <v>4</v>
      </c>
    </row>
    <row r="798" spans="1:11">
      <c r="A798" s="9" t="s">
        <v>12343</v>
      </c>
      <c r="B798" s="16">
        <v>67</v>
      </c>
      <c r="C798" s="9"/>
      <c r="D798" s="271" t="s">
        <v>10011</v>
      </c>
      <c r="E798" s="263">
        <v>4</v>
      </c>
      <c r="F798" s="263"/>
      <c r="G798" s="263"/>
      <c r="H798" s="263"/>
      <c r="I798" s="263"/>
      <c r="J798" s="263"/>
      <c r="K798" s="267">
        <v>4</v>
      </c>
    </row>
    <row r="799" spans="1:11">
      <c r="A799" s="9" t="s">
        <v>12344</v>
      </c>
      <c r="B799" s="16">
        <v>67</v>
      </c>
      <c r="C799" s="9"/>
      <c r="D799" s="271" t="s">
        <v>10012</v>
      </c>
      <c r="E799" s="263">
        <v>2.5</v>
      </c>
      <c r="F799" s="263"/>
      <c r="G799" s="263"/>
      <c r="H799" s="263"/>
      <c r="I799" s="263"/>
      <c r="J799" s="263"/>
      <c r="K799" s="267">
        <v>2.5</v>
      </c>
    </row>
    <row r="800" spans="1:11">
      <c r="A800" s="9" t="s">
        <v>12345</v>
      </c>
      <c r="B800" s="16">
        <v>67</v>
      </c>
      <c r="C800" s="9"/>
      <c r="D800" s="271" t="s">
        <v>10013</v>
      </c>
      <c r="E800" s="263">
        <v>2.5</v>
      </c>
      <c r="F800" s="263"/>
      <c r="G800" s="263"/>
      <c r="H800" s="263"/>
      <c r="I800" s="263"/>
      <c r="J800" s="263"/>
      <c r="K800" s="267">
        <v>2.5</v>
      </c>
    </row>
    <row r="801" spans="1:11">
      <c r="A801" s="9" t="s">
        <v>12346</v>
      </c>
      <c r="B801" s="16">
        <v>67</v>
      </c>
      <c r="C801" s="9"/>
      <c r="D801" s="271" t="s">
        <v>10014</v>
      </c>
      <c r="E801" s="263">
        <v>2.5</v>
      </c>
      <c r="F801" s="263"/>
      <c r="G801" s="263"/>
      <c r="H801" s="263"/>
      <c r="I801" s="263"/>
      <c r="J801" s="263"/>
      <c r="K801" s="267">
        <v>2.5</v>
      </c>
    </row>
    <row r="802" spans="1:11">
      <c r="A802" s="9" t="s">
        <v>12347</v>
      </c>
      <c r="B802" s="16">
        <v>67</v>
      </c>
      <c r="C802" s="9"/>
      <c r="D802" s="271" t="s">
        <v>10015</v>
      </c>
      <c r="E802" s="263"/>
      <c r="F802" s="263"/>
      <c r="G802" s="263">
        <v>3</v>
      </c>
      <c r="H802" s="263"/>
      <c r="I802" s="263"/>
      <c r="J802" s="263"/>
      <c r="K802" s="267">
        <v>3</v>
      </c>
    </row>
    <row r="803" spans="1:11">
      <c r="B803" s="16">
        <v>67</v>
      </c>
      <c r="C803" s="9"/>
      <c r="D803" s="271"/>
      <c r="E803" s="263"/>
      <c r="F803" s="263"/>
      <c r="G803" s="263"/>
      <c r="H803" s="263"/>
      <c r="I803" s="263"/>
      <c r="J803" s="263"/>
      <c r="K803" s="267">
        <v>0</v>
      </c>
    </row>
    <row r="804" spans="1:11">
      <c r="B804" s="16">
        <v>67</v>
      </c>
      <c r="C804" s="9"/>
      <c r="D804" s="272" t="s">
        <v>3674</v>
      </c>
      <c r="E804" s="273">
        <v>25</v>
      </c>
      <c r="F804" s="273">
        <v>0</v>
      </c>
      <c r="G804" s="273">
        <v>3</v>
      </c>
      <c r="H804" s="273">
        <v>6.5</v>
      </c>
      <c r="I804" s="273">
        <v>0</v>
      </c>
      <c r="J804" s="273">
        <v>15.5</v>
      </c>
      <c r="K804" s="273">
        <v>50</v>
      </c>
    </row>
    <row r="805" spans="1:11">
      <c r="C805" s="9"/>
      <c r="D805" s="271"/>
      <c r="E805" s="263"/>
      <c r="F805" s="263"/>
      <c r="G805" s="263"/>
      <c r="H805" s="263"/>
      <c r="I805" s="263"/>
      <c r="J805" s="263"/>
      <c r="K805" s="267">
        <v>0</v>
      </c>
    </row>
    <row r="806" spans="1:11">
      <c r="A806" s="9" t="s">
        <v>12348</v>
      </c>
      <c r="B806" s="16">
        <v>68</v>
      </c>
      <c r="C806" s="9"/>
      <c r="D806" s="271" t="s">
        <v>10017</v>
      </c>
      <c r="E806" s="263"/>
      <c r="F806" s="263"/>
      <c r="G806" s="263"/>
      <c r="H806" s="263"/>
      <c r="I806" s="263"/>
      <c r="J806" s="263">
        <v>4</v>
      </c>
      <c r="K806" s="267">
        <v>4</v>
      </c>
    </row>
    <row r="807" spans="1:11">
      <c r="A807" s="9" t="s">
        <v>12349</v>
      </c>
      <c r="B807" s="16">
        <v>68</v>
      </c>
      <c r="C807" s="9"/>
      <c r="D807" s="271" t="s">
        <v>10018</v>
      </c>
      <c r="E807" s="263"/>
      <c r="F807" s="263"/>
      <c r="G807" s="263"/>
      <c r="H807" s="263"/>
      <c r="I807" s="263"/>
      <c r="J807" s="263">
        <v>4.5</v>
      </c>
      <c r="K807" s="267">
        <v>4.5</v>
      </c>
    </row>
    <row r="808" spans="1:11">
      <c r="A808" s="9" t="s">
        <v>12350</v>
      </c>
      <c r="B808" s="16">
        <v>68</v>
      </c>
      <c r="C808" s="9"/>
      <c r="D808" s="271" t="s">
        <v>10019</v>
      </c>
      <c r="E808" s="263"/>
      <c r="F808" s="263"/>
      <c r="G808" s="263"/>
      <c r="H808" s="263"/>
      <c r="I808" s="263"/>
      <c r="J808" s="263">
        <v>4</v>
      </c>
      <c r="K808" s="267">
        <v>4</v>
      </c>
    </row>
    <row r="809" spans="1:11">
      <c r="A809" s="9" t="s">
        <v>12351</v>
      </c>
      <c r="B809" s="16">
        <v>68</v>
      </c>
      <c r="C809" s="9"/>
      <c r="D809" s="271" t="s">
        <v>10020</v>
      </c>
      <c r="E809" s="263"/>
      <c r="F809" s="263"/>
      <c r="G809" s="263"/>
      <c r="H809" s="263"/>
      <c r="I809" s="263"/>
      <c r="J809" s="263">
        <v>4</v>
      </c>
      <c r="K809" s="267">
        <v>4</v>
      </c>
    </row>
    <row r="810" spans="1:11">
      <c r="A810" s="9" t="s">
        <v>12352</v>
      </c>
      <c r="B810" s="16">
        <v>68</v>
      </c>
      <c r="C810" s="9"/>
      <c r="D810" s="271" t="s">
        <v>10021</v>
      </c>
      <c r="E810" s="263"/>
      <c r="F810" s="263"/>
      <c r="G810" s="263"/>
      <c r="H810" s="263"/>
      <c r="I810" s="263"/>
      <c r="J810" s="263">
        <v>4.5</v>
      </c>
      <c r="K810" s="267">
        <v>4.5</v>
      </c>
    </row>
    <row r="811" spans="1:11">
      <c r="A811" s="9" t="s">
        <v>12353</v>
      </c>
      <c r="B811" s="16">
        <v>68</v>
      </c>
      <c r="C811" s="9"/>
      <c r="D811" s="271" t="s">
        <v>10022</v>
      </c>
      <c r="E811" s="263"/>
      <c r="F811" s="263"/>
      <c r="G811" s="263"/>
      <c r="H811" s="263"/>
      <c r="I811" s="263"/>
      <c r="J811" s="263">
        <v>4.5</v>
      </c>
      <c r="K811" s="267">
        <v>4.5</v>
      </c>
    </row>
    <row r="812" spans="1:11">
      <c r="A812" s="9" t="s">
        <v>12354</v>
      </c>
      <c r="B812" s="16">
        <v>68</v>
      </c>
      <c r="C812" s="9"/>
      <c r="D812" s="271" t="s">
        <v>10023</v>
      </c>
      <c r="E812" s="263">
        <v>4</v>
      </c>
      <c r="F812" s="263"/>
      <c r="G812" s="263"/>
      <c r="H812" s="263"/>
      <c r="I812" s="263"/>
      <c r="J812" s="263"/>
      <c r="K812" s="267">
        <v>4</v>
      </c>
    </row>
    <row r="813" spans="1:11">
      <c r="A813" s="9" t="s">
        <v>12355</v>
      </c>
      <c r="B813" s="16">
        <v>68</v>
      </c>
      <c r="C813" s="9"/>
      <c r="D813" s="271" t="s">
        <v>10024</v>
      </c>
      <c r="E813" s="263">
        <v>4</v>
      </c>
      <c r="F813" s="263"/>
      <c r="G813" s="263"/>
      <c r="H813" s="263"/>
      <c r="I813" s="263"/>
      <c r="J813" s="263"/>
      <c r="K813" s="267">
        <v>4</v>
      </c>
    </row>
    <row r="814" spans="1:11" ht="31.5">
      <c r="A814" s="9" t="s">
        <v>12356</v>
      </c>
      <c r="B814" s="16">
        <v>68</v>
      </c>
      <c r="C814" s="9"/>
      <c r="D814" s="271" t="s">
        <v>10025</v>
      </c>
      <c r="E814" s="263">
        <v>3.5</v>
      </c>
      <c r="F814" s="263"/>
      <c r="G814" s="263"/>
      <c r="H814" s="263"/>
      <c r="I814" s="263"/>
      <c r="J814" s="263"/>
      <c r="K814" s="267">
        <v>3.5</v>
      </c>
    </row>
    <row r="815" spans="1:11">
      <c r="A815" s="9" t="s">
        <v>12357</v>
      </c>
      <c r="B815" s="16">
        <v>68</v>
      </c>
      <c r="C815" s="9"/>
      <c r="D815" s="271" t="s">
        <v>10026</v>
      </c>
      <c r="E815" s="263">
        <v>4</v>
      </c>
      <c r="F815" s="263"/>
      <c r="G815" s="263"/>
      <c r="H815" s="263"/>
      <c r="I815" s="263"/>
      <c r="J815" s="263"/>
      <c r="K815" s="267">
        <v>4</v>
      </c>
    </row>
    <row r="816" spans="1:11">
      <c r="A816" s="9" t="s">
        <v>12358</v>
      </c>
      <c r="B816" s="16">
        <v>68</v>
      </c>
      <c r="C816" s="9"/>
      <c r="D816" s="271" t="s">
        <v>10027</v>
      </c>
      <c r="E816" s="263">
        <v>4.5</v>
      </c>
      <c r="F816" s="263"/>
      <c r="G816" s="263"/>
      <c r="H816" s="263"/>
      <c r="I816" s="263"/>
      <c r="J816" s="263"/>
      <c r="K816" s="267">
        <v>4.5</v>
      </c>
    </row>
    <row r="817" spans="1:11">
      <c r="A817" s="9" t="s">
        <v>12359</v>
      </c>
      <c r="B817" s="16">
        <v>68</v>
      </c>
      <c r="C817" s="9"/>
      <c r="D817" s="271" t="s">
        <v>10028</v>
      </c>
      <c r="E817" s="263">
        <v>4.5</v>
      </c>
      <c r="F817" s="263"/>
      <c r="G817" s="263"/>
      <c r="H817" s="263"/>
      <c r="I817" s="263"/>
      <c r="J817" s="263"/>
      <c r="K817" s="267">
        <v>4.5</v>
      </c>
    </row>
    <row r="818" spans="1:11">
      <c r="B818" s="16">
        <v>68</v>
      </c>
      <c r="C818" s="9"/>
      <c r="D818" s="271"/>
      <c r="E818" s="263"/>
      <c r="F818" s="263"/>
      <c r="G818" s="263"/>
      <c r="H818" s="263"/>
      <c r="I818" s="263"/>
      <c r="J818" s="263"/>
      <c r="K818" s="267">
        <v>0</v>
      </c>
    </row>
    <row r="819" spans="1:11">
      <c r="B819" s="16">
        <v>68</v>
      </c>
      <c r="C819" s="9"/>
      <c r="D819" s="272" t="s">
        <v>3674</v>
      </c>
      <c r="E819" s="273">
        <v>24.5</v>
      </c>
      <c r="F819" s="273">
        <v>0</v>
      </c>
      <c r="G819" s="273">
        <v>0</v>
      </c>
      <c r="H819" s="273">
        <v>0</v>
      </c>
      <c r="I819" s="273">
        <v>0</v>
      </c>
      <c r="J819" s="273">
        <v>25.5</v>
      </c>
      <c r="K819" s="273">
        <v>50</v>
      </c>
    </row>
    <row r="820" spans="1:11">
      <c r="C820" s="9"/>
      <c r="D820" s="271"/>
      <c r="E820" s="263"/>
      <c r="F820" s="263"/>
      <c r="G820" s="263"/>
      <c r="H820" s="263"/>
      <c r="I820" s="263"/>
      <c r="J820" s="263"/>
      <c r="K820" s="267">
        <v>0</v>
      </c>
    </row>
    <row r="821" spans="1:11">
      <c r="B821" s="16">
        <v>0</v>
      </c>
      <c r="C821" s="9"/>
      <c r="D821" s="269" t="s">
        <v>13085</v>
      </c>
      <c r="E821" s="270">
        <v>91.5</v>
      </c>
      <c r="F821" s="270">
        <v>0</v>
      </c>
      <c r="G821" s="270">
        <v>5</v>
      </c>
      <c r="H821" s="270">
        <v>11.5</v>
      </c>
      <c r="I821" s="270">
        <v>0</v>
      </c>
      <c r="J821" s="270">
        <v>66</v>
      </c>
      <c r="K821" s="270">
        <v>174</v>
      </c>
    </row>
    <row r="822" spans="1:11">
      <c r="C822" s="9"/>
      <c r="D822" s="271"/>
      <c r="E822" s="263"/>
      <c r="F822" s="263"/>
      <c r="G822" s="263"/>
      <c r="H822" s="263"/>
      <c r="I822" s="263"/>
      <c r="J822" s="263"/>
      <c r="K822" s="267">
        <v>0</v>
      </c>
    </row>
    <row r="823" spans="1:11">
      <c r="C823" s="9"/>
      <c r="D823" s="271"/>
      <c r="E823" s="263"/>
      <c r="F823" s="263"/>
      <c r="G823" s="263"/>
      <c r="H823" s="263"/>
      <c r="I823" s="263"/>
      <c r="J823" s="263"/>
      <c r="K823" s="267">
        <v>0</v>
      </c>
    </row>
    <row r="824" spans="1:11">
      <c r="C824" s="9"/>
      <c r="D824" s="271" t="s">
        <v>4277</v>
      </c>
      <c r="E824" s="263"/>
      <c r="F824" s="263"/>
      <c r="G824" s="263"/>
      <c r="H824" s="263"/>
      <c r="I824" s="263"/>
      <c r="J824" s="263"/>
      <c r="K824" s="267">
        <v>0</v>
      </c>
    </row>
    <row r="825" spans="1:11">
      <c r="C825" s="9"/>
      <c r="D825" s="271"/>
      <c r="E825" s="263"/>
      <c r="F825" s="263"/>
      <c r="G825" s="263"/>
      <c r="H825" s="263"/>
      <c r="I825" s="263"/>
      <c r="J825" s="263"/>
      <c r="K825" s="267">
        <v>0</v>
      </c>
    </row>
    <row r="826" spans="1:11">
      <c r="A826" s="9" t="s">
        <v>12360</v>
      </c>
      <c r="B826" s="16">
        <v>42</v>
      </c>
      <c r="C826" s="9"/>
      <c r="D826" s="271" t="s">
        <v>7881</v>
      </c>
      <c r="E826" s="263">
        <v>0</v>
      </c>
      <c r="F826" s="263">
        <v>0</v>
      </c>
      <c r="G826" s="263">
        <v>0</v>
      </c>
      <c r="H826" s="263">
        <v>5</v>
      </c>
      <c r="I826" s="263">
        <v>0</v>
      </c>
      <c r="J826" s="263">
        <v>0</v>
      </c>
      <c r="K826" s="267">
        <v>5</v>
      </c>
    </row>
    <row r="827" spans="1:11">
      <c r="A827" s="9" t="s">
        <v>12361</v>
      </c>
      <c r="B827" s="16">
        <v>42</v>
      </c>
      <c r="C827" s="9"/>
      <c r="D827" s="271" t="s">
        <v>7882</v>
      </c>
      <c r="E827" s="263">
        <v>0</v>
      </c>
      <c r="F827" s="263">
        <v>0</v>
      </c>
      <c r="G827" s="263">
        <v>0</v>
      </c>
      <c r="H827" s="263">
        <v>5</v>
      </c>
      <c r="I827" s="263">
        <v>0</v>
      </c>
      <c r="J827" s="263">
        <v>0</v>
      </c>
      <c r="K827" s="267">
        <v>5</v>
      </c>
    </row>
    <row r="828" spans="1:11">
      <c r="A828" s="9" t="s">
        <v>12362</v>
      </c>
      <c r="B828" s="16">
        <v>42</v>
      </c>
      <c r="C828" s="9"/>
      <c r="D828" s="271" t="s">
        <v>7883</v>
      </c>
      <c r="E828" s="263">
        <v>0</v>
      </c>
      <c r="F828" s="263">
        <v>0</v>
      </c>
      <c r="G828" s="263">
        <v>0</v>
      </c>
      <c r="H828" s="263">
        <v>5</v>
      </c>
      <c r="I828" s="263">
        <v>0</v>
      </c>
      <c r="J828" s="263">
        <v>0</v>
      </c>
      <c r="K828" s="267">
        <v>5</v>
      </c>
    </row>
    <row r="829" spans="1:11">
      <c r="A829" s="9" t="s">
        <v>12363</v>
      </c>
      <c r="B829" s="16">
        <v>42</v>
      </c>
      <c r="C829" s="9"/>
      <c r="D829" s="271" t="s">
        <v>7884</v>
      </c>
      <c r="E829" s="263">
        <v>0</v>
      </c>
      <c r="F829" s="263">
        <v>0</v>
      </c>
      <c r="G829" s="263">
        <v>0</v>
      </c>
      <c r="H829" s="263">
        <v>5</v>
      </c>
      <c r="I829" s="263">
        <v>0</v>
      </c>
      <c r="J829" s="263">
        <v>0</v>
      </c>
      <c r="K829" s="267">
        <v>5</v>
      </c>
    </row>
    <row r="830" spans="1:11">
      <c r="A830" s="9" t="s">
        <v>12364</v>
      </c>
      <c r="B830" s="16">
        <v>42</v>
      </c>
      <c r="C830" s="9"/>
      <c r="D830" s="271" t="s">
        <v>7885</v>
      </c>
      <c r="E830" s="263">
        <v>0</v>
      </c>
      <c r="F830" s="263">
        <v>0</v>
      </c>
      <c r="G830" s="263">
        <v>5</v>
      </c>
      <c r="H830" s="263">
        <v>0</v>
      </c>
      <c r="I830" s="263">
        <v>0</v>
      </c>
      <c r="J830" s="263">
        <v>0</v>
      </c>
      <c r="K830" s="267">
        <v>5</v>
      </c>
    </row>
    <row r="831" spans="1:11">
      <c r="B831" s="16">
        <v>42</v>
      </c>
      <c r="C831" s="9"/>
      <c r="D831" s="271"/>
      <c r="E831" s="263"/>
      <c r="F831" s="263"/>
      <c r="G831" s="263"/>
      <c r="H831" s="263"/>
      <c r="I831" s="263"/>
      <c r="J831" s="263"/>
      <c r="K831" s="267">
        <v>0</v>
      </c>
    </row>
    <row r="832" spans="1:11">
      <c r="B832" s="16">
        <v>42</v>
      </c>
      <c r="C832" s="9"/>
      <c r="D832" s="272" t="s">
        <v>3674</v>
      </c>
      <c r="E832" s="273">
        <v>0</v>
      </c>
      <c r="F832" s="273">
        <v>0</v>
      </c>
      <c r="G832" s="273">
        <v>5</v>
      </c>
      <c r="H832" s="273">
        <v>20</v>
      </c>
      <c r="I832" s="273">
        <v>0</v>
      </c>
      <c r="J832" s="273">
        <v>0</v>
      </c>
      <c r="K832" s="273">
        <v>25</v>
      </c>
    </row>
    <row r="833" spans="1:11">
      <c r="C833" s="9"/>
      <c r="D833" s="271"/>
      <c r="E833" s="263"/>
      <c r="F833" s="263"/>
      <c r="G833" s="263"/>
      <c r="H833" s="263"/>
      <c r="I833" s="263"/>
      <c r="J833" s="263"/>
      <c r="K833" s="267">
        <v>0</v>
      </c>
    </row>
    <row r="834" spans="1:11">
      <c r="A834" s="9" t="s">
        <v>12365</v>
      </c>
      <c r="B834" s="16">
        <v>43</v>
      </c>
      <c r="C834" s="9"/>
      <c r="D834" s="271" t="s">
        <v>7886</v>
      </c>
      <c r="E834" s="263">
        <v>0</v>
      </c>
      <c r="F834" s="263">
        <v>0</v>
      </c>
      <c r="G834" s="263">
        <v>0</v>
      </c>
      <c r="H834" s="263">
        <v>0</v>
      </c>
      <c r="I834" s="263">
        <v>0</v>
      </c>
      <c r="J834" s="263">
        <v>5</v>
      </c>
      <c r="K834" s="267">
        <v>5</v>
      </c>
    </row>
    <row r="835" spans="1:11">
      <c r="A835" s="9" t="s">
        <v>12366</v>
      </c>
      <c r="B835" s="16">
        <v>43</v>
      </c>
      <c r="C835" s="9"/>
      <c r="D835" s="271" t="s">
        <v>7887</v>
      </c>
      <c r="E835" s="263">
        <v>5</v>
      </c>
      <c r="F835" s="263">
        <v>0</v>
      </c>
      <c r="G835" s="263">
        <v>0</v>
      </c>
      <c r="H835" s="263">
        <v>0</v>
      </c>
      <c r="I835" s="263">
        <v>0</v>
      </c>
      <c r="J835" s="263">
        <v>0</v>
      </c>
      <c r="K835" s="267">
        <v>5</v>
      </c>
    </row>
    <row r="836" spans="1:11">
      <c r="B836" s="16">
        <v>43</v>
      </c>
      <c r="C836" s="9"/>
      <c r="D836" s="271"/>
      <c r="E836" s="263"/>
      <c r="F836" s="263"/>
      <c r="G836" s="263"/>
      <c r="H836" s="263"/>
      <c r="I836" s="263"/>
      <c r="J836" s="263"/>
      <c r="K836" s="267">
        <v>0</v>
      </c>
    </row>
    <row r="837" spans="1:11">
      <c r="B837" s="16">
        <v>43</v>
      </c>
      <c r="C837" s="9"/>
      <c r="D837" s="272" t="s">
        <v>3674</v>
      </c>
      <c r="E837" s="273">
        <v>5</v>
      </c>
      <c r="F837" s="273">
        <v>0</v>
      </c>
      <c r="G837" s="273">
        <v>0</v>
      </c>
      <c r="H837" s="273">
        <v>0</v>
      </c>
      <c r="I837" s="273">
        <v>0</v>
      </c>
      <c r="J837" s="273">
        <v>5</v>
      </c>
      <c r="K837" s="273">
        <v>10</v>
      </c>
    </row>
    <row r="838" spans="1:11">
      <c r="C838" s="9"/>
      <c r="D838" s="271"/>
      <c r="E838" s="263"/>
      <c r="F838" s="263"/>
      <c r="G838" s="263"/>
      <c r="H838" s="263"/>
      <c r="I838" s="263"/>
      <c r="J838" s="263"/>
      <c r="K838" s="267">
        <v>0</v>
      </c>
    </row>
    <row r="839" spans="1:11">
      <c r="A839" s="9" t="s">
        <v>12367</v>
      </c>
      <c r="B839" s="16">
        <v>44</v>
      </c>
      <c r="C839" s="9"/>
      <c r="D839" s="271" t="s">
        <v>7888</v>
      </c>
      <c r="E839" s="263">
        <v>5</v>
      </c>
      <c r="F839" s="263">
        <v>0</v>
      </c>
      <c r="G839" s="263">
        <v>0</v>
      </c>
      <c r="H839" s="263">
        <v>0</v>
      </c>
      <c r="I839" s="263">
        <v>0</v>
      </c>
      <c r="J839" s="263">
        <v>0</v>
      </c>
      <c r="K839" s="267">
        <v>5</v>
      </c>
    </row>
    <row r="840" spans="1:11">
      <c r="A840" s="9" t="s">
        <v>12368</v>
      </c>
      <c r="B840" s="16">
        <v>44</v>
      </c>
      <c r="C840" s="9"/>
      <c r="D840" s="271" t="s">
        <v>7889</v>
      </c>
      <c r="E840" s="263">
        <v>5</v>
      </c>
      <c r="F840" s="263">
        <v>0</v>
      </c>
      <c r="G840" s="263">
        <v>0</v>
      </c>
      <c r="H840" s="263">
        <v>0</v>
      </c>
      <c r="I840" s="263">
        <v>0</v>
      </c>
      <c r="J840" s="263">
        <v>0</v>
      </c>
      <c r="K840" s="267">
        <v>5</v>
      </c>
    </row>
    <row r="841" spans="1:11">
      <c r="A841" s="9" t="s">
        <v>12369</v>
      </c>
      <c r="B841" s="16">
        <v>44</v>
      </c>
      <c r="C841" s="9"/>
      <c r="D841" s="271" t="s">
        <v>7890</v>
      </c>
      <c r="E841" s="263">
        <v>0</v>
      </c>
      <c r="F841" s="263">
        <v>0</v>
      </c>
      <c r="G841" s="263">
        <v>5</v>
      </c>
      <c r="H841" s="263">
        <v>0</v>
      </c>
      <c r="I841" s="263">
        <v>0</v>
      </c>
      <c r="J841" s="263">
        <v>0</v>
      </c>
      <c r="K841" s="267">
        <v>5</v>
      </c>
    </row>
    <row r="842" spans="1:11">
      <c r="A842" s="9" t="s">
        <v>12370</v>
      </c>
      <c r="B842" s="16">
        <v>44</v>
      </c>
      <c r="C842" s="9"/>
      <c r="D842" s="271" t="s">
        <v>7891</v>
      </c>
      <c r="E842" s="263">
        <v>0</v>
      </c>
      <c r="F842" s="263">
        <v>0</v>
      </c>
      <c r="G842" s="263">
        <v>0</v>
      </c>
      <c r="H842" s="263">
        <v>0</v>
      </c>
      <c r="I842" s="263">
        <v>0</v>
      </c>
      <c r="J842" s="263">
        <v>5</v>
      </c>
      <c r="K842" s="267">
        <v>5</v>
      </c>
    </row>
    <row r="843" spans="1:11">
      <c r="A843" s="9" t="s">
        <v>12371</v>
      </c>
      <c r="B843" s="16">
        <v>44</v>
      </c>
      <c r="C843" s="9"/>
      <c r="D843" s="271" t="s">
        <v>7892</v>
      </c>
      <c r="E843" s="263">
        <v>0</v>
      </c>
      <c r="F843" s="263">
        <v>5</v>
      </c>
      <c r="G843" s="263">
        <v>0</v>
      </c>
      <c r="H843" s="263">
        <v>0</v>
      </c>
      <c r="I843" s="263">
        <v>0</v>
      </c>
      <c r="J843" s="263">
        <v>0</v>
      </c>
      <c r="K843" s="267">
        <v>5</v>
      </c>
    </row>
    <row r="844" spans="1:11">
      <c r="A844" s="9" t="s">
        <v>12372</v>
      </c>
      <c r="B844" s="16">
        <v>44</v>
      </c>
      <c r="C844" s="9"/>
      <c r="D844" s="271" t="s">
        <v>7893</v>
      </c>
      <c r="E844" s="263">
        <v>0</v>
      </c>
      <c r="F844" s="263">
        <v>5</v>
      </c>
      <c r="G844" s="263">
        <v>0</v>
      </c>
      <c r="H844" s="263">
        <v>0</v>
      </c>
      <c r="I844" s="263">
        <v>0</v>
      </c>
      <c r="J844" s="263">
        <v>0</v>
      </c>
      <c r="K844" s="267">
        <v>5</v>
      </c>
    </row>
    <row r="845" spans="1:11">
      <c r="A845" s="9" t="s">
        <v>12373</v>
      </c>
      <c r="B845" s="16">
        <v>44</v>
      </c>
      <c r="C845" s="9"/>
      <c r="D845" s="271" t="s">
        <v>7894</v>
      </c>
      <c r="E845" s="263">
        <v>0</v>
      </c>
      <c r="F845" s="263">
        <v>5</v>
      </c>
      <c r="G845" s="263">
        <v>0</v>
      </c>
      <c r="H845" s="263">
        <v>0</v>
      </c>
      <c r="I845" s="263">
        <v>0</v>
      </c>
      <c r="J845" s="263">
        <v>0</v>
      </c>
      <c r="K845" s="267">
        <v>5</v>
      </c>
    </row>
    <row r="846" spans="1:11">
      <c r="B846" s="16">
        <v>44</v>
      </c>
      <c r="C846" s="9"/>
      <c r="D846" s="271"/>
      <c r="E846" s="263"/>
      <c r="F846" s="263"/>
      <c r="G846" s="263"/>
      <c r="H846" s="263"/>
      <c r="I846" s="263"/>
      <c r="J846" s="263"/>
      <c r="K846" s="267">
        <v>0</v>
      </c>
    </row>
    <row r="847" spans="1:11">
      <c r="B847" s="16">
        <v>44</v>
      </c>
      <c r="C847" s="9"/>
      <c r="D847" s="272" t="s">
        <v>3674</v>
      </c>
      <c r="E847" s="273">
        <v>10</v>
      </c>
      <c r="F847" s="273">
        <v>15</v>
      </c>
      <c r="G847" s="273">
        <v>5</v>
      </c>
      <c r="H847" s="273">
        <v>0</v>
      </c>
      <c r="I847" s="273">
        <v>0</v>
      </c>
      <c r="J847" s="273">
        <v>5</v>
      </c>
      <c r="K847" s="273">
        <v>35</v>
      </c>
    </row>
    <row r="848" spans="1:11">
      <c r="C848" s="9"/>
      <c r="D848" s="271"/>
      <c r="E848" s="263"/>
      <c r="F848" s="263"/>
      <c r="G848" s="263"/>
      <c r="H848" s="263"/>
      <c r="I848" s="263"/>
      <c r="J848" s="263"/>
      <c r="K848" s="267">
        <v>0</v>
      </c>
    </row>
    <row r="849" spans="1:11">
      <c r="A849" s="9" t="s">
        <v>12374</v>
      </c>
      <c r="B849" s="16">
        <v>45</v>
      </c>
      <c r="C849" s="9"/>
      <c r="D849" s="271" t="s">
        <v>7895</v>
      </c>
      <c r="E849" s="263">
        <v>5</v>
      </c>
      <c r="F849" s="263">
        <v>0</v>
      </c>
      <c r="G849" s="263">
        <v>0</v>
      </c>
      <c r="H849" s="263">
        <v>0</v>
      </c>
      <c r="I849" s="263">
        <v>0</v>
      </c>
      <c r="J849" s="263">
        <v>0</v>
      </c>
      <c r="K849" s="267">
        <v>5</v>
      </c>
    </row>
    <row r="850" spans="1:11">
      <c r="A850" s="9" t="s">
        <v>12375</v>
      </c>
      <c r="B850" s="16">
        <v>45</v>
      </c>
      <c r="C850" s="9"/>
      <c r="D850" s="271" t="s">
        <v>7896</v>
      </c>
      <c r="E850" s="263">
        <v>0</v>
      </c>
      <c r="F850" s="263">
        <v>5</v>
      </c>
      <c r="G850" s="263">
        <v>0</v>
      </c>
      <c r="H850" s="263">
        <v>0</v>
      </c>
      <c r="I850" s="263">
        <v>0</v>
      </c>
      <c r="J850" s="263">
        <v>0</v>
      </c>
      <c r="K850" s="267">
        <v>5</v>
      </c>
    </row>
    <row r="851" spans="1:11">
      <c r="A851" s="9" t="s">
        <v>12376</v>
      </c>
      <c r="B851" s="16">
        <v>45</v>
      </c>
      <c r="C851" s="9"/>
      <c r="D851" s="271" t="s">
        <v>7897</v>
      </c>
      <c r="E851" s="263">
        <v>0</v>
      </c>
      <c r="F851" s="263">
        <v>5</v>
      </c>
      <c r="G851" s="263">
        <v>0</v>
      </c>
      <c r="H851" s="263">
        <v>0</v>
      </c>
      <c r="I851" s="263">
        <v>0</v>
      </c>
      <c r="J851" s="263">
        <v>0</v>
      </c>
      <c r="K851" s="267">
        <v>5</v>
      </c>
    </row>
    <row r="852" spans="1:11">
      <c r="B852" s="16">
        <v>45</v>
      </c>
      <c r="C852" s="9"/>
      <c r="D852" s="271"/>
      <c r="E852" s="263"/>
      <c r="F852" s="263"/>
      <c r="G852" s="263"/>
      <c r="H852" s="263"/>
      <c r="I852" s="263"/>
      <c r="J852" s="263"/>
      <c r="K852" s="267">
        <v>0</v>
      </c>
    </row>
    <row r="853" spans="1:11">
      <c r="B853" s="16">
        <v>45</v>
      </c>
      <c r="C853" s="9"/>
      <c r="D853" s="272" t="s">
        <v>3674</v>
      </c>
      <c r="E853" s="273">
        <v>5</v>
      </c>
      <c r="F853" s="273">
        <v>10</v>
      </c>
      <c r="G853" s="273">
        <v>0</v>
      </c>
      <c r="H853" s="273">
        <v>0</v>
      </c>
      <c r="I853" s="273">
        <v>0</v>
      </c>
      <c r="J853" s="273">
        <v>0</v>
      </c>
      <c r="K853" s="273">
        <v>15</v>
      </c>
    </row>
    <row r="854" spans="1:11">
      <c r="C854" s="9"/>
      <c r="D854" s="271"/>
      <c r="E854" s="263"/>
      <c r="F854" s="263"/>
      <c r="G854" s="263"/>
      <c r="H854" s="263"/>
      <c r="I854" s="263"/>
      <c r="J854" s="263"/>
      <c r="K854" s="267">
        <v>0</v>
      </c>
    </row>
    <row r="855" spans="1:11">
      <c r="B855" s="16">
        <v>0</v>
      </c>
      <c r="C855" s="9"/>
      <c r="D855" s="269" t="s">
        <v>13086</v>
      </c>
      <c r="E855" s="270">
        <v>20</v>
      </c>
      <c r="F855" s="270">
        <v>25</v>
      </c>
      <c r="G855" s="270">
        <v>10</v>
      </c>
      <c r="H855" s="270">
        <v>20</v>
      </c>
      <c r="I855" s="270">
        <v>0</v>
      </c>
      <c r="J855" s="270">
        <v>10</v>
      </c>
      <c r="K855" s="270">
        <v>85</v>
      </c>
    </row>
    <row r="856" spans="1:11">
      <c r="C856" s="9"/>
      <c r="D856" s="271"/>
      <c r="E856" s="263"/>
      <c r="F856" s="263"/>
      <c r="G856" s="263"/>
      <c r="H856" s="263"/>
      <c r="I856" s="263"/>
      <c r="J856" s="263"/>
      <c r="K856" s="267">
        <v>0</v>
      </c>
    </row>
    <row r="857" spans="1:11">
      <c r="C857" s="9"/>
      <c r="D857" s="271"/>
      <c r="E857" s="263"/>
      <c r="F857" s="263"/>
      <c r="G857" s="263"/>
      <c r="H857" s="263"/>
      <c r="I857" s="263"/>
      <c r="J857" s="263"/>
      <c r="K857" s="267">
        <v>0</v>
      </c>
    </row>
    <row r="858" spans="1:11">
      <c r="C858" s="9"/>
      <c r="D858" s="271"/>
      <c r="E858" s="263"/>
      <c r="F858" s="263"/>
      <c r="G858" s="263"/>
      <c r="H858" s="263"/>
      <c r="I858" s="263"/>
      <c r="J858" s="263"/>
      <c r="K858" s="267">
        <v>0</v>
      </c>
    </row>
    <row r="859" spans="1:11">
      <c r="C859" s="9"/>
      <c r="D859" s="271" t="s">
        <v>4279</v>
      </c>
      <c r="E859" s="263"/>
      <c r="F859" s="263"/>
      <c r="G859" s="263"/>
      <c r="H859" s="263"/>
      <c r="I859" s="263"/>
      <c r="J859" s="263"/>
      <c r="K859" s="267">
        <v>0</v>
      </c>
    </row>
    <row r="860" spans="1:11">
      <c r="C860" s="9"/>
      <c r="D860" s="271"/>
      <c r="E860" s="263"/>
      <c r="F860" s="263"/>
      <c r="G860" s="263"/>
      <c r="H860" s="263"/>
      <c r="I860" s="263"/>
      <c r="J860" s="263"/>
      <c r="K860" s="267">
        <v>0</v>
      </c>
    </row>
    <row r="861" spans="1:11">
      <c r="A861" s="9" t="s">
        <v>12377</v>
      </c>
      <c r="B861" s="16">
        <v>69</v>
      </c>
      <c r="C861" s="9"/>
      <c r="D861" s="271" t="s">
        <v>8201</v>
      </c>
      <c r="E861" s="263">
        <v>5</v>
      </c>
      <c r="F861" s="263">
        <v>0</v>
      </c>
      <c r="G861" s="263">
        <v>0</v>
      </c>
      <c r="H861" s="263">
        <v>0</v>
      </c>
      <c r="I861" s="263">
        <v>0</v>
      </c>
      <c r="J861" s="263">
        <v>0</v>
      </c>
      <c r="K861" s="267">
        <v>5</v>
      </c>
    </row>
    <row r="862" spans="1:11">
      <c r="A862" s="9" t="s">
        <v>12378</v>
      </c>
      <c r="B862" s="16">
        <v>69</v>
      </c>
      <c r="C862" s="9"/>
      <c r="D862" s="271" t="s">
        <v>8202</v>
      </c>
      <c r="E862" s="263">
        <v>5</v>
      </c>
      <c r="F862" s="263">
        <v>0</v>
      </c>
      <c r="G862" s="263">
        <v>0</v>
      </c>
      <c r="H862" s="263">
        <v>0</v>
      </c>
      <c r="I862" s="263">
        <v>0</v>
      </c>
      <c r="J862" s="263">
        <v>0</v>
      </c>
      <c r="K862" s="267">
        <v>5</v>
      </c>
    </row>
    <row r="863" spans="1:11">
      <c r="A863" s="9" t="s">
        <v>12379</v>
      </c>
      <c r="B863" s="16">
        <v>69</v>
      </c>
      <c r="C863" s="9"/>
      <c r="D863" s="271" t="s">
        <v>8203</v>
      </c>
      <c r="E863" s="263">
        <v>4</v>
      </c>
      <c r="F863" s="263">
        <v>0</v>
      </c>
      <c r="G863" s="263">
        <v>0</v>
      </c>
      <c r="H863" s="263">
        <v>0</v>
      </c>
      <c r="I863" s="263">
        <v>0</v>
      </c>
      <c r="J863" s="263">
        <v>0</v>
      </c>
      <c r="K863" s="267">
        <v>4</v>
      </c>
    </row>
    <row r="864" spans="1:11">
      <c r="A864" s="9" t="s">
        <v>12380</v>
      </c>
      <c r="B864" s="16">
        <v>69</v>
      </c>
      <c r="C864" s="9"/>
      <c r="D864" s="271" t="s">
        <v>8204</v>
      </c>
      <c r="E864" s="263">
        <v>4</v>
      </c>
      <c r="F864" s="263">
        <v>0</v>
      </c>
      <c r="G864" s="263">
        <v>0</v>
      </c>
      <c r="H864" s="263">
        <v>0</v>
      </c>
      <c r="I864" s="263">
        <v>0</v>
      </c>
      <c r="J864" s="263">
        <v>0</v>
      </c>
      <c r="K864" s="267">
        <v>4</v>
      </c>
    </row>
    <row r="865" spans="1:11">
      <c r="A865" s="9" t="s">
        <v>12381</v>
      </c>
      <c r="B865" s="16">
        <v>69</v>
      </c>
      <c r="C865" s="9"/>
      <c r="D865" s="271" t="s">
        <v>8205</v>
      </c>
      <c r="E865" s="263">
        <v>4</v>
      </c>
      <c r="F865" s="263">
        <v>0</v>
      </c>
      <c r="G865" s="263">
        <v>0</v>
      </c>
      <c r="H865" s="263">
        <v>0</v>
      </c>
      <c r="I865" s="263">
        <v>0</v>
      </c>
      <c r="J865" s="263">
        <v>0</v>
      </c>
      <c r="K865" s="267">
        <v>4</v>
      </c>
    </row>
    <row r="866" spans="1:11">
      <c r="A866" s="9" t="s">
        <v>12382</v>
      </c>
      <c r="B866" s="16">
        <v>69</v>
      </c>
      <c r="C866" s="9"/>
      <c r="D866" s="271" t="s">
        <v>8206</v>
      </c>
      <c r="E866" s="263">
        <v>0</v>
      </c>
      <c r="F866" s="263">
        <v>3</v>
      </c>
      <c r="G866" s="263">
        <v>0</v>
      </c>
      <c r="H866" s="263">
        <v>0</v>
      </c>
      <c r="I866" s="263">
        <v>0</v>
      </c>
      <c r="J866" s="263">
        <v>0</v>
      </c>
      <c r="K866" s="267">
        <v>3</v>
      </c>
    </row>
    <row r="867" spans="1:11">
      <c r="A867" s="9" t="s">
        <v>12383</v>
      </c>
      <c r="B867" s="16">
        <v>69</v>
      </c>
      <c r="C867" s="9"/>
      <c r="D867" s="271" t="s">
        <v>8207</v>
      </c>
      <c r="E867" s="263">
        <v>0</v>
      </c>
      <c r="F867" s="263">
        <v>0</v>
      </c>
      <c r="G867" s="263">
        <v>0</v>
      </c>
      <c r="H867" s="263">
        <v>3</v>
      </c>
      <c r="I867" s="263">
        <v>0</v>
      </c>
      <c r="J867" s="263">
        <v>0</v>
      </c>
      <c r="K867" s="267">
        <v>3</v>
      </c>
    </row>
    <row r="868" spans="1:11" ht="31.5">
      <c r="A868" s="9" t="s">
        <v>12384</v>
      </c>
      <c r="B868" s="16">
        <v>69</v>
      </c>
      <c r="C868" s="9"/>
      <c r="D868" s="271" t="s">
        <v>8208</v>
      </c>
      <c r="E868" s="263">
        <v>0</v>
      </c>
      <c r="F868" s="263">
        <v>0</v>
      </c>
      <c r="G868" s="263">
        <v>0</v>
      </c>
      <c r="H868" s="263">
        <v>3</v>
      </c>
      <c r="I868" s="263">
        <v>0</v>
      </c>
      <c r="J868" s="263">
        <v>0</v>
      </c>
      <c r="K868" s="267">
        <v>3</v>
      </c>
    </row>
    <row r="869" spans="1:11">
      <c r="B869" s="16">
        <v>69</v>
      </c>
      <c r="C869" s="9"/>
      <c r="D869" s="271"/>
      <c r="E869" s="263"/>
      <c r="F869" s="263"/>
      <c r="G869" s="263"/>
      <c r="H869" s="263"/>
      <c r="I869" s="263"/>
      <c r="J869" s="263"/>
      <c r="K869" s="267">
        <v>0</v>
      </c>
    </row>
    <row r="870" spans="1:11">
      <c r="B870" s="16">
        <v>69</v>
      </c>
      <c r="C870" s="9"/>
      <c r="D870" s="272" t="s">
        <v>3674</v>
      </c>
      <c r="E870" s="273">
        <v>22</v>
      </c>
      <c r="F870" s="273">
        <v>3</v>
      </c>
      <c r="G870" s="273">
        <v>0</v>
      </c>
      <c r="H870" s="273">
        <v>6</v>
      </c>
      <c r="I870" s="273">
        <v>0</v>
      </c>
      <c r="J870" s="273">
        <v>0</v>
      </c>
      <c r="K870" s="273">
        <v>31</v>
      </c>
    </row>
    <row r="871" spans="1:11">
      <c r="C871" s="9"/>
      <c r="D871" s="271"/>
      <c r="E871" s="263"/>
      <c r="F871" s="263"/>
      <c r="G871" s="263"/>
      <c r="H871" s="263"/>
      <c r="I871" s="263"/>
      <c r="J871" s="263"/>
      <c r="K871" s="267">
        <v>0</v>
      </c>
    </row>
    <row r="872" spans="1:11">
      <c r="A872" s="9" t="s">
        <v>12385</v>
      </c>
      <c r="B872" s="16">
        <v>73</v>
      </c>
      <c r="C872" s="9"/>
      <c r="D872" s="271" t="s">
        <v>8209</v>
      </c>
      <c r="E872" s="263">
        <v>4</v>
      </c>
      <c r="F872" s="263">
        <v>0</v>
      </c>
      <c r="G872" s="263">
        <v>0</v>
      </c>
      <c r="H872" s="263">
        <v>0</v>
      </c>
      <c r="I872" s="263">
        <v>0</v>
      </c>
      <c r="J872" s="263">
        <v>0</v>
      </c>
      <c r="K872" s="267">
        <v>4</v>
      </c>
    </row>
    <row r="873" spans="1:11" ht="31.5">
      <c r="A873" s="9" t="s">
        <v>12386</v>
      </c>
      <c r="B873" s="16">
        <v>73</v>
      </c>
      <c r="C873" s="9"/>
      <c r="D873" s="271" t="s">
        <v>8210</v>
      </c>
      <c r="E873" s="263">
        <v>5</v>
      </c>
      <c r="F873" s="263">
        <v>0</v>
      </c>
      <c r="G873" s="263">
        <v>0</v>
      </c>
      <c r="H873" s="263">
        <v>0</v>
      </c>
      <c r="I873" s="263">
        <v>0</v>
      </c>
      <c r="J873" s="263">
        <v>0</v>
      </c>
      <c r="K873" s="267">
        <v>5</v>
      </c>
    </row>
    <row r="874" spans="1:11">
      <c r="A874" s="9" t="s">
        <v>12387</v>
      </c>
      <c r="B874" s="16">
        <v>73</v>
      </c>
      <c r="C874" s="9"/>
      <c r="D874" s="271" t="s">
        <v>8211</v>
      </c>
      <c r="E874" s="263">
        <v>4</v>
      </c>
      <c r="F874" s="263">
        <v>0</v>
      </c>
      <c r="G874" s="263">
        <v>0</v>
      </c>
      <c r="H874" s="263">
        <v>0</v>
      </c>
      <c r="I874" s="263">
        <v>0</v>
      </c>
      <c r="J874" s="263">
        <v>0</v>
      </c>
      <c r="K874" s="267">
        <v>4</v>
      </c>
    </row>
    <row r="875" spans="1:11" ht="31.5">
      <c r="A875" s="9" t="s">
        <v>12388</v>
      </c>
      <c r="B875" s="16">
        <v>73</v>
      </c>
      <c r="C875" s="9"/>
      <c r="D875" s="271" t="s">
        <v>8212</v>
      </c>
      <c r="E875" s="263">
        <v>0</v>
      </c>
      <c r="F875" s="263">
        <v>2</v>
      </c>
      <c r="G875" s="263">
        <v>0</v>
      </c>
      <c r="H875" s="263">
        <v>0</v>
      </c>
      <c r="I875" s="263">
        <v>0</v>
      </c>
      <c r="J875" s="263">
        <v>0</v>
      </c>
      <c r="K875" s="267">
        <v>2</v>
      </c>
    </row>
    <row r="876" spans="1:11" ht="31.5">
      <c r="A876" s="9" t="s">
        <v>12389</v>
      </c>
      <c r="B876" s="16">
        <v>73</v>
      </c>
      <c r="C876" s="9"/>
      <c r="D876" s="271" t="s">
        <v>8213</v>
      </c>
      <c r="E876" s="263">
        <v>0</v>
      </c>
      <c r="F876" s="263">
        <v>3</v>
      </c>
      <c r="G876" s="263">
        <v>0</v>
      </c>
      <c r="H876" s="263">
        <v>0</v>
      </c>
      <c r="I876" s="263">
        <v>0</v>
      </c>
      <c r="J876" s="263">
        <v>0</v>
      </c>
      <c r="K876" s="267">
        <v>3</v>
      </c>
    </row>
    <row r="877" spans="1:11" ht="31.5">
      <c r="A877" s="9" t="s">
        <v>12390</v>
      </c>
      <c r="B877" s="16">
        <v>73</v>
      </c>
      <c r="C877" s="9"/>
      <c r="D877" s="271" t="s">
        <v>8214</v>
      </c>
      <c r="E877" s="263">
        <v>0</v>
      </c>
      <c r="F877" s="263">
        <v>0</v>
      </c>
      <c r="G877" s="263">
        <v>3</v>
      </c>
      <c r="H877" s="263">
        <v>0</v>
      </c>
      <c r="I877" s="263">
        <v>0</v>
      </c>
      <c r="J877" s="263">
        <v>0</v>
      </c>
      <c r="K877" s="267">
        <v>3</v>
      </c>
    </row>
    <row r="878" spans="1:11">
      <c r="A878" s="9" t="s">
        <v>12391</v>
      </c>
      <c r="B878" s="16">
        <v>73</v>
      </c>
      <c r="C878" s="9"/>
      <c r="D878" s="271" t="s">
        <v>8215</v>
      </c>
      <c r="E878" s="263">
        <v>0</v>
      </c>
      <c r="F878" s="263">
        <v>0</v>
      </c>
      <c r="G878" s="263">
        <v>3</v>
      </c>
      <c r="H878" s="263">
        <v>0</v>
      </c>
      <c r="I878" s="263">
        <v>0</v>
      </c>
      <c r="J878" s="263">
        <v>0</v>
      </c>
      <c r="K878" s="267">
        <v>3</v>
      </c>
    </row>
    <row r="879" spans="1:11">
      <c r="A879" s="9" t="s">
        <v>12392</v>
      </c>
      <c r="B879" s="16">
        <v>73</v>
      </c>
      <c r="C879" s="9"/>
      <c r="D879" s="271" t="s">
        <v>8216</v>
      </c>
      <c r="E879" s="263">
        <v>0</v>
      </c>
      <c r="F879" s="263">
        <v>0</v>
      </c>
      <c r="G879" s="263">
        <v>0</v>
      </c>
      <c r="H879" s="263">
        <v>0</v>
      </c>
      <c r="I879" s="263">
        <v>0</v>
      </c>
      <c r="J879" s="263">
        <v>4</v>
      </c>
      <c r="K879" s="267">
        <v>4</v>
      </c>
    </row>
    <row r="880" spans="1:11">
      <c r="A880" s="9" t="s">
        <v>12393</v>
      </c>
      <c r="B880" s="16">
        <v>73</v>
      </c>
      <c r="C880" s="9"/>
      <c r="D880" s="271" t="s">
        <v>8217</v>
      </c>
      <c r="E880" s="263">
        <v>0</v>
      </c>
      <c r="F880" s="263">
        <v>0</v>
      </c>
      <c r="G880" s="263">
        <v>0</v>
      </c>
      <c r="H880" s="263">
        <v>0</v>
      </c>
      <c r="I880" s="263">
        <v>0</v>
      </c>
      <c r="J880" s="263">
        <v>2</v>
      </c>
      <c r="K880" s="267">
        <v>2</v>
      </c>
    </row>
    <row r="881" spans="1:11" ht="31.5">
      <c r="A881" s="9" t="s">
        <v>12394</v>
      </c>
      <c r="B881" s="16">
        <v>73</v>
      </c>
      <c r="C881" s="9"/>
      <c r="D881" s="271" t="s">
        <v>8218</v>
      </c>
      <c r="E881" s="263">
        <v>0</v>
      </c>
      <c r="F881" s="263">
        <v>0</v>
      </c>
      <c r="G881" s="263">
        <v>0</v>
      </c>
      <c r="H881" s="263">
        <v>0</v>
      </c>
      <c r="I881" s="263">
        <v>0</v>
      </c>
      <c r="J881" s="263">
        <v>3</v>
      </c>
      <c r="K881" s="267">
        <v>3</v>
      </c>
    </row>
    <row r="882" spans="1:11" ht="31.5">
      <c r="A882" s="9" t="s">
        <v>12395</v>
      </c>
      <c r="B882" s="16">
        <v>73</v>
      </c>
      <c r="C882" s="9"/>
      <c r="D882" s="271" t="s">
        <v>8219</v>
      </c>
      <c r="E882" s="263">
        <v>0</v>
      </c>
      <c r="F882" s="263">
        <v>0</v>
      </c>
      <c r="G882" s="263">
        <v>0</v>
      </c>
      <c r="H882" s="263">
        <v>0</v>
      </c>
      <c r="I882" s="263">
        <v>0</v>
      </c>
      <c r="J882" s="263">
        <v>3</v>
      </c>
      <c r="K882" s="267">
        <v>3</v>
      </c>
    </row>
    <row r="883" spans="1:11">
      <c r="A883" s="9" t="s">
        <v>12396</v>
      </c>
      <c r="B883" s="16">
        <v>73</v>
      </c>
      <c r="C883" s="9"/>
      <c r="D883" s="271" t="s">
        <v>8220</v>
      </c>
      <c r="E883" s="263">
        <v>0</v>
      </c>
      <c r="F883" s="263">
        <v>0</v>
      </c>
      <c r="G883" s="263">
        <v>0</v>
      </c>
      <c r="H883" s="263">
        <v>0</v>
      </c>
      <c r="I883" s="263">
        <v>0</v>
      </c>
      <c r="J883" s="263">
        <v>3</v>
      </c>
      <c r="K883" s="267">
        <v>3</v>
      </c>
    </row>
    <row r="884" spans="1:11" ht="31.5">
      <c r="A884" s="9" t="s">
        <v>12397</v>
      </c>
      <c r="B884" s="16">
        <v>73</v>
      </c>
      <c r="C884" s="9"/>
      <c r="D884" s="271" t="s">
        <v>8221</v>
      </c>
      <c r="E884" s="263">
        <v>0</v>
      </c>
      <c r="F884" s="263">
        <v>0</v>
      </c>
      <c r="G884" s="263">
        <v>0</v>
      </c>
      <c r="H884" s="263">
        <v>0</v>
      </c>
      <c r="I884" s="263">
        <v>0</v>
      </c>
      <c r="J884" s="263">
        <v>3</v>
      </c>
      <c r="K884" s="267">
        <v>3</v>
      </c>
    </row>
    <row r="885" spans="1:11">
      <c r="B885" s="16">
        <v>73</v>
      </c>
      <c r="C885" s="9"/>
      <c r="D885" s="271"/>
      <c r="E885" s="263"/>
      <c r="F885" s="263"/>
      <c r="G885" s="263"/>
      <c r="H885" s="263"/>
      <c r="I885" s="263"/>
      <c r="J885" s="263"/>
      <c r="K885" s="267">
        <v>0</v>
      </c>
    </row>
    <row r="886" spans="1:11">
      <c r="B886" s="16">
        <v>73</v>
      </c>
      <c r="C886" s="9"/>
      <c r="D886" s="272" t="s">
        <v>3674</v>
      </c>
      <c r="E886" s="273">
        <v>13</v>
      </c>
      <c r="F886" s="273">
        <v>5</v>
      </c>
      <c r="G886" s="273">
        <v>6</v>
      </c>
      <c r="H886" s="273">
        <v>0</v>
      </c>
      <c r="I886" s="273">
        <v>0</v>
      </c>
      <c r="J886" s="273">
        <v>18</v>
      </c>
      <c r="K886" s="273">
        <v>42</v>
      </c>
    </row>
    <row r="887" spans="1:11">
      <c r="C887" s="9"/>
      <c r="D887" s="271"/>
      <c r="E887" s="263"/>
      <c r="F887" s="263"/>
      <c r="G887" s="263"/>
      <c r="H887" s="263"/>
      <c r="I887" s="263"/>
      <c r="J887" s="263"/>
      <c r="K887" s="267">
        <v>0</v>
      </c>
    </row>
    <row r="888" spans="1:11">
      <c r="A888" s="9" t="s">
        <v>12398</v>
      </c>
      <c r="B888" s="16">
        <v>74</v>
      </c>
      <c r="C888" s="9"/>
      <c r="D888" s="271" t="s">
        <v>8222</v>
      </c>
      <c r="E888" s="263">
        <v>5</v>
      </c>
      <c r="F888" s="263">
        <v>0</v>
      </c>
      <c r="G888" s="263">
        <v>0</v>
      </c>
      <c r="H888" s="263">
        <v>0</v>
      </c>
      <c r="I888" s="263">
        <v>0</v>
      </c>
      <c r="J888" s="263">
        <v>0</v>
      </c>
      <c r="K888" s="267">
        <v>5</v>
      </c>
    </row>
    <row r="889" spans="1:11">
      <c r="A889" s="9" t="s">
        <v>12399</v>
      </c>
      <c r="B889" s="16">
        <v>74</v>
      </c>
      <c r="C889" s="9"/>
      <c r="D889" s="271" t="s">
        <v>8223</v>
      </c>
      <c r="E889" s="263">
        <v>5</v>
      </c>
      <c r="F889" s="263">
        <v>0</v>
      </c>
      <c r="G889" s="263">
        <v>0</v>
      </c>
      <c r="H889" s="263">
        <v>0</v>
      </c>
      <c r="I889" s="263">
        <v>0</v>
      </c>
      <c r="J889" s="263">
        <v>0</v>
      </c>
      <c r="K889" s="267">
        <v>5</v>
      </c>
    </row>
    <row r="890" spans="1:11">
      <c r="A890" s="9" t="s">
        <v>12400</v>
      </c>
      <c r="B890" s="16">
        <v>74</v>
      </c>
      <c r="C890" s="9"/>
      <c r="D890" s="271" t="s">
        <v>8224</v>
      </c>
      <c r="E890" s="263">
        <v>5</v>
      </c>
      <c r="F890" s="263">
        <v>0</v>
      </c>
      <c r="G890" s="263">
        <v>0</v>
      </c>
      <c r="H890" s="263">
        <v>0</v>
      </c>
      <c r="I890" s="263">
        <v>0</v>
      </c>
      <c r="J890" s="263">
        <v>0</v>
      </c>
      <c r="K890" s="267">
        <v>5</v>
      </c>
    </row>
    <row r="891" spans="1:11">
      <c r="A891" s="9" t="s">
        <v>12401</v>
      </c>
      <c r="B891" s="16">
        <v>74</v>
      </c>
      <c r="C891" s="9"/>
      <c r="D891" s="271" t="s">
        <v>8225</v>
      </c>
      <c r="E891" s="263">
        <v>3</v>
      </c>
      <c r="F891" s="263">
        <v>0</v>
      </c>
      <c r="G891" s="263">
        <v>0</v>
      </c>
      <c r="H891" s="263">
        <v>0</v>
      </c>
      <c r="I891" s="263">
        <v>0</v>
      </c>
      <c r="J891" s="263">
        <v>0</v>
      </c>
      <c r="K891" s="267">
        <v>3</v>
      </c>
    </row>
    <row r="892" spans="1:11">
      <c r="A892" s="9" t="s">
        <v>12402</v>
      </c>
      <c r="B892" s="16">
        <v>74</v>
      </c>
      <c r="C892" s="9"/>
      <c r="D892" s="271" t="s">
        <v>8226</v>
      </c>
      <c r="E892" s="263">
        <v>0</v>
      </c>
      <c r="F892" s="263">
        <v>5</v>
      </c>
      <c r="G892" s="263">
        <v>0</v>
      </c>
      <c r="H892" s="263">
        <v>0</v>
      </c>
      <c r="I892" s="263">
        <v>0</v>
      </c>
      <c r="J892" s="263">
        <v>0</v>
      </c>
      <c r="K892" s="267">
        <v>5</v>
      </c>
    </row>
    <row r="893" spans="1:11" ht="31.5">
      <c r="A893" s="9" t="s">
        <v>12403</v>
      </c>
      <c r="B893" s="16">
        <v>74</v>
      </c>
      <c r="C893" s="9"/>
      <c r="D893" s="271" t="s">
        <v>8227</v>
      </c>
      <c r="E893" s="263">
        <v>0</v>
      </c>
      <c r="F893" s="263">
        <v>5</v>
      </c>
      <c r="G893" s="263">
        <v>0</v>
      </c>
      <c r="H893" s="263">
        <v>0</v>
      </c>
      <c r="I893" s="263">
        <v>0</v>
      </c>
      <c r="J893" s="263">
        <v>0</v>
      </c>
      <c r="K893" s="267">
        <v>5</v>
      </c>
    </row>
    <row r="894" spans="1:11">
      <c r="A894" s="9" t="s">
        <v>12404</v>
      </c>
      <c r="B894" s="16">
        <v>74</v>
      </c>
      <c r="C894" s="9"/>
      <c r="D894" s="271" t="s">
        <v>8228</v>
      </c>
      <c r="E894" s="263">
        <v>0</v>
      </c>
      <c r="F894" s="263">
        <v>0</v>
      </c>
      <c r="G894" s="263">
        <v>0</v>
      </c>
      <c r="H894" s="263">
        <v>0</v>
      </c>
      <c r="I894" s="263">
        <v>0</v>
      </c>
      <c r="J894" s="263">
        <v>4</v>
      </c>
      <c r="K894" s="267">
        <v>4</v>
      </c>
    </row>
    <row r="895" spans="1:11">
      <c r="B895" s="16">
        <v>74</v>
      </c>
      <c r="C895" s="9"/>
      <c r="D895" s="272" t="s">
        <v>3674</v>
      </c>
      <c r="E895" s="273">
        <v>18</v>
      </c>
      <c r="F895" s="273">
        <v>10</v>
      </c>
      <c r="G895" s="273">
        <v>0</v>
      </c>
      <c r="H895" s="273">
        <v>0</v>
      </c>
      <c r="I895" s="273">
        <v>0</v>
      </c>
      <c r="J895" s="273">
        <v>4</v>
      </c>
      <c r="K895" s="273">
        <v>32</v>
      </c>
    </row>
    <row r="896" spans="1:11">
      <c r="A896" s="9" t="s">
        <v>12405</v>
      </c>
      <c r="B896" s="16">
        <v>75</v>
      </c>
      <c r="C896" s="9"/>
      <c r="D896" s="271" t="s">
        <v>8229</v>
      </c>
      <c r="E896" s="263">
        <v>4</v>
      </c>
      <c r="F896" s="263">
        <v>0</v>
      </c>
      <c r="G896" s="263">
        <v>0</v>
      </c>
      <c r="H896" s="263">
        <v>0</v>
      </c>
      <c r="I896" s="263">
        <v>0</v>
      </c>
      <c r="J896" s="263">
        <v>0</v>
      </c>
      <c r="K896" s="267">
        <v>4</v>
      </c>
    </row>
    <row r="897" spans="1:11">
      <c r="A897" s="9" t="s">
        <v>12406</v>
      </c>
      <c r="B897" s="16">
        <v>75</v>
      </c>
      <c r="C897" s="9"/>
      <c r="D897" s="271" t="s">
        <v>8230</v>
      </c>
      <c r="E897" s="263">
        <v>4</v>
      </c>
      <c r="F897" s="263">
        <v>0</v>
      </c>
      <c r="G897" s="263">
        <v>0</v>
      </c>
      <c r="H897" s="263">
        <v>0</v>
      </c>
      <c r="I897" s="263">
        <v>0</v>
      </c>
      <c r="J897" s="263">
        <v>0</v>
      </c>
      <c r="K897" s="267">
        <v>4</v>
      </c>
    </row>
    <row r="898" spans="1:11" ht="31.5">
      <c r="A898" s="9" t="s">
        <v>12407</v>
      </c>
      <c r="B898" s="16">
        <v>75</v>
      </c>
      <c r="C898" s="9"/>
      <c r="D898" s="271" t="s">
        <v>8231</v>
      </c>
      <c r="E898" s="263">
        <v>4</v>
      </c>
      <c r="F898" s="263">
        <v>0</v>
      </c>
      <c r="G898" s="263">
        <v>0</v>
      </c>
      <c r="H898" s="263">
        <v>0</v>
      </c>
      <c r="I898" s="263">
        <v>0</v>
      </c>
      <c r="J898" s="263">
        <v>0</v>
      </c>
      <c r="K898" s="267">
        <v>4</v>
      </c>
    </row>
    <row r="899" spans="1:11" ht="31.5">
      <c r="A899" s="9" t="s">
        <v>12408</v>
      </c>
      <c r="B899" s="16">
        <v>75</v>
      </c>
      <c r="C899" s="9"/>
      <c r="D899" s="271" t="s">
        <v>8232</v>
      </c>
      <c r="E899" s="263">
        <v>4</v>
      </c>
      <c r="F899" s="263">
        <v>0</v>
      </c>
      <c r="G899" s="263">
        <v>0</v>
      </c>
      <c r="H899" s="263">
        <v>0</v>
      </c>
      <c r="I899" s="263">
        <v>0</v>
      </c>
      <c r="J899" s="263">
        <v>0</v>
      </c>
      <c r="K899" s="267">
        <v>4</v>
      </c>
    </row>
    <row r="900" spans="1:11">
      <c r="A900" s="9" t="s">
        <v>12409</v>
      </c>
      <c r="B900" s="16">
        <v>75</v>
      </c>
      <c r="C900" s="9"/>
      <c r="D900" s="271" t="s">
        <v>8233</v>
      </c>
      <c r="E900" s="263">
        <v>4</v>
      </c>
      <c r="F900" s="263">
        <v>0</v>
      </c>
      <c r="G900" s="263">
        <v>0</v>
      </c>
      <c r="H900" s="263">
        <v>0</v>
      </c>
      <c r="I900" s="263">
        <v>0</v>
      </c>
      <c r="J900" s="263">
        <v>0</v>
      </c>
      <c r="K900" s="267">
        <v>4</v>
      </c>
    </row>
    <row r="901" spans="1:11">
      <c r="A901" s="9" t="s">
        <v>12410</v>
      </c>
      <c r="B901" s="16">
        <v>75</v>
      </c>
      <c r="C901" s="9"/>
      <c r="D901" s="271" t="s">
        <v>8234</v>
      </c>
      <c r="E901" s="263">
        <v>4</v>
      </c>
      <c r="F901" s="263">
        <v>0</v>
      </c>
      <c r="G901" s="263">
        <v>0</v>
      </c>
      <c r="H901" s="263">
        <v>0</v>
      </c>
      <c r="I901" s="263">
        <v>0</v>
      </c>
      <c r="J901" s="263">
        <v>0</v>
      </c>
      <c r="K901" s="267">
        <v>4</v>
      </c>
    </row>
    <row r="902" spans="1:11">
      <c r="A902" s="9" t="s">
        <v>12411</v>
      </c>
      <c r="B902" s="16">
        <v>75</v>
      </c>
      <c r="C902" s="9"/>
      <c r="D902" s="271" t="s">
        <v>8235</v>
      </c>
      <c r="E902" s="263">
        <v>0</v>
      </c>
      <c r="F902" s="263">
        <v>4</v>
      </c>
      <c r="G902" s="263">
        <v>0</v>
      </c>
      <c r="H902" s="263">
        <v>0</v>
      </c>
      <c r="I902" s="263">
        <v>0</v>
      </c>
      <c r="J902" s="263">
        <v>0</v>
      </c>
      <c r="K902" s="267">
        <v>4</v>
      </c>
    </row>
    <row r="903" spans="1:11">
      <c r="A903" s="9" t="s">
        <v>12412</v>
      </c>
      <c r="B903" s="16">
        <v>75</v>
      </c>
      <c r="C903" s="9"/>
      <c r="D903" s="271" t="s">
        <v>8236</v>
      </c>
      <c r="E903" s="263">
        <v>0</v>
      </c>
      <c r="F903" s="263">
        <v>4</v>
      </c>
      <c r="G903" s="263">
        <v>0</v>
      </c>
      <c r="H903" s="263">
        <v>0</v>
      </c>
      <c r="I903" s="263">
        <v>0</v>
      </c>
      <c r="J903" s="263">
        <v>0</v>
      </c>
      <c r="K903" s="267">
        <v>4</v>
      </c>
    </row>
    <row r="904" spans="1:11">
      <c r="A904" s="9" t="s">
        <v>12413</v>
      </c>
      <c r="B904" s="16">
        <v>75</v>
      </c>
      <c r="C904" s="9"/>
      <c r="D904" s="271" t="s">
        <v>8237</v>
      </c>
      <c r="E904" s="263">
        <v>0</v>
      </c>
      <c r="F904" s="263">
        <v>4</v>
      </c>
      <c r="G904" s="263">
        <v>0</v>
      </c>
      <c r="H904" s="263">
        <v>0</v>
      </c>
      <c r="I904" s="263">
        <v>0</v>
      </c>
      <c r="J904" s="263">
        <v>0</v>
      </c>
      <c r="K904" s="267">
        <v>4</v>
      </c>
    </row>
    <row r="905" spans="1:11">
      <c r="A905" s="9" t="s">
        <v>12414</v>
      </c>
      <c r="B905" s="16">
        <v>75</v>
      </c>
      <c r="C905" s="9"/>
      <c r="D905" s="271" t="s">
        <v>8238</v>
      </c>
      <c r="E905" s="263">
        <v>0</v>
      </c>
      <c r="F905" s="263">
        <v>4</v>
      </c>
      <c r="G905" s="263">
        <v>0</v>
      </c>
      <c r="H905" s="263">
        <v>0</v>
      </c>
      <c r="I905" s="263">
        <v>0</v>
      </c>
      <c r="J905" s="263">
        <v>0</v>
      </c>
      <c r="K905" s="267">
        <v>4</v>
      </c>
    </row>
    <row r="906" spans="1:11">
      <c r="B906" s="16">
        <v>75</v>
      </c>
      <c r="C906" s="9"/>
      <c r="D906" s="271"/>
      <c r="E906" s="263"/>
      <c r="F906" s="263"/>
      <c r="G906" s="263"/>
      <c r="H906" s="263"/>
      <c r="I906" s="263"/>
      <c r="J906" s="263"/>
      <c r="K906" s="267">
        <v>0</v>
      </c>
    </row>
    <row r="907" spans="1:11">
      <c r="B907" s="16">
        <v>75</v>
      </c>
      <c r="C907" s="9"/>
      <c r="D907" s="272" t="s">
        <v>3674</v>
      </c>
      <c r="E907" s="273">
        <v>24</v>
      </c>
      <c r="F907" s="273">
        <v>16</v>
      </c>
      <c r="G907" s="273">
        <v>0</v>
      </c>
      <c r="H907" s="273">
        <v>0</v>
      </c>
      <c r="I907" s="273">
        <v>0</v>
      </c>
      <c r="J907" s="273">
        <v>0</v>
      </c>
      <c r="K907" s="273">
        <v>40</v>
      </c>
    </row>
    <row r="908" spans="1:11">
      <c r="C908" s="9"/>
      <c r="D908" s="271"/>
      <c r="E908" s="263"/>
      <c r="F908" s="263"/>
      <c r="G908" s="263"/>
      <c r="H908" s="263"/>
      <c r="I908" s="263"/>
      <c r="J908" s="263"/>
      <c r="K908" s="267">
        <v>0</v>
      </c>
    </row>
    <row r="909" spans="1:11">
      <c r="A909" s="9" t="s">
        <v>12415</v>
      </c>
      <c r="B909" s="16">
        <v>76</v>
      </c>
      <c r="C909" s="9"/>
      <c r="D909" s="271" t="s">
        <v>8239</v>
      </c>
      <c r="E909" s="263">
        <v>5</v>
      </c>
      <c r="F909" s="263">
        <v>0</v>
      </c>
      <c r="G909" s="263">
        <v>0</v>
      </c>
      <c r="H909" s="263">
        <v>0</v>
      </c>
      <c r="I909" s="263">
        <v>0</v>
      </c>
      <c r="J909" s="263">
        <v>0</v>
      </c>
      <c r="K909" s="267">
        <v>5</v>
      </c>
    </row>
    <row r="910" spans="1:11">
      <c r="A910" s="9" t="s">
        <v>12416</v>
      </c>
      <c r="B910" s="16">
        <v>76</v>
      </c>
      <c r="C910" s="9"/>
      <c r="D910" s="271" t="s">
        <v>8240</v>
      </c>
      <c r="E910" s="263">
        <v>5</v>
      </c>
      <c r="F910" s="263">
        <v>0</v>
      </c>
      <c r="G910" s="263">
        <v>0</v>
      </c>
      <c r="H910" s="263">
        <v>0</v>
      </c>
      <c r="I910" s="263">
        <v>0</v>
      </c>
      <c r="J910" s="263">
        <v>0</v>
      </c>
      <c r="K910" s="267">
        <v>5</v>
      </c>
    </row>
    <row r="911" spans="1:11">
      <c r="A911" s="9" t="s">
        <v>12417</v>
      </c>
      <c r="B911" s="16">
        <v>76</v>
      </c>
      <c r="C911" s="9"/>
      <c r="D911" s="271" t="s">
        <v>8241</v>
      </c>
      <c r="E911" s="263">
        <v>5</v>
      </c>
      <c r="F911" s="263">
        <v>0</v>
      </c>
      <c r="G911" s="263">
        <v>0</v>
      </c>
      <c r="H911" s="263">
        <v>0</v>
      </c>
      <c r="I911" s="263">
        <v>0</v>
      </c>
      <c r="J911" s="263">
        <v>0</v>
      </c>
      <c r="K911" s="267">
        <v>5</v>
      </c>
    </row>
    <row r="912" spans="1:11">
      <c r="A912" s="9" t="s">
        <v>12418</v>
      </c>
      <c r="B912" s="16">
        <v>76</v>
      </c>
      <c r="C912" s="9"/>
      <c r="D912" s="271" t="s">
        <v>8242</v>
      </c>
      <c r="E912" s="263">
        <v>5</v>
      </c>
      <c r="F912" s="263">
        <v>0</v>
      </c>
      <c r="G912" s="263">
        <v>0</v>
      </c>
      <c r="H912" s="263">
        <v>0</v>
      </c>
      <c r="I912" s="263">
        <v>0</v>
      </c>
      <c r="J912" s="263">
        <v>0</v>
      </c>
      <c r="K912" s="267">
        <v>5</v>
      </c>
    </row>
    <row r="913" spans="1:11">
      <c r="A913" s="9" t="s">
        <v>12419</v>
      </c>
      <c r="B913" s="16">
        <v>76</v>
      </c>
      <c r="C913" s="9"/>
      <c r="D913" s="271" t="s">
        <v>8243</v>
      </c>
      <c r="E913" s="263">
        <v>5</v>
      </c>
      <c r="F913" s="263">
        <v>0</v>
      </c>
      <c r="G913" s="263">
        <v>0</v>
      </c>
      <c r="H913" s="263">
        <v>0</v>
      </c>
      <c r="I913" s="263">
        <v>0</v>
      </c>
      <c r="J913" s="263">
        <v>0</v>
      </c>
      <c r="K913" s="267">
        <v>5</v>
      </c>
    </row>
    <row r="914" spans="1:11">
      <c r="A914" s="9" t="s">
        <v>12420</v>
      </c>
      <c r="B914" s="16">
        <v>76</v>
      </c>
      <c r="C914" s="9"/>
      <c r="D914" s="271" t="s">
        <v>8244</v>
      </c>
      <c r="E914" s="263">
        <v>3</v>
      </c>
      <c r="F914" s="263">
        <v>0</v>
      </c>
      <c r="G914" s="263">
        <v>0</v>
      </c>
      <c r="H914" s="263">
        <v>0</v>
      </c>
      <c r="I914" s="263">
        <v>0</v>
      </c>
      <c r="J914" s="263">
        <v>0</v>
      </c>
      <c r="K914" s="267">
        <v>3</v>
      </c>
    </row>
    <row r="915" spans="1:11">
      <c r="A915" s="9" t="s">
        <v>12421</v>
      </c>
      <c r="B915" s="16">
        <v>76</v>
      </c>
      <c r="C915" s="9"/>
      <c r="D915" s="271" t="s">
        <v>8245</v>
      </c>
      <c r="E915" s="263">
        <v>0</v>
      </c>
      <c r="F915" s="263">
        <v>5</v>
      </c>
      <c r="G915" s="263">
        <v>0</v>
      </c>
      <c r="H915" s="263">
        <v>0</v>
      </c>
      <c r="I915" s="263">
        <v>0</v>
      </c>
      <c r="J915" s="263">
        <v>0</v>
      </c>
      <c r="K915" s="267">
        <v>5</v>
      </c>
    </row>
    <row r="916" spans="1:11">
      <c r="A916" s="9" t="s">
        <v>12422</v>
      </c>
      <c r="B916" s="16">
        <v>76</v>
      </c>
      <c r="C916" s="9"/>
      <c r="D916" s="271" t="s">
        <v>8246</v>
      </c>
      <c r="E916" s="263">
        <v>0</v>
      </c>
      <c r="F916" s="263">
        <v>0</v>
      </c>
      <c r="G916" s="263">
        <v>2</v>
      </c>
      <c r="H916" s="263">
        <v>0</v>
      </c>
      <c r="I916" s="263">
        <v>0</v>
      </c>
      <c r="J916" s="263">
        <v>0</v>
      </c>
      <c r="K916" s="267">
        <v>2</v>
      </c>
    </row>
    <row r="917" spans="1:11" ht="31.5">
      <c r="A917" s="9" t="s">
        <v>12423</v>
      </c>
      <c r="B917" s="16">
        <v>76</v>
      </c>
      <c r="C917" s="9"/>
      <c r="D917" s="271" t="s">
        <v>8248</v>
      </c>
      <c r="E917" s="263">
        <v>0</v>
      </c>
      <c r="F917" s="263">
        <v>0</v>
      </c>
      <c r="G917" s="263">
        <v>0</v>
      </c>
      <c r="H917" s="263">
        <v>0</v>
      </c>
      <c r="I917" s="263">
        <v>5</v>
      </c>
      <c r="J917" s="263">
        <v>0</v>
      </c>
      <c r="K917" s="267">
        <v>5</v>
      </c>
    </row>
    <row r="918" spans="1:11">
      <c r="A918" s="9" t="s">
        <v>12424</v>
      </c>
      <c r="B918" s="16">
        <v>76</v>
      </c>
      <c r="C918" s="9"/>
      <c r="D918" s="271" t="s">
        <v>8247</v>
      </c>
      <c r="E918" s="263">
        <v>0</v>
      </c>
      <c r="F918" s="263">
        <v>0</v>
      </c>
      <c r="G918" s="263">
        <v>0</v>
      </c>
      <c r="H918" s="263">
        <v>0</v>
      </c>
      <c r="I918" s="263">
        <v>0</v>
      </c>
      <c r="J918" s="263">
        <v>5</v>
      </c>
      <c r="K918" s="267">
        <v>5</v>
      </c>
    </row>
    <row r="919" spans="1:11">
      <c r="B919" s="16">
        <v>76</v>
      </c>
      <c r="C919" s="9"/>
      <c r="D919" s="271"/>
      <c r="E919" s="263"/>
      <c r="F919" s="263"/>
      <c r="G919" s="263"/>
      <c r="H919" s="263"/>
      <c r="I919" s="263"/>
      <c r="J919" s="263"/>
      <c r="K919" s="267">
        <v>0</v>
      </c>
    </row>
    <row r="920" spans="1:11">
      <c r="B920" s="16">
        <v>76</v>
      </c>
      <c r="C920" s="9"/>
      <c r="D920" s="272" t="s">
        <v>3674</v>
      </c>
      <c r="E920" s="273">
        <v>28</v>
      </c>
      <c r="F920" s="273">
        <v>5</v>
      </c>
      <c r="G920" s="273">
        <v>2</v>
      </c>
      <c r="H920" s="273">
        <v>0</v>
      </c>
      <c r="I920" s="273">
        <v>5</v>
      </c>
      <c r="J920" s="273">
        <v>5</v>
      </c>
      <c r="K920" s="273">
        <v>45</v>
      </c>
    </row>
    <row r="921" spans="1:11">
      <c r="C921" s="9"/>
      <c r="D921" s="271"/>
      <c r="E921" s="263"/>
      <c r="F921" s="263"/>
      <c r="G921" s="263"/>
      <c r="H921" s="263"/>
      <c r="I921" s="263"/>
      <c r="J921" s="263"/>
      <c r="K921" s="267">
        <v>0</v>
      </c>
    </row>
    <row r="922" spans="1:11">
      <c r="B922" s="16">
        <v>0</v>
      </c>
      <c r="C922" s="9"/>
      <c r="D922" s="269" t="s">
        <v>13088</v>
      </c>
      <c r="E922" s="270">
        <v>105</v>
      </c>
      <c r="F922" s="270">
        <v>39</v>
      </c>
      <c r="G922" s="270">
        <v>8</v>
      </c>
      <c r="H922" s="270">
        <v>6</v>
      </c>
      <c r="I922" s="270">
        <v>5</v>
      </c>
      <c r="J922" s="270">
        <v>27</v>
      </c>
      <c r="K922" s="270">
        <v>190</v>
      </c>
    </row>
    <row r="923" spans="1:11">
      <c r="C923" s="9"/>
      <c r="D923" s="271"/>
      <c r="E923" s="263"/>
      <c r="F923" s="263"/>
      <c r="G923" s="263"/>
      <c r="H923" s="263"/>
      <c r="I923" s="263"/>
      <c r="J923" s="263"/>
      <c r="K923" s="267">
        <v>0</v>
      </c>
    </row>
    <row r="924" spans="1:11">
      <c r="C924" s="9"/>
      <c r="D924" s="271"/>
      <c r="E924" s="263"/>
      <c r="F924" s="263"/>
      <c r="G924" s="263"/>
      <c r="H924" s="263"/>
      <c r="I924" s="263"/>
      <c r="J924" s="263"/>
      <c r="K924" s="267">
        <v>0</v>
      </c>
    </row>
    <row r="925" spans="1:11">
      <c r="C925" s="9"/>
      <c r="D925" s="271" t="s">
        <v>4280</v>
      </c>
      <c r="E925" s="263"/>
      <c r="F925" s="263"/>
      <c r="G925" s="263"/>
      <c r="H925" s="263"/>
      <c r="I925" s="263"/>
      <c r="J925" s="263"/>
      <c r="K925" s="267">
        <v>0</v>
      </c>
    </row>
    <row r="926" spans="1:11">
      <c r="C926" s="9"/>
      <c r="D926" s="271"/>
      <c r="E926" s="263"/>
      <c r="F926" s="263"/>
      <c r="G926" s="263"/>
      <c r="H926" s="263"/>
      <c r="I926" s="263"/>
      <c r="J926" s="263"/>
      <c r="K926" s="267">
        <v>0</v>
      </c>
    </row>
    <row r="927" spans="1:11">
      <c r="A927" s="9" t="s">
        <v>12425</v>
      </c>
      <c r="B927" s="16">
        <v>41</v>
      </c>
      <c r="C927" s="9"/>
      <c r="D927" s="271" t="s">
        <v>7921</v>
      </c>
      <c r="E927" s="263"/>
      <c r="F927" s="263"/>
      <c r="G927" s="263"/>
      <c r="H927" s="263"/>
      <c r="I927" s="263"/>
      <c r="J927" s="263">
        <v>4</v>
      </c>
      <c r="K927" s="267">
        <v>4</v>
      </c>
    </row>
    <row r="928" spans="1:11">
      <c r="A928" s="9" t="s">
        <v>12426</v>
      </c>
      <c r="B928" s="16">
        <v>41</v>
      </c>
      <c r="C928" s="9"/>
      <c r="D928" s="271" t="s">
        <v>7922</v>
      </c>
      <c r="E928" s="263"/>
      <c r="F928" s="263"/>
      <c r="G928" s="263"/>
      <c r="H928" s="263"/>
      <c r="I928" s="263">
        <v>4</v>
      </c>
      <c r="J928" s="263"/>
      <c r="K928" s="267">
        <v>4</v>
      </c>
    </row>
    <row r="929" spans="1:11">
      <c r="A929" s="9" t="s">
        <v>12427</v>
      </c>
      <c r="B929" s="16">
        <v>41</v>
      </c>
      <c r="C929" s="9"/>
      <c r="D929" s="271" t="s">
        <v>7923</v>
      </c>
      <c r="E929" s="263">
        <v>4</v>
      </c>
      <c r="F929" s="263"/>
      <c r="G929" s="263"/>
      <c r="H929" s="263"/>
      <c r="I929" s="263"/>
      <c r="J929" s="263"/>
      <c r="K929" s="267">
        <v>4</v>
      </c>
    </row>
    <row r="930" spans="1:11">
      <c r="A930" s="9" t="s">
        <v>12428</v>
      </c>
      <c r="B930" s="16">
        <v>41</v>
      </c>
      <c r="C930" s="9"/>
      <c r="D930" s="271" t="s">
        <v>7924</v>
      </c>
      <c r="E930" s="263">
        <v>4</v>
      </c>
      <c r="F930" s="263"/>
      <c r="G930" s="263"/>
      <c r="H930" s="263"/>
      <c r="I930" s="263"/>
      <c r="J930" s="263"/>
      <c r="K930" s="267">
        <v>4</v>
      </c>
    </row>
    <row r="931" spans="1:11">
      <c r="A931" s="9" t="s">
        <v>12429</v>
      </c>
      <c r="B931" s="16">
        <v>41</v>
      </c>
      <c r="C931" s="9"/>
      <c r="D931" s="271" t="s">
        <v>7925</v>
      </c>
      <c r="E931" s="263"/>
      <c r="F931" s="263">
        <v>4</v>
      </c>
      <c r="G931" s="263"/>
      <c r="H931" s="263"/>
      <c r="I931" s="263"/>
      <c r="J931" s="263"/>
      <c r="K931" s="267">
        <v>4</v>
      </c>
    </row>
    <row r="932" spans="1:11">
      <c r="A932" s="9" t="s">
        <v>12430</v>
      </c>
      <c r="B932" s="16">
        <v>41</v>
      </c>
      <c r="C932" s="9"/>
      <c r="D932" s="271" t="s">
        <v>7926</v>
      </c>
      <c r="E932" s="263"/>
      <c r="F932" s="263"/>
      <c r="G932" s="263"/>
      <c r="H932" s="263"/>
      <c r="I932" s="263"/>
      <c r="J932" s="263">
        <v>4</v>
      </c>
      <c r="K932" s="267">
        <v>4</v>
      </c>
    </row>
    <row r="933" spans="1:11">
      <c r="A933" s="9" t="s">
        <v>12431</v>
      </c>
      <c r="B933" s="16">
        <v>41</v>
      </c>
      <c r="C933" s="9"/>
      <c r="D933" s="271" t="s">
        <v>7927</v>
      </c>
      <c r="E933" s="263"/>
      <c r="F933" s="263">
        <v>2</v>
      </c>
      <c r="G933" s="263"/>
      <c r="H933" s="263"/>
      <c r="I933" s="263"/>
      <c r="J933" s="263"/>
      <c r="K933" s="267">
        <v>2</v>
      </c>
    </row>
    <row r="934" spans="1:11">
      <c r="A934" s="9" t="s">
        <v>12432</v>
      </c>
      <c r="B934" s="16">
        <v>41</v>
      </c>
      <c r="C934" s="9"/>
      <c r="D934" s="271" t="s">
        <v>7928</v>
      </c>
      <c r="E934" s="263">
        <v>5</v>
      </c>
      <c r="F934" s="263"/>
      <c r="G934" s="263"/>
      <c r="H934" s="263"/>
      <c r="I934" s="263"/>
      <c r="J934" s="263"/>
      <c r="K934" s="267">
        <v>5</v>
      </c>
    </row>
    <row r="935" spans="1:11">
      <c r="A935" s="9" t="s">
        <v>12433</v>
      </c>
      <c r="B935" s="16">
        <v>41</v>
      </c>
      <c r="C935" s="9"/>
      <c r="D935" s="271" t="s">
        <v>7929</v>
      </c>
      <c r="E935" s="263">
        <v>5</v>
      </c>
      <c r="F935" s="263"/>
      <c r="G935" s="263"/>
      <c r="H935" s="263"/>
      <c r="I935" s="263"/>
      <c r="J935" s="263"/>
      <c r="K935" s="267">
        <v>5</v>
      </c>
    </row>
    <row r="936" spans="1:11">
      <c r="B936" s="16">
        <v>41</v>
      </c>
      <c r="C936" s="9"/>
      <c r="D936" s="271"/>
      <c r="E936" s="263"/>
      <c r="F936" s="263"/>
      <c r="G936" s="263"/>
      <c r="H936" s="263"/>
      <c r="I936" s="263"/>
      <c r="J936" s="263"/>
      <c r="K936" s="267">
        <v>0</v>
      </c>
    </row>
    <row r="937" spans="1:11">
      <c r="B937" s="16">
        <v>41</v>
      </c>
      <c r="C937" s="9"/>
      <c r="D937" s="272" t="s">
        <v>3674</v>
      </c>
      <c r="E937" s="273">
        <v>18</v>
      </c>
      <c r="F937" s="273">
        <v>6</v>
      </c>
      <c r="G937" s="273">
        <v>0</v>
      </c>
      <c r="H937" s="273">
        <v>0</v>
      </c>
      <c r="I937" s="273">
        <v>4</v>
      </c>
      <c r="J937" s="273">
        <v>8</v>
      </c>
      <c r="K937" s="273">
        <v>36</v>
      </c>
    </row>
    <row r="938" spans="1:11">
      <c r="C938" s="9"/>
      <c r="D938" s="271"/>
      <c r="E938" s="263"/>
      <c r="F938" s="263"/>
      <c r="G938" s="263"/>
      <c r="H938" s="263"/>
      <c r="I938" s="263"/>
      <c r="J938" s="263"/>
      <c r="K938" s="267">
        <v>0</v>
      </c>
    </row>
    <row r="939" spans="1:11">
      <c r="A939" s="9" t="s">
        <v>12434</v>
      </c>
      <c r="B939" s="16">
        <v>46</v>
      </c>
      <c r="C939" s="9"/>
      <c r="D939" s="271" t="s">
        <v>7930</v>
      </c>
      <c r="E939" s="263"/>
      <c r="F939" s="263"/>
      <c r="G939" s="263"/>
      <c r="H939" s="263"/>
      <c r="I939" s="263">
        <v>4</v>
      </c>
      <c r="J939" s="263"/>
      <c r="K939" s="267">
        <v>4</v>
      </c>
    </row>
    <row r="940" spans="1:11">
      <c r="A940" s="9" t="s">
        <v>12435</v>
      </c>
      <c r="B940" s="16">
        <v>46</v>
      </c>
      <c r="C940" s="9"/>
      <c r="D940" s="271" t="s">
        <v>7931</v>
      </c>
      <c r="E940" s="263"/>
      <c r="F940" s="263"/>
      <c r="G940" s="263"/>
      <c r="H940" s="263"/>
      <c r="I940" s="263"/>
      <c r="J940" s="263">
        <v>5</v>
      </c>
      <c r="K940" s="267">
        <v>5</v>
      </c>
    </row>
    <row r="941" spans="1:11">
      <c r="A941" s="9" t="s">
        <v>12436</v>
      </c>
      <c r="B941" s="16">
        <v>46</v>
      </c>
      <c r="C941" s="9"/>
      <c r="D941" s="271" t="s">
        <v>7932</v>
      </c>
      <c r="E941" s="263"/>
      <c r="F941" s="263"/>
      <c r="G941" s="263"/>
      <c r="H941" s="263">
        <v>4</v>
      </c>
      <c r="I941" s="263"/>
      <c r="J941" s="263"/>
      <c r="K941" s="267">
        <v>4</v>
      </c>
    </row>
    <row r="942" spans="1:11">
      <c r="A942" s="9" t="s">
        <v>12437</v>
      </c>
      <c r="B942" s="16">
        <v>46</v>
      </c>
      <c r="C942" s="9"/>
      <c r="D942" s="271" t="s">
        <v>7933</v>
      </c>
      <c r="E942" s="263">
        <v>4</v>
      </c>
      <c r="F942" s="263"/>
      <c r="G942" s="263"/>
      <c r="H942" s="263"/>
      <c r="I942" s="263"/>
      <c r="J942" s="263"/>
      <c r="K942" s="267">
        <v>4</v>
      </c>
    </row>
    <row r="943" spans="1:11">
      <c r="A943" s="9" t="s">
        <v>12438</v>
      </c>
      <c r="B943" s="16">
        <v>46</v>
      </c>
      <c r="C943" s="9"/>
      <c r="D943" s="271" t="s">
        <v>7934</v>
      </c>
      <c r="E943" s="263">
        <v>5</v>
      </c>
      <c r="F943" s="263"/>
      <c r="G943" s="263"/>
      <c r="H943" s="263"/>
      <c r="I943" s="263"/>
      <c r="J943" s="263"/>
      <c r="K943" s="267">
        <v>5</v>
      </c>
    </row>
    <row r="944" spans="1:11">
      <c r="A944" s="9" t="s">
        <v>12439</v>
      </c>
      <c r="B944" s="16">
        <v>46</v>
      </c>
      <c r="C944" s="9"/>
      <c r="D944" s="271" t="s">
        <v>7935</v>
      </c>
      <c r="E944" s="263">
        <v>5</v>
      </c>
      <c r="F944" s="263"/>
      <c r="G944" s="263"/>
      <c r="H944" s="263"/>
      <c r="I944" s="263"/>
      <c r="J944" s="263"/>
      <c r="K944" s="267">
        <v>5</v>
      </c>
    </row>
    <row r="945" spans="1:11">
      <c r="A945" s="9" t="s">
        <v>12440</v>
      </c>
      <c r="B945" s="16">
        <v>46</v>
      </c>
      <c r="C945" s="9"/>
      <c r="D945" s="271" t="s">
        <v>7936</v>
      </c>
      <c r="E945" s="263"/>
      <c r="F945" s="263"/>
      <c r="G945" s="263">
        <v>5</v>
      </c>
      <c r="H945" s="263"/>
      <c r="I945" s="263"/>
      <c r="J945" s="263"/>
      <c r="K945" s="267">
        <v>5</v>
      </c>
    </row>
    <row r="946" spans="1:11">
      <c r="A946" s="9" t="s">
        <v>12441</v>
      </c>
      <c r="B946" s="16">
        <v>46</v>
      </c>
      <c r="C946" s="9"/>
      <c r="D946" s="271" t="s">
        <v>7937</v>
      </c>
      <c r="E946" s="263"/>
      <c r="F946" s="263"/>
      <c r="G946" s="263"/>
      <c r="H946" s="263">
        <v>5</v>
      </c>
      <c r="I946" s="263"/>
      <c r="J946" s="263"/>
      <c r="K946" s="267">
        <v>5</v>
      </c>
    </row>
    <row r="947" spans="1:11">
      <c r="A947" s="9" t="s">
        <v>12442</v>
      </c>
      <c r="B947" s="16">
        <v>46</v>
      </c>
      <c r="C947" s="9"/>
      <c r="D947" s="271" t="s">
        <v>7938</v>
      </c>
      <c r="E947" s="263">
        <v>5</v>
      </c>
      <c r="F947" s="263"/>
      <c r="G947" s="263"/>
      <c r="H947" s="263"/>
      <c r="I947" s="263"/>
      <c r="J947" s="263"/>
      <c r="K947" s="267">
        <v>5</v>
      </c>
    </row>
    <row r="948" spans="1:11">
      <c r="B948" s="16">
        <v>46</v>
      </c>
      <c r="C948" s="9"/>
      <c r="D948" s="271"/>
      <c r="E948" s="263"/>
      <c r="F948" s="263"/>
      <c r="G948" s="263"/>
      <c r="H948" s="263"/>
      <c r="I948" s="263"/>
      <c r="J948" s="263"/>
      <c r="K948" s="267">
        <v>0</v>
      </c>
    </row>
    <row r="949" spans="1:11">
      <c r="B949" s="16">
        <v>46</v>
      </c>
      <c r="C949" s="9"/>
      <c r="D949" s="272" t="s">
        <v>3674</v>
      </c>
      <c r="E949" s="273">
        <v>19</v>
      </c>
      <c r="F949" s="273">
        <v>0</v>
      </c>
      <c r="G949" s="273">
        <v>5</v>
      </c>
      <c r="H949" s="273">
        <v>9</v>
      </c>
      <c r="I949" s="273">
        <v>4</v>
      </c>
      <c r="J949" s="273">
        <v>5</v>
      </c>
      <c r="K949" s="273">
        <v>42</v>
      </c>
    </row>
    <row r="950" spans="1:11">
      <c r="C950" s="9"/>
      <c r="D950" s="271"/>
      <c r="E950" s="263"/>
      <c r="F950" s="263"/>
      <c r="G950" s="263"/>
      <c r="H950" s="263"/>
      <c r="I950" s="263"/>
      <c r="J950" s="263"/>
      <c r="K950" s="267">
        <v>0</v>
      </c>
    </row>
    <row r="951" spans="1:11">
      <c r="A951" s="9" t="s">
        <v>12443</v>
      </c>
      <c r="B951" s="16">
        <v>61</v>
      </c>
      <c r="C951" s="9"/>
      <c r="D951" s="271" t="s">
        <v>7939</v>
      </c>
      <c r="E951" s="263">
        <v>5</v>
      </c>
      <c r="F951" s="263"/>
      <c r="G951" s="263"/>
      <c r="H951" s="263"/>
      <c r="I951" s="263"/>
      <c r="J951" s="263"/>
      <c r="K951" s="267">
        <v>5</v>
      </c>
    </row>
    <row r="952" spans="1:11">
      <c r="A952" s="9" t="s">
        <v>12444</v>
      </c>
      <c r="B952" s="16">
        <v>61</v>
      </c>
      <c r="C952" s="9"/>
      <c r="D952" s="271" t="s">
        <v>7940</v>
      </c>
      <c r="E952" s="263">
        <v>5</v>
      </c>
      <c r="F952" s="263"/>
      <c r="G952" s="263"/>
      <c r="H952" s="263"/>
      <c r="I952" s="263"/>
      <c r="J952" s="263"/>
      <c r="K952" s="267">
        <v>5</v>
      </c>
    </row>
    <row r="953" spans="1:11">
      <c r="A953" s="9" t="s">
        <v>12445</v>
      </c>
      <c r="B953" s="16">
        <v>61</v>
      </c>
      <c r="C953" s="9"/>
      <c r="D953" s="271" t="s">
        <v>7941</v>
      </c>
      <c r="E953" s="263"/>
      <c r="F953" s="263"/>
      <c r="G953" s="263"/>
      <c r="H953" s="263">
        <v>2</v>
      </c>
      <c r="I953" s="263"/>
      <c r="J953" s="263"/>
      <c r="K953" s="267">
        <v>2</v>
      </c>
    </row>
    <row r="954" spans="1:11">
      <c r="A954" s="9" t="s">
        <v>12446</v>
      </c>
      <c r="B954" s="16">
        <v>61</v>
      </c>
      <c r="C954" s="9"/>
      <c r="D954" s="271" t="s">
        <v>7942</v>
      </c>
      <c r="E954" s="263">
        <v>5</v>
      </c>
      <c r="F954" s="263"/>
      <c r="G954" s="263"/>
      <c r="H954" s="263"/>
      <c r="I954" s="263"/>
      <c r="J954" s="263"/>
      <c r="K954" s="267">
        <v>5</v>
      </c>
    </row>
    <row r="955" spans="1:11">
      <c r="A955" s="9" t="s">
        <v>12447</v>
      </c>
      <c r="B955" s="16">
        <v>61</v>
      </c>
      <c r="C955" s="9"/>
      <c r="D955" s="271" t="s">
        <v>7943</v>
      </c>
      <c r="E955" s="263">
        <v>3</v>
      </c>
      <c r="F955" s="263"/>
      <c r="G955" s="263"/>
      <c r="H955" s="263"/>
      <c r="I955" s="263"/>
      <c r="J955" s="263"/>
      <c r="K955" s="267">
        <v>3</v>
      </c>
    </row>
    <row r="956" spans="1:11">
      <c r="A956" s="9" t="s">
        <v>12448</v>
      </c>
      <c r="B956" s="16">
        <v>61</v>
      </c>
      <c r="C956" s="9"/>
      <c r="D956" s="271" t="s">
        <v>7944</v>
      </c>
      <c r="E956" s="263">
        <v>5</v>
      </c>
      <c r="F956" s="263"/>
      <c r="G956" s="263"/>
      <c r="H956" s="263"/>
      <c r="I956" s="263"/>
      <c r="J956" s="263"/>
      <c r="K956" s="267">
        <v>5</v>
      </c>
    </row>
    <row r="957" spans="1:11">
      <c r="A957" s="9" t="s">
        <v>12449</v>
      </c>
      <c r="B957" s="16">
        <v>61</v>
      </c>
      <c r="C957" s="9"/>
      <c r="D957" s="271" t="s">
        <v>7945</v>
      </c>
      <c r="E957" s="263"/>
      <c r="F957" s="263"/>
      <c r="G957" s="263"/>
      <c r="H957" s="263"/>
      <c r="I957" s="263"/>
      <c r="J957" s="263">
        <v>5</v>
      </c>
      <c r="K957" s="267">
        <v>5</v>
      </c>
    </row>
    <row r="958" spans="1:11">
      <c r="A958" s="9" t="s">
        <v>12450</v>
      </c>
      <c r="B958" s="16">
        <v>61</v>
      </c>
      <c r="C958" s="9"/>
      <c r="D958" s="271" t="s">
        <v>7946</v>
      </c>
      <c r="E958" s="263"/>
      <c r="F958" s="263">
        <v>2</v>
      </c>
      <c r="G958" s="263"/>
      <c r="H958" s="263"/>
      <c r="I958" s="263"/>
      <c r="J958" s="263"/>
      <c r="K958" s="267">
        <v>2</v>
      </c>
    </row>
    <row r="959" spans="1:11">
      <c r="A959" s="9" t="s">
        <v>12451</v>
      </c>
      <c r="B959" s="16">
        <v>61</v>
      </c>
      <c r="C959" s="9"/>
      <c r="D959" s="271" t="s">
        <v>7947</v>
      </c>
      <c r="E959" s="263">
        <v>3</v>
      </c>
      <c r="F959" s="263"/>
      <c r="G959" s="263"/>
      <c r="H959" s="263"/>
      <c r="I959" s="263"/>
      <c r="J959" s="263"/>
      <c r="K959" s="267">
        <v>3</v>
      </c>
    </row>
    <row r="960" spans="1:11">
      <c r="B960" s="16">
        <v>61</v>
      </c>
      <c r="C960" s="9"/>
      <c r="D960" s="271"/>
      <c r="E960" s="263"/>
      <c r="F960" s="263"/>
      <c r="G960" s="263"/>
      <c r="H960" s="263"/>
      <c r="I960" s="263"/>
      <c r="J960" s="263"/>
      <c r="K960" s="267">
        <v>0</v>
      </c>
    </row>
    <row r="961" spans="1:11">
      <c r="B961" s="16">
        <v>61</v>
      </c>
      <c r="C961" s="9"/>
      <c r="D961" s="272" t="s">
        <v>3674</v>
      </c>
      <c r="E961" s="273">
        <v>26</v>
      </c>
      <c r="F961" s="273">
        <v>2</v>
      </c>
      <c r="G961" s="273">
        <v>0</v>
      </c>
      <c r="H961" s="273">
        <v>2</v>
      </c>
      <c r="I961" s="273">
        <v>0</v>
      </c>
      <c r="J961" s="273">
        <v>5</v>
      </c>
      <c r="K961" s="273">
        <v>35</v>
      </c>
    </row>
    <row r="962" spans="1:11">
      <c r="C962" s="9"/>
      <c r="D962" s="271"/>
      <c r="E962" s="263"/>
      <c r="F962" s="263"/>
      <c r="G962" s="263"/>
      <c r="H962" s="263"/>
      <c r="I962" s="263"/>
      <c r="J962" s="263"/>
      <c r="K962" s="267">
        <v>0</v>
      </c>
    </row>
    <row r="963" spans="1:11">
      <c r="A963" s="9" t="s">
        <v>12452</v>
      </c>
      <c r="B963" s="16">
        <v>62</v>
      </c>
      <c r="C963" s="9"/>
      <c r="D963" s="271" t="s">
        <v>7948</v>
      </c>
      <c r="E963" s="263">
        <v>5</v>
      </c>
      <c r="F963" s="263"/>
      <c r="G963" s="263"/>
      <c r="H963" s="263"/>
      <c r="I963" s="263"/>
      <c r="J963" s="263"/>
      <c r="K963" s="267">
        <v>5</v>
      </c>
    </row>
    <row r="964" spans="1:11">
      <c r="A964" s="9" t="s">
        <v>12453</v>
      </c>
      <c r="B964" s="16">
        <v>62</v>
      </c>
      <c r="C964" s="9"/>
      <c r="D964" s="271" t="s">
        <v>7949</v>
      </c>
      <c r="E964" s="263"/>
      <c r="F964" s="263">
        <v>5</v>
      </c>
      <c r="G964" s="263"/>
      <c r="H964" s="263"/>
      <c r="I964" s="263"/>
      <c r="J964" s="263"/>
      <c r="K964" s="267">
        <v>5</v>
      </c>
    </row>
    <row r="965" spans="1:11">
      <c r="A965" s="9" t="s">
        <v>12454</v>
      </c>
      <c r="B965" s="16">
        <v>62</v>
      </c>
      <c r="C965" s="9"/>
      <c r="D965" s="271" t="s">
        <v>7950</v>
      </c>
      <c r="E965" s="263">
        <v>5</v>
      </c>
      <c r="F965" s="263"/>
      <c r="G965" s="263"/>
      <c r="H965" s="263"/>
      <c r="I965" s="263"/>
      <c r="J965" s="263"/>
      <c r="K965" s="267">
        <v>5</v>
      </c>
    </row>
    <row r="966" spans="1:11">
      <c r="A966" s="9" t="s">
        <v>12455</v>
      </c>
      <c r="B966" s="16">
        <v>62</v>
      </c>
      <c r="C966" s="9"/>
      <c r="D966" s="271" t="s">
        <v>7951</v>
      </c>
      <c r="E966" s="263">
        <v>5</v>
      </c>
      <c r="F966" s="263"/>
      <c r="G966" s="263"/>
      <c r="H966" s="263"/>
      <c r="I966" s="263"/>
      <c r="J966" s="263"/>
      <c r="K966" s="267">
        <v>5</v>
      </c>
    </row>
    <row r="967" spans="1:11">
      <c r="A967" s="9" t="s">
        <v>12456</v>
      </c>
      <c r="B967" s="16">
        <v>62</v>
      </c>
      <c r="C967" s="9"/>
      <c r="D967" s="271" t="s">
        <v>7952</v>
      </c>
      <c r="E967" s="263"/>
      <c r="F967" s="263">
        <v>1</v>
      </c>
      <c r="G967" s="263"/>
      <c r="H967" s="263"/>
      <c r="I967" s="263"/>
      <c r="J967" s="263"/>
      <c r="K967" s="267">
        <v>1</v>
      </c>
    </row>
    <row r="968" spans="1:11">
      <c r="A968" s="9" t="s">
        <v>12457</v>
      </c>
      <c r="B968" s="16">
        <v>62</v>
      </c>
      <c r="C968" s="9"/>
      <c r="D968" s="271" t="s">
        <v>7953</v>
      </c>
      <c r="E968" s="263">
        <v>3</v>
      </c>
      <c r="F968" s="263"/>
      <c r="G968" s="263"/>
      <c r="H968" s="263"/>
      <c r="I968" s="263"/>
      <c r="J968" s="263"/>
      <c r="K968" s="267">
        <v>3</v>
      </c>
    </row>
    <row r="969" spans="1:11">
      <c r="A969" s="9" t="s">
        <v>12458</v>
      </c>
      <c r="B969" s="16">
        <v>62</v>
      </c>
      <c r="C969" s="9"/>
      <c r="D969" s="271" t="s">
        <v>7954</v>
      </c>
      <c r="E969" s="263"/>
      <c r="F969" s="263">
        <v>2</v>
      </c>
      <c r="G969" s="263"/>
      <c r="H969" s="263"/>
      <c r="I969" s="263"/>
      <c r="J969" s="263"/>
      <c r="K969" s="267">
        <v>2</v>
      </c>
    </row>
    <row r="970" spans="1:11">
      <c r="A970" s="9" t="s">
        <v>12459</v>
      </c>
      <c r="B970" s="16">
        <v>62</v>
      </c>
      <c r="C970" s="9"/>
      <c r="D970" s="271" t="s">
        <v>7955</v>
      </c>
      <c r="E970" s="263"/>
      <c r="F970" s="263">
        <v>2</v>
      </c>
      <c r="G970" s="263"/>
      <c r="H970" s="263"/>
      <c r="I970" s="263"/>
      <c r="J970" s="263"/>
      <c r="K970" s="267">
        <v>2</v>
      </c>
    </row>
    <row r="971" spans="1:11">
      <c r="A971" s="9" t="s">
        <v>12460</v>
      </c>
      <c r="B971" s="16">
        <v>62</v>
      </c>
      <c r="C971" s="9"/>
      <c r="D971" s="271" t="s">
        <v>7956</v>
      </c>
      <c r="E971" s="263"/>
      <c r="F971" s="263"/>
      <c r="G971" s="263"/>
      <c r="H971" s="263"/>
      <c r="I971" s="263"/>
      <c r="J971" s="263">
        <v>3</v>
      </c>
      <c r="K971" s="267">
        <v>3</v>
      </c>
    </row>
    <row r="972" spans="1:11">
      <c r="A972" s="9" t="s">
        <v>12461</v>
      </c>
      <c r="B972" s="16">
        <v>62</v>
      </c>
      <c r="C972" s="9"/>
      <c r="D972" s="271" t="s">
        <v>7957</v>
      </c>
      <c r="E972" s="263"/>
      <c r="F972" s="263"/>
      <c r="G972" s="263"/>
      <c r="H972" s="263"/>
      <c r="I972" s="263"/>
      <c r="J972" s="263">
        <v>3</v>
      </c>
      <c r="K972" s="267">
        <v>3</v>
      </c>
    </row>
    <row r="973" spans="1:11">
      <c r="A973" s="9" t="s">
        <v>12462</v>
      </c>
      <c r="B973" s="16">
        <v>62</v>
      </c>
      <c r="C973" s="9"/>
      <c r="D973" s="271" t="s">
        <v>7958</v>
      </c>
      <c r="E973" s="263">
        <v>4</v>
      </c>
      <c r="F973" s="263"/>
      <c r="G973" s="263"/>
      <c r="H973" s="263"/>
      <c r="I973" s="263"/>
      <c r="J973" s="263"/>
      <c r="K973" s="267">
        <v>4</v>
      </c>
    </row>
    <row r="974" spans="1:11">
      <c r="A974" s="9" t="s">
        <v>12463</v>
      </c>
      <c r="B974" s="16">
        <v>62</v>
      </c>
      <c r="C974" s="9"/>
      <c r="D974" s="271" t="s">
        <v>7959</v>
      </c>
      <c r="E974" s="263"/>
      <c r="F974" s="263"/>
      <c r="G974" s="263"/>
      <c r="H974" s="263"/>
      <c r="I974" s="263"/>
      <c r="J974" s="263">
        <v>4</v>
      </c>
      <c r="K974" s="267">
        <v>4</v>
      </c>
    </row>
    <row r="975" spans="1:11">
      <c r="A975" s="9" t="s">
        <v>12464</v>
      </c>
      <c r="B975" s="16">
        <v>62</v>
      </c>
      <c r="C975" s="9"/>
      <c r="D975" s="271" t="s">
        <v>7960</v>
      </c>
      <c r="E975" s="263">
        <v>3</v>
      </c>
      <c r="F975" s="263"/>
      <c r="G975" s="263"/>
      <c r="H975" s="263"/>
      <c r="I975" s="263"/>
      <c r="J975" s="263"/>
      <c r="K975" s="267">
        <v>3</v>
      </c>
    </row>
    <row r="976" spans="1:11">
      <c r="B976" s="16">
        <v>62</v>
      </c>
      <c r="C976" s="9"/>
      <c r="D976" s="271"/>
      <c r="E976" s="263"/>
      <c r="F976" s="263"/>
      <c r="G976" s="263"/>
      <c r="H976" s="263"/>
      <c r="I976" s="263"/>
      <c r="J976" s="263"/>
      <c r="K976" s="267">
        <v>0</v>
      </c>
    </row>
    <row r="977" spans="1:11">
      <c r="B977" s="16">
        <v>62</v>
      </c>
      <c r="C977" s="9"/>
      <c r="D977" s="272" t="s">
        <v>3674</v>
      </c>
      <c r="E977" s="273">
        <v>25</v>
      </c>
      <c r="F977" s="273">
        <v>10</v>
      </c>
      <c r="G977" s="273">
        <v>0</v>
      </c>
      <c r="H977" s="273">
        <v>0</v>
      </c>
      <c r="I977" s="273">
        <v>0</v>
      </c>
      <c r="J977" s="273">
        <v>10</v>
      </c>
      <c r="K977" s="273">
        <v>45</v>
      </c>
    </row>
    <row r="978" spans="1:11">
      <c r="C978" s="9"/>
      <c r="D978" s="271"/>
      <c r="E978" s="263"/>
      <c r="F978" s="263"/>
      <c r="G978" s="263"/>
      <c r="H978" s="263"/>
      <c r="I978" s="263"/>
      <c r="J978" s="263"/>
      <c r="K978" s="267">
        <v>0</v>
      </c>
    </row>
    <row r="979" spans="1:11">
      <c r="A979" s="9" t="s">
        <v>12465</v>
      </c>
      <c r="B979" s="16">
        <v>63</v>
      </c>
      <c r="C979" s="9"/>
      <c r="D979" s="271" t="s">
        <v>7961</v>
      </c>
      <c r="E979" s="263"/>
      <c r="F979" s="263"/>
      <c r="G979" s="263"/>
      <c r="H979" s="263"/>
      <c r="I979" s="263"/>
      <c r="J979" s="263">
        <v>4</v>
      </c>
      <c r="K979" s="267">
        <v>4</v>
      </c>
    </row>
    <row r="980" spans="1:11">
      <c r="A980" s="9" t="s">
        <v>12466</v>
      </c>
      <c r="B980" s="16">
        <v>63</v>
      </c>
      <c r="C980" s="9"/>
      <c r="D980" s="271" t="s">
        <v>7962</v>
      </c>
      <c r="E980" s="263"/>
      <c r="F980" s="263"/>
      <c r="G980" s="263"/>
      <c r="H980" s="263"/>
      <c r="I980" s="263"/>
      <c r="J980" s="263">
        <v>4</v>
      </c>
      <c r="K980" s="267">
        <v>4</v>
      </c>
    </row>
    <row r="981" spans="1:11">
      <c r="A981" s="9" t="s">
        <v>12467</v>
      </c>
      <c r="B981" s="16">
        <v>63</v>
      </c>
      <c r="C981" s="9"/>
      <c r="D981" s="271" t="s">
        <v>7963</v>
      </c>
      <c r="E981" s="263">
        <v>4</v>
      </c>
      <c r="F981" s="263"/>
      <c r="G981" s="263"/>
      <c r="H981" s="263"/>
      <c r="I981" s="263"/>
      <c r="J981" s="263"/>
      <c r="K981" s="267">
        <v>4</v>
      </c>
    </row>
    <row r="982" spans="1:11">
      <c r="A982" s="9" t="s">
        <v>12468</v>
      </c>
      <c r="B982" s="16">
        <v>63</v>
      </c>
      <c r="C982" s="9"/>
      <c r="D982" s="271" t="s">
        <v>7964</v>
      </c>
      <c r="E982" s="263">
        <v>5</v>
      </c>
      <c r="F982" s="263"/>
      <c r="G982" s="263"/>
      <c r="H982" s="263"/>
      <c r="I982" s="263"/>
      <c r="J982" s="263"/>
      <c r="K982" s="267">
        <v>5</v>
      </c>
    </row>
    <row r="983" spans="1:11">
      <c r="A983" s="9" t="s">
        <v>12469</v>
      </c>
      <c r="B983" s="16">
        <v>63</v>
      </c>
      <c r="C983" s="9"/>
      <c r="D983" s="271" t="s">
        <v>7965</v>
      </c>
      <c r="E983" s="263"/>
      <c r="F983" s="263">
        <v>5</v>
      </c>
      <c r="G983" s="263"/>
      <c r="H983" s="263"/>
      <c r="I983" s="263"/>
      <c r="J983" s="263"/>
      <c r="K983" s="267">
        <v>5</v>
      </c>
    </row>
    <row r="984" spans="1:11">
      <c r="A984" s="9" t="s">
        <v>12470</v>
      </c>
      <c r="B984" s="16">
        <v>63</v>
      </c>
      <c r="C984" s="9"/>
      <c r="D984" s="271" t="s">
        <v>7966</v>
      </c>
      <c r="E984" s="263"/>
      <c r="F984" s="263"/>
      <c r="G984" s="263"/>
      <c r="H984" s="263"/>
      <c r="I984" s="263"/>
      <c r="J984" s="263">
        <v>3</v>
      </c>
      <c r="K984" s="267">
        <v>3</v>
      </c>
    </row>
    <row r="985" spans="1:11">
      <c r="A985" s="9" t="s">
        <v>12471</v>
      </c>
      <c r="B985" s="16">
        <v>63</v>
      </c>
      <c r="C985" s="9"/>
      <c r="D985" s="271" t="s">
        <v>7967</v>
      </c>
      <c r="E985" s="263">
        <v>2</v>
      </c>
      <c r="F985" s="263"/>
      <c r="G985" s="263"/>
      <c r="H985" s="263"/>
      <c r="I985" s="263"/>
      <c r="J985" s="263"/>
      <c r="K985" s="267">
        <v>2</v>
      </c>
    </row>
    <row r="986" spans="1:11">
      <c r="A986" s="9" t="s">
        <v>12472</v>
      </c>
      <c r="B986" s="16">
        <v>63</v>
      </c>
      <c r="C986" s="9"/>
      <c r="D986" s="271" t="s">
        <v>7968</v>
      </c>
      <c r="E986" s="263"/>
      <c r="F986" s="263">
        <v>1</v>
      </c>
      <c r="G986" s="263"/>
      <c r="H986" s="263"/>
      <c r="I986" s="263"/>
      <c r="J986" s="263"/>
      <c r="K986" s="267">
        <v>1</v>
      </c>
    </row>
    <row r="987" spans="1:11">
      <c r="A987" s="9" t="s">
        <v>12473</v>
      </c>
      <c r="B987" s="16">
        <v>63</v>
      </c>
      <c r="C987" s="9"/>
      <c r="D987" s="271" t="s">
        <v>7969</v>
      </c>
      <c r="E987" s="263">
        <v>2</v>
      </c>
      <c r="F987" s="263"/>
      <c r="G987" s="263"/>
      <c r="H987" s="263"/>
      <c r="I987" s="263"/>
      <c r="J987" s="263"/>
      <c r="K987" s="267">
        <v>2</v>
      </c>
    </row>
    <row r="988" spans="1:11">
      <c r="A988" s="9" t="s">
        <v>12474</v>
      </c>
      <c r="B988" s="16">
        <v>63</v>
      </c>
      <c r="C988" s="9"/>
      <c r="D988" s="271" t="s">
        <v>7970</v>
      </c>
      <c r="E988" s="263"/>
      <c r="F988" s="263"/>
      <c r="G988" s="263"/>
      <c r="H988" s="263"/>
      <c r="I988" s="263"/>
      <c r="J988" s="263">
        <v>3</v>
      </c>
      <c r="K988" s="267">
        <v>3</v>
      </c>
    </row>
    <row r="989" spans="1:11">
      <c r="A989" s="9" t="s">
        <v>12475</v>
      </c>
      <c r="B989" s="16">
        <v>63</v>
      </c>
      <c r="C989" s="9"/>
      <c r="D989" s="271" t="s">
        <v>7971</v>
      </c>
      <c r="E989" s="263">
        <v>5</v>
      </c>
      <c r="F989" s="263"/>
      <c r="G989" s="263"/>
      <c r="H989" s="263"/>
      <c r="I989" s="263"/>
      <c r="J989" s="263"/>
      <c r="K989" s="267">
        <v>5</v>
      </c>
    </row>
    <row r="990" spans="1:11">
      <c r="A990" s="9" t="s">
        <v>12476</v>
      </c>
      <c r="B990" s="16">
        <v>63</v>
      </c>
      <c r="C990" s="9"/>
      <c r="D990" s="271" t="s">
        <v>7972</v>
      </c>
      <c r="E990" s="263"/>
      <c r="F990" s="263">
        <v>1</v>
      </c>
      <c r="G990" s="263"/>
      <c r="H990" s="263"/>
      <c r="I990" s="263"/>
      <c r="J990" s="263"/>
      <c r="K990" s="267">
        <v>1</v>
      </c>
    </row>
    <row r="991" spans="1:11">
      <c r="A991" s="9" t="s">
        <v>12477</v>
      </c>
      <c r="B991" s="16">
        <v>63</v>
      </c>
      <c r="C991" s="9"/>
      <c r="D991" s="271" t="s">
        <v>7973</v>
      </c>
      <c r="E991" s="263"/>
      <c r="F991" s="263"/>
      <c r="G991" s="263">
        <v>2</v>
      </c>
      <c r="H991" s="263"/>
      <c r="I991" s="263"/>
      <c r="J991" s="263"/>
      <c r="K991" s="267">
        <v>2</v>
      </c>
    </row>
    <row r="992" spans="1:11">
      <c r="A992" s="9" t="s">
        <v>12478</v>
      </c>
      <c r="B992" s="16">
        <v>63</v>
      </c>
      <c r="C992" s="9"/>
      <c r="D992" s="271" t="s">
        <v>7974</v>
      </c>
      <c r="E992" s="263">
        <v>2</v>
      </c>
      <c r="F992" s="263"/>
      <c r="G992" s="263"/>
      <c r="H992" s="263"/>
      <c r="I992" s="263"/>
      <c r="J992" s="263"/>
      <c r="K992" s="267">
        <v>2</v>
      </c>
    </row>
    <row r="993" spans="1:11">
      <c r="A993" s="9" t="s">
        <v>12479</v>
      </c>
      <c r="B993" s="16">
        <v>63</v>
      </c>
      <c r="C993" s="9"/>
      <c r="D993" s="271" t="s">
        <v>7975</v>
      </c>
      <c r="E993" s="263">
        <v>1</v>
      </c>
      <c r="F993" s="263"/>
      <c r="G993" s="263"/>
      <c r="H993" s="263"/>
      <c r="I993" s="263"/>
      <c r="J993" s="263"/>
      <c r="K993" s="267">
        <v>1</v>
      </c>
    </row>
    <row r="994" spans="1:11">
      <c r="A994" s="9" t="s">
        <v>12480</v>
      </c>
      <c r="B994" s="16">
        <v>63</v>
      </c>
      <c r="C994" s="9"/>
      <c r="D994" s="271" t="s">
        <v>7976</v>
      </c>
      <c r="E994" s="263">
        <v>3</v>
      </c>
      <c r="F994" s="263"/>
      <c r="G994" s="263"/>
      <c r="H994" s="263"/>
      <c r="I994" s="263"/>
      <c r="J994" s="263"/>
      <c r="K994" s="267">
        <v>3</v>
      </c>
    </row>
    <row r="995" spans="1:11">
      <c r="A995" s="9" t="s">
        <v>12481</v>
      </c>
      <c r="B995" s="16">
        <v>63</v>
      </c>
      <c r="C995" s="9"/>
      <c r="D995" s="271" t="s">
        <v>7977</v>
      </c>
      <c r="E995" s="263">
        <v>3</v>
      </c>
      <c r="F995" s="263"/>
      <c r="G995" s="263"/>
      <c r="H995" s="263"/>
      <c r="I995" s="263"/>
      <c r="J995" s="263"/>
      <c r="K995" s="267">
        <v>3</v>
      </c>
    </row>
    <row r="996" spans="1:11">
      <c r="B996" s="16">
        <v>63</v>
      </c>
      <c r="C996" s="9"/>
      <c r="D996" s="271"/>
      <c r="E996" s="263"/>
      <c r="F996" s="263"/>
      <c r="G996" s="263"/>
      <c r="H996" s="263"/>
      <c r="I996" s="263"/>
      <c r="J996" s="263"/>
      <c r="K996" s="267">
        <v>0</v>
      </c>
    </row>
    <row r="997" spans="1:11">
      <c r="B997" s="16">
        <v>63</v>
      </c>
      <c r="C997" s="9"/>
      <c r="D997" s="272" t="s">
        <v>3674</v>
      </c>
      <c r="E997" s="273">
        <v>27</v>
      </c>
      <c r="F997" s="273">
        <v>7</v>
      </c>
      <c r="G997" s="273">
        <v>2</v>
      </c>
      <c r="H997" s="273">
        <v>0</v>
      </c>
      <c r="I997" s="273">
        <v>0</v>
      </c>
      <c r="J997" s="273">
        <v>14</v>
      </c>
      <c r="K997" s="273">
        <v>50</v>
      </c>
    </row>
    <row r="998" spans="1:11">
      <c r="C998" s="9"/>
      <c r="D998" s="271"/>
      <c r="E998" s="263"/>
      <c r="F998" s="263"/>
      <c r="G998" s="263"/>
      <c r="H998" s="263"/>
      <c r="I998" s="263"/>
      <c r="J998" s="263"/>
      <c r="K998" s="267">
        <v>0</v>
      </c>
    </row>
    <row r="999" spans="1:11">
      <c r="A999" s="9" t="s">
        <v>12482</v>
      </c>
      <c r="B999" s="16" t="s">
        <v>1782</v>
      </c>
      <c r="C999" s="9"/>
      <c r="D999" s="271" t="s">
        <v>7978</v>
      </c>
      <c r="E999" s="263">
        <v>3</v>
      </c>
      <c r="F999" s="263"/>
      <c r="G999" s="263"/>
      <c r="H999" s="263"/>
      <c r="I999" s="263"/>
      <c r="J999" s="263"/>
      <c r="K999" s="267">
        <v>3</v>
      </c>
    </row>
    <row r="1000" spans="1:11">
      <c r="A1000" s="9" t="s">
        <v>12483</v>
      </c>
      <c r="B1000" s="16" t="s">
        <v>1782</v>
      </c>
      <c r="C1000" s="9"/>
      <c r="D1000" s="271" t="s">
        <v>7979</v>
      </c>
      <c r="E1000" s="263"/>
      <c r="F1000" s="263">
        <v>2</v>
      </c>
      <c r="G1000" s="263"/>
      <c r="H1000" s="263"/>
      <c r="I1000" s="263"/>
      <c r="J1000" s="263"/>
      <c r="K1000" s="267">
        <v>2</v>
      </c>
    </row>
    <row r="1001" spans="1:11">
      <c r="A1001" s="9" t="s">
        <v>12484</v>
      </c>
      <c r="B1001" s="16" t="s">
        <v>1782</v>
      </c>
      <c r="C1001" s="9"/>
      <c r="D1001" s="271" t="s">
        <v>7980</v>
      </c>
      <c r="E1001" s="263"/>
      <c r="F1001" s="263"/>
      <c r="G1001" s="263">
        <v>2</v>
      </c>
      <c r="H1001" s="263"/>
      <c r="I1001" s="263"/>
      <c r="J1001" s="263"/>
      <c r="K1001" s="267">
        <v>2</v>
      </c>
    </row>
    <row r="1002" spans="1:11">
      <c r="A1002" s="9" t="s">
        <v>12485</v>
      </c>
      <c r="B1002" s="16" t="s">
        <v>1782</v>
      </c>
      <c r="C1002" s="9"/>
      <c r="D1002" s="271" t="s">
        <v>7981</v>
      </c>
      <c r="E1002" s="263"/>
      <c r="F1002" s="263">
        <v>1</v>
      </c>
      <c r="G1002" s="263"/>
      <c r="H1002" s="263"/>
      <c r="I1002" s="263"/>
      <c r="J1002" s="263"/>
      <c r="K1002" s="267">
        <v>1</v>
      </c>
    </row>
    <row r="1003" spans="1:11">
      <c r="A1003" s="9" t="s">
        <v>12486</v>
      </c>
      <c r="B1003" s="16" t="s">
        <v>1782</v>
      </c>
      <c r="C1003" s="9"/>
      <c r="D1003" s="271" t="s">
        <v>7982</v>
      </c>
      <c r="E1003" s="263">
        <v>3</v>
      </c>
      <c r="F1003" s="263"/>
      <c r="G1003" s="263"/>
      <c r="H1003" s="263"/>
      <c r="I1003" s="263"/>
      <c r="J1003" s="263"/>
      <c r="K1003" s="267">
        <v>3</v>
      </c>
    </row>
    <row r="1004" spans="1:11">
      <c r="A1004" s="9" t="s">
        <v>12487</v>
      </c>
      <c r="B1004" s="16" t="s">
        <v>1782</v>
      </c>
      <c r="C1004" s="9"/>
      <c r="D1004" s="271" t="s">
        <v>7983</v>
      </c>
      <c r="E1004" s="263"/>
      <c r="F1004" s="263"/>
      <c r="G1004" s="263"/>
      <c r="H1004" s="263"/>
      <c r="I1004" s="263"/>
      <c r="J1004" s="263">
        <v>3</v>
      </c>
      <c r="K1004" s="267">
        <v>3</v>
      </c>
    </row>
    <row r="1005" spans="1:11">
      <c r="A1005" s="9" t="s">
        <v>12488</v>
      </c>
      <c r="B1005" s="16" t="s">
        <v>1782</v>
      </c>
      <c r="C1005" s="9"/>
      <c r="D1005" s="271" t="s">
        <v>7984</v>
      </c>
      <c r="E1005" s="263"/>
      <c r="F1005" s="263"/>
      <c r="G1005" s="263"/>
      <c r="H1005" s="263"/>
      <c r="I1005" s="263"/>
      <c r="J1005" s="263">
        <v>3</v>
      </c>
      <c r="K1005" s="267">
        <v>3</v>
      </c>
    </row>
    <row r="1006" spans="1:11">
      <c r="A1006" s="9" t="s">
        <v>12489</v>
      </c>
      <c r="B1006" s="16" t="s">
        <v>1782</v>
      </c>
      <c r="C1006" s="9"/>
      <c r="D1006" s="271" t="s">
        <v>7985</v>
      </c>
      <c r="E1006" s="263">
        <v>3</v>
      </c>
      <c r="F1006" s="263"/>
      <c r="G1006" s="263"/>
      <c r="H1006" s="263"/>
      <c r="I1006" s="263"/>
      <c r="J1006" s="263"/>
      <c r="K1006" s="267">
        <v>3</v>
      </c>
    </row>
    <row r="1007" spans="1:11">
      <c r="A1007" s="9" t="s">
        <v>12490</v>
      </c>
      <c r="B1007" s="16" t="s">
        <v>1782</v>
      </c>
      <c r="C1007" s="9"/>
      <c r="D1007" s="271" t="s">
        <v>7986</v>
      </c>
      <c r="E1007" s="263"/>
      <c r="F1007" s="263">
        <v>2</v>
      </c>
      <c r="G1007" s="263"/>
      <c r="H1007" s="263"/>
      <c r="I1007" s="263"/>
      <c r="J1007" s="263"/>
      <c r="K1007" s="267">
        <v>2</v>
      </c>
    </row>
    <row r="1008" spans="1:11">
      <c r="A1008" s="9" t="s">
        <v>12491</v>
      </c>
      <c r="B1008" s="16" t="s">
        <v>1782</v>
      </c>
      <c r="C1008" s="9"/>
      <c r="D1008" s="271" t="s">
        <v>7987</v>
      </c>
      <c r="E1008" s="263"/>
      <c r="F1008" s="263"/>
      <c r="G1008" s="263">
        <v>2</v>
      </c>
      <c r="H1008" s="263"/>
      <c r="I1008" s="263"/>
      <c r="J1008" s="263"/>
      <c r="K1008" s="267">
        <v>2</v>
      </c>
    </row>
    <row r="1009" spans="1:11">
      <c r="A1009" s="9" t="s">
        <v>12492</v>
      </c>
      <c r="B1009" s="16" t="s">
        <v>1782</v>
      </c>
      <c r="C1009" s="9"/>
      <c r="D1009" s="271" t="s">
        <v>7988</v>
      </c>
      <c r="E1009" s="263"/>
      <c r="F1009" s="263"/>
      <c r="G1009" s="263">
        <v>3</v>
      </c>
      <c r="H1009" s="263"/>
      <c r="I1009" s="263"/>
      <c r="J1009" s="263"/>
      <c r="K1009" s="267">
        <v>3</v>
      </c>
    </row>
    <row r="1010" spans="1:11">
      <c r="A1010" s="9" t="s">
        <v>12493</v>
      </c>
      <c r="B1010" s="16" t="s">
        <v>1782</v>
      </c>
      <c r="C1010" s="9"/>
      <c r="D1010" s="271" t="s">
        <v>7989</v>
      </c>
      <c r="E1010" s="263"/>
      <c r="F1010" s="263"/>
      <c r="G1010" s="263"/>
      <c r="H1010" s="263"/>
      <c r="I1010" s="263"/>
      <c r="J1010" s="263">
        <v>3</v>
      </c>
      <c r="K1010" s="267">
        <v>3</v>
      </c>
    </row>
    <row r="1011" spans="1:11">
      <c r="B1011" s="16" t="s">
        <v>1782</v>
      </c>
      <c r="C1011" s="9"/>
      <c r="D1011" s="271"/>
      <c r="E1011" s="263"/>
      <c r="F1011" s="263"/>
      <c r="G1011" s="263"/>
      <c r="H1011" s="263"/>
      <c r="I1011" s="263"/>
      <c r="J1011" s="263"/>
      <c r="K1011" s="267">
        <v>0</v>
      </c>
    </row>
    <row r="1012" spans="1:11">
      <c r="B1012" s="16" t="s">
        <v>1782</v>
      </c>
      <c r="C1012" s="9"/>
      <c r="D1012" s="272" t="s">
        <v>3674</v>
      </c>
      <c r="E1012" s="273">
        <v>9</v>
      </c>
      <c r="F1012" s="273">
        <v>5</v>
      </c>
      <c r="G1012" s="273">
        <v>7</v>
      </c>
      <c r="H1012" s="273">
        <v>0</v>
      </c>
      <c r="I1012" s="273">
        <v>0</v>
      </c>
      <c r="J1012" s="273">
        <v>9</v>
      </c>
      <c r="K1012" s="273">
        <v>30</v>
      </c>
    </row>
    <row r="1013" spans="1:11">
      <c r="C1013" s="9"/>
      <c r="D1013" s="271"/>
      <c r="E1013" s="263"/>
      <c r="F1013" s="263"/>
      <c r="G1013" s="263"/>
      <c r="H1013" s="263"/>
      <c r="I1013" s="263"/>
      <c r="J1013" s="263"/>
      <c r="K1013" s="267">
        <v>0</v>
      </c>
    </row>
    <row r="1014" spans="1:11">
      <c r="B1014" s="16">
        <v>0</v>
      </c>
      <c r="C1014" s="9"/>
      <c r="D1014" s="269" t="s">
        <v>13089</v>
      </c>
      <c r="E1014" s="270">
        <v>124</v>
      </c>
      <c r="F1014" s="270">
        <v>30</v>
      </c>
      <c r="G1014" s="270">
        <v>14</v>
      </c>
      <c r="H1014" s="270">
        <v>11</v>
      </c>
      <c r="I1014" s="270">
        <v>8</v>
      </c>
      <c r="J1014" s="270">
        <v>51</v>
      </c>
      <c r="K1014" s="270">
        <v>238</v>
      </c>
    </row>
  </sheetData>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&amp;L&amp;"Arial,Bold"                         &amp;A  :  &amp;P / 36&amp;C&amp;"Wingdings,Regular"&amp;12¬  </oddFooter>
  </headerFooter>
  <rowBreaks count="21" manualBreakCount="21">
    <brk id="31" max="10" man="1"/>
    <brk id="62" max="17" man="1"/>
    <brk id="94" max="17" man="1"/>
    <brk id="110" max="17" man="1"/>
    <brk id="136" max="17" man="1"/>
    <brk id="165" max="17" man="1"/>
    <brk id="256" max="17" man="1"/>
    <brk id="283" max="17" man="1"/>
    <brk id="341" max="17" man="1"/>
    <brk id="370" max="17" man="1"/>
    <brk id="454" max="17" man="1"/>
    <brk id="514" max="17" man="1"/>
    <brk id="544" max="17" man="1"/>
    <brk id="574" max="17" man="1"/>
    <brk id="597" max="17" man="1"/>
    <brk id="658" max="17" man="1"/>
    <brk id="688" max="17" man="1"/>
    <brk id="719" max="17" man="1"/>
    <brk id="871" max="17" man="1"/>
    <brk id="895" max="17" man="1"/>
    <brk id="924"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Horizontal="1" syncVertical="1" syncRef="A2" codeName="Sheet79">
    <tabColor rgb="FF7030A0"/>
  </sheetPr>
  <dimension ref="A1:K326"/>
  <sheetViews>
    <sheetView showZeros="0" zoomScaleNormal="100" zoomScaleSheetLayoutView="100" workbookViewId="0">
      <pane ySplit="1" topLeftCell="A2" activePane="bottomLeft" state="frozen"/>
      <selection activeCell="A2" sqref="A2"/>
      <selection pane="bottomLeft" activeCell="A2" sqref="A2"/>
    </sheetView>
  </sheetViews>
  <sheetFormatPr defaultColWidth="9.1640625" defaultRowHeight="15.75"/>
  <cols>
    <col min="1" max="1" width="20.83203125" style="9" customWidth="1"/>
    <col min="2" max="2" width="6.83203125" style="16" customWidth="1"/>
    <col min="3" max="3" width="7.83203125" style="245" customWidth="1"/>
    <col min="4" max="4" width="78.83203125" style="245" customWidth="1"/>
    <col min="5" max="11" width="10.83203125" style="245" customWidth="1"/>
    <col min="12" max="16384" width="9.1640625" style="258"/>
  </cols>
  <sheetData>
    <row r="1" spans="1:11">
      <c r="A1" s="16" t="s">
        <v>234</v>
      </c>
      <c r="B1" s="16" t="s">
        <v>506</v>
      </c>
      <c r="C1" s="16" t="s">
        <v>281</v>
      </c>
      <c r="D1" s="257" t="s">
        <v>12617</v>
      </c>
      <c r="E1" s="257" t="s">
        <v>4251</v>
      </c>
      <c r="F1" s="257" t="s">
        <v>4252</v>
      </c>
      <c r="G1" s="257" t="s">
        <v>4253</v>
      </c>
      <c r="H1" s="257" t="s">
        <v>4254</v>
      </c>
      <c r="I1" s="257" t="s">
        <v>4255</v>
      </c>
      <c r="J1" s="257" t="s">
        <v>4256</v>
      </c>
      <c r="K1" s="257" t="s">
        <v>3668</v>
      </c>
    </row>
    <row r="2" spans="1:11">
      <c r="C2" s="9"/>
      <c r="D2" s="241"/>
      <c r="E2" s="241"/>
      <c r="F2" s="241"/>
      <c r="G2" s="241"/>
      <c r="H2" s="241"/>
      <c r="I2" s="241"/>
      <c r="J2" s="241"/>
      <c r="K2" s="241"/>
    </row>
    <row r="3" spans="1:11">
      <c r="C3" s="9"/>
      <c r="D3" s="241"/>
      <c r="E3" s="241"/>
      <c r="F3" s="241"/>
      <c r="G3" s="241"/>
      <c r="H3" s="241"/>
      <c r="I3" s="241"/>
      <c r="J3" s="241"/>
      <c r="K3" s="241"/>
    </row>
    <row r="4" spans="1:11">
      <c r="C4" s="9"/>
      <c r="D4" s="241" t="s">
        <v>4257</v>
      </c>
      <c r="E4" s="259" t="s">
        <v>613</v>
      </c>
      <c r="F4" s="260" t="s">
        <v>614</v>
      </c>
      <c r="G4" s="259" t="s">
        <v>77</v>
      </c>
      <c r="H4" s="260" t="s">
        <v>199</v>
      </c>
      <c r="I4" s="259" t="s">
        <v>321</v>
      </c>
      <c r="J4" s="260" t="s">
        <v>322</v>
      </c>
      <c r="K4" s="259"/>
    </row>
    <row r="5" spans="1:11">
      <c r="C5" s="9"/>
      <c r="D5" s="241"/>
      <c r="E5" s="241"/>
      <c r="F5" s="241"/>
      <c r="G5" s="241"/>
      <c r="H5" s="241"/>
      <c r="I5" s="241"/>
      <c r="J5" s="241"/>
      <c r="K5" s="241"/>
    </row>
    <row r="6" spans="1:11">
      <c r="A6" s="261" t="s">
        <v>234</v>
      </c>
      <c r="B6" s="261" t="s">
        <v>4258</v>
      </c>
      <c r="C6" s="261" t="s">
        <v>4259</v>
      </c>
      <c r="D6" s="262" t="s">
        <v>12617</v>
      </c>
      <c r="E6" s="259" t="s">
        <v>4293</v>
      </c>
      <c r="F6" s="260" t="s">
        <v>4294</v>
      </c>
      <c r="G6" s="259" t="s">
        <v>4295</v>
      </c>
      <c r="H6" s="260" t="s">
        <v>4296</v>
      </c>
      <c r="I6" s="259" t="s">
        <v>4297</v>
      </c>
      <c r="J6" s="260" t="s">
        <v>4298</v>
      </c>
      <c r="K6" s="259" t="s">
        <v>146</v>
      </c>
    </row>
    <row r="7" spans="1:11">
      <c r="C7" s="9"/>
      <c r="D7" s="241"/>
      <c r="E7" s="263"/>
      <c r="F7" s="263"/>
      <c r="G7" s="263"/>
      <c r="H7" s="263"/>
      <c r="I7" s="263"/>
      <c r="J7" s="263"/>
      <c r="K7" s="263"/>
    </row>
    <row r="8" spans="1:11">
      <c r="B8" s="16">
        <v>1</v>
      </c>
      <c r="C8" s="264">
        <v>5</v>
      </c>
      <c r="D8" s="265" t="s">
        <v>13075</v>
      </c>
      <c r="E8" s="266">
        <v>0</v>
      </c>
      <c r="F8" s="266">
        <v>0</v>
      </c>
      <c r="G8" s="266">
        <v>0</v>
      </c>
      <c r="H8" s="266">
        <v>0</v>
      </c>
      <c r="I8" s="266">
        <v>0</v>
      </c>
      <c r="J8" s="266">
        <v>0</v>
      </c>
      <c r="K8" s="267">
        <v>0</v>
      </c>
    </row>
    <row r="9" spans="1:11">
      <c r="B9" s="16">
        <v>2</v>
      </c>
      <c r="C9" s="264">
        <v>5</v>
      </c>
      <c r="D9" s="265" t="s">
        <v>13076</v>
      </c>
      <c r="E9" s="266">
        <v>41</v>
      </c>
      <c r="F9" s="266">
        <v>36</v>
      </c>
      <c r="G9" s="266">
        <v>5</v>
      </c>
      <c r="H9" s="266">
        <v>0</v>
      </c>
      <c r="I9" s="266">
        <v>0</v>
      </c>
      <c r="J9" s="266">
        <v>32</v>
      </c>
      <c r="K9" s="267">
        <v>114</v>
      </c>
    </row>
    <row r="10" spans="1:11">
      <c r="B10" s="16">
        <v>3</v>
      </c>
      <c r="C10" s="264">
        <v>6</v>
      </c>
      <c r="D10" s="265" t="s">
        <v>13077</v>
      </c>
      <c r="E10" s="266">
        <v>0</v>
      </c>
      <c r="F10" s="266">
        <v>0</v>
      </c>
      <c r="G10" s="266">
        <v>0</v>
      </c>
      <c r="H10" s="266">
        <v>0</v>
      </c>
      <c r="I10" s="266">
        <v>0</v>
      </c>
      <c r="J10" s="266">
        <v>0</v>
      </c>
      <c r="K10" s="267">
        <v>0</v>
      </c>
    </row>
    <row r="11" spans="1:11">
      <c r="B11" s="16">
        <v>4</v>
      </c>
      <c r="C11" s="264">
        <v>5</v>
      </c>
      <c r="D11" s="265" t="s">
        <v>13078</v>
      </c>
      <c r="E11" s="266">
        <v>59</v>
      </c>
      <c r="F11" s="266">
        <v>38</v>
      </c>
      <c r="G11" s="266">
        <v>20</v>
      </c>
      <c r="H11" s="266">
        <v>5</v>
      </c>
      <c r="I11" s="266">
        <v>0</v>
      </c>
      <c r="J11" s="266">
        <v>40</v>
      </c>
      <c r="K11" s="267">
        <v>162</v>
      </c>
    </row>
    <row r="12" spans="1:11">
      <c r="B12" s="16">
        <v>5</v>
      </c>
      <c r="C12" s="264">
        <v>5</v>
      </c>
      <c r="D12" s="265" t="s">
        <v>13079</v>
      </c>
      <c r="E12" s="266">
        <v>0</v>
      </c>
      <c r="F12" s="266">
        <v>0</v>
      </c>
      <c r="G12" s="266">
        <v>0</v>
      </c>
      <c r="H12" s="266">
        <v>0</v>
      </c>
      <c r="I12" s="266">
        <v>0</v>
      </c>
      <c r="J12" s="266">
        <v>0</v>
      </c>
      <c r="K12" s="267">
        <v>0</v>
      </c>
    </row>
    <row r="13" spans="1:11">
      <c r="B13" s="16">
        <v>6</v>
      </c>
      <c r="C13" s="264">
        <v>6</v>
      </c>
      <c r="D13" s="265" t="s">
        <v>13080</v>
      </c>
      <c r="E13" s="266">
        <v>0</v>
      </c>
      <c r="F13" s="266">
        <v>0</v>
      </c>
      <c r="G13" s="266">
        <v>0</v>
      </c>
      <c r="H13" s="266">
        <v>0</v>
      </c>
      <c r="I13" s="266">
        <v>0</v>
      </c>
      <c r="J13" s="266">
        <v>0</v>
      </c>
      <c r="K13" s="267">
        <v>0</v>
      </c>
    </row>
    <row r="14" spans="1:11">
      <c r="B14" s="16">
        <v>7</v>
      </c>
      <c r="C14" s="264">
        <v>5</v>
      </c>
      <c r="D14" s="265" t="s">
        <v>13081</v>
      </c>
      <c r="E14" s="266">
        <v>35</v>
      </c>
      <c r="F14" s="266">
        <v>36</v>
      </c>
      <c r="G14" s="266">
        <v>20</v>
      </c>
      <c r="H14" s="266">
        <v>15</v>
      </c>
      <c r="I14" s="266">
        <v>0</v>
      </c>
      <c r="J14" s="266">
        <v>5</v>
      </c>
      <c r="K14" s="267">
        <v>111</v>
      </c>
    </row>
    <row r="15" spans="1:11">
      <c r="B15" s="16">
        <v>8</v>
      </c>
      <c r="C15" s="264">
        <v>6</v>
      </c>
      <c r="D15" s="265" t="s">
        <v>13082</v>
      </c>
      <c r="E15" s="266">
        <v>0</v>
      </c>
      <c r="F15" s="266">
        <v>0</v>
      </c>
      <c r="G15" s="266">
        <v>0</v>
      </c>
      <c r="H15" s="266">
        <v>0</v>
      </c>
      <c r="I15" s="266">
        <v>0</v>
      </c>
      <c r="J15" s="266">
        <v>0</v>
      </c>
      <c r="K15" s="267">
        <v>0</v>
      </c>
    </row>
    <row r="16" spans="1:11">
      <c r="B16" s="16">
        <v>9</v>
      </c>
      <c r="C16" s="264">
        <v>6</v>
      </c>
      <c r="D16" s="265" t="s">
        <v>13083</v>
      </c>
      <c r="E16" s="266">
        <v>0</v>
      </c>
      <c r="F16" s="266">
        <v>0</v>
      </c>
      <c r="G16" s="266">
        <v>0</v>
      </c>
      <c r="H16" s="266">
        <v>0</v>
      </c>
      <c r="I16" s="266">
        <v>0</v>
      </c>
      <c r="J16" s="266">
        <v>0</v>
      </c>
      <c r="K16" s="267">
        <v>0</v>
      </c>
    </row>
    <row r="17" spans="2:11">
      <c r="B17" s="16">
        <v>10</v>
      </c>
      <c r="C17" s="264">
        <v>5</v>
      </c>
      <c r="D17" s="265" t="s">
        <v>13084</v>
      </c>
      <c r="E17" s="266">
        <v>0</v>
      </c>
      <c r="F17" s="266">
        <v>0</v>
      </c>
      <c r="G17" s="266">
        <v>0</v>
      </c>
      <c r="H17" s="266">
        <v>0</v>
      </c>
      <c r="I17" s="266">
        <v>0</v>
      </c>
      <c r="J17" s="266">
        <v>0</v>
      </c>
      <c r="K17" s="267">
        <v>0</v>
      </c>
    </row>
    <row r="18" spans="2:11">
      <c r="B18" s="16">
        <v>11</v>
      </c>
      <c r="C18" s="264">
        <v>4</v>
      </c>
      <c r="D18" s="265" t="s">
        <v>13085</v>
      </c>
      <c r="E18" s="266">
        <v>0</v>
      </c>
      <c r="F18" s="266">
        <v>0</v>
      </c>
      <c r="G18" s="266">
        <v>0</v>
      </c>
      <c r="H18" s="266">
        <v>0</v>
      </c>
      <c r="I18" s="266">
        <v>0</v>
      </c>
      <c r="J18" s="266">
        <v>0</v>
      </c>
      <c r="K18" s="267">
        <v>0</v>
      </c>
    </row>
    <row r="19" spans="2:11">
      <c r="B19" s="16">
        <v>12</v>
      </c>
      <c r="C19" s="264">
        <v>4</v>
      </c>
      <c r="D19" s="265" t="s">
        <v>13086</v>
      </c>
      <c r="E19" s="266">
        <v>45</v>
      </c>
      <c r="F19" s="266">
        <v>25</v>
      </c>
      <c r="G19" s="266">
        <v>25</v>
      </c>
      <c r="H19" s="266">
        <v>0</v>
      </c>
      <c r="I19" s="266">
        <v>5</v>
      </c>
      <c r="J19" s="266">
        <v>15</v>
      </c>
      <c r="K19" s="267">
        <v>115</v>
      </c>
    </row>
    <row r="20" spans="2:11">
      <c r="B20" s="16">
        <v>13</v>
      </c>
      <c r="C20" s="264">
        <v>4</v>
      </c>
      <c r="D20" s="265" t="s">
        <v>13087</v>
      </c>
      <c r="E20" s="266">
        <v>70</v>
      </c>
      <c r="F20" s="266">
        <v>10</v>
      </c>
      <c r="G20" s="266">
        <v>65</v>
      </c>
      <c r="H20" s="266">
        <v>10</v>
      </c>
      <c r="I20" s="266">
        <v>5</v>
      </c>
      <c r="J20" s="266">
        <v>40</v>
      </c>
      <c r="K20" s="267">
        <v>200</v>
      </c>
    </row>
    <row r="21" spans="2:11">
      <c r="B21" s="16">
        <v>14</v>
      </c>
      <c r="C21" s="264">
        <v>5</v>
      </c>
      <c r="D21" s="265" t="s">
        <v>13088</v>
      </c>
      <c r="E21" s="266">
        <v>8</v>
      </c>
      <c r="F21" s="266">
        <v>12</v>
      </c>
      <c r="G21" s="266">
        <v>40</v>
      </c>
      <c r="H21" s="266">
        <v>0</v>
      </c>
      <c r="I21" s="266">
        <v>0</v>
      </c>
      <c r="J21" s="266">
        <v>0</v>
      </c>
      <c r="K21" s="267">
        <v>60</v>
      </c>
    </row>
    <row r="22" spans="2:11">
      <c r="B22" s="16">
        <v>14</v>
      </c>
      <c r="C22" s="264">
        <v>5</v>
      </c>
      <c r="D22" s="265" t="s">
        <v>13089</v>
      </c>
      <c r="E22" s="266">
        <v>25</v>
      </c>
      <c r="F22" s="266">
        <v>3</v>
      </c>
      <c r="G22" s="266">
        <v>9</v>
      </c>
      <c r="H22" s="266">
        <v>2</v>
      </c>
      <c r="I22" s="266">
        <v>3</v>
      </c>
      <c r="J22" s="266">
        <v>0</v>
      </c>
      <c r="K22" s="267">
        <v>42</v>
      </c>
    </row>
    <row r="23" spans="2:11">
      <c r="C23" s="264"/>
      <c r="D23" s="265"/>
      <c r="E23" s="266"/>
      <c r="F23" s="266"/>
      <c r="G23" s="266"/>
      <c r="H23" s="266"/>
      <c r="I23" s="266"/>
      <c r="J23" s="266"/>
      <c r="K23" s="267"/>
    </row>
    <row r="24" spans="2:11">
      <c r="C24" s="268">
        <v>76</v>
      </c>
      <c r="D24" s="269" t="s">
        <v>13090</v>
      </c>
      <c r="E24" s="270">
        <v>283</v>
      </c>
      <c r="F24" s="270">
        <v>160</v>
      </c>
      <c r="G24" s="270">
        <v>184</v>
      </c>
      <c r="H24" s="270">
        <v>32</v>
      </c>
      <c r="I24" s="270">
        <v>13</v>
      </c>
      <c r="J24" s="270">
        <v>132</v>
      </c>
      <c r="K24" s="270">
        <v>804</v>
      </c>
    </row>
    <row r="25" spans="2:11">
      <c r="C25" s="9"/>
      <c r="D25" s="271"/>
      <c r="E25" s="263"/>
      <c r="F25" s="263"/>
      <c r="G25" s="263"/>
      <c r="H25" s="263"/>
      <c r="I25" s="263"/>
      <c r="J25" s="263"/>
      <c r="K25" s="263"/>
    </row>
    <row r="26" spans="2:11">
      <c r="C26" s="9"/>
      <c r="D26" s="271"/>
      <c r="E26" s="263"/>
      <c r="F26" s="263"/>
      <c r="G26" s="263"/>
      <c r="H26" s="263"/>
      <c r="I26" s="263"/>
      <c r="J26" s="263"/>
      <c r="K26" s="263"/>
    </row>
    <row r="27" spans="2:11">
      <c r="C27" s="9"/>
      <c r="D27" s="271"/>
      <c r="E27" s="263"/>
      <c r="F27" s="263"/>
      <c r="G27" s="263"/>
      <c r="H27" s="263"/>
      <c r="I27" s="263"/>
      <c r="J27" s="263"/>
      <c r="K27" s="263"/>
    </row>
    <row r="28" spans="2:11">
      <c r="C28" s="9"/>
      <c r="D28" s="271"/>
      <c r="E28" s="263"/>
      <c r="F28" s="263"/>
      <c r="G28" s="263"/>
      <c r="H28" s="263"/>
      <c r="I28" s="263"/>
      <c r="J28" s="263"/>
      <c r="K28" s="263"/>
    </row>
    <row r="29" spans="2:11">
      <c r="C29" s="9"/>
      <c r="D29" s="271"/>
      <c r="E29" s="263"/>
      <c r="F29" s="263"/>
      <c r="G29" s="263"/>
      <c r="H29" s="263"/>
      <c r="I29" s="263"/>
      <c r="J29" s="263"/>
      <c r="K29" s="263"/>
    </row>
    <row r="30" spans="2:11">
      <c r="C30" s="9"/>
      <c r="D30" s="271"/>
      <c r="E30" s="263"/>
      <c r="F30" s="263"/>
      <c r="G30" s="263"/>
      <c r="H30" s="263"/>
      <c r="I30" s="263"/>
      <c r="J30" s="263"/>
      <c r="K30" s="263"/>
    </row>
    <row r="31" spans="2:11">
      <c r="C31" s="9"/>
      <c r="D31" s="271"/>
      <c r="E31" s="263"/>
      <c r="F31" s="263"/>
      <c r="G31" s="263"/>
      <c r="H31" s="263"/>
      <c r="I31" s="263"/>
      <c r="J31" s="263"/>
      <c r="K31" s="263"/>
    </row>
    <row r="32" spans="2:11">
      <c r="C32" s="9"/>
      <c r="D32" s="271" t="s">
        <v>4267</v>
      </c>
      <c r="E32" s="263"/>
      <c r="F32" s="263"/>
      <c r="G32" s="263"/>
      <c r="H32" s="263"/>
      <c r="I32" s="263"/>
      <c r="J32" s="263"/>
      <c r="K32" s="267">
        <v>0</v>
      </c>
    </row>
    <row r="33" spans="1:11">
      <c r="C33" s="9"/>
      <c r="D33" s="271"/>
      <c r="E33" s="263"/>
      <c r="F33" s="263"/>
      <c r="G33" s="263"/>
      <c r="H33" s="263"/>
      <c r="I33" s="263"/>
      <c r="J33" s="263"/>
      <c r="K33" s="267">
        <v>0</v>
      </c>
    </row>
    <row r="34" spans="1:11">
      <c r="A34" s="9" t="s">
        <v>2004</v>
      </c>
      <c r="B34" s="16">
        <v>26</v>
      </c>
      <c r="C34" s="9"/>
      <c r="D34" s="271" t="s">
        <v>10058</v>
      </c>
      <c r="E34" s="263">
        <v>2</v>
      </c>
      <c r="F34" s="263">
        <v>0</v>
      </c>
      <c r="G34" s="263">
        <v>0</v>
      </c>
      <c r="H34" s="263">
        <v>0</v>
      </c>
      <c r="I34" s="263">
        <v>0</v>
      </c>
      <c r="J34" s="263">
        <v>0</v>
      </c>
      <c r="K34" s="267">
        <v>2</v>
      </c>
    </row>
    <row r="35" spans="1:11">
      <c r="A35" s="9" t="s">
        <v>2005</v>
      </c>
      <c r="B35" s="16">
        <v>26</v>
      </c>
      <c r="C35" s="9"/>
      <c r="D35" s="271" t="s">
        <v>10059</v>
      </c>
      <c r="E35" s="263">
        <v>2</v>
      </c>
      <c r="F35" s="263">
        <v>0</v>
      </c>
      <c r="G35" s="263">
        <v>0</v>
      </c>
      <c r="H35" s="263">
        <v>0</v>
      </c>
      <c r="I35" s="263">
        <v>0</v>
      </c>
      <c r="J35" s="263">
        <v>0</v>
      </c>
      <c r="K35" s="267">
        <v>2</v>
      </c>
    </row>
    <row r="36" spans="1:11">
      <c r="A36" s="9" t="s">
        <v>12494</v>
      </c>
      <c r="B36" s="16">
        <v>26</v>
      </c>
      <c r="C36" s="9"/>
      <c r="D36" s="271" t="s">
        <v>10060</v>
      </c>
      <c r="E36" s="263"/>
      <c r="F36" s="263">
        <v>0</v>
      </c>
      <c r="G36" s="263">
        <v>0</v>
      </c>
      <c r="H36" s="263">
        <v>0</v>
      </c>
      <c r="I36" s="263">
        <v>0</v>
      </c>
      <c r="J36" s="263">
        <v>2</v>
      </c>
      <c r="K36" s="267">
        <v>2</v>
      </c>
    </row>
    <row r="37" spans="1:11">
      <c r="A37" s="9" t="s">
        <v>2006</v>
      </c>
      <c r="B37" s="16">
        <v>26</v>
      </c>
      <c r="C37" s="9"/>
      <c r="D37" s="271" t="s">
        <v>10061</v>
      </c>
      <c r="E37" s="263">
        <v>3</v>
      </c>
      <c r="F37" s="263">
        <v>0</v>
      </c>
      <c r="G37" s="263">
        <v>0</v>
      </c>
      <c r="H37" s="263">
        <v>0</v>
      </c>
      <c r="I37" s="263">
        <v>0</v>
      </c>
      <c r="J37" s="263">
        <v>0</v>
      </c>
      <c r="K37" s="267">
        <v>3</v>
      </c>
    </row>
    <row r="38" spans="1:11">
      <c r="A38" s="9" t="s">
        <v>12495</v>
      </c>
      <c r="B38" s="16">
        <v>26</v>
      </c>
      <c r="C38" s="9"/>
      <c r="D38" s="271" t="s">
        <v>9637</v>
      </c>
      <c r="E38" s="263"/>
      <c r="F38" s="263">
        <v>0</v>
      </c>
      <c r="G38" s="263">
        <v>0</v>
      </c>
      <c r="H38" s="263">
        <v>0</v>
      </c>
      <c r="I38" s="263">
        <v>0</v>
      </c>
      <c r="J38" s="263">
        <v>2</v>
      </c>
      <c r="K38" s="267">
        <v>2</v>
      </c>
    </row>
    <row r="39" spans="1:11">
      <c r="A39" s="9" t="s">
        <v>12496</v>
      </c>
      <c r="B39" s="16">
        <v>26</v>
      </c>
      <c r="C39" s="9"/>
      <c r="D39" s="271" t="s">
        <v>10062</v>
      </c>
      <c r="E39" s="263"/>
      <c r="F39" s="263">
        <v>0</v>
      </c>
      <c r="G39" s="263">
        <v>0</v>
      </c>
      <c r="H39" s="263">
        <v>0</v>
      </c>
      <c r="I39" s="263">
        <v>0</v>
      </c>
      <c r="J39" s="263">
        <v>3</v>
      </c>
      <c r="K39" s="267">
        <v>3</v>
      </c>
    </row>
    <row r="40" spans="1:11">
      <c r="A40" s="9" t="s">
        <v>12497</v>
      </c>
      <c r="B40" s="16">
        <v>26</v>
      </c>
      <c r="C40" s="9"/>
      <c r="D40" s="271" t="s">
        <v>10063</v>
      </c>
      <c r="E40" s="263"/>
      <c r="F40" s="263">
        <v>0</v>
      </c>
      <c r="G40" s="263">
        <v>0</v>
      </c>
      <c r="H40" s="263">
        <v>0</v>
      </c>
      <c r="I40" s="263">
        <v>0</v>
      </c>
      <c r="J40" s="263">
        <v>2</v>
      </c>
      <c r="K40" s="267">
        <v>2</v>
      </c>
    </row>
    <row r="41" spans="1:11">
      <c r="A41" s="9" t="s">
        <v>12498</v>
      </c>
      <c r="B41" s="16">
        <v>26</v>
      </c>
      <c r="C41" s="9"/>
      <c r="D41" s="271" t="s">
        <v>10064</v>
      </c>
      <c r="E41" s="263"/>
      <c r="F41" s="263">
        <v>0</v>
      </c>
      <c r="G41" s="263">
        <v>0</v>
      </c>
      <c r="H41" s="263">
        <v>0</v>
      </c>
      <c r="I41" s="263">
        <v>0</v>
      </c>
      <c r="J41" s="263">
        <v>3</v>
      </c>
      <c r="K41" s="267">
        <v>3</v>
      </c>
    </row>
    <row r="42" spans="1:11" ht="31.5">
      <c r="A42" s="9" t="s">
        <v>2007</v>
      </c>
      <c r="B42" s="16">
        <v>26</v>
      </c>
      <c r="C42" s="9"/>
      <c r="D42" s="271" t="s">
        <v>10065</v>
      </c>
      <c r="E42" s="263">
        <v>3</v>
      </c>
      <c r="F42" s="263">
        <v>0</v>
      </c>
      <c r="G42" s="263">
        <v>0</v>
      </c>
      <c r="H42" s="263">
        <v>0</v>
      </c>
      <c r="I42" s="263">
        <v>0</v>
      </c>
      <c r="J42" s="263">
        <v>0</v>
      </c>
      <c r="K42" s="267">
        <v>3</v>
      </c>
    </row>
    <row r="43" spans="1:11">
      <c r="A43" s="9" t="s">
        <v>12499</v>
      </c>
      <c r="B43" s="16">
        <v>26</v>
      </c>
      <c r="C43" s="9"/>
      <c r="D43" s="271" t="s">
        <v>12631</v>
      </c>
      <c r="E43" s="263"/>
      <c r="F43" s="263">
        <v>2</v>
      </c>
      <c r="G43" s="263">
        <v>0</v>
      </c>
      <c r="H43" s="263">
        <v>0</v>
      </c>
      <c r="I43" s="263">
        <v>0</v>
      </c>
      <c r="J43" s="263">
        <v>0</v>
      </c>
      <c r="K43" s="267">
        <v>2</v>
      </c>
    </row>
    <row r="44" spans="1:11" ht="31.5">
      <c r="A44" s="9" t="s">
        <v>12500</v>
      </c>
      <c r="B44" s="16">
        <v>26</v>
      </c>
      <c r="C44" s="9"/>
      <c r="D44" s="271" t="s">
        <v>10066</v>
      </c>
      <c r="E44" s="263"/>
      <c r="F44" s="263">
        <v>2</v>
      </c>
      <c r="G44" s="263">
        <v>0</v>
      </c>
      <c r="H44" s="263">
        <v>0</v>
      </c>
      <c r="I44" s="263">
        <v>0</v>
      </c>
      <c r="J44" s="263">
        <v>0</v>
      </c>
      <c r="K44" s="267">
        <v>2</v>
      </c>
    </row>
    <row r="45" spans="1:11">
      <c r="B45" s="16">
        <v>26</v>
      </c>
      <c r="C45" s="9"/>
      <c r="D45" s="271"/>
      <c r="E45" s="263"/>
      <c r="F45" s="263"/>
      <c r="G45" s="263"/>
      <c r="H45" s="263"/>
      <c r="I45" s="263"/>
      <c r="J45" s="263"/>
      <c r="K45" s="267">
        <v>0</v>
      </c>
    </row>
    <row r="46" spans="1:11">
      <c r="B46" s="16">
        <v>26</v>
      </c>
      <c r="C46" s="9"/>
      <c r="D46" s="272" t="s">
        <v>3674</v>
      </c>
      <c r="E46" s="273">
        <v>10</v>
      </c>
      <c r="F46" s="273">
        <v>4</v>
      </c>
      <c r="G46" s="273">
        <v>0</v>
      </c>
      <c r="H46" s="273">
        <v>0</v>
      </c>
      <c r="I46" s="273">
        <v>0</v>
      </c>
      <c r="J46" s="273">
        <v>12</v>
      </c>
      <c r="K46" s="273">
        <v>26</v>
      </c>
    </row>
    <row r="47" spans="1:11">
      <c r="C47" s="9"/>
      <c r="D47" s="271"/>
      <c r="E47" s="263"/>
      <c r="F47" s="263"/>
      <c r="G47" s="263"/>
      <c r="H47" s="263"/>
      <c r="I47" s="263"/>
      <c r="J47" s="263"/>
      <c r="K47" s="267">
        <v>0</v>
      </c>
    </row>
    <row r="48" spans="1:11">
      <c r="A48" s="9" t="s">
        <v>2008</v>
      </c>
      <c r="B48" s="16">
        <v>27</v>
      </c>
      <c r="C48" s="9"/>
      <c r="D48" s="271" t="s">
        <v>10067</v>
      </c>
      <c r="E48" s="263">
        <v>3</v>
      </c>
      <c r="F48" s="263">
        <v>0</v>
      </c>
      <c r="G48" s="263">
        <v>0</v>
      </c>
      <c r="H48" s="263">
        <v>0</v>
      </c>
      <c r="I48" s="263">
        <v>0</v>
      </c>
      <c r="J48" s="263">
        <v>0</v>
      </c>
      <c r="K48" s="267">
        <v>3</v>
      </c>
    </row>
    <row r="49" spans="1:11">
      <c r="A49" s="9" t="s">
        <v>2009</v>
      </c>
      <c r="B49" s="16">
        <v>27</v>
      </c>
      <c r="C49" s="9"/>
      <c r="D49" s="271" t="s">
        <v>10068</v>
      </c>
      <c r="E49" s="263">
        <v>3</v>
      </c>
      <c r="F49" s="263">
        <v>0</v>
      </c>
      <c r="G49" s="263">
        <v>0</v>
      </c>
      <c r="H49" s="263">
        <v>0</v>
      </c>
      <c r="I49" s="263">
        <v>0</v>
      </c>
      <c r="J49" s="263">
        <v>0</v>
      </c>
      <c r="K49" s="267">
        <v>3</v>
      </c>
    </row>
    <row r="50" spans="1:11">
      <c r="A50" s="9" t="s">
        <v>2010</v>
      </c>
      <c r="B50" s="16">
        <v>27</v>
      </c>
      <c r="C50" s="9"/>
      <c r="D50" s="271" t="s">
        <v>10069</v>
      </c>
      <c r="E50" s="263">
        <v>2</v>
      </c>
      <c r="F50" s="263">
        <v>0</v>
      </c>
      <c r="G50" s="263">
        <v>0</v>
      </c>
      <c r="H50" s="263">
        <v>0</v>
      </c>
      <c r="I50" s="263">
        <v>0</v>
      </c>
      <c r="J50" s="263">
        <v>0</v>
      </c>
      <c r="K50" s="267">
        <v>2</v>
      </c>
    </row>
    <row r="51" spans="1:11">
      <c r="A51" s="9" t="s">
        <v>2011</v>
      </c>
      <c r="B51" s="16">
        <v>27</v>
      </c>
      <c r="C51" s="9"/>
      <c r="D51" s="271" t="s">
        <v>10070</v>
      </c>
      <c r="E51" s="263">
        <v>2</v>
      </c>
      <c r="F51" s="263">
        <v>0</v>
      </c>
      <c r="G51" s="263">
        <v>0</v>
      </c>
      <c r="H51" s="263">
        <v>0</v>
      </c>
      <c r="I51" s="263">
        <v>0</v>
      </c>
      <c r="J51" s="263">
        <v>0</v>
      </c>
      <c r="K51" s="267">
        <v>2</v>
      </c>
    </row>
    <row r="52" spans="1:11">
      <c r="A52" s="9" t="s">
        <v>2012</v>
      </c>
      <c r="B52" s="16">
        <v>27</v>
      </c>
      <c r="C52" s="9"/>
      <c r="D52" s="271" t="s">
        <v>10071</v>
      </c>
      <c r="E52" s="263">
        <v>2</v>
      </c>
      <c r="F52" s="263">
        <v>0</v>
      </c>
      <c r="G52" s="263">
        <v>0</v>
      </c>
      <c r="H52" s="263">
        <v>0</v>
      </c>
      <c r="I52" s="263">
        <v>0</v>
      </c>
      <c r="J52" s="263">
        <v>0</v>
      </c>
      <c r="K52" s="267">
        <v>2</v>
      </c>
    </row>
    <row r="53" spans="1:11">
      <c r="A53" s="9" t="s">
        <v>12501</v>
      </c>
      <c r="B53" s="16">
        <v>27</v>
      </c>
      <c r="C53" s="9"/>
      <c r="D53" s="271" t="s">
        <v>10072</v>
      </c>
      <c r="E53" s="263">
        <v>0</v>
      </c>
      <c r="F53" s="263">
        <v>5</v>
      </c>
      <c r="G53" s="263">
        <v>0</v>
      </c>
      <c r="H53" s="263">
        <v>0</v>
      </c>
      <c r="I53" s="263">
        <v>0</v>
      </c>
      <c r="J53" s="263">
        <v>0</v>
      </c>
      <c r="K53" s="267">
        <v>5</v>
      </c>
    </row>
    <row r="54" spans="1:11">
      <c r="A54" s="9" t="s">
        <v>12502</v>
      </c>
      <c r="B54" s="16">
        <v>27</v>
      </c>
      <c r="C54" s="9"/>
      <c r="D54" s="271" t="s">
        <v>9638</v>
      </c>
      <c r="E54" s="263">
        <v>0</v>
      </c>
      <c r="F54" s="263">
        <v>5</v>
      </c>
      <c r="G54" s="263">
        <v>0</v>
      </c>
      <c r="H54" s="263">
        <v>0</v>
      </c>
      <c r="I54" s="263">
        <v>0</v>
      </c>
      <c r="J54" s="263">
        <v>0</v>
      </c>
      <c r="K54" s="267">
        <v>5</v>
      </c>
    </row>
    <row r="55" spans="1:11">
      <c r="B55" s="16">
        <v>27</v>
      </c>
      <c r="C55" s="9"/>
      <c r="D55" s="272" t="s">
        <v>3674</v>
      </c>
      <c r="E55" s="273">
        <v>12</v>
      </c>
      <c r="F55" s="273">
        <v>10</v>
      </c>
      <c r="G55" s="273">
        <v>0</v>
      </c>
      <c r="H55" s="273">
        <v>0</v>
      </c>
      <c r="I55" s="273">
        <v>0</v>
      </c>
      <c r="J55" s="273">
        <v>0</v>
      </c>
      <c r="K55" s="273">
        <v>22</v>
      </c>
    </row>
    <row r="56" spans="1:11">
      <c r="C56" s="9"/>
      <c r="D56" s="271"/>
      <c r="E56" s="263"/>
      <c r="F56" s="263"/>
      <c r="G56" s="263"/>
      <c r="H56" s="263"/>
      <c r="I56" s="263"/>
      <c r="J56" s="263"/>
      <c r="K56" s="267">
        <v>0</v>
      </c>
    </row>
    <row r="57" spans="1:11">
      <c r="A57" s="9" t="s">
        <v>12503</v>
      </c>
      <c r="B57" s="16">
        <v>28</v>
      </c>
      <c r="C57" s="9"/>
      <c r="D57" s="271" t="s">
        <v>9639</v>
      </c>
      <c r="E57" s="263">
        <v>0</v>
      </c>
      <c r="F57" s="263">
        <v>0</v>
      </c>
      <c r="G57" s="263">
        <v>0</v>
      </c>
      <c r="H57" s="263">
        <v>0</v>
      </c>
      <c r="I57" s="263">
        <v>0</v>
      </c>
      <c r="J57" s="263">
        <v>5</v>
      </c>
      <c r="K57" s="267">
        <v>5</v>
      </c>
    </row>
    <row r="58" spans="1:11">
      <c r="A58" s="9" t="s">
        <v>12504</v>
      </c>
      <c r="B58" s="16">
        <v>28</v>
      </c>
      <c r="C58" s="9"/>
      <c r="D58" s="271" t="s">
        <v>9640</v>
      </c>
      <c r="E58" s="263">
        <v>0</v>
      </c>
      <c r="F58" s="263">
        <v>0</v>
      </c>
      <c r="G58" s="263">
        <v>0</v>
      </c>
      <c r="H58" s="263">
        <v>0</v>
      </c>
      <c r="I58" s="263">
        <v>0</v>
      </c>
      <c r="J58" s="263">
        <v>5</v>
      </c>
      <c r="K58" s="267">
        <v>5</v>
      </c>
    </row>
    <row r="59" spans="1:11">
      <c r="A59" s="9" t="s">
        <v>2013</v>
      </c>
      <c r="B59" s="16">
        <v>28</v>
      </c>
      <c r="C59" s="9"/>
      <c r="D59" s="271" t="s">
        <v>9641</v>
      </c>
      <c r="E59" s="263">
        <v>5</v>
      </c>
      <c r="F59" s="263">
        <v>0</v>
      </c>
      <c r="G59" s="263">
        <v>0</v>
      </c>
      <c r="H59" s="263">
        <v>0</v>
      </c>
      <c r="I59" s="263">
        <v>0</v>
      </c>
      <c r="J59" s="263">
        <v>0</v>
      </c>
      <c r="K59" s="267">
        <v>5</v>
      </c>
    </row>
    <row r="60" spans="1:11">
      <c r="A60" s="9" t="s">
        <v>2014</v>
      </c>
      <c r="B60" s="16">
        <v>28</v>
      </c>
      <c r="C60" s="9"/>
      <c r="D60" s="271" t="s">
        <v>9642</v>
      </c>
      <c r="E60" s="263">
        <v>5</v>
      </c>
      <c r="F60" s="263">
        <v>0</v>
      </c>
      <c r="G60" s="263">
        <v>0</v>
      </c>
      <c r="H60" s="263">
        <v>0</v>
      </c>
      <c r="I60" s="263">
        <v>0</v>
      </c>
      <c r="J60" s="263">
        <v>0</v>
      </c>
      <c r="K60" s="267">
        <v>5</v>
      </c>
    </row>
    <row r="61" spans="1:11">
      <c r="B61" s="16">
        <v>28</v>
      </c>
      <c r="C61" s="9"/>
      <c r="D61" s="272" t="s">
        <v>3674</v>
      </c>
      <c r="E61" s="273">
        <v>10</v>
      </c>
      <c r="F61" s="273">
        <v>0</v>
      </c>
      <c r="G61" s="273">
        <v>0</v>
      </c>
      <c r="H61" s="273">
        <v>0</v>
      </c>
      <c r="I61" s="273">
        <v>0</v>
      </c>
      <c r="J61" s="273">
        <v>10</v>
      </c>
      <c r="K61" s="273">
        <v>20</v>
      </c>
    </row>
    <row r="62" spans="1:11">
      <c r="A62" s="9" t="s">
        <v>12505</v>
      </c>
      <c r="B62" s="16">
        <v>29</v>
      </c>
      <c r="C62" s="9"/>
      <c r="D62" s="271" t="s">
        <v>9643</v>
      </c>
      <c r="E62" s="263">
        <v>0</v>
      </c>
      <c r="F62" s="263">
        <v>0</v>
      </c>
      <c r="G62" s="263">
        <v>0</v>
      </c>
      <c r="H62" s="263">
        <v>0</v>
      </c>
      <c r="I62" s="263">
        <v>0</v>
      </c>
      <c r="J62" s="263">
        <v>5</v>
      </c>
      <c r="K62" s="267">
        <v>5</v>
      </c>
    </row>
    <row r="63" spans="1:11">
      <c r="A63" s="9" t="s">
        <v>12506</v>
      </c>
      <c r="B63" s="16">
        <v>29</v>
      </c>
      <c r="C63" s="9"/>
      <c r="D63" s="271" t="s">
        <v>9644</v>
      </c>
      <c r="E63" s="263">
        <v>0</v>
      </c>
      <c r="F63" s="263">
        <v>0</v>
      </c>
      <c r="G63" s="263">
        <v>0</v>
      </c>
      <c r="H63" s="263">
        <v>0</v>
      </c>
      <c r="I63" s="263">
        <v>0</v>
      </c>
      <c r="J63" s="263">
        <v>5</v>
      </c>
      <c r="K63" s="267">
        <v>5</v>
      </c>
    </row>
    <row r="64" spans="1:11">
      <c r="A64" s="9" t="s">
        <v>12507</v>
      </c>
      <c r="B64" s="16">
        <v>29</v>
      </c>
      <c r="C64" s="9"/>
      <c r="D64" s="271" t="s">
        <v>10073</v>
      </c>
      <c r="E64" s="263">
        <v>0</v>
      </c>
      <c r="F64" s="263">
        <v>0</v>
      </c>
      <c r="G64" s="263">
        <v>5</v>
      </c>
      <c r="H64" s="263">
        <v>0</v>
      </c>
      <c r="I64" s="263">
        <v>0</v>
      </c>
      <c r="J64" s="263">
        <v>0</v>
      </c>
      <c r="K64" s="267">
        <v>5</v>
      </c>
    </row>
    <row r="65" spans="1:11">
      <c r="A65" s="9" t="s">
        <v>12508</v>
      </c>
      <c r="B65" s="16">
        <v>29</v>
      </c>
      <c r="C65" s="9"/>
      <c r="D65" s="271" t="s">
        <v>9645</v>
      </c>
      <c r="E65" s="263">
        <v>0</v>
      </c>
      <c r="F65" s="263">
        <v>5</v>
      </c>
      <c r="G65" s="263">
        <v>0</v>
      </c>
      <c r="H65" s="263">
        <v>0</v>
      </c>
      <c r="I65" s="263">
        <v>0</v>
      </c>
      <c r="J65" s="263">
        <v>0</v>
      </c>
      <c r="K65" s="267">
        <v>5</v>
      </c>
    </row>
    <row r="66" spans="1:11">
      <c r="A66" s="9" t="s">
        <v>12509</v>
      </c>
      <c r="B66" s="16">
        <v>29</v>
      </c>
      <c r="C66" s="9"/>
      <c r="D66" s="271" t="s">
        <v>9646</v>
      </c>
      <c r="E66" s="263">
        <v>0</v>
      </c>
      <c r="F66" s="263">
        <v>5</v>
      </c>
      <c r="G66" s="263">
        <v>0</v>
      </c>
      <c r="H66" s="263">
        <v>0</v>
      </c>
      <c r="I66" s="263">
        <v>0</v>
      </c>
      <c r="J66" s="263">
        <v>0</v>
      </c>
      <c r="K66" s="267">
        <v>5</v>
      </c>
    </row>
    <row r="67" spans="1:11">
      <c r="B67" s="16">
        <v>29</v>
      </c>
      <c r="C67" s="9"/>
      <c r="D67" s="271"/>
      <c r="E67" s="263"/>
      <c r="F67" s="263"/>
      <c r="G67" s="263"/>
      <c r="H67" s="263"/>
      <c r="I67" s="263"/>
      <c r="J67" s="263"/>
      <c r="K67" s="267">
        <v>0</v>
      </c>
    </row>
    <row r="68" spans="1:11">
      <c r="B68" s="16">
        <v>29</v>
      </c>
      <c r="C68" s="9"/>
      <c r="D68" s="272" t="s">
        <v>3674</v>
      </c>
      <c r="E68" s="273">
        <v>0</v>
      </c>
      <c r="F68" s="273">
        <v>10</v>
      </c>
      <c r="G68" s="273">
        <v>5</v>
      </c>
      <c r="H68" s="273">
        <v>0</v>
      </c>
      <c r="I68" s="273">
        <v>0</v>
      </c>
      <c r="J68" s="273">
        <v>10</v>
      </c>
      <c r="K68" s="273">
        <v>25</v>
      </c>
    </row>
    <row r="69" spans="1:11">
      <c r="C69" s="9"/>
      <c r="D69" s="271"/>
      <c r="E69" s="263"/>
      <c r="F69" s="263"/>
      <c r="G69" s="263"/>
      <c r="H69" s="263"/>
      <c r="I69" s="263"/>
      <c r="J69" s="263"/>
      <c r="K69" s="267">
        <v>0</v>
      </c>
    </row>
    <row r="70" spans="1:11">
      <c r="A70" s="9" t="s">
        <v>2015</v>
      </c>
      <c r="B70" s="16">
        <v>34</v>
      </c>
      <c r="C70" s="9"/>
      <c r="D70" s="271" t="s">
        <v>10074</v>
      </c>
      <c r="E70" s="263">
        <v>4</v>
      </c>
      <c r="F70" s="263">
        <v>0</v>
      </c>
      <c r="G70" s="263">
        <v>0</v>
      </c>
      <c r="H70" s="263">
        <v>0</v>
      </c>
      <c r="I70" s="263">
        <v>0</v>
      </c>
      <c r="J70" s="263">
        <v>0</v>
      </c>
      <c r="K70" s="267">
        <v>4</v>
      </c>
    </row>
    <row r="71" spans="1:11">
      <c r="A71" s="9" t="s">
        <v>2016</v>
      </c>
      <c r="B71" s="16">
        <v>34</v>
      </c>
      <c r="C71" s="9"/>
      <c r="D71" s="271" t="s">
        <v>10075</v>
      </c>
      <c r="E71" s="263">
        <v>3</v>
      </c>
      <c r="F71" s="263">
        <v>0</v>
      </c>
      <c r="G71" s="263">
        <v>0</v>
      </c>
      <c r="H71" s="263">
        <v>0</v>
      </c>
      <c r="I71" s="263">
        <v>0</v>
      </c>
      <c r="J71" s="263">
        <v>0</v>
      </c>
      <c r="K71" s="267">
        <v>3</v>
      </c>
    </row>
    <row r="72" spans="1:11">
      <c r="A72" s="9" t="s">
        <v>2017</v>
      </c>
      <c r="B72" s="16">
        <v>34</v>
      </c>
      <c r="C72" s="9"/>
      <c r="D72" s="271" t="s">
        <v>10076</v>
      </c>
      <c r="E72" s="263">
        <v>2</v>
      </c>
      <c r="F72" s="263">
        <v>0</v>
      </c>
      <c r="G72" s="263">
        <v>0</v>
      </c>
      <c r="H72" s="263">
        <v>0</v>
      </c>
      <c r="I72" s="263">
        <v>0</v>
      </c>
      <c r="J72" s="263">
        <v>0</v>
      </c>
      <c r="K72" s="267">
        <v>2</v>
      </c>
    </row>
    <row r="73" spans="1:11">
      <c r="A73" s="9" t="s">
        <v>12510</v>
      </c>
      <c r="B73" s="16">
        <v>34</v>
      </c>
      <c r="C73" s="9"/>
      <c r="D73" s="271" t="s">
        <v>10077</v>
      </c>
      <c r="E73" s="263">
        <v>0</v>
      </c>
      <c r="F73" s="263">
        <v>2</v>
      </c>
      <c r="G73" s="263">
        <v>0</v>
      </c>
      <c r="H73" s="263">
        <v>0</v>
      </c>
      <c r="I73" s="263">
        <v>0</v>
      </c>
      <c r="J73" s="263">
        <v>0</v>
      </c>
      <c r="K73" s="267">
        <v>2</v>
      </c>
    </row>
    <row r="74" spans="1:11">
      <c r="A74" s="9" t="s">
        <v>12511</v>
      </c>
      <c r="B74" s="16">
        <v>34</v>
      </c>
      <c r="C74" s="9"/>
      <c r="D74" s="271" t="s">
        <v>9635</v>
      </c>
      <c r="E74" s="263">
        <v>0</v>
      </c>
      <c r="F74" s="263">
        <v>5</v>
      </c>
      <c r="G74" s="263">
        <v>0</v>
      </c>
      <c r="H74" s="263">
        <v>0</v>
      </c>
      <c r="I74" s="263">
        <v>0</v>
      </c>
      <c r="J74" s="263">
        <v>0</v>
      </c>
      <c r="K74" s="267">
        <v>5</v>
      </c>
    </row>
    <row r="75" spans="1:11">
      <c r="A75" s="9" t="s">
        <v>12512</v>
      </c>
      <c r="B75" s="16">
        <v>34</v>
      </c>
      <c r="C75" s="9"/>
      <c r="D75" s="271" t="s">
        <v>9636</v>
      </c>
      <c r="E75" s="263">
        <v>0</v>
      </c>
      <c r="F75" s="263">
        <v>5</v>
      </c>
      <c r="G75" s="263">
        <v>0</v>
      </c>
      <c r="H75" s="263">
        <v>0</v>
      </c>
      <c r="I75" s="263">
        <v>0</v>
      </c>
      <c r="J75" s="263">
        <v>0</v>
      </c>
      <c r="K75" s="267">
        <v>5</v>
      </c>
    </row>
    <row r="76" spans="1:11">
      <c r="B76" s="16">
        <v>34</v>
      </c>
      <c r="C76" s="9"/>
      <c r="D76" s="271"/>
      <c r="E76" s="263"/>
      <c r="F76" s="263"/>
      <c r="G76" s="263"/>
      <c r="H76" s="263"/>
      <c r="I76" s="263"/>
      <c r="J76" s="263"/>
      <c r="K76" s="267">
        <v>0</v>
      </c>
    </row>
    <row r="77" spans="1:11">
      <c r="B77" s="16">
        <v>34</v>
      </c>
      <c r="C77" s="9"/>
      <c r="D77" s="272" t="s">
        <v>3674</v>
      </c>
      <c r="E77" s="273">
        <v>9</v>
      </c>
      <c r="F77" s="273">
        <v>12</v>
      </c>
      <c r="G77" s="273">
        <v>0</v>
      </c>
      <c r="H77" s="273">
        <v>0</v>
      </c>
      <c r="I77" s="273">
        <v>0</v>
      </c>
      <c r="J77" s="273">
        <v>0</v>
      </c>
      <c r="K77" s="273">
        <v>21</v>
      </c>
    </row>
    <row r="78" spans="1:11">
      <c r="C78" s="9"/>
      <c r="D78" s="271"/>
      <c r="E78" s="263"/>
      <c r="F78" s="263"/>
      <c r="G78" s="263"/>
      <c r="H78" s="263"/>
      <c r="I78" s="263"/>
      <c r="J78" s="263"/>
      <c r="K78" s="267">
        <v>0</v>
      </c>
    </row>
    <row r="79" spans="1:11">
      <c r="B79" s="16">
        <v>0</v>
      </c>
      <c r="C79" s="9"/>
      <c r="D79" s="269" t="s">
        <v>13076</v>
      </c>
      <c r="E79" s="270">
        <v>41</v>
      </c>
      <c r="F79" s="270">
        <v>36</v>
      </c>
      <c r="G79" s="270">
        <v>5</v>
      </c>
      <c r="H79" s="270">
        <v>0</v>
      </c>
      <c r="I79" s="270">
        <v>0</v>
      </c>
      <c r="J79" s="270">
        <v>32</v>
      </c>
      <c r="K79" s="270">
        <v>114</v>
      </c>
    </row>
    <row r="80" spans="1:11">
      <c r="C80" s="9"/>
      <c r="D80" s="271"/>
      <c r="E80" s="263"/>
      <c r="F80" s="263"/>
      <c r="G80" s="263"/>
      <c r="H80" s="263"/>
      <c r="I80" s="263"/>
      <c r="J80" s="263"/>
      <c r="K80" s="267">
        <v>0</v>
      </c>
    </row>
    <row r="81" spans="1:11">
      <c r="C81" s="9"/>
      <c r="D81" s="271"/>
      <c r="E81" s="263"/>
      <c r="F81" s="263"/>
      <c r="G81" s="263"/>
      <c r="H81" s="263"/>
      <c r="I81" s="263"/>
      <c r="J81" s="263"/>
      <c r="K81" s="267">
        <v>0</v>
      </c>
    </row>
    <row r="82" spans="1:11">
      <c r="C82" s="9"/>
      <c r="D82" s="271"/>
      <c r="E82" s="263"/>
      <c r="F82" s="263"/>
      <c r="G82" s="263"/>
      <c r="H82" s="263"/>
      <c r="I82" s="263"/>
      <c r="J82" s="263"/>
      <c r="K82" s="267">
        <v>0</v>
      </c>
    </row>
    <row r="83" spans="1:11">
      <c r="C83" s="9"/>
      <c r="D83" s="271" t="s">
        <v>4269</v>
      </c>
      <c r="E83" s="263"/>
      <c r="F83" s="263"/>
      <c r="G83" s="263"/>
      <c r="H83" s="263"/>
      <c r="I83" s="263"/>
      <c r="J83" s="263"/>
      <c r="K83" s="267">
        <v>0</v>
      </c>
    </row>
    <row r="84" spans="1:11">
      <c r="C84" s="9"/>
      <c r="D84" s="271"/>
      <c r="E84" s="263"/>
      <c r="F84" s="263"/>
      <c r="G84" s="263"/>
      <c r="H84" s="263"/>
      <c r="I84" s="263"/>
      <c r="J84" s="263"/>
      <c r="K84" s="267">
        <v>0</v>
      </c>
    </row>
    <row r="85" spans="1:11">
      <c r="A85" s="9" t="s">
        <v>12513</v>
      </c>
      <c r="B85" s="16">
        <v>30</v>
      </c>
      <c r="C85" s="9"/>
      <c r="D85" s="271" t="s">
        <v>10195</v>
      </c>
      <c r="E85" s="263">
        <v>0</v>
      </c>
      <c r="F85" s="263">
        <v>0</v>
      </c>
      <c r="G85" s="263">
        <v>0</v>
      </c>
      <c r="H85" s="263">
        <v>0</v>
      </c>
      <c r="I85" s="263">
        <v>0</v>
      </c>
      <c r="J85" s="263">
        <v>5</v>
      </c>
      <c r="K85" s="267">
        <v>5</v>
      </c>
    </row>
    <row r="86" spans="1:11">
      <c r="A86" s="9" t="s">
        <v>12514</v>
      </c>
      <c r="B86" s="16">
        <v>30</v>
      </c>
      <c r="C86" s="9"/>
      <c r="D86" s="271" t="s">
        <v>10196</v>
      </c>
      <c r="E86" s="263">
        <v>0</v>
      </c>
      <c r="F86" s="263">
        <v>0</v>
      </c>
      <c r="G86" s="263">
        <v>0</v>
      </c>
      <c r="H86" s="263">
        <v>0</v>
      </c>
      <c r="I86" s="263">
        <v>0</v>
      </c>
      <c r="J86" s="263">
        <v>5</v>
      </c>
      <c r="K86" s="267">
        <v>5</v>
      </c>
    </row>
    <row r="87" spans="1:11">
      <c r="A87" s="9" t="s">
        <v>2018</v>
      </c>
      <c r="B87" s="16">
        <v>30</v>
      </c>
      <c r="C87" s="9"/>
      <c r="D87" s="271" t="s">
        <v>10197</v>
      </c>
      <c r="E87" s="263">
        <v>5</v>
      </c>
      <c r="F87" s="263">
        <v>0</v>
      </c>
      <c r="G87" s="263">
        <v>0</v>
      </c>
      <c r="H87" s="263">
        <v>0</v>
      </c>
      <c r="I87" s="263">
        <v>0</v>
      </c>
      <c r="J87" s="263">
        <v>0</v>
      </c>
      <c r="K87" s="267">
        <v>5</v>
      </c>
    </row>
    <row r="88" spans="1:11">
      <c r="A88" s="9" t="s">
        <v>2019</v>
      </c>
      <c r="B88" s="16">
        <v>30</v>
      </c>
      <c r="C88" s="9"/>
      <c r="D88" s="271" t="s">
        <v>10198</v>
      </c>
      <c r="E88" s="263">
        <v>5</v>
      </c>
      <c r="F88" s="263">
        <v>0</v>
      </c>
      <c r="G88" s="263">
        <v>0</v>
      </c>
      <c r="H88" s="263">
        <v>0</v>
      </c>
      <c r="I88" s="263">
        <v>0</v>
      </c>
      <c r="J88" s="263">
        <v>0</v>
      </c>
      <c r="K88" s="267">
        <v>5</v>
      </c>
    </row>
    <row r="89" spans="1:11">
      <c r="B89" s="16">
        <v>30</v>
      </c>
      <c r="C89" s="9"/>
      <c r="D89" s="271"/>
      <c r="E89" s="263"/>
      <c r="F89" s="263"/>
      <c r="G89" s="263"/>
      <c r="H89" s="263"/>
      <c r="I89" s="263"/>
      <c r="J89" s="263"/>
      <c r="K89" s="267">
        <v>0</v>
      </c>
    </row>
    <row r="90" spans="1:11">
      <c r="B90" s="16">
        <v>30</v>
      </c>
      <c r="C90" s="9"/>
      <c r="D90" s="272" t="s">
        <v>3674</v>
      </c>
      <c r="E90" s="273">
        <v>10</v>
      </c>
      <c r="F90" s="273">
        <v>0</v>
      </c>
      <c r="G90" s="273">
        <v>0</v>
      </c>
      <c r="H90" s="273">
        <v>0</v>
      </c>
      <c r="I90" s="273">
        <v>0</v>
      </c>
      <c r="J90" s="273">
        <v>10</v>
      </c>
      <c r="K90" s="273">
        <v>20</v>
      </c>
    </row>
    <row r="91" spans="1:11">
      <c r="C91" s="9"/>
      <c r="D91" s="271"/>
      <c r="E91" s="263"/>
      <c r="F91" s="263"/>
      <c r="G91" s="263"/>
      <c r="H91" s="263"/>
      <c r="I91" s="263"/>
      <c r="J91" s="263"/>
      <c r="K91" s="267">
        <v>0</v>
      </c>
    </row>
    <row r="92" spans="1:11">
      <c r="A92" s="9" t="s">
        <v>12515</v>
      </c>
      <c r="B92" s="16">
        <v>31</v>
      </c>
      <c r="C92" s="9"/>
      <c r="D92" s="271" t="s">
        <v>10199</v>
      </c>
      <c r="E92" s="263">
        <v>0</v>
      </c>
      <c r="F92" s="263">
        <v>0</v>
      </c>
      <c r="G92" s="263">
        <v>5</v>
      </c>
      <c r="H92" s="263">
        <v>0</v>
      </c>
      <c r="I92" s="263">
        <v>0</v>
      </c>
      <c r="J92" s="263">
        <v>0</v>
      </c>
      <c r="K92" s="267">
        <v>5</v>
      </c>
    </row>
    <row r="93" spans="1:11">
      <c r="A93" s="9" t="s">
        <v>12516</v>
      </c>
      <c r="B93" s="16">
        <v>31</v>
      </c>
      <c r="C93" s="9"/>
      <c r="D93" s="271" t="s">
        <v>10200</v>
      </c>
      <c r="E93" s="263">
        <v>0</v>
      </c>
      <c r="F93" s="263">
        <v>0</v>
      </c>
      <c r="G93" s="263">
        <v>5</v>
      </c>
      <c r="H93" s="263">
        <v>0</v>
      </c>
      <c r="I93" s="263">
        <v>0</v>
      </c>
      <c r="J93" s="263">
        <v>0</v>
      </c>
      <c r="K93" s="267">
        <v>5</v>
      </c>
    </row>
    <row r="94" spans="1:11">
      <c r="A94" s="9" t="s">
        <v>12517</v>
      </c>
      <c r="B94" s="16">
        <v>31</v>
      </c>
      <c r="C94" s="9"/>
      <c r="D94" s="271" t="s">
        <v>10201</v>
      </c>
      <c r="E94" s="263">
        <v>0</v>
      </c>
      <c r="F94" s="263">
        <v>5</v>
      </c>
      <c r="G94" s="263">
        <v>0</v>
      </c>
      <c r="H94" s="263">
        <v>0</v>
      </c>
      <c r="I94" s="263">
        <v>0</v>
      </c>
      <c r="J94" s="263">
        <v>0</v>
      </c>
      <c r="K94" s="267">
        <v>5</v>
      </c>
    </row>
    <row r="95" spans="1:11">
      <c r="A95" s="9" t="s">
        <v>12518</v>
      </c>
      <c r="B95" s="16">
        <v>31</v>
      </c>
      <c r="C95" s="9"/>
      <c r="D95" s="271" t="s">
        <v>10202</v>
      </c>
      <c r="E95" s="263">
        <v>0</v>
      </c>
      <c r="F95" s="263">
        <v>0</v>
      </c>
      <c r="G95" s="263">
        <v>0</v>
      </c>
      <c r="H95" s="263">
        <v>0</v>
      </c>
      <c r="I95" s="263">
        <v>0</v>
      </c>
      <c r="J95" s="263">
        <v>5</v>
      </c>
      <c r="K95" s="267">
        <v>5</v>
      </c>
    </row>
    <row r="96" spans="1:11">
      <c r="A96" s="9" t="s">
        <v>12519</v>
      </c>
      <c r="B96" s="16">
        <v>31</v>
      </c>
      <c r="C96" s="9"/>
      <c r="D96" s="271" t="s">
        <v>10203</v>
      </c>
      <c r="E96" s="263">
        <v>0</v>
      </c>
      <c r="F96" s="263">
        <v>0</v>
      </c>
      <c r="G96" s="263">
        <v>0</v>
      </c>
      <c r="H96" s="263">
        <v>0</v>
      </c>
      <c r="I96" s="263">
        <v>0</v>
      </c>
      <c r="J96" s="263">
        <v>5</v>
      </c>
      <c r="K96" s="267">
        <v>5</v>
      </c>
    </row>
    <row r="97" spans="1:11">
      <c r="A97" s="9" t="s">
        <v>12520</v>
      </c>
      <c r="B97" s="16">
        <v>31</v>
      </c>
      <c r="C97" s="9"/>
      <c r="D97" s="271" t="s">
        <v>10204</v>
      </c>
      <c r="E97" s="263">
        <v>0</v>
      </c>
      <c r="F97" s="263">
        <v>0</v>
      </c>
      <c r="G97" s="263">
        <v>0</v>
      </c>
      <c r="H97" s="263">
        <v>0</v>
      </c>
      <c r="I97" s="263">
        <v>0</v>
      </c>
      <c r="J97" s="263">
        <v>5</v>
      </c>
      <c r="K97" s="267">
        <v>5</v>
      </c>
    </row>
    <row r="98" spans="1:11">
      <c r="A98" s="9" t="s">
        <v>12521</v>
      </c>
      <c r="B98" s="16">
        <v>31</v>
      </c>
      <c r="C98" s="9"/>
      <c r="D98" s="271" t="s">
        <v>10205</v>
      </c>
      <c r="E98" s="263">
        <v>0</v>
      </c>
      <c r="F98" s="263">
        <v>0</v>
      </c>
      <c r="G98" s="263">
        <v>0</v>
      </c>
      <c r="H98" s="263">
        <v>0</v>
      </c>
      <c r="I98" s="263">
        <v>0</v>
      </c>
      <c r="J98" s="263">
        <v>5</v>
      </c>
      <c r="K98" s="267">
        <v>5</v>
      </c>
    </row>
    <row r="99" spans="1:11">
      <c r="A99" s="9" t="s">
        <v>12522</v>
      </c>
      <c r="B99" s="16">
        <v>31</v>
      </c>
      <c r="C99" s="9"/>
      <c r="D99" s="271" t="s">
        <v>10206</v>
      </c>
      <c r="E99" s="263">
        <v>0</v>
      </c>
      <c r="F99" s="263">
        <v>5</v>
      </c>
      <c r="G99" s="263">
        <v>0</v>
      </c>
      <c r="H99" s="263">
        <v>0</v>
      </c>
      <c r="I99" s="263">
        <v>0</v>
      </c>
      <c r="J99" s="263">
        <v>0</v>
      </c>
      <c r="K99" s="267">
        <v>5</v>
      </c>
    </row>
    <row r="100" spans="1:11">
      <c r="B100" s="16">
        <v>31</v>
      </c>
      <c r="C100" s="9"/>
      <c r="D100" s="271"/>
      <c r="E100" s="263"/>
      <c r="F100" s="263"/>
      <c r="G100" s="263"/>
      <c r="H100" s="263"/>
      <c r="I100" s="263"/>
      <c r="J100" s="263"/>
      <c r="K100" s="267">
        <v>0</v>
      </c>
    </row>
    <row r="101" spans="1:11">
      <c r="B101" s="16">
        <v>31</v>
      </c>
      <c r="C101" s="9"/>
      <c r="D101" s="272" t="s">
        <v>3674</v>
      </c>
      <c r="E101" s="273">
        <v>0</v>
      </c>
      <c r="F101" s="273">
        <v>10</v>
      </c>
      <c r="G101" s="273">
        <v>10</v>
      </c>
      <c r="H101" s="273">
        <v>0</v>
      </c>
      <c r="I101" s="273">
        <v>0</v>
      </c>
      <c r="J101" s="273">
        <v>20</v>
      </c>
      <c r="K101" s="273">
        <v>40</v>
      </c>
    </row>
    <row r="102" spans="1:11">
      <c r="C102" s="9"/>
      <c r="D102" s="271"/>
      <c r="E102" s="263"/>
      <c r="F102" s="263"/>
      <c r="G102" s="263"/>
      <c r="H102" s="263"/>
      <c r="I102" s="263"/>
      <c r="J102" s="263"/>
      <c r="K102" s="267">
        <v>0</v>
      </c>
    </row>
    <row r="103" spans="1:11">
      <c r="A103" s="9" t="s">
        <v>12523</v>
      </c>
      <c r="B103" s="16">
        <v>32</v>
      </c>
      <c r="C103" s="9"/>
      <c r="D103" s="271" t="s">
        <v>10207</v>
      </c>
      <c r="E103" s="263">
        <v>0</v>
      </c>
      <c r="F103" s="263">
        <v>0</v>
      </c>
      <c r="G103" s="263">
        <v>0</v>
      </c>
      <c r="H103" s="263">
        <v>0</v>
      </c>
      <c r="I103" s="263">
        <v>0</v>
      </c>
      <c r="J103" s="263">
        <v>5</v>
      </c>
      <c r="K103" s="267">
        <v>5</v>
      </c>
    </row>
    <row r="104" spans="1:11">
      <c r="A104" s="9" t="s">
        <v>12524</v>
      </c>
      <c r="B104" s="16">
        <v>32</v>
      </c>
      <c r="C104" s="9"/>
      <c r="D104" s="271" t="s">
        <v>10208</v>
      </c>
      <c r="E104" s="263">
        <v>0</v>
      </c>
      <c r="F104" s="263">
        <v>0</v>
      </c>
      <c r="G104" s="263">
        <v>0</v>
      </c>
      <c r="H104" s="263">
        <v>5</v>
      </c>
      <c r="I104" s="263">
        <v>0</v>
      </c>
      <c r="J104" s="263">
        <v>0</v>
      </c>
      <c r="K104" s="267">
        <v>5</v>
      </c>
    </row>
    <row r="105" spans="1:11">
      <c r="A105" s="9" t="s">
        <v>12525</v>
      </c>
      <c r="B105" s="16">
        <v>32</v>
      </c>
      <c r="C105" s="9"/>
      <c r="D105" s="271" t="s">
        <v>10209</v>
      </c>
      <c r="E105" s="263">
        <v>0</v>
      </c>
      <c r="F105" s="263">
        <v>5</v>
      </c>
      <c r="G105" s="263">
        <v>0</v>
      </c>
      <c r="H105" s="263">
        <v>0</v>
      </c>
      <c r="I105" s="263">
        <v>0</v>
      </c>
      <c r="J105" s="263">
        <v>0</v>
      </c>
      <c r="K105" s="267">
        <v>5</v>
      </c>
    </row>
    <row r="106" spans="1:11">
      <c r="A106" s="9" t="s">
        <v>12526</v>
      </c>
      <c r="B106" s="16">
        <v>32</v>
      </c>
      <c r="C106" s="9"/>
      <c r="D106" s="271" t="s">
        <v>10210</v>
      </c>
      <c r="E106" s="263">
        <v>0</v>
      </c>
      <c r="F106" s="263">
        <v>5</v>
      </c>
      <c r="G106" s="263">
        <v>0</v>
      </c>
      <c r="H106" s="263">
        <v>0</v>
      </c>
      <c r="I106" s="263">
        <v>0</v>
      </c>
      <c r="J106" s="263">
        <v>0</v>
      </c>
      <c r="K106" s="267">
        <v>5</v>
      </c>
    </row>
    <row r="107" spans="1:11">
      <c r="A107" s="9" t="s">
        <v>2020</v>
      </c>
      <c r="B107" s="16">
        <v>32</v>
      </c>
      <c r="C107" s="9"/>
      <c r="D107" s="271" t="s">
        <v>10211</v>
      </c>
      <c r="E107" s="263">
        <v>5</v>
      </c>
      <c r="F107" s="263">
        <v>0</v>
      </c>
      <c r="G107" s="263">
        <v>0</v>
      </c>
      <c r="H107" s="263">
        <v>0</v>
      </c>
      <c r="I107" s="263">
        <v>0</v>
      </c>
      <c r="J107" s="263">
        <v>0</v>
      </c>
      <c r="K107" s="267">
        <v>5</v>
      </c>
    </row>
    <row r="108" spans="1:11">
      <c r="A108" s="9" t="s">
        <v>2021</v>
      </c>
      <c r="B108" s="16">
        <v>32</v>
      </c>
      <c r="C108" s="9"/>
      <c r="D108" s="271" t="s">
        <v>10212</v>
      </c>
      <c r="E108" s="263">
        <v>5</v>
      </c>
      <c r="F108" s="263">
        <v>0</v>
      </c>
      <c r="G108" s="263">
        <v>0</v>
      </c>
      <c r="H108" s="263">
        <v>0</v>
      </c>
      <c r="I108" s="263">
        <v>0</v>
      </c>
      <c r="J108" s="263">
        <v>0</v>
      </c>
      <c r="K108" s="267">
        <v>5</v>
      </c>
    </row>
    <row r="109" spans="1:11">
      <c r="A109" s="9" t="s">
        <v>12527</v>
      </c>
      <c r="B109" s="16">
        <v>32</v>
      </c>
      <c r="C109" s="9"/>
      <c r="D109" s="271" t="s">
        <v>10213</v>
      </c>
      <c r="E109" s="263">
        <v>0</v>
      </c>
      <c r="F109" s="263">
        <v>0</v>
      </c>
      <c r="G109" s="263">
        <v>0</v>
      </c>
      <c r="H109" s="263">
        <v>0</v>
      </c>
      <c r="I109" s="263">
        <v>0</v>
      </c>
      <c r="J109" s="263">
        <v>5</v>
      </c>
      <c r="K109" s="267">
        <v>5</v>
      </c>
    </row>
    <row r="110" spans="1:11">
      <c r="A110" s="9" t="s">
        <v>12528</v>
      </c>
      <c r="B110" s="16">
        <v>32</v>
      </c>
      <c r="C110" s="9"/>
      <c r="D110" s="271" t="s">
        <v>10120</v>
      </c>
      <c r="E110" s="263">
        <v>0</v>
      </c>
      <c r="F110" s="263">
        <v>0</v>
      </c>
      <c r="G110" s="263">
        <v>5</v>
      </c>
      <c r="H110" s="263">
        <v>0</v>
      </c>
      <c r="I110" s="263">
        <v>0</v>
      </c>
      <c r="J110" s="263">
        <v>0</v>
      </c>
      <c r="K110" s="267">
        <v>5</v>
      </c>
    </row>
    <row r="111" spans="1:11">
      <c r="B111" s="16">
        <v>32</v>
      </c>
      <c r="C111" s="9"/>
      <c r="D111" s="271"/>
      <c r="E111" s="263"/>
      <c r="F111" s="263"/>
      <c r="G111" s="263"/>
      <c r="H111" s="263"/>
      <c r="I111" s="263"/>
      <c r="J111" s="263"/>
      <c r="K111" s="267">
        <v>0</v>
      </c>
    </row>
    <row r="112" spans="1:11">
      <c r="B112" s="16">
        <v>32</v>
      </c>
      <c r="C112" s="9"/>
      <c r="D112" s="272" t="s">
        <v>3674</v>
      </c>
      <c r="E112" s="273">
        <v>10</v>
      </c>
      <c r="F112" s="273">
        <v>10</v>
      </c>
      <c r="G112" s="273">
        <v>5</v>
      </c>
      <c r="H112" s="273">
        <v>5</v>
      </c>
      <c r="I112" s="273">
        <v>0</v>
      </c>
      <c r="J112" s="273">
        <v>10</v>
      </c>
      <c r="K112" s="273">
        <v>40</v>
      </c>
    </row>
    <row r="113" spans="1:11">
      <c r="C113" s="9"/>
      <c r="D113" s="271"/>
      <c r="E113" s="263"/>
      <c r="F113" s="263"/>
      <c r="G113" s="263"/>
      <c r="H113" s="263"/>
      <c r="I113" s="263"/>
      <c r="J113" s="263"/>
      <c r="K113" s="267">
        <v>0</v>
      </c>
    </row>
    <row r="114" spans="1:11">
      <c r="A114" s="9" t="s">
        <v>2022</v>
      </c>
      <c r="B114" s="16">
        <v>33</v>
      </c>
      <c r="C114" s="9"/>
      <c r="D114" s="271" t="s">
        <v>10214</v>
      </c>
      <c r="E114" s="263">
        <v>5</v>
      </c>
      <c r="F114" s="263">
        <v>0</v>
      </c>
      <c r="G114" s="263">
        <v>0</v>
      </c>
      <c r="H114" s="263">
        <v>0</v>
      </c>
      <c r="I114" s="263">
        <v>0</v>
      </c>
      <c r="J114" s="263">
        <v>0</v>
      </c>
      <c r="K114" s="267">
        <v>5</v>
      </c>
    </row>
    <row r="115" spans="1:11">
      <c r="A115" s="9" t="s">
        <v>2023</v>
      </c>
      <c r="B115" s="16">
        <v>33</v>
      </c>
      <c r="C115" s="9"/>
      <c r="D115" s="271" t="s">
        <v>10215</v>
      </c>
      <c r="E115" s="263">
        <v>5</v>
      </c>
      <c r="F115" s="263">
        <v>0</v>
      </c>
      <c r="G115" s="263">
        <v>0</v>
      </c>
      <c r="H115" s="263">
        <v>0</v>
      </c>
      <c r="I115" s="263">
        <v>0</v>
      </c>
      <c r="J115" s="263">
        <v>0</v>
      </c>
      <c r="K115" s="267">
        <v>5</v>
      </c>
    </row>
    <row r="116" spans="1:11">
      <c r="A116" s="9" t="s">
        <v>12529</v>
      </c>
      <c r="B116" s="16">
        <v>33</v>
      </c>
      <c r="C116" s="9"/>
      <c r="D116" s="271" t="s">
        <v>10216</v>
      </c>
      <c r="E116" s="263">
        <v>0</v>
      </c>
      <c r="F116" s="263">
        <v>5</v>
      </c>
      <c r="G116" s="263">
        <v>0</v>
      </c>
      <c r="H116" s="263">
        <v>0</v>
      </c>
      <c r="I116" s="263">
        <v>0</v>
      </c>
      <c r="J116" s="263">
        <v>0</v>
      </c>
      <c r="K116" s="267">
        <v>5</v>
      </c>
    </row>
    <row r="117" spans="1:11">
      <c r="A117" s="9" t="s">
        <v>12530</v>
      </c>
      <c r="B117" s="16">
        <v>33</v>
      </c>
      <c r="C117" s="9"/>
      <c r="D117" s="271" t="s">
        <v>10217</v>
      </c>
      <c r="E117" s="263">
        <v>0</v>
      </c>
      <c r="F117" s="263">
        <v>5</v>
      </c>
      <c r="G117" s="263">
        <v>0</v>
      </c>
      <c r="H117" s="263">
        <v>0</v>
      </c>
      <c r="I117" s="263">
        <v>0</v>
      </c>
      <c r="J117" s="263">
        <v>0</v>
      </c>
      <c r="K117" s="267">
        <v>5</v>
      </c>
    </row>
    <row r="118" spans="1:11">
      <c r="A118" s="9" t="s">
        <v>2024</v>
      </c>
      <c r="B118" s="16">
        <v>33</v>
      </c>
      <c r="C118" s="9"/>
      <c r="D118" s="271" t="s">
        <v>10218</v>
      </c>
      <c r="E118" s="263">
        <v>5</v>
      </c>
      <c r="F118" s="263">
        <v>0</v>
      </c>
      <c r="G118" s="263">
        <v>0</v>
      </c>
      <c r="H118" s="263">
        <v>0</v>
      </c>
      <c r="I118" s="263">
        <v>0</v>
      </c>
      <c r="J118" s="263">
        <v>0</v>
      </c>
      <c r="K118" s="267">
        <v>5</v>
      </c>
    </row>
    <row r="119" spans="1:11">
      <c r="A119" s="9" t="s">
        <v>2025</v>
      </c>
      <c r="B119" s="16">
        <v>33</v>
      </c>
      <c r="C119" s="9"/>
      <c r="D119" s="271" t="s">
        <v>10219</v>
      </c>
      <c r="E119" s="263">
        <v>5</v>
      </c>
      <c r="F119" s="263">
        <v>0</v>
      </c>
      <c r="G119" s="263">
        <v>0</v>
      </c>
      <c r="H119" s="263">
        <v>0</v>
      </c>
      <c r="I119" s="263">
        <v>0</v>
      </c>
      <c r="J119" s="263">
        <v>0</v>
      </c>
      <c r="K119" s="267">
        <v>5</v>
      </c>
    </row>
    <row r="120" spans="1:11">
      <c r="A120" s="9" t="s">
        <v>2026</v>
      </c>
      <c r="B120" s="16">
        <v>33</v>
      </c>
      <c r="C120" s="9"/>
      <c r="D120" s="271" t="s">
        <v>10220</v>
      </c>
      <c r="E120" s="263">
        <v>5</v>
      </c>
      <c r="F120" s="263">
        <v>0</v>
      </c>
      <c r="G120" s="263">
        <v>0</v>
      </c>
      <c r="H120" s="263">
        <v>0</v>
      </c>
      <c r="I120" s="263">
        <v>0</v>
      </c>
      <c r="J120" s="263">
        <v>0</v>
      </c>
      <c r="K120" s="267">
        <v>5</v>
      </c>
    </row>
    <row r="121" spans="1:11">
      <c r="B121" s="16">
        <v>33</v>
      </c>
      <c r="C121" s="9"/>
      <c r="D121" s="271"/>
      <c r="E121" s="263"/>
      <c r="F121" s="263"/>
      <c r="G121" s="263"/>
      <c r="H121" s="263"/>
      <c r="I121" s="263"/>
      <c r="J121" s="263"/>
      <c r="K121" s="267">
        <v>0</v>
      </c>
    </row>
    <row r="122" spans="1:11">
      <c r="B122" s="16">
        <v>33</v>
      </c>
      <c r="C122" s="9"/>
      <c r="D122" s="272" t="s">
        <v>3674</v>
      </c>
      <c r="E122" s="273">
        <v>25</v>
      </c>
      <c r="F122" s="273">
        <v>10</v>
      </c>
      <c r="G122" s="273">
        <v>0</v>
      </c>
      <c r="H122" s="273">
        <v>0</v>
      </c>
      <c r="I122" s="273">
        <v>0</v>
      </c>
      <c r="J122" s="273">
        <v>0</v>
      </c>
      <c r="K122" s="273">
        <v>35</v>
      </c>
    </row>
    <row r="123" spans="1:11">
      <c r="C123" s="9"/>
      <c r="D123" s="271"/>
      <c r="E123" s="263"/>
      <c r="F123" s="263"/>
      <c r="G123" s="263"/>
      <c r="H123" s="263"/>
      <c r="I123" s="263"/>
      <c r="J123" s="263"/>
      <c r="K123" s="267">
        <v>0</v>
      </c>
    </row>
    <row r="124" spans="1:11">
      <c r="A124" s="9" t="s">
        <v>2027</v>
      </c>
      <c r="B124" s="16">
        <v>35</v>
      </c>
      <c r="C124" s="9"/>
      <c r="D124" s="271" t="s">
        <v>10221</v>
      </c>
      <c r="E124" s="263">
        <v>5</v>
      </c>
      <c r="F124" s="263">
        <v>0</v>
      </c>
      <c r="G124" s="263">
        <v>0</v>
      </c>
      <c r="H124" s="263">
        <v>0</v>
      </c>
      <c r="I124" s="263">
        <v>0</v>
      </c>
      <c r="J124" s="263">
        <v>0</v>
      </c>
      <c r="K124" s="267">
        <v>5</v>
      </c>
    </row>
    <row r="125" spans="1:11">
      <c r="A125" s="9" t="s">
        <v>12531</v>
      </c>
      <c r="B125" s="16">
        <v>35</v>
      </c>
      <c r="C125" s="9"/>
      <c r="D125" s="271" t="s">
        <v>10222</v>
      </c>
      <c r="E125" s="263">
        <v>0</v>
      </c>
      <c r="F125" s="263">
        <v>4</v>
      </c>
      <c r="G125" s="263">
        <v>0</v>
      </c>
      <c r="H125" s="263">
        <v>0</v>
      </c>
      <c r="I125" s="263">
        <v>0</v>
      </c>
      <c r="J125" s="263">
        <v>0</v>
      </c>
      <c r="K125" s="267">
        <v>4</v>
      </c>
    </row>
    <row r="126" spans="1:11">
      <c r="A126" s="9" t="s">
        <v>12532</v>
      </c>
      <c r="B126" s="16">
        <v>35</v>
      </c>
      <c r="C126" s="9"/>
      <c r="D126" s="271" t="s">
        <v>10223</v>
      </c>
      <c r="E126" s="263">
        <v>0</v>
      </c>
      <c r="F126" s="263">
        <v>4</v>
      </c>
      <c r="G126" s="263">
        <v>0</v>
      </c>
      <c r="H126" s="263">
        <v>0</v>
      </c>
      <c r="I126" s="263">
        <v>0</v>
      </c>
      <c r="J126" s="263">
        <v>0</v>
      </c>
      <c r="K126" s="267">
        <v>4</v>
      </c>
    </row>
    <row r="127" spans="1:11">
      <c r="A127" s="9" t="s">
        <v>2028</v>
      </c>
      <c r="B127" s="16">
        <v>35</v>
      </c>
      <c r="C127" s="9"/>
      <c r="D127" s="271" t="s">
        <v>10224</v>
      </c>
      <c r="E127" s="263">
        <v>5</v>
      </c>
      <c r="F127" s="263">
        <v>0</v>
      </c>
      <c r="G127" s="263">
        <v>0</v>
      </c>
      <c r="H127" s="263">
        <v>0</v>
      </c>
      <c r="I127" s="263">
        <v>0</v>
      </c>
      <c r="J127" s="263">
        <v>0</v>
      </c>
      <c r="K127" s="267">
        <v>5</v>
      </c>
    </row>
    <row r="128" spans="1:11">
      <c r="A128" s="9" t="s">
        <v>2029</v>
      </c>
      <c r="B128" s="16">
        <v>35</v>
      </c>
      <c r="C128" s="9"/>
      <c r="D128" s="271" t="s">
        <v>10225</v>
      </c>
      <c r="E128" s="263">
        <v>4</v>
      </c>
      <c r="F128" s="263">
        <v>0</v>
      </c>
      <c r="G128" s="263">
        <v>0</v>
      </c>
      <c r="H128" s="263">
        <v>0</v>
      </c>
      <c r="I128" s="263">
        <v>0</v>
      </c>
      <c r="J128" s="263">
        <v>0</v>
      </c>
      <c r="K128" s="267">
        <v>4</v>
      </c>
    </row>
    <row r="129" spans="1:11">
      <c r="A129" s="9" t="s">
        <v>12533</v>
      </c>
      <c r="B129" s="16">
        <v>35</v>
      </c>
      <c r="C129" s="9"/>
      <c r="D129" s="271" t="s">
        <v>10226</v>
      </c>
      <c r="E129" s="263">
        <v>0</v>
      </c>
      <c r="F129" s="263">
        <v>0</v>
      </c>
      <c r="G129" s="263">
        <v>5</v>
      </c>
      <c r="H129" s="263">
        <v>0</v>
      </c>
      <c r="I129" s="263">
        <v>0</v>
      </c>
      <c r="J129" s="263">
        <v>0</v>
      </c>
      <c r="K129" s="267">
        <v>5</v>
      </c>
    </row>
    <row r="130" spans="1:11">
      <c r="B130" s="16">
        <v>35</v>
      </c>
      <c r="C130" s="9"/>
      <c r="D130" s="272" t="s">
        <v>3674</v>
      </c>
      <c r="E130" s="273">
        <v>14</v>
      </c>
      <c r="F130" s="273">
        <v>8</v>
      </c>
      <c r="G130" s="273">
        <v>5</v>
      </c>
      <c r="H130" s="273">
        <v>0</v>
      </c>
      <c r="I130" s="273">
        <v>0</v>
      </c>
      <c r="J130" s="273">
        <v>0</v>
      </c>
      <c r="K130" s="273">
        <v>27</v>
      </c>
    </row>
    <row r="131" spans="1:11">
      <c r="C131" s="9"/>
      <c r="D131" s="271"/>
      <c r="E131" s="263"/>
      <c r="F131" s="263"/>
      <c r="G131" s="263"/>
      <c r="H131" s="263"/>
      <c r="I131" s="263"/>
      <c r="J131" s="263"/>
      <c r="K131" s="267">
        <v>0</v>
      </c>
    </row>
    <row r="132" spans="1:11">
      <c r="B132" s="16">
        <v>0</v>
      </c>
      <c r="C132" s="9"/>
      <c r="D132" s="269" t="s">
        <v>13078</v>
      </c>
      <c r="E132" s="270">
        <v>59</v>
      </c>
      <c r="F132" s="270">
        <v>38</v>
      </c>
      <c r="G132" s="270">
        <v>20</v>
      </c>
      <c r="H132" s="270">
        <v>5</v>
      </c>
      <c r="I132" s="270">
        <v>0</v>
      </c>
      <c r="J132" s="270">
        <v>40</v>
      </c>
      <c r="K132" s="270">
        <v>162</v>
      </c>
    </row>
    <row r="133" spans="1:11">
      <c r="C133" s="9"/>
      <c r="D133" s="271"/>
      <c r="E133" s="263"/>
      <c r="F133" s="263"/>
      <c r="G133" s="263"/>
      <c r="H133" s="263"/>
      <c r="I133" s="263"/>
      <c r="J133" s="263"/>
      <c r="K133" s="267">
        <v>0</v>
      </c>
    </row>
    <row r="134" spans="1:11">
      <c r="C134" s="9"/>
      <c r="D134" s="271" t="s">
        <v>4272</v>
      </c>
      <c r="E134" s="263"/>
      <c r="F134" s="263"/>
      <c r="G134" s="263"/>
      <c r="H134" s="263"/>
      <c r="I134" s="263"/>
      <c r="J134" s="263"/>
      <c r="K134" s="267">
        <v>0</v>
      </c>
    </row>
    <row r="135" spans="1:11">
      <c r="C135" s="9"/>
      <c r="D135" s="271"/>
      <c r="E135" s="263"/>
      <c r="F135" s="263"/>
      <c r="G135" s="263"/>
      <c r="H135" s="263"/>
      <c r="I135" s="263"/>
      <c r="J135" s="263"/>
      <c r="K135" s="267">
        <v>0</v>
      </c>
    </row>
    <row r="136" spans="1:11">
      <c r="A136" s="9" t="s">
        <v>2030</v>
      </c>
      <c r="B136" s="16">
        <v>1</v>
      </c>
      <c r="C136" s="9"/>
      <c r="D136" s="271" t="s">
        <v>9890</v>
      </c>
      <c r="E136" s="263">
        <v>5</v>
      </c>
      <c r="F136" s="263">
        <v>0</v>
      </c>
      <c r="G136" s="263">
        <v>0</v>
      </c>
      <c r="H136" s="263">
        <v>0</v>
      </c>
      <c r="I136" s="263">
        <v>0</v>
      </c>
      <c r="J136" s="263">
        <v>0</v>
      </c>
      <c r="K136" s="267">
        <v>5</v>
      </c>
    </row>
    <row r="137" spans="1:11">
      <c r="A137" s="9" t="s">
        <v>2031</v>
      </c>
      <c r="B137" s="16">
        <v>1</v>
      </c>
      <c r="C137" s="9"/>
      <c r="D137" s="271" t="s">
        <v>9891</v>
      </c>
      <c r="E137" s="263">
        <v>5</v>
      </c>
      <c r="F137" s="263">
        <v>0</v>
      </c>
      <c r="G137" s="263">
        <v>0</v>
      </c>
      <c r="H137" s="263">
        <v>0</v>
      </c>
      <c r="I137" s="263">
        <v>0</v>
      </c>
      <c r="J137" s="263">
        <v>0</v>
      </c>
      <c r="K137" s="267">
        <v>5</v>
      </c>
    </row>
    <row r="138" spans="1:11" ht="31.5">
      <c r="A138" s="9" t="s">
        <v>12534</v>
      </c>
      <c r="B138" s="16">
        <v>1</v>
      </c>
      <c r="C138" s="9"/>
      <c r="D138" s="271" t="s">
        <v>9892</v>
      </c>
      <c r="E138" s="263">
        <v>0</v>
      </c>
      <c r="F138" s="263">
        <v>0</v>
      </c>
      <c r="G138" s="263">
        <v>0</v>
      </c>
      <c r="H138" s="263">
        <v>0</v>
      </c>
      <c r="I138" s="263">
        <v>0</v>
      </c>
      <c r="J138" s="263">
        <v>5</v>
      </c>
      <c r="K138" s="267">
        <v>5</v>
      </c>
    </row>
    <row r="139" spans="1:11">
      <c r="A139" s="9" t="s">
        <v>2032</v>
      </c>
      <c r="B139" s="16">
        <v>1</v>
      </c>
      <c r="C139" s="9"/>
      <c r="D139" s="271" t="s">
        <v>9893</v>
      </c>
      <c r="E139" s="263">
        <v>5</v>
      </c>
      <c r="F139" s="263">
        <v>0</v>
      </c>
      <c r="G139" s="263">
        <v>0</v>
      </c>
      <c r="H139" s="263">
        <v>0</v>
      </c>
      <c r="I139" s="263">
        <v>0</v>
      </c>
      <c r="J139" s="263">
        <v>0</v>
      </c>
      <c r="K139" s="267">
        <v>5</v>
      </c>
    </row>
    <row r="140" spans="1:11">
      <c r="A140" s="9" t="s">
        <v>2033</v>
      </c>
      <c r="B140" s="16">
        <v>1</v>
      </c>
      <c r="C140" s="9"/>
      <c r="D140" s="271" t="s">
        <v>9894</v>
      </c>
      <c r="E140" s="263">
        <v>5</v>
      </c>
      <c r="F140" s="263">
        <v>0</v>
      </c>
      <c r="G140" s="263">
        <v>0</v>
      </c>
      <c r="H140" s="263">
        <v>0</v>
      </c>
      <c r="I140" s="263">
        <v>0</v>
      </c>
      <c r="J140" s="263">
        <v>0</v>
      </c>
      <c r="K140" s="267">
        <v>5</v>
      </c>
    </row>
    <row r="141" spans="1:11">
      <c r="A141" s="9" t="s">
        <v>2034</v>
      </c>
      <c r="B141" s="16">
        <v>1</v>
      </c>
      <c r="C141" s="9"/>
      <c r="D141" s="271" t="s">
        <v>9895</v>
      </c>
      <c r="E141" s="263">
        <v>5</v>
      </c>
      <c r="F141" s="263">
        <v>0</v>
      </c>
      <c r="G141" s="263">
        <v>0</v>
      </c>
      <c r="H141" s="263">
        <v>0</v>
      </c>
      <c r="I141" s="263">
        <v>0</v>
      </c>
      <c r="J141" s="263">
        <v>0</v>
      </c>
      <c r="K141" s="267">
        <v>5</v>
      </c>
    </row>
    <row r="142" spans="1:11">
      <c r="A142" s="9" t="s">
        <v>2035</v>
      </c>
      <c r="B142" s="16">
        <v>1</v>
      </c>
      <c r="C142" s="9"/>
      <c r="D142" s="271" t="s">
        <v>9896</v>
      </c>
      <c r="E142" s="263">
        <v>5</v>
      </c>
      <c r="F142" s="263">
        <v>0</v>
      </c>
      <c r="G142" s="263">
        <v>0</v>
      </c>
      <c r="H142" s="263">
        <v>0</v>
      </c>
      <c r="I142" s="263">
        <v>0</v>
      </c>
      <c r="J142" s="263">
        <v>0</v>
      </c>
      <c r="K142" s="267">
        <v>5</v>
      </c>
    </row>
    <row r="143" spans="1:11">
      <c r="A143" s="9" t="s">
        <v>12535</v>
      </c>
      <c r="B143" s="16">
        <v>1</v>
      </c>
      <c r="C143" s="9"/>
      <c r="D143" s="271" t="s">
        <v>9897</v>
      </c>
      <c r="E143" s="263">
        <v>0</v>
      </c>
      <c r="F143" s="263">
        <v>2.5</v>
      </c>
      <c r="G143" s="263">
        <v>0</v>
      </c>
      <c r="H143" s="263">
        <v>0</v>
      </c>
      <c r="I143" s="263">
        <v>0</v>
      </c>
      <c r="J143" s="263">
        <v>0</v>
      </c>
      <c r="K143" s="267">
        <v>2.5</v>
      </c>
    </row>
    <row r="144" spans="1:11">
      <c r="A144" s="9" t="s">
        <v>12536</v>
      </c>
      <c r="B144" s="16">
        <v>1</v>
      </c>
      <c r="C144" s="9"/>
      <c r="D144" s="271" t="s">
        <v>9898</v>
      </c>
      <c r="E144" s="263">
        <v>0</v>
      </c>
      <c r="F144" s="263">
        <v>2.5</v>
      </c>
      <c r="G144" s="263">
        <v>0</v>
      </c>
      <c r="H144" s="263">
        <v>0</v>
      </c>
      <c r="I144" s="263">
        <v>0</v>
      </c>
      <c r="J144" s="263">
        <v>0</v>
      </c>
      <c r="K144" s="267">
        <v>2.5</v>
      </c>
    </row>
    <row r="145" spans="1:11">
      <c r="A145" s="9" t="s">
        <v>12537</v>
      </c>
      <c r="B145" s="16">
        <v>1</v>
      </c>
      <c r="C145" s="9"/>
      <c r="D145" s="271" t="s">
        <v>9899</v>
      </c>
      <c r="E145" s="263">
        <v>0</v>
      </c>
      <c r="F145" s="263">
        <v>2</v>
      </c>
      <c r="G145" s="263">
        <v>0</v>
      </c>
      <c r="H145" s="263">
        <v>0</v>
      </c>
      <c r="I145" s="263">
        <v>0</v>
      </c>
      <c r="J145" s="263">
        <v>0</v>
      </c>
      <c r="K145" s="267">
        <v>2</v>
      </c>
    </row>
    <row r="146" spans="1:11">
      <c r="A146" s="9" t="s">
        <v>12538</v>
      </c>
      <c r="B146" s="16">
        <v>1</v>
      </c>
      <c r="C146" s="9"/>
      <c r="D146" s="271" t="s">
        <v>9900</v>
      </c>
      <c r="E146" s="263">
        <v>0</v>
      </c>
      <c r="F146" s="263">
        <v>2</v>
      </c>
      <c r="G146" s="263">
        <v>0</v>
      </c>
      <c r="H146" s="263">
        <v>0</v>
      </c>
      <c r="I146" s="263">
        <v>0</v>
      </c>
      <c r="J146" s="263">
        <v>0</v>
      </c>
      <c r="K146" s="267">
        <v>2</v>
      </c>
    </row>
    <row r="147" spans="1:11">
      <c r="A147" s="9" t="s">
        <v>12539</v>
      </c>
      <c r="B147" s="16">
        <v>1</v>
      </c>
      <c r="C147" s="9"/>
      <c r="D147" s="271" t="s">
        <v>9901</v>
      </c>
      <c r="E147" s="263">
        <v>0</v>
      </c>
      <c r="F147" s="263">
        <v>2</v>
      </c>
      <c r="G147" s="263">
        <v>0</v>
      </c>
      <c r="H147" s="263">
        <v>0</v>
      </c>
      <c r="I147" s="263">
        <v>0</v>
      </c>
      <c r="J147" s="263">
        <v>0</v>
      </c>
      <c r="K147" s="267">
        <v>2</v>
      </c>
    </row>
    <row r="148" spans="1:11">
      <c r="A148" s="9" t="s">
        <v>12540</v>
      </c>
      <c r="B148" s="16">
        <v>1</v>
      </c>
      <c r="C148" s="9"/>
      <c r="D148" s="271" t="s">
        <v>9902</v>
      </c>
      <c r="E148" s="263">
        <v>0</v>
      </c>
      <c r="F148" s="263">
        <v>5</v>
      </c>
      <c r="G148" s="263">
        <v>0</v>
      </c>
      <c r="H148" s="263">
        <v>0</v>
      </c>
      <c r="I148" s="263">
        <v>0</v>
      </c>
      <c r="J148" s="263">
        <v>0</v>
      </c>
      <c r="K148" s="267">
        <v>5</v>
      </c>
    </row>
    <row r="149" spans="1:11">
      <c r="B149" s="16">
        <v>1</v>
      </c>
      <c r="C149" s="9"/>
      <c r="D149" s="272" t="s">
        <v>3674</v>
      </c>
      <c r="E149" s="273">
        <v>30</v>
      </c>
      <c r="F149" s="273">
        <v>16</v>
      </c>
      <c r="G149" s="273">
        <v>0</v>
      </c>
      <c r="H149" s="273">
        <v>0</v>
      </c>
      <c r="I149" s="273">
        <v>0</v>
      </c>
      <c r="J149" s="273">
        <v>5</v>
      </c>
      <c r="K149" s="273">
        <v>51</v>
      </c>
    </row>
    <row r="150" spans="1:11">
      <c r="C150" s="9"/>
      <c r="D150" s="271"/>
      <c r="E150" s="263"/>
      <c r="F150" s="263"/>
      <c r="G150" s="263"/>
      <c r="H150" s="263"/>
      <c r="I150" s="263"/>
      <c r="J150" s="263"/>
      <c r="K150" s="267">
        <v>0</v>
      </c>
    </row>
    <row r="151" spans="1:11">
      <c r="A151" s="9" t="s">
        <v>2036</v>
      </c>
      <c r="B151" s="16">
        <v>5</v>
      </c>
      <c r="C151" s="9"/>
      <c r="D151" s="271" t="s">
        <v>9903</v>
      </c>
      <c r="E151" s="263">
        <v>5</v>
      </c>
      <c r="F151" s="263">
        <v>0</v>
      </c>
      <c r="G151" s="263">
        <v>0</v>
      </c>
      <c r="H151" s="263">
        <v>0</v>
      </c>
      <c r="I151" s="263">
        <v>0</v>
      </c>
      <c r="J151" s="263">
        <v>0</v>
      </c>
      <c r="K151" s="267">
        <v>5</v>
      </c>
    </row>
    <row r="152" spans="1:11">
      <c r="A152" s="9" t="s">
        <v>12541</v>
      </c>
      <c r="B152" s="16">
        <v>5</v>
      </c>
      <c r="C152" s="9"/>
      <c r="D152" s="271" t="s">
        <v>9904</v>
      </c>
      <c r="E152" s="263">
        <v>0</v>
      </c>
      <c r="F152" s="263">
        <v>5</v>
      </c>
      <c r="G152" s="263">
        <v>0</v>
      </c>
      <c r="H152" s="263">
        <v>0</v>
      </c>
      <c r="I152" s="263">
        <v>0</v>
      </c>
      <c r="J152" s="263">
        <v>0</v>
      </c>
      <c r="K152" s="267">
        <v>5</v>
      </c>
    </row>
    <row r="153" spans="1:11">
      <c r="A153" s="9" t="s">
        <v>12542</v>
      </c>
      <c r="B153" s="16">
        <v>5</v>
      </c>
      <c r="C153" s="9"/>
      <c r="D153" s="271" t="s">
        <v>9905</v>
      </c>
      <c r="E153" s="263">
        <v>0</v>
      </c>
      <c r="F153" s="263">
        <v>5</v>
      </c>
      <c r="G153" s="263">
        <v>0</v>
      </c>
      <c r="H153" s="263">
        <v>0</v>
      </c>
      <c r="I153" s="263">
        <v>0</v>
      </c>
      <c r="J153" s="263">
        <v>0</v>
      </c>
      <c r="K153" s="267">
        <v>5</v>
      </c>
    </row>
    <row r="154" spans="1:11">
      <c r="B154" s="16">
        <v>5</v>
      </c>
      <c r="C154" s="9"/>
      <c r="D154" s="272" t="s">
        <v>3674</v>
      </c>
      <c r="E154" s="273">
        <v>5</v>
      </c>
      <c r="F154" s="273">
        <v>10</v>
      </c>
      <c r="G154" s="273">
        <v>0</v>
      </c>
      <c r="H154" s="273">
        <v>0</v>
      </c>
      <c r="I154" s="273">
        <v>0</v>
      </c>
      <c r="J154" s="273">
        <v>0</v>
      </c>
      <c r="K154" s="273">
        <v>15</v>
      </c>
    </row>
    <row r="155" spans="1:11" ht="31.5">
      <c r="A155" s="9" t="s">
        <v>12543</v>
      </c>
      <c r="B155" s="16">
        <v>14</v>
      </c>
      <c r="C155" s="9"/>
      <c r="D155" s="271" t="s">
        <v>9912</v>
      </c>
      <c r="E155" s="263">
        <v>0</v>
      </c>
      <c r="F155" s="263">
        <v>0</v>
      </c>
      <c r="G155" s="263">
        <v>5</v>
      </c>
      <c r="H155" s="263">
        <v>0</v>
      </c>
      <c r="I155" s="263">
        <v>0</v>
      </c>
      <c r="J155" s="263">
        <v>0</v>
      </c>
      <c r="K155" s="267">
        <v>5</v>
      </c>
    </row>
    <row r="156" spans="1:11">
      <c r="A156" s="9" t="s">
        <v>12544</v>
      </c>
      <c r="B156" s="16">
        <v>14</v>
      </c>
      <c r="C156" s="9"/>
      <c r="D156" s="271" t="s">
        <v>9906</v>
      </c>
      <c r="E156" s="263">
        <v>0</v>
      </c>
      <c r="F156" s="263">
        <v>0</v>
      </c>
      <c r="G156" s="263">
        <v>5</v>
      </c>
      <c r="H156" s="263">
        <v>0</v>
      </c>
      <c r="I156" s="263">
        <v>0</v>
      </c>
      <c r="J156" s="263">
        <v>0</v>
      </c>
      <c r="K156" s="267">
        <v>5</v>
      </c>
    </row>
    <row r="157" spans="1:11" ht="31.5">
      <c r="A157" s="9" t="s">
        <v>12545</v>
      </c>
      <c r="B157" s="16">
        <v>14</v>
      </c>
      <c r="C157" s="9"/>
      <c r="D157" s="271" t="s">
        <v>9907</v>
      </c>
      <c r="E157" s="263">
        <v>0</v>
      </c>
      <c r="F157" s="263">
        <v>0</v>
      </c>
      <c r="G157" s="263">
        <v>5</v>
      </c>
      <c r="H157" s="263">
        <v>0</v>
      </c>
      <c r="I157" s="263">
        <v>0</v>
      </c>
      <c r="J157" s="263">
        <v>0</v>
      </c>
      <c r="K157" s="267">
        <v>5</v>
      </c>
    </row>
    <row r="158" spans="1:11">
      <c r="A158" s="9" t="s">
        <v>12546</v>
      </c>
      <c r="B158" s="16">
        <v>14</v>
      </c>
      <c r="C158" s="9"/>
      <c r="D158" s="271" t="s">
        <v>9908</v>
      </c>
      <c r="E158" s="263">
        <v>0</v>
      </c>
      <c r="F158" s="263">
        <v>0</v>
      </c>
      <c r="G158" s="263">
        <v>0</v>
      </c>
      <c r="H158" s="263">
        <v>5</v>
      </c>
      <c r="I158" s="263">
        <v>0</v>
      </c>
      <c r="J158" s="263">
        <v>0</v>
      </c>
      <c r="K158" s="267">
        <v>5</v>
      </c>
    </row>
    <row r="159" spans="1:11">
      <c r="A159" s="9" t="s">
        <v>12547</v>
      </c>
      <c r="B159" s="16">
        <v>14</v>
      </c>
      <c r="C159" s="9"/>
      <c r="D159" s="271" t="s">
        <v>9909</v>
      </c>
      <c r="E159" s="263">
        <v>0</v>
      </c>
      <c r="F159" s="263">
        <v>0</v>
      </c>
      <c r="G159" s="263">
        <v>0</v>
      </c>
      <c r="H159" s="263">
        <v>5</v>
      </c>
      <c r="I159" s="263">
        <v>0</v>
      </c>
      <c r="J159" s="263">
        <v>0</v>
      </c>
      <c r="K159" s="267">
        <v>5</v>
      </c>
    </row>
    <row r="160" spans="1:11">
      <c r="A160" s="9" t="s">
        <v>12548</v>
      </c>
      <c r="B160" s="16">
        <v>14</v>
      </c>
      <c r="C160" s="9"/>
      <c r="D160" s="271" t="s">
        <v>9910</v>
      </c>
      <c r="E160" s="263">
        <v>0</v>
      </c>
      <c r="F160" s="263">
        <v>0</v>
      </c>
      <c r="G160" s="263">
        <v>0</v>
      </c>
      <c r="H160" s="263">
        <v>5</v>
      </c>
      <c r="I160" s="263">
        <v>0</v>
      </c>
      <c r="J160" s="263">
        <v>0</v>
      </c>
      <c r="K160" s="267">
        <v>5</v>
      </c>
    </row>
    <row r="161" spans="1:11">
      <c r="A161" s="9" t="s">
        <v>12549</v>
      </c>
      <c r="B161" s="16">
        <v>14</v>
      </c>
      <c r="C161" s="9"/>
      <c r="D161" s="271" t="s">
        <v>9911</v>
      </c>
      <c r="E161" s="263">
        <v>0</v>
      </c>
      <c r="F161" s="263">
        <v>5</v>
      </c>
      <c r="G161" s="263">
        <v>0</v>
      </c>
      <c r="H161" s="263">
        <v>0</v>
      </c>
      <c r="I161" s="263">
        <v>0</v>
      </c>
      <c r="J161" s="263">
        <v>0</v>
      </c>
      <c r="K161" s="267">
        <v>5</v>
      </c>
    </row>
    <row r="162" spans="1:11">
      <c r="B162" s="16">
        <v>14</v>
      </c>
      <c r="C162" s="9"/>
      <c r="D162" s="271"/>
      <c r="E162" s="263"/>
      <c r="F162" s="263"/>
      <c r="G162" s="263"/>
      <c r="H162" s="263"/>
      <c r="I162" s="263"/>
      <c r="J162" s="263"/>
      <c r="K162" s="267">
        <v>0</v>
      </c>
    </row>
    <row r="163" spans="1:11">
      <c r="B163" s="16">
        <v>14</v>
      </c>
      <c r="C163" s="9"/>
      <c r="D163" s="272" t="s">
        <v>3674</v>
      </c>
      <c r="E163" s="273">
        <v>0</v>
      </c>
      <c r="F163" s="273">
        <v>5</v>
      </c>
      <c r="G163" s="273">
        <v>15</v>
      </c>
      <c r="H163" s="273">
        <v>15</v>
      </c>
      <c r="I163" s="273">
        <v>0</v>
      </c>
      <c r="J163" s="273">
        <v>0</v>
      </c>
      <c r="K163" s="273">
        <v>35</v>
      </c>
    </row>
    <row r="164" spans="1:11">
      <c r="C164" s="9"/>
      <c r="D164" s="271"/>
      <c r="E164" s="263"/>
      <c r="F164" s="263"/>
      <c r="G164" s="263"/>
      <c r="H164" s="263"/>
      <c r="I164" s="263"/>
      <c r="J164" s="263"/>
      <c r="K164" s="267">
        <v>0</v>
      </c>
    </row>
    <row r="165" spans="1:11">
      <c r="A165" s="9" t="s">
        <v>12550</v>
      </c>
      <c r="B165" s="16">
        <v>15</v>
      </c>
      <c r="C165" s="9"/>
      <c r="D165" s="271" t="s">
        <v>9913</v>
      </c>
      <c r="E165" s="263">
        <v>0</v>
      </c>
      <c r="F165" s="263">
        <v>0</v>
      </c>
      <c r="G165" s="263">
        <v>5</v>
      </c>
      <c r="H165" s="263">
        <v>0</v>
      </c>
      <c r="I165" s="263">
        <v>0</v>
      </c>
      <c r="J165" s="263">
        <v>0</v>
      </c>
      <c r="K165" s="267">
        <v>5</v>
      </c>
    </row>
    <row r="166" spans="1:11">
      <c r="A166" s="9" t="s">
        <v>12551</v>
      </c>
      <c r="B166" s="16">
        <v>15</v>
      </c>
      <c r="C166" s="9"/>
      <c r="D166" s="271" t="s">
        <v>9914</v>
      </c>
      <c r="E166" s="263">
        <v>0</v>
      </c>
      <c r="F166" s="263">
        <v>5</v>
      </c>
      <c r="G166" s="263">
        <v>0</v>
      </c>
      <c r="H166" s="263">
        <v>0</v>
      </c>
      <c r="I166" s="263">
        <v>0</v>
      </c>
      <c r="J166" s="263">
        <v>0</v>
      </c>
      <c r="K166" s="267">
        <v>5</v>
      </c>
    </row>
    <row r="167" spans="1:11">
      <c r="B167" s="16">
        <v>15</v>
      </c>
      <c r="C167" s="9"/>
      <c r="D167" s="271"/>
      <c r="E167" s="263"/>
      <c r="F167" s="263"/>
      <c r="G167" s="263"/>
      <c r="H167" s="263"/>
      <c r="I167" s="263"/>
      <c r="J167" s="263"/>
      <c r="K167" s="267">
        <v>0</v>
      </c>
    </row>
    <row r="168" spans="1:11">
      <c r="B168" s="16">
        <v>15</v>
      </c>
      <c r="C168" s="9"/>
      <c r="D168" s="272" t="s">
        <v>3674</v>
      </c>
      <c r="E168" s="273">
        <v>0</v>
      </c>
      <c r="F168" s="273">
        <v>5</v>
      </c>
      <c r="G168" s="273">
        <v>5</v>
      </c>
      <c r="H168" s="273">
        <v>0</v>
      </c>
      <c r="I168" s="273">
        <v>0</v>
      </c>
      <c r="J168" s="273">
        <v>0</v>
      </c>
      <c r="K168" s="273">
        <v>10</v>
      </c>
    </row>
    <row r="169" spans="1:11">
      <c r="C169" s="9"/>
      <c r="D169" s="271"/>
      <c r="E169" s="263"/>
      <c r="F169" s="263"/>
      <c r="G169" s="263"/>
      <c r="H169" s="263"/>
      <c r="I169" s="263"/>
      <c r="J169" s="263"/>
      <c r="K169" s="267">
        <v>0</v>
      </c>
    </row>
    <row r="170" spans="1:11">
      <c r="C170" s="9"/>
      <c r="D170" s="271"/>
      <c r="E170" s="263"/>
      <c r="F170" s="263"/>
      <c r="G170" s="263"/>
      <c r="H170" s="263"/>
      <c r="I170" s="263"/>
      <c r="J170" s="263"/>
      <c r="K170" s="267">
        <v>0</v>
      </c>
    </row>
    <row r="171" spans="1:11">
      <c r="C171" s="9"/>
      <c r="D171" s="271" t="s">
        <v>4277</v>
      </c>
      <c r="E171" s="263"/>
      <c r="F171" s="263"/>
      <c r="G171" s="263"/>
      <c r="H171" s="263"/>
      <c r="I171" s="263"/>
      <c r="J171" s="263"/>
      <c r="K171" s="267">
        <v>0</v>
      </c>
    </row>
    <row r="172" spans="1:11">
      <c r="C172" s="9"/>
      <c r="D172" s="271"/>
      <c r="E172" s="263"/>
      <c r="F172" s="263"/>
      <c r="G172" s="263"/>
      <c r="H172" s="263"/>
      <c r="I172" s="263"/>
      <c r="J172" s="263"/>
      <c r="K172" s="267">
        <v>0</v>
      </c>
    </row>
    <row r="173" spans="1:11">
      <c r="A173" s="9" t="s">
        <v>12552</v>
      </c>
      <c r="B173" s="16">
        <v>42</v>
      </c>
      <c r="C173" s="9"/>
      <c r="D173" s="271" t="s">
        <v>7898</v>
      </c>
      <c r="E173" s="263">
        <v>0</v>
      </c>
      <c r="F173" s="263">
        <v>0</v>
      </c>
      <c r="G173" s="263">
        <v>5</v>
      </c>
      <c r="H173" s="263">
        <v>0</v>
      </c>
      <c r="I173" s="263">
        <v>0</v>
      </c>
      <c r="J173" s="263">
        <v>0</v>
      </c>
      <c r="K173" s="267">
        <v>5</v>
      </c>
    </row>
    <row r="174" spans="1:11">
      <c r="A174" s="9" t="s">
        <v>12553</v>
      </c>
      <c r="B174" s="16">
        <v>42</v>
      </c>
      <c r="C174" s="9"/>
      <c r="D174" s="271" t="s">
        <v>7899</v>
      </c>
      <c r="E174" s="263">
        <v>0</v>
      </c>
      <c r="F174" s="263">
        <v>5</v>
      </c>
      <c r="G174" s="263">
        <v>0</v>
      </c>
      <c r="H174" s="263">
        <v>0</v>
      </c>
      <c r="I174" s="263">
        <v>0</v>
      </c>
      <c r="J174" s="263">
        <v>0</v>
      </c>
      <c r="K174" s="267">
        <v>5</v>
      </c>
    </row>
    <row r="175" spans="1:11">
      <c r="A175" s="9" t="s">
        <v>2037</v>
      </c>
      <c r="B175" s="16">
        <v>42</v>
      </c>
      <c r="C175" s="9"/>
      <c r="D175" s="271" t="s">
        <v>7900</v>
      </c>
      <c r="E175" s="263">
        <v>5</v>
      </c>
      <c r="F175" s="263">
        <v>0</v>
      </c>
      <c r="G175" s="263">
        <v>0</v>
      </c>
      <c r="H175" s="263">
        <v>0</v>
      </c>
      <c r="I175" s="263">
        <v>0</v>
      </c>
      <c r="J175" s="263">
        <v>0</v>
      </c>
      <c r="K175" s="267">
        <v>5</v>
      </c>
    </row>
    <row r="176" spans="1:11">
      <c r="A176" s="9" t="s">
        <v>12554</v>
      </c>
      <c r="B176" s="16">
        <v>42</v>
      </c>
      <c r="C176" s="9"/>
      <c r="D176" s="271" t="s">
        <v>7901</v>
      </c>
      <c r="E176" s="263">
        <v>0</v>
      </c>
      <c r="F176" s="263">
        <v>0</v>
      </c>
      <c r="G176" s="263">
        <v>5</v>
      </c>
      <c r="H176" s="263">
        <v>0</v>
      </c>
      <c r="I176" s="263">
        <v>0</v>
      </c>
      <c r="J176" s="263">
        <v>0</v>
      </c>
      <c r="K176" s="267">
        <v>5</v>
      </c>
    </row>
    <row r="177" spans="1:11">
      <c r="A177" s="9" t="s">
        <v>2038</v>
      </c>
      <c r="B177" s="16">
        <v>42</v>
      </c>
      <c r="C177" s="9"/>
      <c r="D177" s="271" t="s">
        <v>7902</v>
      </c>
      <c r="E177" s="263">
        <v>5</v>
      </c>
      <c r="F177" s="263">
        <v>0</v>
      </c>
      <c r="G177" s="263">
        <v>0</v>
      </c>
      <c r="H177" s="263">
        <v>0</v>
      </c>
      <c r="I177" s="263">
        <v>0</v>
      </c>
      <c r="J177" s="263">
        <v>0</v>
      </c>
      <c r="K177" s="267">
        <v>5</v>
      </c>
    </row>
    <row r="178" spans="1:11">
      <c r="B178" s="16">
        <v>42</v>
      </c>
      <c r="C178" s="9"/>
      <c r="D178" s="271"/>
      <c r="E178" s="263"/>
      <c r="F178" s="263"/>
      <c r="G178" s="263"/>
      <c r="H178" s="263"/>
      <c r="I178" s="263"/>
      <c r="J178" s="263"/>
      <c r="K178" s="267">
        <v>0</v>
      </c>
    </row>
    <row r="179" spans="1:11">
      <c r="B179" s="16">
        <v>42</v>
      </c>
      <c r="C179" s="9"/>
      <c r="D179" s="272" t="s">
        <v>3674</v>
      </c>
      <c r="E179" s="273">
        <v>10</v>
      </c>
      <c r="F179" s="273">
        <v>5</v>
      </c>
      <c r="G179" s="273">
        <v>10</v>
      </c>
      <c r="H179" s="273">
        <v>0</v>
      </c>
      <c r="I179" s="273">
        <v>0</v>
      </c>
      <c r="J179" s="273">
        <v>0</v>
      </c>
      <c r="K179" s="273">
        <v>25</v>
      </c>
    </row>
    <row r="180" spans="1:11">
      <c r="C180" s="9"/>
      <c r="D180" s="271"/>
      <c r="E180" s="263"/>
      <c r="F180" s="263"/>
      <c r="G180" s="263"/>
      <c r="H180" s="263"/>
      <c r="I180" s="263"/>
      <c r="J180" s="263"/>
      <c r="K180" s="267">
        <v>0</v>
      </c>
    </row>
    <row r="181" spans="1:11">
      <c r="A181" s="9" t="s">
        <v>12555</v>
      </c>
      <c r="B181" s="16">
        <v>43</v>
      </c>
      <c r="C181" s="9"/>
      <c r="D181" s="271" t="s">
        <v>7903</v>
      </c>
      <c r="E181" s="263">
        <v>0</v>
      </c>
      <c r="F181" s="263">
        <v>0</v>
      </c>
      <c r="G181" s="263">
        <v>5</v>
      </c>
      <c r="H181" s="263">
        <v>0</v>
      </c>
      <c r="I181" s="263">
        <v>0</v>
      </c>
      <c r="J181" s="263">
        <v>0</v>
      </c>
      <c r="K181" s="267">
        <v>5</v>
      </c>
    </row>
    <row r="182" spans="1:11">
      <c r="A182" s="9" t="s">
        <v>12556</v>
      </c>
      <c r="B182" s="16">
        <v>43</v>
      </c>
      <c r="C182" s="9"/>
      <c r="D182" s="271" t="s">
        <v>7904</v>
      </c>
      <c r="E182" s="263">
        <v>0</v>
      </c>
      <c r="F182" s="263">
        <v>0</v>
      </c>
      <c r="G182" s="263">
        <v>5</v>
      </c>
      <c r="H182" s="263">
        <v>0</v>
      </c>
      <c r="I182" s="263">
        <v>0</v>
      </c>
      <c r="J182" s="263">
        <v>0</v>
      </c>
      <c r="K182" s="267">
        <v>5</v>
      </c>
    </row>
    <row r="183" spans="1:11">
      <c r="A183" s="9" t="s">
        <v>12557</v>
      </c>
      <c r="B183" s="16">
        <v>43</v>
      </c>
      <c r="C183" s="9"/>
      <c r="D183" s="271" t="s">
        <v>7905</v>
      </c>
      <c r="E183" s="263">
        <v>0</v>
      </c>
      <c r="F183" s="263">
        <v>0</v>
      </c>
      <c r="G183" s="263">
        <v>5</v>
      </c>
      <c r="H183" s="263">
        <v>0</v>
      </c>
      <c r="I183" s="263">
        <v>0</v>
      </c>
      <c r="J183" s="263">
        <v>0</v>
      </c>
      <c r="K183" s="267">
        <v>5</v>
      </c>
    </row>
    <row r="184" spans="1:11">
      <c r="A184" s="9" t="s">
        <v>2039</v>
      </c>
      <c r="B184" s="16">
        <v>43</v>
      </c>
      <c r="C184" s="9"/>
      <c r="D184" s="271" t="s">
        <v>7906</v>
      </c>
      <c r="E184" s="263">
        <v>5</v>
      </c>
      <c r="F184" s="263">
        <v>0</v>
      </c>
      <c r="G184" s="263">
        <v>0</v>
      </c>
      <c r="H184" s="263">
        <v>0</v>
      </c>
      <c r="I184" s="263">
        <v>0</v>
      </c>
      <c r="J184" s="263">
        <v>0</v>
      </c>
      <c r="K184" s="267">
        <v>5</v>
      </c>
    </row>
    <row r="185" spans="1:11">
      <c r="A185" s="9" t="s">
        <v>2040</v>
      </c>
      <c r="B185" s="16">
        <v>43</v>
      </c>
      <c r="C185" s="9"/>
      <c r="D185" s="271" t="s">
        <v>7907</v>
      </c>
      <c r="E185" s="263">
        <v>5</v>
      </c>
      <c r="F185" s="263">
        <v>0</v>
      </c>
      <c r="G185" s="263">
        <v>0</v>
      </c>
      <c r="H185" s="263">
        <v>0</v>
      </c>
      <c r="I185" s="263">
        <v>0</v>
      </c>
      <c r="J185" s="263">
        <v>0</v>
      </c>
      <c r="K185" s="267">
        <v>5</v>
      </c>
    </row>
    <row r="186" spans="1:11">
      <c r="A186" s="9" t="s">
        <v>2041</v>
      </c>
      <c r="B186" s="16">
        <v>43</v>
      </c>
      <c r="C186" s="9"/>
      <c r="D186" s="271" t="s">
        <v>7908</v>
      </c>
      <c r="E186" s="263">
        <v>5</v>
      </c>
      <c r="F186" s="263">
        <v>0</v>
      </c>
      <c r="G186" s="263">
        <v>0</v>
      </c>
      <c r="H186" s="263">
        <v>0</v>
      </c>
      <c r="I186" s="263">
        <v>0</v>
      </c>
      <c r="J186" s="263">
        <v>0</v>
      </c>
      <c r="K186" s="267">
        <v>5</v>
      </c>
    </row>
    <row r="187" spans="1:11">
      <c r="A187" s="9" t="s">
        <v>12558</v>
      </c>
      <c r="B187" s="16">
        <v>43</v>
      </c>
      <c r="C187" s="9"/>
      <c r="D187" s="271" t="s">
        <v>7909</v>
      </c>
      <c r="E187" s="263">
        <v>0</v>
      </c>
      <c r="F187" s="263">
        <v>0</v>
      </c>
      <c r="G187" s="263">
        <v>0</v>
      </c>
      <c r="H187" s="263">
        <v>0</v>
      </c>
      <c r="I187" s="263">
        <v>0</v>
      </c>
      <c r="J187" s="263">
        <v>5</v>
      </c>
      <c r="K187" s="267">
        <v>5</v>
      </c>
    </row>
    <row r="188" spans="1:11">
      <c r="A188" s="9" t="s">
        <v>12559</v>
      </c>
      <c r="B188" s="16">
        <v>43</v>
      </c>
      <c r="C188" s="9"/>
      <c r="D188" s="271" t="s">
        <v>7910</v>
      </c>
      <c r="E188" s="263">
        <v>0</v>
      </c>
      <c r="F188" s="263">
        <v>0</v>
      </c>
      <c r="G188" s="263">
        <v>0</v>
      </c>
      <c r="H188" s="263">
        <v>0</v>
      </c>
      <c r="I188" s="263">
        <v>0</v>
      </c>
      <c r="J188" s="263">
        <v>5</v>
      </c>
      <c r="K188" s="267">
        <v>5</v>
      </c>
    </row>
    <row r="189" spans="1:11">
      <c r="B189" s="16">
        <v>43</v>
      </c>
      <c r="C189" s="9"/>
      <c r="D189" s="271"/>
      <c r="E189" s="263"/>
      <c r="F189" s="263"/>
      <c r="G189" s="263"/>
      <c r="H189" s="263"/>
      <c r="I189" s="263"/>
      <c r="J189" s="263"/>
      <c r="K189" s="267">
        <v>0</v>
      </c>
    </row>
    <row r="190" spans="1:11">
      <c r="B190" s="16">
        <v>43</v>
      </c>
      <c r="C190" s="9"/>
      <c r="D190" s="272" t="s">
        <v>3674</v>
      </c>
      <c r="E190" s="273">
        <v>15</v>
      </c>
      <c r="F190" s="273">
        <v>0</v>
      </c>
      <c r="G190" s="273">
        <v>15</v>
      </c>
      <c r="H190" s="273">
        <v>0</v>
      </c>
      <c r="I190" s="273">
        <v>0</v>
      </c>
      <c r="J190" s="273">
        <v>10</v>
      </c>
      <c r="K190" s="273">
        <v>40</v>
      </c>
    </row>
    <row r="191" spans="1:11">
      <c r="C191" s="9"/>
      <c r="D191" s="271"/>
      <c r="E191" s="263"/>
      <c r="F191" s="263"/>
      <c r="G191" s="263"/>
      <c r="H191" s="263"/>
      <c r="I191" s="263"/>
      <c r="J191" s="263"/>
      <c r="K191" s="267">
        <v>0</v>
      </c>
    </row>
    <row r="192" spans="1:11">
      <c r="A192" s="9" t="s">
        <v>2042</v>
      </c>
      <c r="B192" s="16">
        <v>44</v>
      </c>
      <c r="C192" s="9"/>
      <c r="D192" s="271" t="s">
        <v>7911</v>
      </c>
      <c r="E192" s="263">
        <v>5</v>
      </c>
      <c r="F192" s="263">
        <v>0</v>
      </c>
      <c r="G192" s="263">
        <v>0</v>
      </c>
      <c r="H192" s="263">
        <v>0</v>
      </c>
      <c r="I192" s="263">
        <v>0</v>
      </c>
      <c r="J192" s="263">
        <v>0</v>
      </c>
      <c r="K192" s="267">
        <v>5</v>
      </c>
    </row>
    <row r="193" spans="1:11">
      <c r="A193" s="9" t="s">
        <v>12560</v>
      </c>
      <c r="B193" s="16">
        <v>44</v>
      </c>
      <c r="C193" s="9"/>
      <c r="D193" s="271" t="s">
        <v>7912</v>
      </c>
      <c r="E193" s="263">
        <v>0</v>
      </c>
      <c r="F193" s="263">
        <v>0</v>
      </c>
      <c r="G193" s="263">
        <v>0</v>
      </c>
      <c r="H193" s="263">
        <v>0</v>
      </c>
      <c r="I193" s="263">
        <v>0</v>
      </c>
      <c r="J193" s="263">
        <v>5</v>
      </c>
      <c r="K193" s="267">
        <v>5</v>
      </c>
    </row>
    <row r="194" spans="1:11">
      <c r="A194" s="9" t="s">
        <v>12561</v>
      </c>
      <c r="B194" s="16">
        <v>44</v>
      </c>
      <c r="C194" s="9"/>
      <c r="D194" s="271" t="s">
        <v>7913</v>
      </c>
      <c r="E194" s="263">
        <v>0</v>
      </c>
      <c r="F194" s="263">
        <v>5</v>
      </c>
      <c r="G194" s="263">
        <v>0</v>
      </c>
      <c r="H194" s="263">
        <v>0</v>
      </c>
      <c r="I194" s="263">
        <v>0</v>
      </c>
      <c r="J194" s="263">
        <v>0</v>
      </c>
      <c r="K194" s="267">
        <v>5</v>
      </c>
    </row>
    <row r="195" spans="1:11">
      <c r="B195" s="16">
        <v>44</v>
      </c>
      <c r="C195" s="9"/>
      <c r="D195" s="271"/>
      <c r="E195" s="263"/>
      <c r="F195" s="263"/>
      <c r="G195" s="263"/>
      <c r="H195" s="263"/>
      <c r="I195" s="263"/>
      <c r="J195" s="263"/>
      <c r="K195" s="267">
        <v>0</v>
      </c>
    </row>
    <row r="196" spans="1:11">
      <c r="B196" s="16">
        <v>44</v>
      </c>
      <c r="C196" s="9"/>
      <c r="D196" s="272" t="s">
        <v>3674</v>
      </c>
      <c r="E196" s="273">
        <v>5</v>
      </c>
      <c r="F196" s="273">
        <v>5</v>
      </c>
      <c r="G196" s="273">
        <v>0</v>
      </c>
      <c r="H196" s="273">
        <v>0</v>
      </c>
      <c r="I196" s="273">
        <v>0</v>
      </c>
      <c r="J196" s="273">
        <v>5</v>
      </c>
      <c r="K196" s="273">
        <v>15</v>
      </c>
    </row>
    <row r="197" spans="1:11">
      <c r="C197" s="9"/>
      <c r="D197" s="271"/>
      <c r="E197" s="263"/>
      <c r="F197" s="263"/>
      <c r="G197" s="263"/>
      <c r="H197" s="263"/>
      <c r="I197" s="263"/>
      <c r="J197" s="263"/>
      <c r="K197" s="267">
        <v>0</v>
      </c>
    </row>
    <row r="198" spans="1:11">
      <c r="A198" s="9" t="s">
        <v>12562</v>
      </c>
      <c r="B198" s="16">
        <v>45</v>
      </c>
      <c r="C198" s="9"/>
      <c r="D198" s="271" t="s">
        <v>7914</v>
      </c>
      <c r="E198" s="263">
        <v>0</v>
      </c>
      <c r="F198" s="263">
        <v>0</v>
      </c>
      <c r="G198" s="263">
        <v>0</v>
      </c>
      <c r="H198" s="263">
        <v>0</v>
      </c>
      <c r="I198" s="263">
        <v>5</v>
      </c>
      <c r="J198" s="263">
        <v>0</v>
      </c>
      <c r="K198" s="267">
        <v>5</v>
      </c>
    </row>
    <row r="199" spans="1:11">
      <c r="A199" s="9" t="s">
        <v>12563</v>
      </c>
      <c r="B199" s="16">
        <v>45</v>
      </c>
      <c r="C199" s="9"/>
      <c r="D199" s="271" t="s">
        <v>7915</v>
      </c>
      <c r="E199" s="263">
        <v>0</v>
      </c>
      <c r="F199" s="263">
        <v>5</v>
      </c>
      <c r="G199" s="263">
        <v>0</v>
      </c>
      <c r="H199" s="263">
        <v>0</v>
      </c>
      <c r="I199" s="263">
        <v>0</v>
      </c>
      <c r="J199" s="263">
        <v>0</v>
      </c>
      <c r="K199" s="267">
        <v>5</v>
      </c>
    </row>
    <row r="200" spans="1:11">
      <c r="A200" s="9" t="s">
        <v>12564</v>
      </c>
      <c r="B200" s="16">
        <v>45</v>
      </c>
      <c r="C200" s="9"/>
      <c r="D200" s="271" t="s">
        <v>7916</v>
      </c>
      <c r="E200" s="263">
        <v>0</v>
      </c>
      <c r="F200" s="263">
        <v>5</v>
      </c>
      <c r="G200" s="263">
        <v>0</v>
      </c>
      <c r="H200" s="263">
        <v>0</v>
      </c>
      <c r="I200" s="263">
        <v>0</v>
      </c>
      <c r="J200" s="263">
        <v>0</v>
      </c>
      <c r="K200" s="267">
        <v>5</v>
      </c>
    </row>
    <row r="201" spans="1:11">
      <c r="A201" s="9" t="s">
        <v>12565</v>
      </c>
      <c r="B201" s="16">
        <v>45</v>
      </c>
      <c r="C201" s="9"/>
      <c r="D201" s="271" t="s">
        <v>7917</v>
      </c>
      <c r="E201" s="263">
        <v>0</v>
      </c>
      <c r="F201" s="263">
        <v>5</v>
      </c>
      <c r="G201" s="263">
        <v>0</v>
      </c>
      <c r="H201" s="263">
        <v>0</v>
      </c>
      <c r="I201" s="263">
        <v>0</v>
      </c>
      <c r="J201" s="263">
        <v>0</v>
      </c>
      <c r="K201" s="267">
        <v>5</v>
      </c>
    </row>
    <row r="202" spans="1:11">
      <c r="A202" s="9" t="s">
        <v>2043</v>
      </c>
      <c r="B202" s="16">
        <v>45</v>
      </c>
      <c r="C202" s="9"/>
      <c r="D202" s="271" t="s">
        <v>7918</v>
      </c>
      <c r="E202" s="263">
        <v>5</v>
      </c>
      <c r="F202" s="263">
        <v>0</v>
      </c>
      <c r="G202" s="263">
        <v>0</v>
      </c>
      <c r="H202" s="263">
        <v>0</v>
      </c>
      <c r="I202" s="263">
        <v>0</v>
      </c>
      <c r="J202" s="263">
        <v>0</v>
      </c>
      <c r="K202" s="267">
        <v>5</v>
      </c>
    </row>
    <row r="203" spans="1:11">
      <c r="A203" s="9" t="s">
        <v>2044</v>
      </c>
      <c r="B203" s="16">
        <v>45</v>
      </c>
      <c r="C203" s="9"/>
      <c r="D203" s="271" t="s">
        <v>7919</v>
      </c>
      <c r="E203" s="263">
        <v>5</v>
      </c>
      <c r="F203" s="263">
        <v>0</v>
      </c>
      <c r="G203" s="263">
        <v>0</v>
      </c>
      <c r="H203" s="263">
        <v>0</v>
      </c>
      <c r="I203" s="263">
        <v>0</v>
      </c>
      <c r="J203" s="263">
        <v>0</v>
      </c>
      <c r="K203" s="267">
        <v>5</v>
      </c>
    </row>
    <row r="204" spans="1:11">
      <c r="A204" s="9" t="s">
        <v>2045</v>
      </c>
      <c r="B204" s="16">
        <v>45</v>
      </c>
      <c r="C204" s="9"/>
      <c r="D204" s="271" t="s">
        <v>7920</v>
      </c>
      <c r="E204" s="263">
        <v>5</v>
      </c>
      <c r="F204" s="263">
        <v>0</v>
      </c>
      <c r="G204" s="263">
        <v>0</v>
      </c>
      <c r="H204" s="263">
        <v>0</v>
      </c>
      <c r="I204" s="263">
        <v>0</v>
      </c>
      <c r="J204" s="263">
        <v>0</v>
      </c>
      <c r="K204" s="267">
        <v>5</v>
      </c>
    </row>
    <row r="205" spans="1:11">
      <c r="B205" s="16">
        <v>45</v>
      </c>
      <c r="C205" s="9"/>
      <c r="D205" s="271"/>
      <c r="E205" s="263"/>
      <c r="F205" s="263"/>
      <c r="G205" s="263"/>
      <c r="H205" s="263"/>
      <c r="I205" s="263"/>
      <c r="J205" s="263"/>
      <c r="K205" s="267">
        <v>0</v>
      </c>
    </row>
    <row r="206" spans="1:11">
      <c r="B206" s="16">
        <v>45</v>
      </c>
      <c r="C206" s="9"/>
      <c r="D206" s="272" t="s">
        <v>3674</v>
      </c>
      <c r="E206" s="273">
        <v>15</v>
      </c>
      <c r="F206" s="273">
        <v>15</v>
      </c>
      <c r="G206" s="273">
        <v>0</v>
      </c>
      <c r="H206" s="273">
        <v>0</v>
      </c>
      <c r="I206" s="273">
        <v>5</v>
      </c>
      <c r="J206" s="273">
        <v>0</v>
      </c>
      <c r="K206" s="273">
        <v>35</v>
      </c>
    </row>
    <row r="207" spans="1:11">
      <c r="C207" s="9"/>
      <c r="D207" s="271"/>
      <c r="E207" s="263"/>
      <c r="F207" s="263"/>
      <c r="G207" s="263"/>
      <c r="H207" s="263"/>
      <c r="I207" s="263"/>
      <c r="J207" s="263"/>
      <c r="K207" s="267">
        <v>0</v>
      </c>
    </row>
    <row r="208" spans="1:11">
      <c r="B208" s="16">
        <v>0</v>
      </c>
      <c r="C208" s="9"/>
      <c r="D208" s="269" t="s">
        <v>13086</v>
      </c>
      <c r="E208" s="270">
        <v>45</v>
      </c>
      <c r="F208" s="270">
        <v>25</v>
      </c>
      <c r="G208" s="270">
        <v>25</v>
      </c>
      <c r="H208" s="270">
        <v>0</v>
      </c>
      <c r="I208" s="270">
        <v>5</v>
      </c>
      <c r="J208" s="270">
        <v>15</v>
      </c>
      <c r="K208" s="270">
        <v>115</v>
      </c>
    </row>
    <row r="209" spans="1:11">
      <c r="C209" s="9"/>
      <c r="D209" s="271"/>
      <c r="E209" s="263"/>
      <c r="F209" s="263"/>
      <c r="G209" s="263"/>
      <c r="H209" s="263"/>
      <c r="I209" s="263"/>
      <c r="J209" s="263"/>
      <c r="K209" s="267">
        <v>0</v>
      </c>
    </row>
    <row r="210" spans="1:11">
      <c r="C210" s="9"/>
      <c r="D210" s="271"/>
      <c r="E210" s="263"/>
      <c r="F210" s="263"/>
      <c r="G210" s="263"/>
      <c r="H210" s="263"/>
      <c r="I210" s="263"/>
      <c r="J210" s="263"/>
      <c r="K210" s="267">
        <v>0</v>
      </c>
    </row>
    <row r="211" spans="1:11">
      <c r="C211" s="9"/>
      <c r="D211" s="271" t="s">
        <v>4278</v>
      </c>
      <c r="E211" s="263"/>
      <c r="F211" s="263"/>
      <c r="G211" s="263"/>
      <c r="H211" s="263"/>
      <c r="I211" s="263"/>
      <c r="J211" s="263"/>
      <c r="K211" s="267">
        <v>0</v>
      </c>
    </row>
    <row r="212" spans="1:11">
      <c r="C212" s="9"/>
      <c r="D212" s="271"/>
      <c r="E212" s="263"/>
      <c r="F212" s="263"/>
      <c r="G212" s="263"/>
      <c r="H212" s="263"/>
      <c r="I212" s="263"/>
      <c r="J212" s="263"/>
      <c r="K212" s="267">
        <v>0</v>
      </c>
    </row>
    <row r="213" spans="1:11">
      <c r="A213" s="9" t="s">
        <v>2046</v>
      </c>
      <c r="B213" s="16">
        <v>64</v>
      </c>
      <c r="C213" s="9"/>
      <c r="D213" s="271" t="s">
        <v>8358</v>
      </c>
      <c r="E213" s="263">
        <v>5</v>
      </c>
      <c r="F213" s="263"/>
      <c r="G213" s="263"/>
      <c r="H213" s="263"/>
      <c r="I213" s="263"/>
      <c r="J213" s="263"/>
      <c r="K213" s="267">
        <v>5</v>
      </c>
    </row>
    <row r="214" spans="1:11">
      <c r="A214" s="9" t="s">
        <v>12566</v>
      </c>
      <c r="B214" s="16">
        <v>64</v>
      </c>
      <c r="C214" s="9"/>
      <c r="D214" s="271" t="s">
        <v>8359</v>
      </c>
      <c r="E214" s="263"/>
      <c r="F214" s="263"/>
      <c r="G214" s="263">
        <v>5</v>
      </c>
      <c r="H214" s="263"/>
      <c r="I214" s="263"/>
      <c r="J214" s="263"/>
      <c r="K214" s="267">
        <v>5</v>
      </c>
    </row>
    <row r="215" spans="1:11">
      <c r="A215" s="9" t="s">
        <v>12567</v>
      </c>
      <c r="B215" s="16">
        <v>64</v>
      </c>
      <c r="C215" s="9"/>
      <c r="D215" s="271" t="s">
        <v>8360</v>
      </c>
      <c r="E215" s="263"/>
      <c r="F215" s="263">
        <v>5</v>
      </c>
      <c r="G215" s="263"/>
      <c r="H215" s="263"/>
      <c r="I215" s="263"/>
      <c r="J215" s="263"/>
      <c r="K215" s="267">
        <v>5</v>
      </c>
    </row>
    <row r="216" spans="1:11">
      <c r="A216" s="9" t="s">
        <v>12568</v>
      </c>
      <c r="B216" s="16">
        <v>64</v>
      </c>
      <c r="C216" s="9"/>
      <c r="D216" s="271" t="s">
        <v>8361</v>
      </c>
      <c r="E216" s="263"/>
      <c r="F216" s="263"/>
      <c r="G216" s="263">
        <v>5</v>
      </c>
      <c r="H216" s="263"/>
      <c r="I216" s="263"/>
      <c r="J216" s="263"/>
      <c r="K216" s="267">
        <v>5</v>
      </c>
    </row>
    <row r="217" spans="1:11">
      <c r="A217" s="9" t="s">
        <v>2047</v>
      </c>
      <c r="B217" s="16">
        <v>64</v>
      </c>
      <c r="C217" s="9"/>
      <c r="D217" s="271" t="s">
        <v>8362</v>
      </c>
      <c r="E217" s="263">
        <v>5</v>
      </c>
      <c r="F217" s="263"/>
      <c r="G217" s="263"/>
      <c r="H217" s="263"/>
      <c r="I217" s="263"/>
      <c r="J217" s="263"/>
      <c r="K217" s="267">
        <v>5</v>
      </c>
    </row>
    <row r="218" spans="1:11">
      <c r="A218" s="9" t="s">
        <v>12569</v>
      </c>
      <c r="B218" s="16">
        <v>64</v>
      </c>
      <c r="C218" s="9"/>
      <c r="D218" s="271" t="s">
        <v>8363</v>
      </c>
      <c r="E218" s="263"/>
      <c r="F218" s="263"/>
      <c r="G218" s="263"/>
      <c r="H218" s="263">
        <v>5</v>
      </c>
      <c r="I218" s="263"/>
      <c r="J218" s="263"/>
      <c r="K218" s="267">
        <v>5</v>
      </c>
    </row>
    <row r="219" spans="1:11">
      <c r="A219" s="9" t="s">
        <v>2048</v>
      </c>
      <c r="B219" s="16">
        <v>64</v>
      </c>
      <c r="C219" s="9"/>
      <c r="D219" s="271" t="s">
        <v>8364</v>
      </c>
      <c r="E219" s="263">
        <v>5</v>
      </c>
      <c r="F219" s="263"/>
      <c r="G219" s="263"/>
      <c r="H219" s="263"/>
      <c r="I219" s="263"/>
      <c r="J219" s="263"/>
      <c r="K219" s="267">
        <v>5</v>
      </c>
    </row>
    <row r="220" spans="1:11">
      <c r="A220" s="9" t="s">
        <v>12570</v>
      </c>
      <c r="B220" s="16">
        <v>64</v>
      </c>
      <c r="C220" s="9"/>
      <c r="D220" s="271" t="s">
        <v>8365</v>
      </c>
      <c r="E220" s="263"/>
      <c r="F220" s="263"/>
      <c r="G220" s="263">
        <v>5</v>
      </c>
      <c r="H220" s="263"/>
      <c r="I220" s="263"/>
      <c r="J220" s="263"/>
      <c r="K220" s="267">
        <v>5</v>
      </c>
    </row>
    <row r="221" spans="1:11">
      <c r="A221" s="9" t="s">
        <v>2049</v>
      </c>
      <c r="B221" s="16">
        <v>64</v>
      </c>
      <c r="C221" s="9"/>
      <c r="D221" s="271" t="s">
        <v>8366</v>
      </c>
      <c r="E221" s="263">
        <v>5</v>
      </c>
      <c r="F221" s="263"/>
      <c r="G221" s="263"/>
      <c r="H221" s="263"/>
      <c r="I221" s="263"/>
      <c r="J221" s="263"/>
      <c r="K221" s="267">
        <v>5</v>
      </c>
    </row>
    <row r="222" spans="1:11">
      <c r="A222" s="9" t="s">
        <v>12571</v>
      </c>
      <c r="B222" s="16">
        <v>64</v>
      </c>
      <c r="C222" s="9"/>
      <c r="D222" s="271" t="s">
        <v>8367</v>
      </c>
      <c r="E222" s="263"/>
      <c r="F222" s="263"/>
      <c r="G222" s="263">
        <v>5</v>
      </c>
      <c r="H222" s="263"/>
      <c r="I222" s="263"/>
      <c r="J222" s="263"/>
      <c r="K222" s="267">
        <v>5</v>
      </c>
    </row>
    <row r="223" spans="1:11">
      <c r="B223" s="16">
        <v>64</v>
      </c>
      <c r="C223" s="9"/>
      <c r="D223" s="272" t="s">
        <v>3674</v>
      </c>
      <c r="E223" s="273">
        <v>20</v>
      </c>
      <c r="F223" s="273">
        <v>5</v>
      </c>
      <c r="G223" s="273">
        <v>20</v>
      </c>
      <c r="H223" s="273">
        <v>5</v>
      </c>
      <c r="I223" s="273">
        <v>0</v>
      </c>
      <c r="J223" s="273">
        <v>0</v>
      </c>
      <c r="K223" s="273">
        <v>50</v>
      </c>
    </row>
    <row r="224" spans="1:11">
      <c r="C224" s="9"/>
      <c r="D224" s="271"/>
      <c r="E224" s="263"/>
      <c r="F224" s="263"/>
      <c r="G224" s="263"/>
      <c r="H224" s="263"/>
      <c r="I224" s="263"/>
      <c r="J224" s="263"/>
      <c r="K224" s="267">
        <v>0</v>
      </c>
    </row>
    <row r="225" spans="1:11">
      <c r="A225" s="9" t="s">
        <v>12572</v>
      </c>
      <c r="B225" s="16">
        <v>70</v>
      </c>
      <c r="C225" s="9"/>
      <c r="D225" s="271" t="s">
        <v>8368</v>
      </c>
      <c r="E225" s="263"/>
      <c r="F225" s="263"/>
      <c r="G225" s="263"/>
      <c r="H225" s="263"/>
      <c r="I225" s="263"/>
      <c r="J225" s="263">
        <v>5</v>
      </c>
      <c r="K225" s="267">
        <v>5</v>
      </c>
    </row>
    <row r="226" spans="1:11">
      <c r="A226" s="9" t="s">
        <v>2050</v>
      </c>
      <c r="B226" s="16">
        <v>70</v>
      </c>
      <c r="C226" s="9"/>
      <c r="D226" s="271" t="s">
        <v>8369</v>
      </c>
      <c r="E226" s="263">
        <v>5</v>
      </c>
      <c r="F226" s="263"/>
      <c r="G226" s="263"/>
      <c r="H226" s="263"/>
      <c r="I226" s="263"/>
      <c r="J226" s="263"/>
      <c r="K226" s="267">
        <v>5</v>
      </c>
    </row>
    <row r="227" spans="1:11">
      <c r="A227" s="9" t="s">
        <v>12573</v>
      </c>
      <c r="B227" s="16">
        <v>70</v>
      </c>
      <c r="C227" s="9"/>
      <c r="D227" s="271" t="s">
        <v>8370</v>
      </c>
      <c r="E227" s="263"/>
      <c r="F227" s="263">
        <v>5</v>
      </c>
      <c r="G227" s="263"/>
      <c r="H227" s="263"/>
      <c r="I227" s="263"/>
      <c r="J227" s="263"/>
      <c r="K227" s="267">
        <v>5</v>
      </c>
    </row>
    <row r="228" spans="1:11">
      <c r="A228" s="9" t="s">
        <v>2051</v>
      </c>
      <c r="B228" s="16">
        <v>70</v>
      </c>
      <c r="C228" s="9"/>
      <c r="D228" s="271" t="s">
        <v>8371</v>
      </c>
      <c r="E228" s="263">
        <v>3</v>
      </c>
      <c r="F228" s="263"/>
      <c r="G228" s="263"/>
      <c r="H228" s="263"/>
      <c r="I228" s="263"/>
      <c r="J228" s="263"/>
      <c r="K228" s="267">
        <v>3</v>
      </c>
    </row>
    <row r="229" spans="1:11">
      <c r="A229" s="9" t="s">
        <v>2052</v>
      </c>
      <c r="B229" s="16">
        <v>70</v>
      </c>
      <c r="C229" s="9"/>
      <c r="D229" s="271" t="s">
        <v>8372</v>
      </c>
      <c r="E229" s="263">
        <v>2</v>
      </c>
      <c r="F229" s="263"/>
      <c r="G229" s="263"/>
      <c r="H229" s="263"/>
      <c r="I229" s="263"/>
      <c r="J229" s="263"/>
      <c r="K229" s="267">
        <v>2</v>
      </c>
    </row>
    <row r="230" spans="1:11">
      <c r="A230" s="9" t="s">
        <v>2053</v>
      </c>
      <c r="B230" s="16">
        <v>70</v>
      </c>
      <c r="C230" s="9"/>
      <c r="D230" s="271" t="s">
        <v>8373</v>
      </c>
      <c r="E230" s="263">
        <v>5</v>
      </c>
      <c r="F230" s="263"/>
      <c r="G230" s="263"/>
      <c r="H230" s="263"/>
      <c r="I230" s="263"/>
      <c r="J230" s="263"/>
      <c r="K230" s="267">
        <v>5</v>
      </c>
    </row>
    <row r="231" spans="1:11">
      <c r="A231" s="9" t="s">
        <v>12574</v>
      </c>
      <c r="B231" s="16">
        <v>70</v>
      </c>
      <c r="C231" s="9"/>
      <c r="D231" s="271" t="s">
        <v>8374</v>
      </c>
      <c r="E231" s="263"/>
      <c r="F231" s="263"/>
      <c r="G231" s="263">
        <v>5</v>
      </c>
      <c r="H231" s="263"/>
      <c r="I231" s="263"/>
      <c r="J231" s="263"/>
      <c r="K231" s="267">
        <v>5</v>
      </c>
    </row>
    <row r="232" spans="1:11">
      <c r="A232" s="9" t="s">
        <v>12575</v>
      </c>
      <c r="B232" s="16">
        <v>70</v>
      </c>
      <c r="C232" s="9"/>
      <c r="D232" s="271" t="s">
        <v>8375</v>
      </c>
      <c r="E232" s="263"/>
      <c r="F232" s="263"/>
      <c r="G232" s="263">
        <v>5</v>
      </c>
      <c r="H232" s="263"/>
      <c r="I232" s="263"/>
      <c r="J232" s="263"/>
      <c r="K232" s="267">
        <v>5</v>
      </c>
    </row>
    <row r="233" spans="1:11">
      <c r="A233" s="9" t="s">
        <v>2054</v>
      </c>
      <c r="B233" s="16">
        <v>70</v>
      </c>
      <c r="C233" s="9"/>
      <c r="D233" s="271" t="s">
        <v>8376</v>
      </c>
      <c r="E233" s="263">
        <v>5</v>
      </c>
      <c r="F233" s="263"/>
      <c r="G233" s="263"/>
      <c r="H233" s="263"/>
      <c r="I233" s="263"/>
      <c r="J233" s="263"/>
      <c r="K233" s="267">
        <v>5</v>
      </c>
    </row>
    <row r="234" spans="1:11">
      <c r="A234" s="9" t="s">
        <v>12576</v>
      </c>
      <c r="B234" s="16">
        <v>70</v>
      </c>
      <c r="C234" s="9"/>
      <c r="D234" s="271" t="s">
        <v>8377</v>
      </c>
      <c r="E234" s="263"/>
      <c r="F234" s="263"/>
      <c r="G234" s="263"/>
      <c r="H234" s="263"/>
      <c r="I234" s="263"/>
      <c r="J234" s="263">
        <v>5</v>
      </c>
      <c r="K234" s="267">
        <v>5</v>
      </c>
    </row>
    <row r="235" spans="1:11">
      <c r="A235" s="9" t="s">
        <v>2055</v>
      </c>
      <c r="B235" s="16">
        <v>70</v>
      </c>
      <c r="C235" s="9"/>
      <c r="D235" s="271" t="s">
        <v>8378</v>
      </c>
      <c r="E235" s="263">
        <v>5</v>
      </c>
      <c r="F235" s="263"/>
      <c r="G235" s="263"/>
      <c r="H235" s="263"/>
      <c r="I235" s="263"/>
      <c r="J235" s="263"/>
      <c r="K235" s="267">
        <v>5</v>
      </c>
    </row>
    <row r="236" spans="1:11">
      <c r="B236" s="16">
        <v>70</v>
      </c>
      <c r="C236" s="9"/>
      <c r="D236" s="272" t="s">
        <v>3674</v>
      </c>
      <c r="E236" s="273">
        <v>25</v>
      </c>
      <c r="F236" s="273">
        <v>5</v>
      </c>
      <c r="G236" s="273">
        <v>10</v>
      </c>
      <c r="H236" s="273">
        <v>0</v>
      </c>
      <c r="I236" s="273">
        <v>0</v>
      </c>
      <c r="J236" s="273">
        <v>10</v>
      </c>
      <c r="K236" s="273">
        <v>50</v>
      </c>
    </row>
    <row r="237" spans="1:11">
      <c r="C237" s="9"/>
      <c r="D237" s="271"/>
      <c r="E237" s="263"/>
      <c r="F237" s="263"/>
      <c r="G237" s="263"/>
      <c r="H237" s="263"/>
      <c r="I237" s="263"/>
      <c r="J237" s="263"/>
      <c r="K237" s="267">
        <v>0</v>
      </c>
    </row>
    <row r="238" spans="1:11">
      <c r="A238" s="9" t="s">
        <v>12577</v>
      </c>
      <c r="B238" s="16">
        <v>71</v>
      </c>
      <c r="C238" s="9"/>
      <c r="D238" s="271" t="s">
        <v>8379</v>
      </c>
      <c r="E238" s="263"/>
      <c r="F238" s="263"/>
      <c r="G238" s="263"/>
      <c r="H238" s="263"/>
      <c r="I238" s="263">
        <v>5</v>
      </c>
      <c r="J238" s="263"/>
      <c r="K238" s="267">
        <v>5</v>
      </c>
    </row>
    <row r="239" spans="1:11">
      <c r="A239" s="9" t="s">
        <v>12578</v>
      </c>
      <c r="B239" s="16">
        <v>71</v>
      </c>
      <c r="C239" s="9"/>
      <c r="D239" s="271" t="s">
        <v>8380</v>
      </c>
      <c r="E239" s="263"/>
      <c r="F239" s="263"/>
      <c r="G239" s="263">
        <v>5</v>
      </c>
      <c r="H239" s="263"/>
      <c r="I239" s="263"/>
      <c r="J239" s="263"/>
      <c r="K239" s="267">
        <v>5</v>
      </c>
    </row>
    <row r="240" spans="1:11">
      <c r="A240" s="9" t="s">
        <v>12579</v>
      </c>
      <c r="B240" s="16">
        <v>71</v>
      </c>
      <c r="C240" s="9"/>
      <c r="D240" s="271" t="s">
        <v>8381</v>
      </c>
      <c r="E240" s="263"/>
      <c r="F240" s="263"/>
      <c r="G240" s="263">
        <v>5</v>
      </c>
      <c r="H240" s="263"/>
      <c r="I240" s="263"/>
      <c r="J240" s="263"/>
      <c r="K240" s="267">
        <v>5</v>
      </c>
    </row>
    <row r="241" spans="1:11">
      <c r="A241" s="9" t="s">
        <v>12580</v>
      </c>
      <c r="B241" s="16">
        <v>71</v>
      </c>
      <c r="C241" s="9"/>
      <c r="D241" s="271" t="s">
        <v>8382</v>
      </c>
      <c r="E241" s="263"/>
      <c r="F241" s="263"/>
      <c r="G241" s="263">
        <v>5</v>
      </c>
      <c r="H241" s="263"/>
      <c r="I241" s="263"/>
      <c r="J241" s="263"/>
      <c r="K241" s="267">
        <v>5</v>
      </c>
    </row>
    <row r="242" spans="1:11">
      <c r="A242" s="9" t="s">
        <v>2056</v>
      </c>
      <c r="B242" s="16">
        <v>71</v>
      </c>
      <c r="C242" s="9"/>
      <c r="D242" s="271" t="s">
        <v>8383</v>
      </c>
      <c r="E242" s="263">
        <v>5</v>
      </c>
      <c r="F242" s="263"/>
      <c r="G242" s="263"/>
      <c r="H242" s="263"/>
      <c r="I242" s="263"/>
      <c r="J242" s="263"/>
      <c r="K242" s="267">
        <v>5</v>
      </c>
    </row>
    <row r="243" spans="1:11">
      <c r="A243" s="9" t="s">
        <v>2057</v>
      </c>
      <c r="B243" s="16">
        <v>71</v>
      </c>
      <c r="C243" s="9"/>
      <c r="D243" s="271" t="s">
        <v>8384</v>
      </c>
      <c r="E243" s="263">
        <v>5</v>
      </c>
      <c r="F243" s="263"/>
      <c r="G243" s="263"/>
      <c r="H243" s="263"/>
      <c r="I243" s="263"/>
      <c r="J243" s="263"/>
      <c r="K243" s="267">
        <v>5</v>
      </c>
    </row>
    <row r="244" spans="1:11">
      <c r="A244" s="9" t="s">
        <v>12581</v>
      </c>
      <c r="B244" s="16">
        <v>71</v>
      </c>
      <c r="C244" s="9"/>
      <c r="D244" s="271" t="s">
        <v>8385</v>
      </c>
      <c r="E244" s="263"/>
      <c r="F244" s="263"/>
      <c r="G244" s="263"/>
      <c r="H244" s="263"/>
      <c r="I244" s="263"/>
      <c r="J244" s="263">
        <v>5</v>
      </c>
      <c r="K244" s="267">
        <v>5</v>
      </c>
    </row>
    <row r="245" spans="1:11">
      <c r="A245" s="9" t="s">
        <v>12582</v>
      </c>
      <c r="B245" s="16">
        <v>71</v>
      </c>
      <c r="C245" s="9"/>
      <c r="D245" s="271" t="s">
        <v>8386</v>
      </c>
      <c r="E245" s="263"/>
      <c r="F245" s="263"/>
      <c r="G245" s="263"/>
      <c r="H245" s="263"/>
      <c r="I245" s="263"/>
      <c r="J245" s="263">
        <v>5</v>
      </c>
      <c r="K245" s="267">
        <v>5</v>
      </c>
    </row>
    <row r="246" spans="1:11">
      <c r="A246" s="9" t="s">
        <v>12583</v>
      </c>
      <c r="B246" s="16">
        <v>71</v>
      </c>
      <c r="C246" s="9"/>
      <c r="D246" s="271" t="s">
        <v>8387</v>
      </c>
      <c r="E246" s="263"/>
      <c r="F246" s="263"/>
      <c r="G246" s="263"/>
      <c r="H246" s="263"/>
      <c r="I246" s="263"/>
      <c r="J246" s="263">
        <v>5</v>
      </c>
      <c r="K246" s="267">
        <v>5</v>
      </c>
    </row>
    <row r="247" spans="1:11">
      <c r="A247" s="9" t="s">
        <v>12584</v>
      </c>
      <c r="B247" s="16">
        <v>71</v>
      </c>
      <c r="C247" s="9"/>
      <c r="D247" s="271" t="s">
        <v>8388</v>
      </c>
      <c r="E247" s="263"/>
      <c r="F247" s="263"/>
      <c r="G247" s="263"/>
      <c r="H247" s="263"/>
      <c r="I247" s="263"/>
      <c r="J247" s="263">
        <v>5</v>
      </c>
      <c r="K247" s="267">
        <v>5</v>
      </c>
    </row>
    <row r="248" spans="1:11">
      <c r="B248" s="16">
        <v>71</v>
      </c>
      <c r="C248" s="9"/>
      <c r="D248" s="272" t="s">
        <v>3674</v>
      </c>
      <c r="E248" s="273">
        <v>10</v>
      </c>
      <c r="F248" s="273">
        <v>0</v>
      </c>
      <c r="G248" s="273">
        <v>15</v>
      </c>
      <c r="H248" s="273">
        <v>0</v>
      </c>
      <c r="I248" s="273">
        <v>5</v>
      </c>
      <c r="J248" s="273">
        <v>20</v>
      </c>
      <c r="K248" s="273">
        <v>50</v>
      </c>
    </row>
    <row r="249" spans="1:11">
      <c r="A249" s="9" t="s">
        <v>2058</v>
      </c>
      <c r="B249" s="16">
        <v>72</v>
      </c>
      <c r="C249" s="9"/>
      <c r="D249" s="271" t="s">
        <v>8389</v>
      </c>
      <c r="E249" s="263">
        <v>5</v>
      </c>
      <c r="F249" s="263"/>
      <c r="G249" s="263"/>
      <c r="H249" s="263"/>
      <c r="I249" s="263"/>
      <c r="J249" s="263"/>
      <c r="K249" s="267">
        <v>5</v>
      </c>
    </row>
    <row r="250" spans="1:11">
      <c r="A250" s="9" t="s">
        <v>12585</v>
      </c>
      <c r="B250" s="16">
        <v>72</v>
      </c>
      <c r="C250" s="9"/>
      <c r="D250" s="271" t="s">
        <v>8390</v>
      </c>
      <c r="E250" s="263"/>
      <c r="F250" s="263"/>
      <c r="G250" s="263">
        <v>5</v>
      </c>
      <c r="H250" s="263"/>
      <c r="I250" s="263"/>
      <c r="J250" s="263"/>
      <c r="K250" s="267">
        <v>5</v>
      </c>
    </row>
    <row r="251" spans="1:11">
      <c r="A251" s="9" t="s">
        <v>2059</v>
      </c>
      <c r="B251" s="16">
        <v>72</v>
      </c>
      <c r="C251" s="9"/>
      <c r="D251" s="271" t="s">
        <v>8391</v>
      </c>
      <c r="E251" s="263">
        <v>5</v>
      </c>
      <c r="F251" s="263"/>
      <c r="G251" s="263"/>
      <c r="H251" s="263"/>
      <c r="I251" s="263"/>
      <c r="J251" s="263"/>
      <c r="K251" s="267">
        <v>5</v>
      </c>
    </row>
    <row r="252" spans="1:11">
      <c r="A252" s="9" t="s">
        <v>12586</v>
      </c>
      <c r="B252" s="16">
        <v>72</v>
      </c>
      <c r="C252" s="9"/>
      <c r="D252" s="271" t="s">
        <v>8392</v>
      </c>
      <c r="E252" s="263"/>
      <c r="F252" s="263"/>
      <c r="G252" s="263">
        <v>5</v>
      </c>
      <c r="H252" s="263"/>
      <c r="I252" s="263"/>
      <c r="J252" s="263"/>
      <c r="K252" s="267">
        <v>5</v>
      </c>
    </row>
    <row r="253" spans="1:11">
      <c r="A253" s="9" t="s">
        <v>12587</v>
      </c>
      <c r="B253" s="16">
        <v>72</v>
      </c>
      <c r="C253" s="9"/>
      <c r="D253" s="271" t="s">
        <v>8393</v>
      </c>
      <c r="E253" s="263"/>
      <c r="F253" s="263"/>
      <c r="G253" s="263">
        <v>5</v>
      </c>
      <c r="H253" s="263"/>
      <c r="I253" s="263"/>
      <c r="J253" s="263"/>
      <c r="K253" s="267">
        <v>5</v>
      </c>
    </row>
    <row r="254" spans="1:11">
      <c r="A254" s="9" t="s">
        <v>12588</v>
      </c>
      <c r="B254" s="16">
        <v>72</v>
      </c>
      <c r="C254" s="9"/>
      <c r="D254" s="271" t="s">
        <v>8394</v>
      </c>
      <c r="E254" s="263"/>
      <c r="F254" s="263"/>
      <c r="G254" s="263"/>
      <c r="H254" s="263">
        <v>5</v>
      </c>
      <c r="I254" s="263"/>
      <c r="J254" s="263"/>
      <c r="K254" s="267">
        <v>5</v>
      </c>
    </row>
    <row r="255" spans="1:11">
      <c r="A255" s="9" t="s">
        <v>12589</v>
      </c>
      <c r="B255" s="16">
        <v>72</v>
      </c>
      <c r="C255" s="9"/>
      <c r="D255" s="271" t="s">
        <v>8395</v>
      </c>
      <c r="E255" s="263"/>
      <c r="F255" s="263"/>
      <c r="G255" s="263"/>
      <c r="H255" s="263"/>
      <c r="I255" s="263"/>
      <c r="J255" s="263">
        <v>5</v>
      </c>
      <c r="K255" s="267">
        <v>5</v>
      </c>
    </row>
    <row r="256" spans="1:11">
      <c r="A256" s="9" t="s">
        <v>12590</v>
      </c>
      <c r="B256" s="16">
        <v>72</v>
      </c>
      <c r="C256" s="9"/>
      <c r="D256" s="271" t="s">
        <v>8396</v>
      </c>
      <c r="E256" s="263"/>
      <c r="F256" s="263"/>
      <c r="G256" s="263"/>
      <c r="H256" s="263"/>
      <c r="I256" s="263"/>
      <c r="J256" s="263">
        <v>5</v>
      </c>
      <c r="K256" s="267">
        <v>5</v>
      </c>
    </row>
    <row r="257" spans="1:11">
      <c r="A257" s="9" t="s">
        <v>12591</v>
      </c>
      <c r="B257" s="16">
        <v>72</v>
      </c>
      <c r="C257" s="9"/>
      <c r="D257" s="271" t="s">
        <v>8397</v>
      </c>
      <c r="E257" s="263"/>
      <c r="F257" s="263"/>
      <c r="G257" s="263">
        <v>5</v>
      </c>
      <c r="H257" s="263"/>
      <c r="I257" s="263"/>
      <c r="J257" s="263"/>
      <c r="K257" s="267">
        <v>5</v>
      </c>
    </row>
    <row r="258" spans="1:11">
      <c r="A258" s="9" t="s">
        <v>2060</v>
      </c>
      <c r="B258" s="16">
        <v>72</v>
      </c>
      <c r="C258" s="9"/>
      <c r="D258" s="271" t="s">
        <v>8398</v>
      </c>
      <c r="E258" s="263">
        <v>5</v>
      </c>
      <c r="F258" s="263"/>
      <c r="G258" s="263"/>
      <c r="H258" s="263"/>
      <c r="I258" s="263"/>
      <c r="J258" s="263"/>
      <c r="K258" s="267">
        <v>5</v>
      </c>
    </row>
    <row r="259" spans="1:11">
      <c r="B259" s="16">
        <v>72</v>
      </c>
      <c r="C259" s="9"/>
      <c r="D259" s="271"/>
      <c r="E259" s="263"/>
      <c r="F259" s="263"/>
      <c r="G259" s="263"/>
      <c r="H259" s="263"/>
      <c r="I259" s="263"/>
      <c r="J259" s="263"/>
      <c r="K259" s="267">
        <v>0</v>
      </c>
    </row>
    <row r="260" spans="1:11">
      <c r="B260" s="16">
        <v>72</v>
      </c>
      <c r="C260" s="9"/>
      <c r="D260" s="272" t="s">
        <v>3674</v>
      </c>
      <c r="E260" s="273">
        <v>15</v>
      </c>
      <c r="F260" s="273">
        <v>0</v>
      </c>
      <c r="G260" s="273">
        <v>20</v>
      </c>
      <c r="H260" s="273">
        <v>5</v>
      </c>
      <c r="I260" s="273">
        <v>0</v>
      </c>
      <c r="J260" s="273">
        <v>10</v>
      </c>
      <c r="K260" s="273">
        <v>50</v>
      </c>
    </row>
    <row r="261" spans="1:11">
      <c r="C261" s="9"/>
      <c r="D261" s="271"/>
      <c r="E261" s="263"/>
      <c r="F261" s="263"/>
      <c r="G261" s="263"/>
      <c r="H261" s="263"/>
      <c r="I261" s="263"/>
      <c r="J261" s="263"/>
      <c r="K261" s="267">
        <v>0</v>
      </c>
    </row>
    <row r="262" spans="1:11">
      <c r="B262" s="16">
        <v>0</v>
      </c>
      <c r="C262" s="9"/>
      <c r="D262" s="269" t="s">
        <v>13087</v>
      </c>
      <c r="E262" s="270">
        <v>70</v>
      </c>
      <c r="F262" s="270">
        <v>10</v>
      </c>
      <c r="G262" s="270">
        <v>65</v>
      </c>
      <c r="H262" s="270">
        <v>10</v>
      </c>
      <c r="I262" s="270">
        <v>5</v>
      </c>
      <c r="J262" s="270">
        <v>40</v>
      </c>
      <c r="K262" s="270">
        <v>200</v>
      </c>
    </row>
    <row r="263" spans="1:11">
      <c r="C263" s="9"/>
      <c r="D263" s="271"/>
      <c r="E263" s="263"/>
      <c r="F263" s="263"/>
      <c r="G263" s="263"/>
      <c r="H263" s="263"/>
      <c r="I263" s="263"/>
      <c r="J263" s="263"/>
      <c r="K263" s="267">
        <v>0</v>
      </c>
    </row>
    <row r="264" spans="1:11">
      <c r="C264" s="9"/>
      <c r="D264" s="271"/>
      <c r="E264" s="263"/>
      <c r="F264" s="263"/>
      <c r="G264" s="263"/>
      <c r="H264" s="263"/>
      <c r="I264" s="263"/>
      <c r="J264" s="263"/>
      <c r="K264" s="267">
        <v>0</v>
      </c>
    </row>
    <row r="265" spans="1:11">
      <c r="C265" s="9"/>
      <c r="D265" s="271" t="s">
        <v>4279</v>
      </c>
      <c r="E265" s="263"/>
      <c r="F265" s="263"/>
      <c r="G265" s="263"/>
      <c r="H265" s="263"/>
      <c r="I265" s="263"/>
      <c r="J265" s="263"/>
      <c r="K265" s="267">
        <v>0</v>
      </c>
    </row>
    <row r="266" spans="1:11">
      <c r="C266" s="9"/>
      <c r="D266" s="271"/>
      <c r="E266" s="263"/>
      <c r="F266" s="263"/>
      <c r="G266" s="263"/>
      <c r="H266" s="263"/>
      <c r="I266" s="263"/>
      <c r="J266" s="263"/>
      <c r="K266" s="267">
        <v>0</v>
      </c>
    </row>
    <row r="267" spans="1:11">
      <c r="A267" s="9" t="s">
        <v>12592</v>
      </c>
      <c r="B267" s="16">
        <v>69</v>
      </c>
      <c r="C267" s="9"/>
      <c r="D267" s="271" t="s">
        <v>8249</v>
      </c>
      <c r="E267" s="263">
        <v>0</v>
      </c>
      <c r="F267" s="263">
        <v>0</v>
      </c>
      <c r="G267" s="263">
        <v>3</v>
      </c>
      <c r="H267" s="263">
        <v>0</v>
      </c>
      <c r="I267" s="263">
        <v>0</v>
      </c>
      <c r="J267" s="263">
        <v>0</v>
      </c>
      <c r="K267" s="267">
        <v>3</v>
      </c>
    </row>
    <row r="268" spans="1:11">
      <c r="A268" s="9" t="s">
        <v>12593</v>
      </c>
      <c r="B268" s="16">
        <v>69</v>
      </c>
      <c r="C268" s="9"/>
      <c r="D268" s="271" t="s">
        <v>8250</v>
      </c>
      <c r="E268" s="263">
        <v>0</v>
      </c>
      <c r="F268" s="263">
        <v>0</v>
      </c>
      <c r="G268" s="263">
        <v>4</v>
      </c>
      <c r="H268" s="263">
        <v>0</v>
      </c>
      <c r="I268" s="263">
        <v>0</v>
      </c>
      <c r="J268" s="263">
        <v>0</v>
      </c>
      <c r="K268" s="267">
        <v>4</v>
      </c>
    </row>
    <row r="269" spans="1:11">
      <c r="A269" s="9" t="s">
        <v>12594</v>
      </c>
      <c r="B269" s="16">
        <v>69</v>
      </c>
      <c r="C269" s="9"/>
      <c r="D269" s="271" t="s">
        <v>8251</v>
      </c>
      <c r="E269" s="263">
        <v>0</v>
      </c>
      <c r="F269" s="263">
        <v>0</v>
      </c>
      <c r="G269" s="263">
        <v>3</v>
      </c>
      <c r="H269" s="263">
        <v>0</v>
      </c>
      <c r="I269" s="263">
        <v>0</v>
      </c>
      <c r="J269" s="263">
        <v>0</v>
      </c>
      <c r="K269" s="267">
        <v>3</v>
      </c>
    </row>
    <row r="270" spans="1:11">
      <c r="A270" s="9" t="s">
        <v>12595</v>
      </c>
      <c r="B270" s="16">
        <v>69</v>
      </c>
      <c r="C270" s="9"/>
      <c r="D270" s="271" t="s">
        <v>8252</v>
      </c>
      <c r="E270" s="263">
        <v>0</v>
      </c>
      <c r="F270" s="263">
        <v>0</v>
      </c>
      <c r="G270" s="263">
        <v>3</v>
      </c>
      <c r="H270" s="263">
        <v>0</v>
      </c>
      <c r="I270" s="263">
        <v>0</v>
      </c>
      <c r="J270" s="263">
        <v>0</v>
      </c>
      <c r="K270" s="267">
        <v>3</v>
      </c>
    </row>
    <row r="271" spans="1:11">
      <c r="A271" s="9" t="s">
        <v>12596</v>
      </c>
      <c r="B271" s="16">
        <v>69</v>
      </c>
      <c r="C271" s="9"/>
      <c r="D271" s="271" t="s">
        <v>8253</v>
      </c>
      <c r="E271" s="263">
        <v>0</v>
      </c>
      <c r="F271" s="263">
        <v>0</v>
      </c>
      <c r="G271" s="263">
        <v>3</v>
      </c>
      <c r="H271" s="263">
        <v>0</v>
      </c>
      <c r="I271" s="263">
        <v>0</v>
      </c>
      <c r="J271" s="263">
        <v>0</v>
      </c>
      <c r="K271" s="267">
        <v>3</v>
      </c>
    </row>
    <row r="272" spans="1:11">
      <c r="A272" s="9" t="s">
        <v>12597</v>
      </c>
      <c r="B272" s="16">
        <v>69</v>
      </c>
      <c r="C272" s="9"/>
      <c r="D272" s="271" t="s">
        <v>8254</v>
      </c>
      <c r="E272" s="263">
        <v>0</v>
      </c>
      <c r="F272" s="263">
        <v>0</v>
      </c>
      <c r="G272" s="263">
        <v>3</v>
      </c>
      <c r="H272" s="263">
        <v>0</v>
      </c>
      <c r="I272" s="263">
        <v>0</v>
      </c>
      <c r="J272" s="263">
        <v>0</v>
      </c>
      <c r="K272" s="267">
        <v>3</v>
      </c>
    </row>
    <row r="273" spans="1:11">
      <c r="B273" s="16">
        <v>69</v>
      </c>
      <c r="C273" s="9"/>
      <c r="D273" s="271"/>
      <c r="E273" s="263"/>
      <c r="F273" s="263"/>
      <c r="G273" s="263"/>
      <c r="H273" s="263"/>
      <c r="I273" s="263"/>
      <c r="J273" s="263"/>
      <c r="K273" s="267">
        <v>0</v>
      </c>
    </row>
    <row r="274" spans="1:11">
      <c r="B274" s="16">
        <v>69</v>
      </c>
      <c r="C274" s="9"/>
      <c r="D274" s="272" t="s">
        <v>3674</v>
      </c>
      <c r="E274" s="273">
        <v>0</v>
      </c>
      <c r="F274" s="273">
        <v>0</v>
      </c>
      <c r="G274" s="273">
        <v>19</v>
      </c>
      <c r="H274" s="273">
        <v>0</v>
      </c>
      <c r="I274" s="273">
        <v>0</v>
      </c>
      <c r="J274" s="273">
        <v>0</v>
      </c>
      <c r="K274" s="273">
        <v>19</v>
      </c>
    </row>
    <row r="275" spans="1:11">
      <c r="C275" s="9"/>
      <c r="D275" s="271"/>
      <c r="E275" s="263"/>
      <c r="F275" s="263"/>
      <c r="G275" s="263"/>
      <c r="H275" s="263"/>
      <c r="I275" s="263"/>
      <c r="J275" s="263"/>
      <c r="K275" s="267">
        <v>0</v>
      </c>
    </row>
    <row r="276" spans="1:11">
      <c r="A276" s="9" t="s">
        <v>2061</v>
      </c>
      <c r="B276" s="16">
        <v>73</v>
      </c>
      <c r="C276" s="9"/>
      <c r="D276" s="271" t="s">
        <v>8255</v>
      </c>
      <c r="E276" s="263">
        <v>3</v>
      </c>
      <c r="F276" s="263">
        <v>0</v>
      </c>
      <c r="G276" s="263">
        <v>0</v>
      </c>
      <c r="H276" s="263">
        <v>0</v>
      </c>
      <c r="I276" s="263">
        <v>0</v>
      </c>
      <c r="J276" s="263">
        <v>0</v>
      </c>
      <c r="K276" s="267">
        <v>3</v>
      </c>
    </row>
    <row r="277" spans="1:11">
      <c r="A277" s="9" t="s">
        <v>12598</v>
      </c>
      <c r="B277" s="16">
        <v>73</v>
      </c>
      <c r="C277" s="9"/>
      <c r="D277" s="271" t="s">
        <v>8256</v>
      </c>
      <c r="E277" s="263">
        <v>0</v>
      </c>
      <c r="F277" s="263">
        <v>2</v>
      </c>
      <c r="G277" s="263">
        <v>0</v>
      </c>
      <c r="H277" s="263">
        <v>0</v>
      </c>
      <c r="I277" s="263">
        <v>0</v>
      </c>
      <c r="J277" s="263">
        <v>0</v>
      </c>
      <c r="K277" s="267">
        <v>2</v>
      </c>
    </row>
    <row r="278" spans="1:11" ht="31.5">
      <c r="A278" s="9" t="s">
        <v>12599</v>
      </c>
      <c r="B278" s="16">
        <v>73</v>
      </c>
      <c r="C278" s="9"/>
      <c r="D278" s="271" t="s">
        <v>8257</v>
      </c>
      <c r="E278" s="263">
        <v>0</v>
      </c>
      <c r="F278" s="263">
        <v>0</v>
      </c>
      <c r="G278" s="263">
        <v>3</v>
      </c>
      <c r="H278" s="263">
        <v>0</v>
      </c>
      <c r="I278" s="263">
        <v>0</v>
      </c>
      <c r="J278" s="263">
        <v>0</v>
      </c>
      <c r="K278" s="267">
        <v>3</v>
      </c>
    </row>
    <row r="279" spans="1:11">
      <c r="B279" s="16">
        <v>73</v>
      </c>
      <c r="C279" s="9"/>
      <c r="D279" s="272" t="s">
        <v>3674</v>
      </c>
      <c r="E279" s="273">
        <v>3</v>
      </c>
      <c r="F279" s="273">
        <v>2</v>
      </c>
      <c r="G279" s="273">
        <v>3</v>
      </c>
      <c r="H279" s="273">
        <v>0</v>
      </c>
      <c r="I279" s="273">
        <v>0</v>
      </c>
      <c r="J279" s="273">
        <v>0</v>
      </c>
      <c r="K279" s="273">
        <v>8</v>
      </c>
    </row>
    <row r="280" spans="1:11">
      <c r="A280" s="9" t="s">
        <v>2062</v>
      </c>
      <c r="B280" s="16">
        <v>74</v>
      </c>
      <c r="C280" s="9"/>
      <c r="D280" s="271" t="s">
        <v>8258</v>
      </c>
      <c r="E280" s="263">
        <v>5</v>
      </c>
      <c r="F280" s="263">
        <v>0</v>
      </c>
      <c r="G280" s="263">
        <v>0</v>
      </c>
      <c r="H280" s="263">
        <v>0</v>
      </c>
      <c r="I280" s="263">
        <v>0</v>
      </c>
      <c r="J280" s="263">
        <v>0</v>
      </c>
      <c r="K280" s="267">
        <v>5</v>
      </c>
    </row>
    <row r="281" spans="1:11">
      <c r="A281" s="9" t="s">
        <v>12600</v>
      </c>
      <c r="B281" s="16">
        <v>74</v>
      </c>
      <c r="C281" s="9"/>
      <c r="D281" s="271" t="s">
        <v>8259</v>
      </c>
      <c r="E281" s="263">
        <v>0</v>
      </c>
      <c r="F281" s="263">
        <v>3</v>
      </c>
      <c r="G281" s="263">
        <v>0</v>
      </c>
      <c r="H281" s="263">
        <v>0</v>
      </c>
      <c r="I281" s="263">
        <v>0</v>
      </c>
      <c r="J281" s="263">
        <v>0</v>
      </c>
      <c r="K281" s="267">
        <v>3</v>
      </c>
    </row>
    <row r="282" spans="1:11">
      <c r="A282" s="9" t="s">
        <v>12601</v>
      </c>
      <c r="B282" s="16">
        <v>74</v>
      </c>
      <c r="C282" s="9"/>
      <c r="D282" s="271" t="s">
        <v>8260</v>
      </c>
      <c r="E282" s="263">
        <v>0</v>
      </c>
      <c r="F282" s="263">
        <v>5</v>
      </c>
      <c r="G282" s="263">
        <v>0</v>
      </c>
      <c r="H282" s="263">
        <v>0</v>
      </c>
      <c r="I282" s="263">
        <v>0</v>
      </c>
      <c r="J282" s="263">
        <v>0</v>
      </c>
      <c r="K282" s="267">
        <v>5</v>
      </c>
    </row>
    <row r="283" spans="1:11">
      <c r="A283" s="9" t="s">
        <v>12602</v>
      </c>
      <c r="B283" s="16">
        <v>74</v>
      </c>
      <c r="C283" s="9"/>
      <c r="D283" s="271" t="s">
        <v>8261</v>
      </c>
      <c r="E283" s="263">
        <v>0</v>
      </c>
      <c r="F283" s="263">
        <v>0</v>
      </c>
      <c r="G283" s="263">
        <v>5</v>
      </c>
      <c r="H283" s="263">
        <v>0</v>
      </c>
      <c r="I283" s="263">
        <v>0</v>
      </c>
      <c r="J283" s="263">
        <v>0</v>
      </c>
      <c r="K283" s="267">
        <v>5</v>
      </c>
    </row>
    <row r="284" spans="1:11">
      <c r="B284" s="16">
        <v>74</v>
      </c>
      <c r="C284" s="9"/>
      <c r="D284" s="271"/>
      <c r="E284" s="263"/>
      <c r="F284" s="263"/>
      <c r="G284" s="263"/>
      <c r="H284" s="263"/>
      <c r="I284" s="263"/>
      <c r="J284" s="263"/>
      <c r="K284" s="267">
        <v>0</v>
      </c>
    </row>
    <row r="285" spans="1:11">
      <c r="B285" s="16">
        <v>74</v>
      </c>
      <c r="C285" s="9"/>
      <c r="D285" s="272" t="s">
        <v>3674</v>
      </c>
      <c r="E285" s="273">
        <v>5</v>
      </c>
      <c r="F285" s="273">
        <v>8</v>
      </c>
      <c r="G285" s="273">
        <v>5</v>
      </c>
      <c r="H285" s="273">
        <v>0</v>
      </c>
      <c r="I285" s="273">
        <v>0</v>
      </c>
      <c r="J285" s="273">
        <v>0</v>
      </c>
      <c r="K285" s="273">
        <v>18</v>
      </c>
    </row>
    <row r="286" spans="1:11">
      <c r="C286" s="9"/>
      <c r="D286" s="271"/>
      <c r="E286" s="263"/>
      <c r="F286" s="263"/>
      <c r="G286" s="263"/>
      <c r="H286" s="263"/>
      <c r="I286" s="263"/>
      <c r="J286" s="263"/>
      <c r="K286" s="267">
        <v>0</v>
      </c>
    </row>
    <row r="287" spans="1:11">
      <c r="A287" s="9" t="s">
        <v>12603</v>
      </c>
      <c r="B287" s="16">
        <v>75</v>
      </c>
      <c r="C287" s="9"/>
      <c r="D287" s="271" t="s">
        <v>8262</v>
      </c>
      <c r="E287" s="263">
        <v>0</v>
      </c>
      <c r="F287" s="263">
        <v>0</v>
      </c>
      <c r="G287" s="263">
        <v>5</v>
      </c>
      <c r="H287" s="263">
        <v>0</v>
      </c>
      <c r="I287" s="263">
        <v>0</v>
      </c>
      <c r="J287" s="263">
        <v>0</v>
      </c>
      <c r="K287" s="267">
        <v>5</v>
      </c>
    </row>
    <row r="288" spans="1:11">
      <c r="A288" s="9" t="s">
        <v>12604</v>
      </c>
      <c r="B288" s="16">
        <v>75</v>
      </c>
      <c r="C288" s="9"/>
      <c r="D288" s="271" t="s">
        <v>8263</v>
      </c>
      <c r="E288" s="263">
        <v>0</v>
      </c>
      <c r="F288" s="263">
        <v>0</v>
      </c>
      <c r="G288" s="263">
        <v>5</v>
      </c>
      <c r="H288" s="263">
        <v>0</v>
      </c>
      <c r="I288" s="263">
        <v>0</v>
      </c>
      <c r="J288" s="263">
        <v>0</v>
      </c>
      <c r="K288" s="267">
        <v>5</v>
      </c>
    </row>
    <row r="289" spans="1:11">
      <c r="B289" s="16">
        <v>75</v>
      </c>
      <c r="C289" s="9"/>
      <c r="D289" s="271"/>
      <c r="E289" s="263"/>
      <c r="F289" s="263"/>
      <c r="G289" s="263"/>
      <c r="H289" s="263"/>
      <c r="I289" s="263"/>
      <c r="J289" s="263"/>
      <c r="K289" s="267">
        <v>0</v>
      </c>
    </row>
    <row r="290" spans="1:11">
      <c r="B290" s="16">
        <v>75</v>
      </c>
      <c r="C290" s="9"/>
      <c r="D290" s="272" t="s">
        <v>3674</v>
      </c>
      <c r="E290" s="273">
        <v>0</v>
      </c>
      <c r="F290" s="273">
        <v>0</v>
      </c>
      <c r="G290" s="273">
        <v>10</v>
      </c>
      <c r="H290" s="273">
        <v>0</v>
      </c>
      <c r="I290" s="273">
        <v>0</v>
      </c>
      <c r="J290" s="273">
        <v>0</v>
      </c>
      <c r="K290" s="273">
        <v>10</v>
      </c>
    </row>
    <row r="291" spans="1:11">
      <c r="C291" s="9"/>
      <c r="D291" s="271"/>
      <c r="E291" s="263"/>
      <c r="F291" s="263"/>
      <c r="G291" s="263"/>
      <c r="H291" s="263"/>
      <c r="I291" s="263"/>
      <c r="J291" s="263"/>
      <c r="K291" s="267">
        <v>0</v>
      </c>
    </row>
    <row r="292" spans="1:11">
      <c r="A292" s="9" t="s">
        <v>12605</v>
      </c>
      <c r="B292" s="16">
        <v>76</v>
      </c>
      <c r="C292" s="9"/>
      <c r="D292" s="271" t="s">
        <v>8264</v>
      </c>
      <c r="E292" s="263">
        <v>0</v>
      </c>
      <c r="F292" s="263">
        <v>2</v>
      </c>
      <c r="G292" s="263">
        <v>0</v>
      </c>
      <c r="H292" s="263">
        <v>0</v>
      </c>
      <c r="I292" s="263">
        <v>0</v>
      </c>
      <c r="J292" s="263">
        <v>0</v>
      </c>
      <c r="K292" s="267">
        <v>2</v>
      </c>
    </row>
    <row r="293" spans="1:11">
      <c r="A293" s="9" t="s">
        <v>12606</v>
      </c>
      <c r="B293" s="16">
        <v>76</v>
      </c>
      <c r="C293" s="9"/>
      <c r="D293" s="271" t="s">
        <v>8265</v>
      </c>
      <c r="E293" s="263">
        <v>0</v>
      </c>
      <c r="F293" s="263">
        <v>0</v>
      </c>
      <c r="G293" s="263">
        <v>3</v>
      </c>
      <c r="H293" s="263">
        <v>0</v>
      </c>
      <c r="I293" s="263">
        <v>0</v>
      </c>
      <c r="J293" s="263">
        <v>0</v>
      </c>
      <c r="K293" s="267">
        <v>3</v>
      </c>
    </row>
    <row r="294" spans="1:11">
      <c r="B294" s="16">
        <v>76</v>
      </c>
      <c r="C294" s="9"/>
      <c r="D294" s="271"/>
      <c r="E294" s="263"/>
      <c r="F294" s="263"/>
      <c r="G294" s="263"/>
      <c r="H294" s="263"/>
      <c r="I294" s="263"/>
      <c r="J294" s="263"/>
      <c r="K294" s="267">
        <v>0</v>
      </c>
    </row>
    <row r="295" spans="1:11">
      <c r="B295" s="16">
        <v>76</v>
      </c>
      <c r="C295" s="9"/>
      <c r="D295" s="272" t="s">
        <v>3674</v>
      </c>
      <c r="E295" s="273">
        <v>0</v>
      </c>
      <c r="F295" s="273">
        <v>2</v>
      </c>
      <c r="G295" s="273">
        <v>3</v>
      </c>
      <c r="H295" s="273">
        <v>0</v>
      </c>
      <c r="I295" s="273">
        <v>0</v>
      </c>
      <c r="J295" s="273">
        <v>0</v>
      </c>
      <c r="K295" s="273">
        <v>5</v>
      </c>
    </row>
    <row r="296" spans="1:11">
      <c r="C296" s="9"/>
      <c r="D296" s="271"/>
      <c r="E296" s="263"/>
      <c r="F296" s="263"/>
      <c r="G296" s="263"/>
      <c r="H296" s="263"/>
      <c r="I296" s="263"/>
      <c r="J296" s="263"/>
      <c r="K296" s="267">
        <v>0</v>
      </c>
    </row>
    <row r="297" spans="1:11">
      <c r="B297" s="16">
        <v>0</v>
      </c>
      <c r="C297" s="9"/>
      <c r="D297" s="269" t="s">
        <v>13088</v>
      </c>
      <c r="E297" s="270">
        <v>8</v>
      </c>
      <c r="F297" s="270">
        <v>12</v>
      </c>
      <c r="G297" s="270">
        <v>40</v>
      </c>
      <c r="H297" s="270">
        <v>0</v>
      </c>
      <c r="I297" s="270">
        <v>0</v>
      </c>
      <c r="J297" s="270">
        <v>0</v>
      </c>
      <c r="K297" s="270">
        <v>60</v>
      </c>
    </row>
    <row r="298" spans="1:11">
      <c r="C298" s="9"/>
      <c r="D298" s="271"/>
      <c r="E298" s="263"/>
      <c r="F298" s="263"/>
      <c r="G298" s="263"/>
      <c r="H298" s="263"/>
      <c r="I298" s="263"/>
      <c r="J298" s="263"/>
      <c r="K298" s="267">
        <v>0</v>
      </c>
    </row>
    <row r="299" spans="1:11">
      <c r="C299" s="9"/>
      <c r="D299" s="271"/>
      <c r="E299" s="263"/>
      <c r="F299" s="263"/>
      <c r="G299" s="263"/>
      <c r="H299" s="263"/>
      <c r="I299" s="263"/>
      <c r="J299" s="263"/>
      <c r="K299" s="267">
        <v>0</v>
      </c>
    </row>
    <row r="300" spans="1:11">
      <c r="C300" s="9"/>
      <c r="D300" s="271" t="s">
        <v>4280</v>
      </c>
      <c r="E300" s="263"/>
      <c r="F300" s="263"/>
      <c r="G300" s="263"/>
      <c r="H300" s="263"/>
      <c r="I300" s="263"/>
      <c r="J300" s="263"/>
      <c r="K300" s="267">
        <v>0</v>
      </c>
    </row>
    <row r="301" spans="1:11">
      <c r="C301" s="9"/>
      <c r="D301" s="271"/>
      <c r="E301" s="263"/>
      <c r="F301" s="263"/>
      <c r="G301" s="263"/>
      <c r="H301" s="263"/>
      <c r="I301" s="263"/>
      <c r="J301" s="263"/>
      <c r="K301" s="267">
        <v>0</v>
      </c>
    </row>
    <row r="302" spans="1:11">
      <c r="A302" s="9" t="s">
        <v>2063</v>
      </c>
      <c r="B302" s="16">
        <v>41</v>
      </c>
      <c r="C302" s="9"/>
      <c r="D302" s="271" t="s">
        <v>7990</v>
      </c>
      <c r="E302" s="263">
        <v>2</v>
      </c>
      <c r="F302" s="263"/>
      <c r="G302" s="263"/>
      <c r="H302" s="263"/>
      <c r="I302" s="263"/>
      <c r="J302" s="263"/>
      <c r="K302" s="267">
        <v>2</v>
      </c>
    </row>
    <row r="303" spans="1:11">
      <c r="A303" s="9" t="s">
        <v>12607</v>
      </c>
      <c r="B303" s="16">
        <v>41</v>
      </c>
      <c r="C303" s="9"/>
      <c r="D303" s="271" t="s">
        <v>7991</v>
      </c>
      <c r="E303" s="263"/>
      <c r="F303" s="263"/>
      <c r="G303" s="263">
        <v>2</v>
      </c>
      <c r="H303" s="263"/>
      <c r="I303" s="263"/>
      <c r="J303" s="263"/>
      <c r="K303" s="267">
        <v>2</v>
      </c>
    </row>
    <row r="304" spans="1:11">
      <c r="A304" s="9" t="s">
        <v>12608</v>
      </c>
      <c r="B304" s="16">
        <v>41</v>
      </c>
      <c r="C304" s="9"/>
      <c r="D304" s="271" t="s">
        <v>7992</v>
      </c>
      <c r="E304" s="263"/>
      <c r="F304" s="263"/>
      <c r="G304" s="263">
        <v>5</v>
      </c>
      <c r="H304" s="263"/>
      <c r="I304" s="263"/>
      <c r="J304" s="263"/>
      <c r="K304" s="267">
        <v>5</v>
      </c>
    </row>
    <row r="305" spans="1:11">
      <c r="A305" s="9" t="s">
        <v>12609</v>
      </c>
      <c r="B305" s="16">
        <v>41</v>
      </c>
      <c r="C305" s="9"/>
      <c r="D305" s="271" t="s">
        <v>7993</v>
      </c>
      <c r="E305" s="263"/>
      <c r="F305" s="263"/>
      <c r="G305" s="263">
        <v>2</v>
      </c>
      <c r="H305" s="263"/>
      <c r="I305" s="263"/>
      <c r="J305" s="263"/>
      <c r="K305" s="267">
        <v>2</v>
      </c>
    </row>
    <row r="306" spans="1:11">
      <c r="A306" s="9" t="s">
        <v>12610</v>
      </c>
      <c r="B306" s="16">
        <v>41</v>
      </c>
      <c r="C306" s="9"/>
      <c r="D306" s="271" t="s">
        <v>7994</v>
      </c>
      <c r="E306" s="263"/>
      <c r="F306" s="263"/>
      <c r="G306" s="263"/>
      <c r="H306" s="263"/>
      <c r="I306" s="263">
        <v>3</v>
      </c>
      <c r="J306" s="263"/>
      <c r="K306" s="267">
        <v>3</v>
      </c>
    </row>
    <row r="307" spans="1:11">
      <c r="B307" s="16">
        <v>41</v>
      </c>
      <c r="C307" s="9"/>
      <c r="D307" s="271"/>
      <c r="E307" s="263"/>
      <c r="F307" s="263"/>
      <c r="G307" s="263"/>
      <c r="H307" s="263"/>
      <c r="I307" s="263"/>
      <c r="J307" s="263"/>
      <c r="K307" s="267">
        <v>0</v>
      </c>
    </row>
    <row r="308" spans="1:11">
      <c r="B308" s="16">
        <v>41</v>
      </c>
      <c r="C308" s="9"/>
      <c r="D308" s="272" t="s">
        <v>3674</v>
      </c>
      <c r="E308" s="273">
        <v>2</v>
      </c>
      <c r="F308" s="273">
        <v>0</v>
      </c>
      <c r="G308" s="273">
        <v>9</v>
      </c>
      <c r="H308" s="273">
        <v>0</v>
      </c>
      <c r="I308" s="273">
        <v>3</v>
      </c>
      <c r="J308" s="273">
        <v>0</v>
      </c>
      <c r="K308" s="273">
        <v>14</v>
      </c>
    </row>
    <row r="309" spans="1:11">
      <c r="C309" s="9"/>
      <c r="D309" s="271"/>
      <c r="E309" s="263"/>
      <c r="F309" s="263"/>
      <c r="G309" s="263"/>
      <c r="H309" s="263"/>
      <c r="I309" s="263"/>
      <c r="J309" s="263"/>
      <c r="K309" s="267">
        <v>0</v>
      </c>
    </row>
    <row r="310" spans="1:11">
      <c r="A310" s="9" t="s">
        <v>2064</v>
      </c>
      <c r="B310" s="16">
        <v>46</v>
      </c>
      <c r="C310" s="9"/>
      <c r="D310" s="271" t="s">
        <v>7995</v>
      </c>
      <c r="E310" s="263">
        <v>5</v>
      </c>
      <c r="F310" s="263"/>
      <c r="G310" s="263"/>
      <c r="H310" s="263"/>
      <c r="I310" s="263"/>
      <c r="J310" s="263"/>
      <c r="K310" s="267">
        <v>5</v>
      </c>
    </row>
    <row r="311" spans="1:11">
      <c r="A311" s="9" t="s">
        <v>12611</v>
      </c>
      <c r="B311" s="16">
        <v>46</v>
      </c>
      <c r="C311" s="9"/>
      <c r="D311" s="271" t="s">
        <v>8000</v>
      </c>
      <c r="E311" s="263"/>
      <c r="F311" s="263">
        <v>3</v>
      </c>
      <c r="G311" s="263"/>
      <c r="H311" s="263"/>
      <c r="I311" s="263"/>
      <c r="J311" s="263"/>
      <c r="K311" s="267">
        <v>3</v>
      </c>
    </row>
    <row r="312" spans="1:11">
      <c r="B312" s="16">
        <v>46</v>
      </c>
      <c r="C312" s="9"/>
      <c r="D312" s="271"/>
      <c r="E312" s="263"/>
      <c r="F312" s="263"/>
      <c r="G312" s="263"/>
      <c r="H312" s="263"/>
      <c r="I312" s="263"/>
      <c r="J312" s="263"/>
      <c r="K312" s="267">
        <v>0</v>
      </c>
    </row>
    <row r="313" spans="1:11">
      <c r="B313" s="16">
        <v>46</v>
      </c>
      <c r="C313" s="9"/>
      <c r="D313" s="272" t="s">
        <v>3674</v>
      </c>
      <c r="E313" s="273">
        <v>5</v>
      </c>
      <c r="F313" s="273">
        <v>3</v>
      </c>
      <c r="G313" s="273">
        <v>0</v>
      </c>
      <c r="H313" s="273">
        <v>0</v>
      </c>
      <c r="I313" s="273">
        <v>0</v>
      </c>
      <c r="J313" s="273">
        <v>0</v>
      </c>
      <c r="K313" s="273">
        <v>8</v>
      </c>
    </row>
    <row r="314" spans="1:11">
      <c r="C314" s="9"/>
      <c r="D314" s="271"/>
      <c r="E314" s="263"/>
      <c r="F314" s="263"/>
      <c r="G314" s="263"/>
      <c r="H314" s="263"/>
      <c r="I314" s="263"/>
      <c r="J314" s="263"/>
      <c r="K314" s="267">
        <v>0</v>
      </c>
    </row>
    <row r="315" spans="1:11">
      <c r="A315" s="9" t="s">
        <v>2065</v>
      </c>
      <c r="B315" s="16">
        <v>61</v>
      </c>
      <c r="C315" s="9"/>
      <c r="D315" s="271" t="s">
        <v>7996</v>
      </c>
      <c r="E315" s="263">
        <v>4</v>
      </c>
      <c r="F315" s="263"/>
      <c r="G315" s="263"/>
      <c r="H315" s="263"/>
      <c r="I315" s="263"/>
      <c r="J315" s="263"/>
      <c r="K315" s="267">
        <v>4</v>
      </c>
    </row>
    <row r="316" spans="1:11">
      <c r="A316" s="9" t="s">
        <v>2066</v>
      </c>
      <c r="B316" s="16">
        <v>61</v>
      </c>
      <c r="C316" s="9"/>
      <c r="D316" s="271" t="s">
        <v>7997</v>
      </c>
      <c r="E316" s="263">
        <v>4</v>
      </c>
      <c r="F316" s="263"/>
      <c r="G316" s="263"/>
      <c r="H316" s="263"/>
      <c r="I316" s="263"/>
      <c r="J316" s="263"/>
      <c r="K316" s="267">
        <v>4</v>
      </c>
    </row>
    <row r="317" spans="1:11">
      <c r="A317" s="9" t="s">
        <v>2067</v>
      </c>
      <c r="B317" s="16">
        <v>61</v>
      </c>
      <c r="C317" s="9"/>
      <c r="D317" s="271" t="s">
        <v>7998</v>
      </c>
      <c r="E317" s="263">
        <v>5</v>
      </c>
      <c r="F317" s="263"/>
      <c r="G317" s="263"/>
      <c r="H317" s="263"/>
      <c r="I317" s="263"/>
      <c r="J317" s="263"/>
      <c r="K317" s="267">
        <v>5</v>
      </c>
    </row>
    <row r="318" spans="1:11">
      <c r="A318" s="9" t="s">
        <v>12612</v>
      </c>
      <c r="B318" s="16">
        <v>61</v>
      </c>
      <c r="C318" s="9"/>
      <c r="D318" s="271" t="s">
        <v>8001</v>
      </c>
      <c r="E318" s="263"/>
      <c r="F318" s="263"/>
      <c r="G318" s="263"/>
      <c r="H318" s="263">
        <v>2</v>
      </c>
      <c r="I318" s="263"/>
      <c r="J318" s="263"/>
      <c r="K318" s="267">
        <v>2</v>
      </c>
    </row>
    <row r="319" spans="1:11">
      <c r="B319" s="16">
        <v>61</v>
      </c>
      <c r="C319" s="9"/>
      <c r="D319" s="271"/>
      <c r="E319" s="263"/>
      <c r="F319" s="263"/>
      <c r="G319" s="263"/>
      <c r="H319" s="263"/>
      <c r="I319" s="263"/>
      <c r="J319" s="263"/>
      <c r="K319" s="267">
        <v>0</v>
      </c>
    </row>
    <row r="320" spans="1:11">
      <c r="B320" s="16">
        <v>61</v>
      </c>
      <c r="C320" s="9"/>
      <c r="D320" s="272" t="s">
        <v>3674</v>
      </c>
      <c r="E320" s="273">
        <v>13</v>
      </c>
      <c r="F320" s="273">
        <v>0</v>
      </c>
      <c r="G320" s="273">
        <v>0</v>
      </c>
      <c r="H320" s="273">
        <v>2</v>
      </c>
      <c r="I320" s="273">
        <v>0</v>
      </c>
      <c r="J320" s="273">
        <v>0</v>
      </c>
      <c r="K320" s="273">
        <v>15</v>
      </c>
    </row>
    <row r="321" spans="1:11">
      <c r="C321" s="9"/>
      <c r="D321" s="271"/>
      <c r="E321" s="263"/>
      <c r="F321" s="263"/>
      <c r="G321" s="263"/>
      <c r="H321" s="263"/>
      <c r="I321" s="263"/>
      <c r="J321" s="263"/>
      <c r="K321" s="267">
        <v>0</v>
      </c>
    </row>
    <row r="322" spans="1:11">
      <c r="A322" s="9" t="s">
        <v>2068</v>
      </c>
      <c r="B322" s="16">
        <v>62</v>
      </c>
      <c r="C322" s="9"/>
      <c r="D322" s="271" t="s">
        <v>7999</v>
      </c>
      <c r="E322" s="263">
        <v>5</v>
      </c>
      <c r="F322" s="263"/>
      <c r="G322" s="263"/>
      <c r="H322" s="263"/>
      <c r="I322" s="263"/>
      <c r="J322" s="263"/>
      <c r="K322" s="267">
        <v>5</v>
      </c>
    </row>
    <row r="323" spans="1:11">
      <c r="B323" s="16">
        <v>62</v>
      </c>
      <c r="C323" s="9"/>
      <c r="D323" s="271"/>
      <c r="E323" s="263"/>
      <c r="F323" s="263"/>
      <c r="G323" s="263"/>
      <c r="H323" s="263"/>
      <c r="I323" s="263"/>
      <c r="J323" s="263"/>
      <c r="K323" s="267">
        <v>0</v>
      </c>
    </row>
    <row r="324" spans="1:11">
      <c r="B324" s="16">
        <v>62</v>
      </c>
      <c r="C324" s="9"/>
      <c r="D324" s="272" t="s">
        <v>3674</v>
      </c>
      <c r="E324" s="273">
        <v>5</v>
      </c>
      <c r="F324" s="273">
        <v>0</v>
      </c>
      <c r="G324" s="273">
        <v>0</v>
      </c>
      <c r="H324" s="273">
        <v>0</v>
      </c>
      <c r="I324" s="273">
        <v>0</v>
      </c>
      <c r="J324" s="273">
        <v>0</v>
      </c>
      <c r="K324" s="273">
        <v>5</v>
      </c>
    </row>
    <row r="325" spans="1:11">
      <c r="C325" s="9"/>
      <c r="D325" s="271"/>
      <c r="E325" s="263"/>
      <c r="F325" s="263"/>
      <c r="G325" s="263"/>
      <c r="H325" s="263"/>
      <c r="I325" s="263"/>
      <c r="J325" s="263"/>
      <c r="K325" s="267">
        <v>0</v>
      </c>
    </row>
    <row r="326" spans="1:11">
      <c r="B326" s="16">
        <v>0</v>
      </c>
      <c r="C326" s="9"/>
      <c r="D326" s="269" t="s">
        <v>13089</v>
      </c>
      <c r="E326" s="270">
        <v>25</v>
      </c>
      <c r="F326" s="270">
        <v>3</v>
      </c>
      <c r="G326" s="270">
        <v>9</v>
      </c>
      <c r="H326" s="270">
        <v>2</v>
      </c>
      <c r="I326" s="270">
        <v>3</v>
      </c>
      <c r="J326" s="270">
        <v>0</v>
      </c>
      <c r="K326" s="270">
        <v>42</v>
      </c>
    </row>
  </sheetData>
  <printOptions horizontalCentered="1" gridLines="1" gridLinesSet="0"/>
  <pageMargins left="1" right="1" top="0.75" bottom="1" header="0.5" footer="0.75"/>
  <pageSetup paperSize="5" firstPageNumber="2" orientation="landscape" blackAndWhite="1" useFirstPageNumber="1" r:id="rId1"/>
  <headerFooter alignWithMargins="0">
    <oddFooter xml:space="preserve">&amp;C&amp;"Wingdings,Regular"&amp;12[  &amp;R&amp;"Arial,Bold"&amp;A  :  &amp;P / 12                         </oddFooter>
  </headerFooter>
  <rowBreaks count="8" manualBreakCount="8">
    <brk id="31" max="10" man="1"/>
    <brk id="61" max="17" man="1"/>
    <brk id="91" max="17" man="1"/>
    <brk id="123" max="17" man="1"/>
    <brk id="154" max="17" man="1"/>
    <brk id="248" max="17" man="1"/>
    <brk id="279" max="17" man="1"/>
    <brk id="299" max="1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57</vt:i4>
      </vt:variant>
    </vt:vector>
  </HeadingPairs>
  <TitlesOfParts>
    <vt:vector size="77" baseType="lpstr">
      <vt:lpstr>A_Revenue_Income</vt:lpstr>
      <vt:lpstr>A_Revenue_Expenditure</vt:lpstr>
      <vt:lpstr>A_Revenue_List</vt:lpstr>
      <vt:lpstr>A_Capital_Expenditure</vt:lpstr>
      <vt:lpstr>A_Land_Acquisition</vt:lpstr>
      <vt:lpstr>A_Special_Fund</vt:lpstr>
      <vt:lpstr>A_DPDC_Machinery_Tree</vt:lpstr>
      <vt:lpstr>A_Capital_List</vt:lpstr>
      <vt:lpstr>C_Revenue_Income</vt:lpstr>
      <vt:lpstr>C_Revenue_Expenditure</vt:lpstr>
      <vt:lpstr>C_Revenue_List</vt:lpstr>
      <vt:lpstr>C_Capital_Expenditure</vt:lpstr>
      <vt:lpstr>C_Capital_List</vt:lpstr>
      <vt:lpstr>JNNURM</vt:lpstr>
      <vt:lpstr>SPV</vt:lpstr>
      <vt:lpstr>SMRY1718</vt:lpstr>
      <vt:lpstr>WardOfficeNonPlan1718</vt:lpstr>
      <vt:lpstr>WardOfficePlan1718</vt:lpstr>
      <vt:lpstr>CitizensNonPlan1718</vt:lpstr>
      <vt:lpstr>CitizensPlan1718</vt:lpstr>
      <vt:lpstr>P_A_A03</vt:lpstr>
      <vt:lpstr>P_A_A05</vt:lpstr>
      <vt:lpstr>P_A_A12</vt:lpstr>
      <vt:lpstr>P_A_A14</vt:lpstr>
      <vt:lpstr>P_A_A15</vt:lpstr>
      <vt:lpstr>P_A_A16</vt:lpstr>
      <vt:lpstr>A_DPDC_Machinery_Tree!P_A_Bdgt</vt:lpstr>
      <vt:lpstr>A_Land_Acquisition!P_A_Bdgt</vt:lpstr>
      <vt:lpstr>A_Revenue_Income!P_A_Bdgt</vt:lpstr>
      <vt:lpstr>A_Special_Fund!P_A_Bdgt</vt:lpstr>
      <vt:lpstr>C_Capital_Expenditure!P_A_Bdgt</vt:lpstr>
      <vt:lpstr>C_Revenue_Expenditure!P_A_Bdgt</vt:lpstr>
      <vt:lpstr>P_A_C02</vt:lpstr>
      <vt:lpstr>P_A_C03</vt:lpstr>
      <vt:lpstr>P_A_C07</vt:lpstr>
      <vt:lpstr>P_A_jnnurm</vt:lpstr>
      <vt:lpstr>A_Capital_List!P_A_ListA</vt:lpstr>
      <vt:lpstr>A_Revenue_List!P_A_ListA</vt:lpstr>
      <vt:lpstr>C_Capital_List!P_A_ListC</vt:lpstr>
      <vt:lpstr>C_Revenue_List!P_A_ListC</vt:lpstr>
      <vt:lpstr>A_Special_Fund!P_A_Smry</vt:lpstr>
      <vt:lpstr>P_A_SPV</vt:lpstr>
      <vt:lpstr>A_Capital_Expenditure!Print_Area</vt:lpstr>
      <vt:lpstr>A_Capital_List!Print_Area</vt:lpstr>
      <vt:lpstr>A_DPDC_Machinery_Tree!Print_Area</vt:lpstr>
      <vt:lpstr>A_Land_Acquisition!Print_Area</vt:lpstr>
      <vt:lpstr>A_Revenue_Expenditure!Print_Area</vt:lpstr>
      <vt:lpstr>A_Revenue_Income!Print_Area</vt:lpstr>
      <vt:lpstr>A_Revenue_List!Print_Area</vt:lpstr>
      <vt:lpstr>A_Special_Fund!Print_Area</vt:lpstr>
      <vt:lpstr>C_Capital_Expenditure!Print_Area</vt:lpstr>
      <vt:lpstr>C_Revenue_Expenditure!Print_Area</vt:lpstr>
      <vt:lpstr>C_Revenue_Income!Print_Area</vt:lpstr>
      <vt:lpstr>CitizensNonPlan1718!Print_Area</vt:lpstr>
      <vt:lpstr>CitizensPlan1718!Print_Area</vt:lpstr>
      <vt:lpstr>JNNURM!Print_Area</vt:lpstr>
      <vt:lpstr>SMRY1718!Print_Area</vt:lpstr>
      <vt:lpstr>SPV!Print_Area</vt:lpstr>
      <vt:lpstr>WardOfficeNonPlan1718!Print_Area</vt:lpstr>
      <vt:lpstr>WardOfficePlan1718!Print_Area</vt:lpstr>
      <vt:lpstr>A_Capital_Expenditure!Print_Titles</vt:lpstr>
      <vt:lpstr>A_DPDC_Machinery_Tree!Print_Titles</vt:lpstr>
      <vt:lpstr>A_Land_Acquisition!Print_Titles</vt:lpstr>
      <vt:lpstr>A_Revenue_Expenditure!Print_Titles</vt:lpstr>
      <vt:lpstr>A_Revenue_Income!Print_Titles</vt:lpstr>
      <vt:lpstr>A_Special_Fund!Print_Titles</vt:lpstr>
      <vt:lpstr>C_Capital_Expenditure!Print_Titles</vt:lpstr>
      <vt:lpstr>C_Revenue_Expenditure!Print_Titles</vt:lpstr>
      <vt:lpstr>C_Revenue_Income!Print_Titles</vt:lpstr>
      <vt:lpstr>CitizensNonPlan1718!Print_Titles</vt:lpstr>
      <vt:lpstr>CitizensPlan1718!Print_Titles</vt:lpstr>
      <vt:lpstr>JNNURM!Print_Titles</vt:lpstr>
      <vt:lpstr>SMRY1718!Print_Titles</vt:lpstr>
      <vt:lpstr>WardOfficeNonPlan1718!Print_Titles</vt:lpstr>
      <vt:lpstr>WardOfficePlan1718!Print_Titles</vt:lpstr>
      <vt:lpstr>txt_cd_1</vt:lpstr>
      <vt:lpstr>Yantra_Series</vt:lpstr>
    </vt:vector>
  </TitlesOfParts>
  <Company>..:COOLWAREZ:..</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press</dc:creator>
  <cp:lastModifiedBy>pmcadmin</cp:lastModifiedBy>
  <cp:lastPrinted>2017-03-29T07:53:04Z</cp:lastPrinted>
  <dcterms:created xsi:type="dcterms:W3CDTF">2008-03-11T09:23:47Z</dcterms:created>
  <dcterms:modified xsi:type="dcterms:W3CDTF">2017-03-29T11:43:08Z</dcterms:modified>
</cp:coreProperties>
</file>